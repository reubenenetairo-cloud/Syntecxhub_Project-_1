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INTERNSHIP folder\Internship 2\Week 4 folder\"/>
    </mc:Choice>
  </mc:AlternateContent>
  <xr:revisionPtr revIDLastSave="0" documentId="13_ncr:1_{58824D9A-FE75-453E-8734-8CF74F299D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Bank_Loan_Data" sheetId="1" r:id="rId2"/>
  </sheets>
  <calcPr calcId="181029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AF1999" i="1" l="1"/>
  <c r="AF1994" i="1"/>
  <c r="AF2001" i="1"/>
  <c r="AF2000" i="1"/>
  <c r="AF1986" i="1"/>
  <c r="AF1978" i="1"/>
  <c r="AF1970" i="1"/>
  <c r="AF1962" i="1"/>
  <c r="AF1954" i="1"/>
  <c r="AF1946" i="1"/>
  <c r="AF1938" i="1"/>
  <c r="AF1930" i="1"/>
  <c r="AF1922" i="1"/>
  <c r="AF1914" i="1"/>
  <c r="AF1906" i="1"/>
  <c r="AF1898" i="1"/>
  <c r="AF1890" i="1"/>
  <c r="AF1882" i="1"/>
  <c r="AF1874" i="1"/>
  <c r="AF1866" i="1"/>
  <c r="AF1858" i="1"/>
  <c r="AF1850" i="1"/>
  <c r="AF1842" i="1"/>
  <c r="AF1834" i="1"/>
  <c r="AF1826" i="1"/>
  <c r="AF1818" i="1"/>
  <c r="AF1810" i="1"/>
  <c r="AF1802" i="1"/>
  <c r="AF1794" i="1"/>
  <c r="AF1786" i="1"/>
  <c r="AF1778" i="1"/>
  <c r="AF1770" i="1"/>
  <c r="AF1762" i="1"/>
  <c r="AF1754" i="1"/>
  <c r="AF1746" i="1"/>
  <c r="AF1738" i="1"/>
  <c r="AF1730" i="1"/>
  <c r="AF1722" i="1"/>
  <c r="AF1714" i="1"/>
  <c r="AF1706" i="1"/>
  <c r="AF1698" i="1"/>
  <c r="AF1690" i="1"/>
  <c r="AF1682" i="1"/>
  <c r="AF1674" i="1"/>
  <c r="AF1666" i="1"/>
  <c r="AF1658" i="1"/>
  <c r="AF1650" i="1"/>
  <c r="AF1642" i="1"/>
  <c r="AF1634" i="1"/>
  <c r="AF1626" i="1"/>
  <c r="AF1618" i="1"/>
  <c r="AF1610" i="1"/>
  <c r="AF1602" i="1"/>
  <c r="AF1594" i="1"/>
  <c r="AF1586" i="1"/>
  <c r="AF1578" i="1"/>
  <c r="AF1570" i="1"/>
  <c r="AF1562" i="1"/>
  <c r="AF1554" i="1"/>
  <c r="AF1546" i="1"/>
  <c r="AF1538" i="1"/>
  <c r="AF1530" i="1"/>
  <c r="AF1522" i="1"/>
  <c r="AF1514" i="1"/>
  <c r="AF1506" i="1"/>
  <c r="AF1498" i="1"/>
  <c r="AF1490" i="1"/>
  <c r="AF1482" i="1"/>
  <c r="AF1474" i="1"/>
  <c r="AF1466" i="1"/>
  <c r="AF1458" i="1"/>
  <c r="AF1450" i="1"/>
  <c r="AF1442" i="1"/>
  <c r="AF1434" i="1"/>
  <c r="AF1426" i="1"/>
  <c r="AF1418" i="1"/>
  <c r="AF1410" i="1"/>
  <c r="AF1402" i="1"/>
  <c r="AF1394" i="1"/>
  <c r="AF1386" i="1"/>
  <c r="AF1991" i="1"/>
  <c r="AF1983" i="1"/>
  <c r="AF1975" i="1"/>
  <c r="AF1967" i="1"/>
  <c r="AF1959" i="1"/>
  <c r="AF1951" i="1"/>
  <c r="AF1943" i="1"/>
  <c r="AF1935" i="1"/>
  <c r="AF1927" i="1"/>
  <c r="AF1919" i="1"/>
  <c r="AF1911" i="1"/>
  <c r="AF1903" i="1"/>
  <c r="AF1895" i="1"/>
  <c r="AF1887" i="1"/>
  <c r="AF1879" i="1"/>
  <c r="AF1871" i="1"/>
  <c r="AF1863" i="1"/>
  <c r="AF1855" i="1"/>
  <c r="AF1847" i="1"/>
  <c r="AF1839" i="1"/>
  <c r="AF1831" i="1"/>
  <c r="AF1823" i="1"/>
  <c r="AF1815" i="1"/>
  <c r="AF1807" i="1"/>
  <c r="AF1799" i="1"/>
  <c r="AF1791" i="1"/>
  <c r="AF1783" i="1"/>
  <c r="AF1775" i="1"/>
  <c r="AF1767" i="1"/>
  <c r="AF1759" i="1"/>
  <c r="AF1751" i="1"/>
  <c r="AF1743" i="1"/>
  <c r="AF1735" i="1"/>
  <c r="AF1727" i="1"/>
  <c r="AF1719" i="1"/>
  <c r="AF1711" i="1"/>
  <c r="AF1703" i="1"/>
  <c r="AF1695" i="1"/>
  <c r="AF1687" i="1"/>
  <c r="AF1679" i="1"/>
  <c r="AF1671" i="1"/>
  <c r="AF1663" i="1"/>
  <c r="AF1655" i="1"/>
  <c r="AF1647" i="1"/>
  <c r="AF1639" i="1"/>
  <c r="AF1998" i="1"/>
  <c r="AF1990" i="1"/>
  <c r="AF1982" i="1"/>
  <c r="AF1974" i="1"/>
  <c r="AF1966" i="1"/>
  <c r="AF1958" i="1"/>
  <c r="AF1950" i="1"/>
  <c r="AF1942" i="1"/>
  <c r="AF1934" i="1"/>
  <c r="AF1926" i="1"/>
  <c r="AF1918" i="1"/>
  <c r="AF1910" i="1"/>
  <c r="AF1902" i="1"/>
  <c r="AF1894" i="1"/>
  <c r="AF1886" i="1"/>
  <c r="AF1878" i="1"/>
  <c r="AF1870" i="1"/>
  <c r="AF1862" i="1"/>
  <c r="AF1854" i="1"/>
  <c r="AF1846" i="1"/>
  <c r="AF1838" i="1"/>
  <c r="AF1830" i="1"/>
  <c r="AF1822" i="1"/>
  <c r="AF1814" i="1"/>
  <c r="AF1806" i="1"/>
  <c r="AF1798" i="1"/>
  <c r="AF1790" i="1"/>
  <c r="AF1782" i="1"/>
  <c r="AF1774" i="1"/>
  <c r="AF1766" i="1"/>
  <c r="AF1758" i="1"/>
  <c r="AF1995" i="1"/>
  <c r="AF1987" i="1"/>
  <c r="AF1979" i="1"/>
  <c r="AF1971" i="1"/>
  <c r="AF1963" i="1"/>
  <c r="AF1955" i="1"/>
  <c r="AF1947" i="1"/>
  <c r="AF1939" i="1"/>
  <c r="AF1931" i="1"/>
  <c r="AF1923" i="1"/>
  <c r="AF1915" i="1"/>
  <c r="AF1907" i="1"/>
  <c r="AF1899" i="1"/>
  <c r="AF1891" i="1"/>
  <c r="AF1883" i="1"/>
  <c r="AF1875" i="1"/>
  <c r="AF1867" i="1"/>
  <c r="AF1859" i="1"/>
  <c r="AF1851" i="1"/>
  <c r="AF1843" i="1"/>
  <c r="AF1835" i="1"/>
  <c r="AF1827" i="1"/>
  <c r="AF1819" i="1"/>
  <c r="AF1811" i="1"/>
  <c r="AF1803" i="1"/>
  <c r="AF1378" i="1"/>
  <c r="AF1370" i="1"/>
  <c r="AF1362" i="1"/>
  <c r="AF1354" i="1"/>
  <c r="AF1346" i="1"/>
  <c r="AF1338" i="1"/>
  <c r="AF1330" i="1"/>
  <c r="AF1322" i="1"/>
  <c r="AF1314" i="1"/>
  <c r="AF1306" i="1"/>
  <c r="AF1298" i="1"/>
  <c r="AF1290" i="1"/>
  <c r="AF1282" i="1"/>
  <c r="AF1274" i="1"/>
  <c r="AF1266" i="1"/>
  <c r="AF1258" i="1"/>
  <c r="AF1250" i="1"/>
  <c r="AF1242" i="1"/>
  <c r="AF1234" i="1"/>
  <c r="AF1226" i="1"/>
  <c r="AF1218" i="1"/>
  <c r="AF1210" i="1"/>
  <c r="AF1202" i="1"/>
  <c r="AF1194" i="1"/>
  <c r="AF1186" i="1"/>
  <c r="AF1178" i="1"/>
  <c r="AF1170" i="1"/>
  <c r="AF1162" i="1"/>
  <c r="AF1154" i="1"/>
  <c r="AF1146" i="1"/>
  <c r="AF1138" i="1"/>
  <c r="AF1130" i="1"/>
  <c r="AF1122" i="1"/>
  <c r="AF1114" i="1"/>
  <c r="AF1106" i="1"/>
  <c r="AF1098" i="1"/>
  <c r="AF1090" i="1"/>
  <c r="AF1082" i="1"/>
  <c r="AF1074" i="1"/>
  <c r="AF1066" i="1"/>
  <c r="AF1058" i="1"/>
  <c r="AF1050" i="1"/>
  <c r="AF1042" i="1"/>
  <c r="AF1034" i="1"/>
  <c r="AF1026" i="1"/>
  <c r="AF1018" i="1"/>
  <c r="AF1010" i="1"/>
  <c r="AF1002" i="1"/>
  <c r="AF994" i="1"/>
  <c r="AF986" i="1"/>
  <c r="AF978" i="1"/>
  <c r="AF970" i="1"/>
  <c r="AF962" i="1"/>
  <c r="AF954" i="1"/>
  <c r="AF946" i="1"/>
  <c r="AF938" i="1"/>
  <c r="AF930" i="1"/>
  <c r="AF922" i="1"/>
  <c r="AF914" i="1"/>
  <c r="AF906" i="1"/>
  <c r="AF898" i="1"/>
  <c r="AF890" i="1"/>
  <c r="AF882" i="1"/>
  <c r="AF874" i="1"/>
  <c r="AF866" i="1"/>
  <c r="AF858" i="1"/>
  <c r="AF850" i="1"/>
  <c r="AF842" i="1"/>
  <c r="AF834" i="1"/>
  <c r="AF826" i="1"/>
  <c r="AF818" i="1"/>
  <c r="AF810" i="1"/>
  <c r="AF802" i="1"/>
  <c r="AF794" i="1"/>
  <c r="AF786" i="1"/>
  <c r="AF778" i="1"/>
  <c r="AF770" i="1"/>
  <c r="AF762" i="1"/>
  <c r="AF754" i="1"/>
  <c r="AF746" i="1"/>
  <c r="AF738" i="1"/>
  <c r="AF730" i="1"/>
  <c r="AF722" i="1"/>
  <c r="AF714" i="1"/>
  <c r="AF706" i="1"/>
  <c r="AF698" i="1"/>
  <c r="AF690" i="1"/>
  <c r="AF682" i="1"/>
  <c r="AF674" i="1"/>
  <c r="AF666" i="1"/>
  <c r="AF658" i="1"/>
  <c r="AF650" i="1"/>
  <c r="AF642" i="1"/>
  <c r="AF634" i="1"/>
  <c r="AF626" i="1"/>
  <c r="AF618" i="1"/>
  <c r="AF610" i="1"/>
  <c r="AF602" i="1"/>
  <c r="AF594" i="1"/>
  <c r="AF586" i="1"/>
  <c r="AF578" i="1"/>
  <c r="AF570" i="1"/>
  <c r="AF562" i="1"/>
  <c r="AF554" i="1"/>
  <c r="AF546" i="1"/>
  <c r="AF538" i="1"/>
  <c r="AF530" i="1"/>
  <c r="AF522" i="1"/>
  <c r="AF514" i="1"/>
  <c r="AF506" i="1"/>
  <c r="AF498" i="1"/>
  <c r="AF490" i="1"/>
  <c r="AF482" i="1"/>
  <c r="AF474" i="1"/>
  <c r="AF466" i="1"/>
  <c r="AF458" i="1"/>
  <c r="AF450" i="1"/>
  <c r="AF442" i="1"/>
  <c r="AF434" i="1"/>
  <c r="AF426" i="1"/>
  <c r="AF418" i="1"/>
  <c r="AF410" i="1"/>
  <c r="AF402" i="1"/>
  <c r="AF394" i="1"/>
  <c r="AF386" i="1"/>
  <c r="AF378" i="1"/>
  <c r="AF370" i="1"/>
  <c r="AF362" i="1"/>
  <c r="AF354" i="1"/>
  <c r="AF346" i="1"/>
  <c r="AF338" i="1"/>
  <c r="AF330" i="1"/>
  <c r="AF322" i="1"/>
  <c r="AF314" i="1"/>
  <c r="AF306" i="1"/>
  <c r="AF298" i="1"/>
  <c r="AF290" i="1"/>
  <c r="AF282" i="1"/>
  <c r="AF274" i="1"/>
  <c r="AF266" i="1"/>
  <c r="AF258" i="1"/>
  <c r="AF250" i="1"/>
  <c r="AF242" i="1"/>
  <c r="AF234" i="1"/>
  <c r="AF226" i="1"/>
  <c r="AF218" i="1"/>
  <c r="AF210" i="1"/>
  <c r="AF202" i="1"/>
  <c r="AF194" i="1"/>
  <c r="AF186" i="1"/>
  <c r="AF178" i="1"/>
  <c r="AF170" i="1"/>
  <c r="AF162" i="1"/>
  <c r="AF154" i="1"/>
  <c r="AF146" i="1"/>
  <c r="AF138" i="1"/>
  <c r="AF130" i="1"/>
  <c r="AF122" i="1"/>
  <c r="AF114" i="1"/>
  <c r="AF106" i="1"/>
  <c r="AF98" i="1"/>
  <c r="AF90" i="1"/>
  <c r="AF82" i="1"/>
  <c r="AF74" i="1"/>
  <c r="AF66" i="1"/>
  <c r="AF58" i="1"/>
  <c r="AF50" i="1"/>
  <c r="AF42" i="1"/>
  <c r="AF34" i="1"/>
  <c r="AF26" i="1"/>
  <c r="AF1993" i="1"/>
  <c r="AF1985" i="1"/>
  <c r="AF1977" i="1"/>
  <c r="AF1969" i="1"/>
  <c r="AF1961" i="1"/>
  <c r="AF1953" i="1"/>
  <c r="AF1945" i="1"/>
  <c r="AF1937" i="1"/>
  <c r="AF1929" i="1"/>
  <c r="AF1921" i="1"/>
  <c r="AF1913" i="1"/>
  <c r="AF1905" i="1"/>
  <c r="AF1897" i="1"/>
  <c r="AF1889" i="1"/>
  <c r="AF1881" i="1"/>
  <c r="AF1873" i="1"/>
  <c r="AF1865" i="1"/>
  <c r="AF1857" i="1"/>
  <c r="AF1849" i="1"/>
  <c r="AF1841" i="1"/>
  <c r="AF1833" i="1"/>
  <c r="AF1825" i="1"/>
  <c r="AF1817" i="1"/>
  <c r="AF1809" i="1"/>
  <c r="AF1801" i="1"/>
  <c r="AF1793" i="1"/>
  <c r="AF1785" i="1"/>
  <c r="AF1777" i="1"/>
  <c r="AF1769" i="1"/>
  <c r="AF1761" i="1"/>
  <c r="AF1753" i="1"/>
  <c r="AF1745" i="1"/>
  <c r="AF1737" i="1"/>
  <c r="AF1729" i="1"/>
  <c r="AF1721" i="1"/>
  <c r="AF1713" i="1"/>
  <c r="AF1705" i="1"/>
  <c r="AF1697" i="1"/>
  <c r="AF1689" i="1"/>
  <c r="AF1681" i="1"/>
  <c r="AF1673" i="1"/>
  <c r="AF1665" i="1"/>
  <c r="AF1657" i="1"/>
  <c r="AF1649" i="1"/>
  <c r="AF1641" i="1"/>
  <c r="AF1633" i="1"/>
  <c r="AF1625" i="1"/>
  <c r="AF1617" i="1"/>
  <c r="AF1609" i="1"/>
  <c r="AF1601" i="1"/>
  <c r="AF1593" i="1"/>
  <c r="AF1585" i="1"/>
  <c r="AF1577" i="1"/>
  <c r="AF1569" i="1"/>
  <c r="AF1561" i="1"/>
  <c r="AF1553" i="1"/>
  <c r="AF1545" i="1"/>
  <c r="AF1537" i="1"/>
  <c r="AF1529" i="1"/>
  <c r="AF1521" i="1"/>
  <c r="AF1513" i="1"/>
  <c r="AF1505" i="1"/>
  <c r="AF1497" i="1"/>
  <c r="AF1489" i="1"/>
  <c r="AF1481" i="1"/>
  <c r="AF1473" i="1"/>
  <c r="AF1465" i="1"/>
  <c r="AF1457" i="1"/>
  <c r="AF1449" i="1"/>
  <c r="AF1441" i="1"/>
  <c r="AF1433" i="1"/>
  <c r="AF1425" i="1"/>
  <c r="AF1417" i="1"/>
  <c r="AF1409" i="1"/>
  <c r="AF1401" i="1"/>
  <c r="AF1393" i="1"/>
  <c r="AF1385" i="1"/>
  <c r="AF1377" i="1"/>
  <c r="AF1369" i="1"/>
  <c r="AF1361" i="1"/>
  <c r="AF1353" i="1"/>
  <c r="AF1345" i="1"/>
  <c r="AF1337" i="1"/>
  <c r="AF1329" i="1"/>
  <c r="AF1321" i="1"/>
  <c r="AF1313" i="1"/>
  <c r="AF1305" i="1"/>
  <c r="AF1297" i="1"/>
  <c r="AF1289" i="1"/>
  <c r="AF1281" i="1"/>
  <c r="AF1273" i="1"/>
  <c r="AF1265" i="1"/>
  <c r="AF1257" i="1"/>
  <c r="AF1249" i="1"/>
  <c r="AF1241" i="1"/>
  <c r="AF1233" i="1"/>
  <c r="AF1225" i="1"/>
  <c r="AF1217" i="1"/>
  <c r="AF1209" i="1"/>
  <c r="AF1201" i="1"/>
  <c r="AF1193" i="1"/>
  <c r="AF1185" i="1"/>
  <c r="AF1177" i="1"/>
  <c r="AF1169" i="1"/>
  <c r="AF1161" i="1"/>
  <c r="AF1153" i="1"/>
  <c r="AF1145" i="1"/>
  <c r="AF1137" i="1"/>
  <c r="AF1129" i="1"/>
  <c r="AF1121" i="1"/>
  <c r="AF1992" i="1"/>
  <c r="AF1984" i="1"/>
  <c r="AF1976" i="1"/>
  <c r="AF1968" i="1"/>
  <c r="AF1960" i="1"/>
  <c r="AF1952" i="1"/>
  <c r="AF1944" i="1"/>
  <c r="AF1936" i="1"/>
  <c r="AF1928" i="1"/>
  <c r="AF1920" i="1"/>
  <c r="AF1912" i="1"/>
  <c r="AF1904" i="1"/>
  <c r="AF1896" i="1"/>
  <c r="AF1888" i="1"/>
  <c r="AF1880" i="1"/>
  <c r="AF1872" i="1"/>
  <c r="AF1864" i="1"/>
  <c r="AF1856" i="1"/>
  <c r="AF1848" i="1"/>
  <c r="AF1840" i="1"/>
  <c r="AF1832" i="1"/>
  <c r="AF1824" i="1"/>
  <c r="AF1816" i="1"/>
  <c r="AF1808" i="1"/>
  <c r="AF1800" i="1"/>
  <c r="AF1792" i="1"/>
  <c r="AF1784" i="1"/>
  <c r="AF1776" i="1"/>
  <c r="AF1768" i="1"/>
  <c r="AF1760" i="1"/>
  <c r="AF1752" i="1"/>
  <c r="AF1744" i="1"/>
  <c r="AF1736" i="1"/>
  <c r="AF1728" i="1"/>
  <c r="AF1720" i="1"/>
  <c r="AF1712" i="1"/>
  <c r="AF1704" i="1"/>
  <c r="AF1696" i="1"/>
  <c r="AF1688" i="1"/>
  <c r="AF1680" i="1"/>
  <c r="AF1672" i="1"/>
  <c r="AF1664" i="1"/>
  <c r="AF1656" i="1"/>
  <c r="AF1648" i="1"/>
  <c r="AF1640" i="1"/>
  <c r="AF1632" i="1"/>
  <c r="AF1624" i="1"/>
  <c r="AF1616" i="1"/>
  <c r="AF1608" i="1"/>
  <c r="AF1600" i="1"/>
  <c r="AF1592" i="1"/>
  <c r="AF1584" i="1"/>
  <c r="AF1576" i="1"/>
  <c r="AF1568" i="1"/>
  <c r="AF1560" i="1"/>
  <c r="AF1552" i="1"/>
  <c r="AF1544" i="1"/>
  <c r="AF1536" i="1"/>
  <c r="AF1528" i="1"/>
  <c r="AF1520" i="1"/>
  <c r="AF1512" i="1"/>
  <c r="AF1504" i="1"/>
  <c r="AF1496" i="1"/>
  <c r="AF1488" i="1"/>
  <c r="AF1480" i="1"/>
  <c r="AF1472" i="1"/>
  <c r="AF1464" i="1"/>
  <c r="AF1456" i="1"/>
  <c r="AF1448" i="1"/>
  <c r="AF1440" i="1"/>
  <c r="AF1432" i="1"/>
  <c r="AF1424" i="1"/>
  <c r="AF1416" i="1"/>
  <c r="AF1408" i="1"/>
  <c r="AF1400" i="1"/>
  <c r="AF1392" i="1"/>
  <c r="AF1384" i="1"/>
  <c r="AF1376" i="1"/>
  <c r="AF1368" i="1"/>
  <c r="AF1360" i="1"/>
  <c r="AF1352" i="1"/>
  <c r="AF1344" i="1"/>
  <c r="AF1336" i="1"/>
  <c r="AF1328" i="1"/>
  <c r="AF1320" i="1"/>
  <c r="AF1312" i="1"/>
  <c r="AF1304" i="1"/>
  <c r="AF1296" i="1"/>
  <c r="AF1288" i="1"/>
  <c r="AF1280" i="1"/>
  <c r="AF1272" i="1"/>
  <c r="AF1264" i="1"/>
  <c r="AF1256" i="1"/>
  <c r="AF1248" i="1"/>
  <c r="AF1240" i="1"/>
  <c r="AF1232" i="1"/>
  <c r="AF1224" i="1"/>
  <c r="AF1216" i="1"/>
  <c r="AF1208" i="1"/>
  <c r="AF1200" i="1"/>
  <c r="AF1192" i="1"/>
  <c r="AF1184" i="1"/>
  <c r="AF1176" i="1"/>
  <c r="AF1168" i="1"/>
  <c r="AF1160" i="1"/>
  <c r="AF1152" i="1"/>
  <c r="AF1144" i="1"/>
  <c r="AF1136" i="1"/>
  <c r="AF1128" i="1"/>
  <c r="AF1120" i="1"/>
  <c r="AF1631" i="1"/>
  <c r="AF1623" i="1"/>
  <c r="AF1615" i="1"/>
  <c r="AF1607" i="1"/>
  <c r="AF1599" i="1"/>
  <c r="AF1591" i="1"/>
  <c r="AF1583" i="1"/>
  <c r="AF1575" i="1"/>
  <c r="AF1567" i="1"/>
  <c r="AF1559" i="1"/>
  <c r="AF1551" i="1"/>
  <c r="AF1543" i="1"/>
  <c r="AF1535" i="1"/>
  <c r="AF1527" i="1"/>
  <c r="AF1519" i="1"/>
  <c r="AF1511" i="1"/>
  <c r="AF1503" i="1"/>
  <c r="AF1495" i="1"/>
  <c r="AF1487" i="1"/>
  <c r="AF1479" i="1"/>
  <c r="AF1471" i="1"/>
  <c r="AF1463" i="1"/>
  <c r="AF1455" i="1"/>
  <c r="AF1447" i="1"/>
  <c r="AF1439" i="1"/>
  <c r="AF1431" i="1"/>
  <c r="AF1423" i="1"/>
  <c r="AF1415" i="1"/>
  <c r="AF1407" i="1"/>
  <c r="AF1399" i="1"/>
  <c r="AF1391" i="1"/>
  <c r="AF1383" i="1"/>
  <c r="AF1375" i="1"/>
  <c r="AF1367" i="1"/>
  <c r="AF1359" i="1"/>
  <c r="AF1351" i="1"/>
  <c r="AF1343" i="1"/>
  <c r="AF1335" i="1"/>
  <c r="AF1327" i="1"/>
  <c r="AF1319" i="1"/>
  <c r="AF1311" i="1"/>
  <c r="AF1303" i="1"/>
  <c r="AF1295" i="1"/>
  <c r="AF1287" i="1"/>
  <c r="AF1279" i="1"/>
  <c r="AF1271" i="1"/>
  <c r="AF1263" i="1"/>
  <c r="AF1255" i="1"/>
  <c r="AF1247" i="1"/>
  <c r="AF1239" i="1"/>
  <c r="AF1231" i="1"/>
  <c r="AF1223" i="1"/>
  <c r="AF1215" i="1"/>
  <c r="AF1207" i="1"/>
  <c r="AF1199" i="1"/>
  <c r="AF1191" i="1"/>
  <c r="AF1183" i="1"/>
  <c r="AF1175" i="1"/>
  <c r="AF1167" i="1"/>
  <c r="AF1159" i="1"/>
  <c r="AF1151" i="1"/>
  <c r="AF1143" i="1"/>
  <c r="AF1135" i="1"/>
  <c r="AF1127" i="1"/>
  <c r="AF1119" i="1"/>
  <c r="AF1111" i="1"/>
  <c r="AF1103" i="1"/>
  <c r="AF1095" i="1"/>
  <c r="AF1087" i="1"/>
  <c r="AF1079" i="1"/>
  <c r="AF1071" i="1"/>
  <c r="AF1063" i="1"/>
  <c r="AF1055" i="1"/>
  <c r="AF1047" i="1"/>
  <c r="AF1039" i="1"/>
  <c r="AF1031" i="1"/>
  <c r="AF1023" i="1"/>
  <c r="AF1015" i="1"/>
  <c r="AF1007" i="1"/>
  <c r="AF999" i="1"/>
  <c r="AF991" i="1"/>
  <c r="AF983" i="1"/>
  <c r="AF1750" i="1"/>
  <c r="AF1742" i="1"/>
  <c r="AF1734" i="1"/>
  <c r="AF1726" i="1"/>
  <c r="AF1718" i="1"/>
  <c r="AF1710" i="1"/>
  <c r="AF1702" i="1"/>
  <c r="AF1694" i="1"/>
  <c r="AF1686" i="1"/>
  <c r="AF1678" i="1"/>
  <c r="AF1670" i="1"/>
  <c r="AF1662" i="1"/>
  <c r="AF1654" i="1"/>
  <c r="AF1646" i="1"/>
  <c r="AF1638" i="1"/>
  <c r="AF1630" i="1"/>
  <c r="AF1622" i="1"/>
  <c r="AF1614" i="1"/>
  <c r="AF1606" i="1"/>
  <c r="AF1598" i="1"/>
  <c r="AF1590" i="1"/>
  <c r="AF1582" i="1"/>
  <c r="AF1574" i="1"/>
  <c r="AF1566" i="1"/>
  <c r="AF1558" i="1"/>
  <c r="AF1550" i="1"/>
  <c r="AF1542" i="1"/>
  <c r="AF1534" i="1"/>
  <c r="AF1526" i="1"/>
  <c r="AF1518" i="1"/>
  <c r="AF1510" i="1"/>
  <c r="AF1502" i="1"/>
  <c r="AF1494" i="1"/>
  <c r="AF1486" i="1"/>
  <c r="AF1478" i="1"/>
  <c r="AF1470" i="1"/>
  <c r="AF1462" i="1"/>
  <c r="AF1454" i="1"/>
  <c r="AF1446" i="1"/>
  <c r="AF1438" i="1"/>
  <c r="AF1430" i="1"/>
  <c r="AF1422" i="1"/>
  <c r="AF1414" i="1"/>
  <c r="AF1406" i="1"/>
  <c r="AF1398" i="1"/>
  <c r="AF1390" i="1"/>
  <c r="AF1382" i="1"/>
  <c r="AF1374" i="1"/>
  <c r="AF1366" i="1"/>
  <c r="AF1358" i="1"/>
  <c r="AF1350" i="1"/>
  <c r="AF1342" i="1"/>
  <c r="AF1334" i="1"/>
  <c r="AF1326" i="1"/>
  <c r="AF1318" i="1"/>
  <c r="AF1310" i="1"/>
  <c r="AF1302" i="1"/>
  <c r="AF1294" i="1"/>
  <c r="AF1286" i="1"/>
  <c r="AF1278" i="1"/>
  <c r="AF1270" i="1"/>
  <c r="AF1262" i="1"/>
  <c r="AF1254" i="1"/>
  <c r="AF1246" i="1"/>
  <c r="AF1238" i="1"/>
  <c r="AF1230" i="1"/>
  <c r="AF1222" i="1"/>
  <c r="AF1214" i="1"/>
  <c r="AF1206" i="1"/>
  <c r="AF1198" i="1"/>
  <c r="AF1190" i="1"/>
  <c r="AF1182" i="1"/>
  <c r="AF1174" i="1"/>
  <c r="AF1166" i="1"/>
  <c r="AF1158" i="1"/>
  <c r="AF1150" i="1"/>
  <c r="AF1142" i="1"/>
  <c r="AF1134" i="1"/>
  <c r="AF1126" i="1"/>
  <c r="AF1118" i="1"/>
  <c r="AF1110" i="1"/>
  <c r="AF1102" i="1"/>
  <c r="AF1094" i="1"/>
  <c r="AF1086" i="1"/>
  <c r="AF1078" i="1"/>
  <c r="AF1997" i="1"/>
  <c r="AF1989" i="1"/>
  <c r="AF1981" i="1"/>
  <c r="AF1973" i="1"/>
  <c r="AF1965" i="1"/>
  <c r="AF1957" i="1"/>
  <c r="AF1949" i="1"/>
  <c r="AF1941" i="1"/>
  <c r="AF1933" i="1"/>
  <c r="AF1925" i="1"/>
  <c r="AF1917" i="1"/>
  <c r="AF1909" i="1"/>
  <c r="AF1901" i="1"/>
  <c r="AF1893" i="1"/>
  <c r="AF1885" i="1"/>
  <c r="AF1877" i="1"/>
  <c r="AF1869" i="1"/>
  <c r="AF1861" i="1"/>
  <c r="AF1853" i="1"/>
  <c r="AF1845" i="1"/>
  <c r="AF1837" i="1"/>
  <c r="AF1829" i="1"/>
  <c r="AF1821" i="1"/>
  <c r="AF1813" i="1"/>
  <c r="AF1805" i="1"/>
  <c r="AF1797" i="1"/>
  <c r="AF1789" i="1"/>
  <c r="AF1781" i="1"/>
  <c r="AF1773" i="1"/>
  <c r="AF1765" i="1"/>
  <c r="AF1757" i="1"/>
  <c r="AF1749" i="1"/>
  <c r="AF1741" i="1"/>
  <c r="AF1733" i="1"/>
  <c r="AF1725" i="1"/>
  <c r="AF1717" i="1"/>
  <c r="AF1709" i="1"/>
  <c r="AF1701" i="1"/>
  <c r="AF1693" i="1"/>
  <c r="AF1685" i="1"/>
  <c r="AF1677" i="1"/>
  <c r="AF1669" i="1"/>
  <c r="AF1661" i="1"/>
  <c r="AF1653" i="1"/>
  <c r="AF1645" i="1"/>
  <c r="AF1637" i="1"/>
  <c r="AF1629" i="1"/>
  <c r="AF1621" i="1"/>
  <c r="AF1613" i="1"/>
  <c r="AF1605" i="1"/>
  <c r="AF1597" i="1"/>
  <c r="AF1589" i="1"/>
  <c r="AF1581" i="1"/>
  <c r="AF1573" i="1"/>
  <c r="AF1565" i="1"/>
  <c r="AF1557" i="1"/>
  <c r="AF1549" i="1"/>
  <c r="AF1541" i="1"/>
  <c r="AF1533" i="1"/>
  <c r="AF1525" i="1"/>
  <c r="AF1517" i="1"/>
  <c r="AF1509" i="1"/>
  <c r="AF1501" i="1"/>
  <c r="AF1493" i="1"/>
  <c r="AF1485" i="1"/>
  <c r="AF1477" i="1"/>
  <c r="AF1469" i="1"/>
  <c r="AF1461" i="1"/>
  <c r="AF1453" i="1"/>
  <c r="AF1445" i="1"/>
  <c r="AF1437" i="1"/>
  <c r="AF1429" i="1"/>
  <c r="AF1421" i="1"/>
  <c r="AF1413" i="1"/>
  <c r="AF1405" i="1"/>
  <c r="AF1397" i="1"/>
  <c r="AF1389" i="1"/>
  <c r="AF1381" i="1"/>
  <c r="AF1373" i="1"/>
  <c r="AF1365" i="1"/>
  <c r="AF1357" i="1"/>
  <c r="AF1349" i="1"/>
  <c r="AF1341" i="1"/>
  <c r="AF1333" i="1"/>
  <c r="AF1325" i="1"/>
  <c r="AF1317" i="1"/>
  <c r="AF1309" i="1"/>
  <c r="AF1301" i="1"/>
  <c r="AF1293" i="1"/>
  <c r="AF1285" i="1"/>
  <c r="AF1277" i="1"/>
  <c r="AF1269" i="1"/>
  <c r="AF1261" i="1"/>
  <c r="AF1253" i="1"/>
  <c r="AF1245" i="1"/>
  <c r="AF1237" i="1"/>
  <c r="AF1229" i="1"/>
  <c r="AF1221" i="1"/>
  <c r="AF1213" i="1"/>
  <c r="AF1205" i="1"/>
  <c r="AF1197" i="1"/>
  <c r="AF1189" i="1"/>
  <c r="AF1181" i="1"/>
  <c r="AF1173" i="1"/>
  <c r="AF1165" i="1"/>
  <c r="AF1157" i="1"/>
  <c r="AF1149" i="1"/>
  <c r="AF1141" i="1"/>
  <c r="AF1996" i="1"/>
  <c r="AF1988" i="1"/>
  <c r="AF1980" i="1"/>
  <c r="AF1972" i="1"/>
  <c r="AF1964" i="1"/>
  <c r="AF1956" i="1"/>
  <c r="AF1948" i="1"/>
  <c r="AF1940" i="1"/>
  <c r="AF1932" i="1"/>
  <c r="AF1924" i="1"/>
  <c r="AF1916" i="1"/>
  <c r="AF1908" i="1"/>
  <c r="AF1900" i="1"/>
  <c r="AF1892" i="1"/>
  <c r="AF1884" i="1"/>
  <c r="AF1876" i="1"/>
  <c r="AF1868" i="1"/>
  <c r="AF1860" i="1"/>
  <c r="AF1852" i="1"/>
  <c r="AF1844" i="1"/>
  <c r="AF1836" i="1"/>
  <c r="AF1828" i="1"/>
  <c r="AF1820" i="1"/>
  <c r="AF1812" i="1"/>
  <c r="AF1804" i="1"/>
  <c r="AF1796" i="1"/>
  <c r="AF1788" i="1"/>
  <c r="AF1780" i="1"/>
  <c r="AF1772" i="1"/>
  <c r="AF1764" i="1"/>
  <c r="AF1756" i="1"/>
  <c r="AF1748" i="1"/>
  <c r="AF1740" i="1"/>
  <c r="AF1732" i="1"/>
  <c r="AF1724" i="1"/>
  <c r="AF1716" i="1"/>
  <c r="AF1708" i="1"/>
  <c r="AF1700" i="1"/>
  <c r="AF1692" i="1"/>
  <c r="AF1684" i="1"/>
  <c r="AF1676" i="1"/>
  <c r="AF1668" i="1"/>
  <c r="AF1660" i="1"/>
  <c r="AF1652" i="1"/>
  <c r="AF1644" i="1"/>
  <c r="AF1636" i="1"/>
  <c r="AF1628" i="1"/>
  <c r="AF1620" i="1"/>
  <c r="AF1612" i="1"/>
  <c r="AF1604" i="1"/>
  <c r="AF1596" i="1"/>
  <c r="AF1588" i="1"/>
  <c r="AF1580" i="1"/>
  <c r="AF1572" i="1"/>
  <c r="AF1564" i="1"/>
  <c r="AF1556" i="1"/>
  <c r="AF1548" i="1"/>
  <c r="AF1540" i="1"/>
  <c r="AF1532" i="1"/>
  <c r="AF1524" i="1"/>
  <c r="AF1516" i="1"/>
  <c r="AF1508" i="1"/>
  <c r="AF1500" i="1"/>
  <c r="AF1492" i="1"/>
  <c r="AF1484" i="1"/>
  <c r="AF1476" i="1"/>
  <c r="AF1468" i="1"/>
  <c r="AF1460" i="1"/>
  <c r="AF1452" i="1"/>
  <c r="AF1444" i="1"/>
  <c r="AF1436" i="1"/>
  <c r="AF1428" i="1"/>
  <c r="AF1420" i="1"/>
  <c r="AF1412" i="1"/>
  <c r="AF1404" i="1"/>
  <c r="AF1396" i="1"/>
  <c r="AF1388" i="1"/>
  <c r="AF1380" i="1"/>
  <c r="AF1372" i="1"/>
  <c r="AF1364" i="1"/>
  <c r="AF1356" i="1"/>
  <c r="AF1348" i="1"/>
  <c r="AF1340" i="1"/>
  <c r="AF1332" i="1"/>
  <c r="AF1324" i="1"/>
  <c r="AF1316" i="1"/>
  <c r="AF1308" i="1"/>
  <c r="AF1300" i="1"/>
  <c r="AF1292" i="1"/>
  <c r="AF1284" i="1"/>
  <c r="AF1276" i="1"/>
  <c r="AF1268" i="1"/>
  <c r="AF1260" i="1"/>
  <c r="AF1252" i="1"/>
  <c r="AF1244" i="1"/>
  <c r="AF1236" i="1"/>
  <c r="AF1228" i="1"/>
  <c r="AF1220" i="1"/>
  <c r="AF1212" i="1"/>
  <c r="AF1204" i="1"/>
  <c r="AF1196" i="1"/>
  <c r="AF1188" i="1"/>
  <c r="AF1180" i="1"/>
  <c r="AF1172" i="1"/>
  <c r="AF1164" i="1"/>
  <c r="AF1156" i="1"/>
  <c r="AF1148" i="1"/>
  <c r="AF1140" i="1"/>
  <c r="AF1132" i="1"/>
  <c r="AF1124" i="1"/>
  <c r="AF1116" i="1"/>
  <c r="AF1108" i="1"/>
  <c r="AF1100" i="1"/>
  <c r="AF1795" i="1"/>
  <c r="AF1787" i="1"/>
  <c r="AF1779" i="1"/>
  <c r="AF1771" i="1"/>
  <c r="AF1763" i="1"/>
  <c r="AF1755" i="1"/>
  <c r="AF1747" i="1"/>
  <c r="AF1739" i="1"/>
  <c r="AF1731" i="1"/>
  <c r="AF1723" i="1"/>
  <c r="AF1715" i="1"/>
  <c r="AF1707" i="1"/>
  <c r="AF1699" i="1"/>
  <c r="AF1691" i="1"/>
  <c r="AF1683" i="1"/>
  <c r="AF1675" i="1"/>
  <c r="AF1667" i="1"/>
  <c r="AF1659" i="1"/>
  <c r="AF1651" i="1"/>
  <c r="AF1643" i="1"/>
  <c r="AF1635" i="1"/>
  <c r="AF1627" i="1"/>
  <c r="AF1619" i="1"/>
  <c r="AF1611" i="1"/>
  <c r="AF1603" i="1"/>
  <c r="AF1595" i="1"/>
  <c r="AF1587" i="1"/>
  <c r="AF1579" i="1"/>
  <c r="AF1571" i="1"/>
  <c r="AF1563" i="1"/>
  <c r="AF1555" i="1"/>
  <c r="AF1547" i="1"/>
  <c r="AF1539" i="1"/>
  <c r="AF1531" i="1"/>
  <c r="AF1523" i="1"/>
  <c r="AF1515" i="1"/>
  <c r="AF1507" i="1"/>
  <c r="AF1499" i="1"/>
  <c r="AF1491" i="1"/>
  <c r="AF1483" i="1"/>
  <c r="AF1475" i="1"/>
  <c r="AF1467" i="1"/>
  <c r="AF1459" i="1"/>
  <c r="AF1451" i="1"/>
  <c r="AF1443" i="1"/>
  <c r="AF1435" i="1"/>
  <c r="AF1427" i="1"/>
  <c r="AF1419" i="1"/>
  <c r="AF1411" i="1"/>
  <c r="AF1403" i="1"/>
  <c r="AF1395" i="1"/>
  <c r="AF1387" i="1"/>
  <c r="AF1379" i="1"/>
  <c r="AF1371" i="1"/>
  <c r="AF1363" i="1"/>
  <c r="AF1355" i="1"/>
  <c r="AF1347" i="1"/>
  <c r="AF1339" i="1"/>
  <c r="AF1331" i="1"/>
  <c r="AF1323" i="1"/>
  <c r="AF1315" i="1"/>
  <c r="AF1307" i="1"/>
  <c r="AF1299" i="1"/>
  <c r="AF1291" i="1"/>
  <c r="AF1283" i="1"/>
  <c r="AF1275" i="1"/>
  <c r="AF1267" i="1"/>
  <c r="AF1259" i="1"/>
  <c r="AF1251" i="1"/>
  <c r="AF1243" i="1"/>
  <c r="AF1235" i="1"/>
  <c r="AF1227" i="1"/>
  <c r="AF1219" i="1"/>
  <c r="AF1211" i="1"/>
  <c r="AF1203" i="1"/>
  <c r="AF1195" i="1"/>
  <c r="AF1187" i="1"/>
  <c r="AF1179" i="1"/>
  <c r="AF1171" i="1"/>
  <c r="AF1163" i="1"/>
  <c r="AF1155" i="1"/>
  <c r="AF1147" i="1"/>
  <c r="AF1139" i="1"/>
  <c r="AF1131" i="1"/>
  <c r="AF1123" i="1"/>
  <c r="AF1115" i="1"/>
  <c r="AF1107" i="1"/>
  <c r="AF1099" i="1"/>
  <c r="AF1091" i="1"/>
  <c r="AF1083" i="1"/>
  <c r="AF1075" i="1"/>
  <c r="AF1067" i="1"/>
  <c r="AF1059" i="1"/>
  <c r="AF1051" i="1"/>
  <c r="AF1043" i="1"/>
  <c r="AF18" i="1"/>
  <c r="AF10" i="1"/>
  <c r="AF2" i="1"/>
  <c r="AF1113" i="1"/>
  <c r="AF1105" i="1"/>
  <c r="AF1097" i="1"/>
  <c r="AF1089" i="1"/>
  <c r="AF1081" i="1"/>
  <c r="AF1073" i="1"/>
  <c r="AF1065" i="1"/>
  <c r="AF1057" i="1"/>
  <c r="AF1049" i="1"/>
  <c r="AF1041" i="1"/>
  <c r="AF1033" i="1"/>
  <c r="AF1025" i="1"/>
  <c r="AF1017" i="1"/>
  <c r="AF1009" i="1"/>
  <c r="AF1001" i="1"/>
  <c r="AF993" i="1"/>
  <c r="AF985" i="1"/>
  <c r="AF977" i="1"/>
  <c r="AF969" i="1"/>
  <c r="AF961" i="1"/>
  <c r="AF953" i="1"/>
  <c r="AF945" i="1"/>
  <c r="AF937" i="1"/>
  <c r="AF929" i="1"/>
  <c r="AF921" i="1"/>
  <c r="AF913" i="1"/>
  <c r="AF905" i="1"/>
  <c r="AF897" i="1"/>
  <c r="AF889" i="1"/>
  <c r="AF881" i="1"/>
  <c r="AF873" i="1"/>
  <c r="AF865" i="1"/>
  <c r="AF857" i="1"/>
  <c r="AF849" i="1"/>
  <c r="AF841" i="1"/>
  <c r="AF833" i="1"/>
  <c r="AF825" i="1"/>
  <c r="AF817" i="1"/>
  <c r="AF809" i="1"/>
  <c r="AF801" i="1"/>
  <c r="AF793" i="1"/>
  <c r="AF785" i="1"/>
  <c r="AF777" i="1"/>
  <c r="AF769" i="1"/>
  <c r="AF761" i="1"/>
  <c r="AF753" i="1"/>
  <c r="AF745" i="1"/>
  <c r="AF737" i="1"/>
  <c r="AF729" i="1"/>
  <c r="AF721" i="1"/>
  <c r="AF713" i="1"/>
  <c r="AF705" i="1"/>
  <c r="AF697" i="1"/>
  <c r="AF689" i="1"/>
  <c r="AF681" i="1"/>
  <c r="AF673" i="1"/>
  <c r="AF665" i="1"/>
  <c r="AF657" i="1"/>
  <c r="AF649" i="1"/>
  <c r="AF641" i="1"/>
  <c r="AF633" i="1"/>
  <c r="AF625" i="1"/>
  <c r="AF617" i="1"/>
  <c r="AF609" i="1"/>
  <c r="AF601" i="1"/>
  <c r="AF593" i="1"/>
  <c r="AF585" i="1"/>
  <c r="AF577" i="1"/>
  <c r="AF569" i="1"/>
  <c r="AF561" i="1"/>
  <c r="AF553" i="1"/>
  <c r="AF545" i="1"/>
  <c r="AF537" i="1"/>
  <c r="AF529" i="1"/>
  <c r="AF521" i="1"/>
  <c r="AF513" i="1"/>
  <c r="AF505" i="1"/>
  <c r="AF497" i="1"/>
  <c r="AF489" i="1"/>
  <c r="AF481" i="1"/>
  <c r="AF473" i="1"/>
  <c r="AF465" i="1"/>
  <c r="AF457" i="1"/>
  <c r="AF449" i="1"/>
  <c r="AF441" i="1"/>
  <c r="AF1112" i="1"/>
  <c r="AF1104" i="1"/>
  <c r="AF1096" i="1"/>
  <c r="AF1088" i="1"/>
  <c r="AF1080" i="1"/>
  <c r="AF1072" i="1"/>
  <c r="AF1064" i="1"/>
  <c r="AF1056" i="1"/>
  <c r="AF1048" i="1"/>
  <c r="AF1040" i="1"/>
  <c r="AF1032" i="1"/>
  <c r="AF1024" i="1"/>
  <c r="AF1016" i="1"/>
  <c r="AF1008" i="1"/>
  <c r="AF1000" i="1"/>
  <c r="AF992" i="1"/>
  <c r="AF984" i="1"/>
  <c r="AF976" i="1"/>
  <c r="AF968" i="1"/>
  <c r="AF960" i="1"/>
  <c r="AF952" i="1"/>
  <c r="AF944" i="1"/>
  <c r="AF936" i="1"/>
  <c r="AF928" i="1"/>
  <c r="AF920" i="1"/>
  <c r="AF912" i="1"/>
  <c r="AF904" i="1"/>
  <c r="AF896" i="1"/>
  <c r="AF888" i="1"/>
  <c r="AF880" i="1"/>
  <c r="AF872" i="1"/>
  <c r="AF864" i="1"/>
  <c r="AF856" i="1"/>
  <c r="AF848" i="1"/>
  <c r="AF840" i="1"/>
  <c r="AF832" i="1"/>
  <c r="AF824" i="1"/>
  <c r="AF816" i="1"/>
  <c r="AF808" i="1"/>
  <c r="AF800" i="1"/>
  <c r="AF792" i="1"/>
  <c r="AF784" i="1"/>
  <c r="AF776" i="1"/>
  <c r="AF768" i="1"/>
  <c r="AF760" i="1"/>
  <c r="AF752" i="1"/>
  <c r="AF744" i="1"/>
  <c r="AF736" i="1"/>
  <c r="AF728" i="1"/>
  <c r="AF720" i="1"/>
  <c r="AF712" i="1"/>
  <c r="AF704" i="1"/>
  <c r="AF696" i="1"/>
  <c r="AF688" i="1"/>
  <c r="AF680" i="1"/>
  <c r="AF672" i="1"/>
  <c r="AF664" i="1"/>
  <c r="AF656" i="1"/>
  <c r="AF648" i="1"/>
  <c r="AF640" i="1"/>
  <c r="AF632" i="1"/>
  <c r="AF624" i="1"/>
  <c r="AF616" i="1"/>
  <c r="AF608" i="1"/>
  <c r="AF600" i="1"/>
  <c r="AF592" i="1"/>
  <c r="AF584" i="1"/>
  <c r="AF576" i="1"/>
  <c r="AF568" i="1"/>
  <c r="AF560" i="1"/>
  <c r="AF552" i="1"/>
  <c r="AF544" i="1"/>
  <c r="AF536" i="1"/>
  <c r="AF528" i="1"/>
  <c r="AF520" i="1"/>
  <c r="AF512" i="1"/>
  <c r="AF504" i="1"/>
  <c r="AF496" i="1"/>
  <c r="AF488" i="1"/>
  <c r="AF480" i="1"/>
  <c r="AF472" i="1"/>
  <c r="AF464" i="1"/>
  <c r="AF456" i="1"/>
  <c r="AF975" i="1"/>
  <c r="AF967" i="1"/>
  <c r="AF959" i="1"/>
  <c r="AF951" i="1"/>
  <c r="AF943" i="1"/>
  <c r="AF935" i="1"/>
  <c r="AF927" i="1"/>
  <c r="AF919" i="1"/>
  <c r="AF911" i="1"/>
  <c r="AF903" i="1"/>
  <c r="AF895" i="1"/>
  <c r="AF887" i="1"/>
  <c r="AF879" i="1"/>
  <c r="AF871" i="1"/>
  <c r="AF863" i="1"/>
  <c r="AF855" i="1"/>
  <c r="AF847" i="1"/>
  <c r="AF839" i="1"/>
  <c r="AF831" i="1"/>
  <c r="AF823" i="1"/>
  <c r="AF815" i="1"/>
  <c r="AF807" i="1"/>
  <c r="AF799" i="1"/>
  <c r="AF791" i="1"/>
  <c r="AF783" i="1"/>
  <c r="AF775" i="1"/>
  <c r="AF767" i="1"/>
  <c r="AF759" i="1"/>
  <c r="AF751" i="1"/>
  <c r="AF743" i="1"/>
  <c r="AF735" i="1"/>
  <c r="AF727" i="1"/>
  <c r="AF719" i="1"/>
  <c r="AF711" i="1"/>
  <c r="AF703" i="1"/>
  <c r="AF695" i="1"/>
  <c r="AF687" i="1"/>
  <c r="AF679" i="1"/>
  <c r="AF671" i="1"/>
  <c r="AF663" i="1"/>
  <c r="AF655" i="1"/>
  <c r="AF647" i="1"/>
  <c r="AF639" i="1"/>
  <c r="AF631" i="1"/>
  <c r="AF623" i="1"/>
  <c r="AF615" i="1"/>
  <c r="AF607" i="1"/>
  <c r="AF599" i="1"/>
  <c r="AF591" i="1"/>
  <c r="AF583" i="1"/>
  <c r="AF575" i="1"/>
  <c r="AF567" i="1"/>
  <c r="AF559" i="1"/>
  <c r="AF551" i="1"/>
  <c r="AF543" i="1"/>
  <c r="AF535" i="1"/>
  <c r="AF527" i="1"/>
  <c r="AF519" i="1"/>
  <c r="AF511" i="1"/>
  <c r="AF503" i="1"/>
  <c r="AF495" i="1"/>
  <c r="AF487" i="1"/>
  <c r="AF479" i="1"/>
  <c r="AF471" i="1"/>
  <c r="AF463" i="1"/>
  <c r="AF455" i="1"/>
  <c r="AF447" i="1"/>
  <c r="AF439" i="1"/>
  <c r="AF431" i="1"/>
  <c r="AF423" i="1"/>
  <c r="AF415" i="1"/>
  <c r="AF407" i="1"/>
  <c r="AF399" i="1"/>
  <c r="AF391" i="1"/>
  <c r="AF1070" i="1"/>
  <c r="AF1062" i="1"/>
  <c r="AF1054" i="1"/>
  <c r="AF1046" i="1"/>
  <c r="AF1038" i="1"/>
  <c r="AF1030" i="1"/>
  <c r="AF1022" i="1"/>
  <c r="AF1014" i="1"/>
  <c r="AF1006" i="1"/>
  <c r="AF998" i="1"/>
  <c r="AF990" i="1"/>
  <c r="AF982" i="1"/>
  <c r="AF974" i="1"/>
  <c r="AF966" i="1"/>
  <c r="AF958" i="1"/>
  <c r="AF950" i="1"/>
  <c r="AF942" i="1"/>
  <c r="AF934" i="1"/>
  <c r="AF926" i="1"/>
  <c r="AF918" i="1"/>
  <c r="AF910" i="1"/>
  <c r="AF902" i="1"/>
  <c r="AF894" i="1"/>
  <c r="AF886" i="1"/>
  <c r="AF878" i="1"/>
  <c r="AF870" i="1"/>
  <c r="AF862" i="1"/>
  <c r="AF854" i="1"/>
  <c r="AF846" i="1"/>
  <c r="AF838" i="1"/>
  <c r="AF830" i="1"/>
  <c r="AF822" i="1"/>
  <c r="AF814" i="1"/>
  <c r="AF806" i="1"/>
  <c r="AF798" i="1"/>
  <c r="AF790" i="1"/>
  <c r="AF782" i="1"/>
  <c r="AF774" i="1"/>
  <c r="AF766" i="1"/>
  <c r="AF758" i="1"/>
  <c r="AF750" i="1"/>
  <c r="AF742" i="1"/>
  <c r="AF734" i="1"/>
  <c r="AF726" i="1"/>
  <c r="AF718" i="1"/>
  <c r="AF710" i="1"/>
  <c r="AF702" i="1"/>
  <c r="AF694" i="1"/>
  <c r="AF686" i="1"/>
  <c r="AF678" i="1"/>
  <c r="AF670" i="1"/>
  <c r="AF662" i="1"/>
  <c r="AF654" i="1"/>
  <c r="AF646" i="1"/>
  <c r="AF638" i="1"/>
  <c r="AF630" i="1"/>
  <c r="AF622" i="1"/>
  <c r="AF614" i="1"/>
  <c r="AF606" i="1"/>
  <c r="AF598" i="1"/>
  <c r="AF590" i="1"/>
  <c r="AF582" i="1"/>
  <c r="AF574" i="1"/>
  <c r="AF566" i="1"/>
  <c r="AF558" i="1"/>
  <c r="AF550" i="1"/>
  <c r="AF542" i="1"/>
  <c r="AF534" i="1"/>
  <c r="AF526" i="1"/>
  <c r="AF518" i="1"/>
  <c r="AF510" i="1"/>
  <c r="AF502" i="1"/>
  <c r="AF494" i="1"/>
  <c r="AF486" i="1"/>
  <c r="AF478" i="1"/>
  <c r="AF470" i="1"/>
  <c r="AF1133" i="1"/>
  <c r="AF1125" i="1"/>
  <c r="AF1117" i="1"/>
  <c r="AF1109" i="1"/>
  <c r="AF1101" i="1"/>
  <c r="AF1093" i="1"/>
  <c r="AF1085" i="1"/>
  <c r="AF1077" i="1"/>
  <c r="AF1069" i="1"/>
  <c r="AF1061" i="1"/>
  <c r="AF1053" i="1"/>
  <c r="AF1045" i="1"/>
  <c r="AF1037" i="1"/>
  <c r="AF1029" i="1"/>
  <c r="AF1021" i="1"/>
  <c r="AF1013" i="1"/>
  <c r="AF1005" i="1"/>
  <c r="AF997" i="1"/>
  <c r="AF989" i="1"/>
  <c r="AF981" i="1"/>
  <c r="AF973" i="1"/>
  <c r="AF965" i="1"/>
  <c r="AF957" i="1"/>
  <c r="AF949" i="1"/>
  <c r="AF941" i="1"/>
  <c r="AF933" i="1"/>
  <c r="AF925" i="1"/>
  <c r="AF917" i="1"/>
  <c r="AF909" i="1"/>
  <c r="AF901" i="1"/>
  <c r="AF893" i="1"/>
  <c r="AF885" i="1"/>
  <c r="AF877" i="1"/>
  <c r="AF869" i="1"/>
  <c r="AF861" i="1"/>
  <c r="AF853" i="1"/>
  <c r="AF845" i="1"/>
  <c r="AF837" i="1"/>
  <c r="AF829" i="1"/>
  <c r="AF821" i="1"/>
  <c r="AF813" i="1"/>
  <c r="AF805" i="1"/>
  <c r="AF797" i="1"/>
  <c r="AF789" i="1"/>
  <c r="AF781" i="1"/>
  <c r="AF773" i="1"/>
  <c r="AF765" i="1"/>
  <c r="AF757" i="1"/>
  <c r="AF749" i="1"/>
  <c r="AF741" i="1"/>
  <c r="AF733" i="1"/>
  <c r="AF725" i="1"/>
  <c r="AF717" i="1"/>
  <c r="AF709" i="1"/>
  <c r="AF701" i="1"/>
  <c r="AF693" i="1"/>
  <c r="AF685" i="1"/>
  <c r="AF677" i="1"/>
  <c r="AF669" i="1"/>
  <c r="AF661" i="1"/>
  <c r="AF653" i="1"/>
  <c r="AF645" i="1"/>
  <c r="AF637" i="1"/>
  <c r="AF629" i="1"/>
  <c r="AF621" i="1"/>
  <c r="AF613" i="1"/>
  <c r="AF605" i="1"/>
  <c r="AF597" i="1"/>
  <c r="AF589" i="1"/>
  <c r="AF581" i="1"/>
  <c r="AF573" i="1"/>
  <c r="AF565" i="1"/>
  <c r="AF557" i="1"/>
  <c r="AF549" i="1"/>
  <c r="AF541" i="1"/>
  <c r="AF533" i="1"/>
  <c r="AF525" i="1"/>
  <c r="AF517" i="1"/>
  <c r="AF509" i="1"/>
  <c r="AF501" i="1"/>
  <c r="AF493" i="1"/>
  <c r="AF485" i="1"/>
  <c r="AF477" i="1"/>
  <c r="AF469" i="1"/>
  <c r="AF1092" i="1"/>
  <c r="AF1084" i="1"/>
  <c r="AF1076" i="1"/>
  <c r="AF1068" i="1"/>
  <c r="AF1060" i="1"/>
  <c r="AF1052" i="1"/>
  <c r="AF1044" i="1"/>
  <c r="AF1036" i="1"/>
  <c r="AF1028" i="1"/>
  <c r="AF1020" i="1"/>
  <c r="AF1012" i="1"/>
  <c r="AF1004" i="1"/>
  <c r="AF996" i="1"/>
  <c r="AF988" i="1"/>
  <c r="AF980" i="1"/>
  <c r="AF972" i="1"/>
  <c r="AF964" i="1"/>
  <c r="AF956" i="1"/>
  <c r="AF948" i="1"/>
  <c r="AF940" i="1"/>
  <c r="AF932" i="1"/>
  <c r="AF924" i="1"/>
  <c r="AF916" i="1"/>
  <c r="AF908" i="1"/>
  <c r="AF900" i="1"/>
  <c r="AF892" i="1"/>
  <c r="AF884" i="1"/>
  <c r="AF876" i="1"/>
  <c r="AF868" i="1"/>
  <c r="AF860" i="1"/>
  <c r="AF852" i="1"/>
  <c r="AF844" i="1"/>
  <c r="AF836" i="1"/>
  <c r="AF828" i="1"/>
  <c r="AF820" i="1"/>
  <c r="AF812" i="1"/>
  <c r="AF804" i="1"/>
  <c r="AF796" i="1"/>
  <c r="AF788" i="1"/>
  <c r="AF780" i="1"/>
  <c r="AF772" i="1"/>
  <c r="AF764" i="1"/>
  <c r="AF756" i="1"/>
  <c r="AF748" i="1"/>
  <c r="AF740" i="1"/>
  <c r="AF732" i="1"/>
  <c r="AF724" i="1"/>
  <c r="AF716" i="1"/>
  <c r="AF708" i="1"/>
  <c r="AF700" i="1"/>
  <c r="AF692" i="1"/>
  <c r="AF684" i="1"/>
  <c r="AF676" i="1"/>
  <c r="AF668" i="1"/>
  <c r="AF660" i="1"/>
  <c r="AF652" i="1"/>
  <c r="AF644" i="1"/>
  <c r="AF636" i="1"/>
  <c r="AF628" i="1"/>
  <c r="AF620" i="1"/>
  <c r="AF612" i="1"/>
  <c r="AF604" i="1"/>
  <c r="AF596" i="1"/>
  <c r="AF588" i="1"/>
  <c r="AF580" i="1"/>
  <c r="AF572" i="1"/>
  <c r="AF564" i="1"/>
  <c r="AF556" i="1"/>
  <c r="AF548" i="1"/>
  <c r="AF540" i="1"/>
  <c r="AF532" i="1"/>
  <c r="AF524" i="1"/>
  <c r="AF516" i="1"/>
  <c r="AF508" i="1"/>
  <c r="AF500" i="1"/>
  <c r="AF492" i="1"/>
  <c r="AF484" i="1"/>
  <c r="AF476" i="1"/>
  <c r="AF468" i="1"/>
  <c r="AF460" i="1"/>
  <c r="AF452" i="1"/>
  <c r="AF444" i="1"/>
  <c r="AF436" i="1"/>
  <c r="AF316" i="1"/>
  <c r="AF1035" i="1"/>
  <c r="AF1027" i="1"/>
  <c r="AF1019" i="1"/>
  <c r="AF1011" i="1"/>
  <c r="AF1003" i="1"/>
  <c r="AF995" i="1"/>
  <c r="AF987" i="1"/>
  <c r="AF979" i="1"/>
  <c r="AF971" i="1"/>
  <c r="AF963" i="1"/>
  <c r="AF955" i="1"/>
  <c r="AF947" i="1"/>
  <c r="AF939" i="1"/>
  <c r="AF931" i="1"/>
  <c r="AF923" i="1"/>
  <c r="AF915" i="1"/>
  <c r="AF907" i="1"/>
  <c r="AF899" i="1"/>
  <c r="AF891" i="1"/>
  <c r="AF883" i="1"/>
  <c r="AF875" i="1"/>
  <c r="AF867" i="1"/>
  <c r="AF859" i="1"/>
  <c r="AF851" i="1"/>
  <c r="AF843" i="1"/>
  <c r="AF835" i="1"/>
  <c r="AF827" i="1"/>
  <c r="AF819" i="1"/>
  <c r="AF811" i="1"/>
  <c r="AF803" i="1"/>
  <c r="AF795" i="1"/>
  <c r="AF787" i="1"/>
  <c r="AF779" i="1"/>
  <c r="AF771" i="1"/>
  <c r="AF763" i="1"/>
  <c r="AF755" i="1"/>
  <c r="AF747" i="1"/>
  <c r="AF739" i="1"/>
  <c r="AF731" i="1"/>
  <c r="AF723" i="1"/>
  <c r="AF715" i="1"/>
  <c r="AF707" i="1"/>
  <c r="AF699" i="1"/>
  <c r="AF691" i="1"/>
  <c r="AF683" i="1"/>
  <c r="AF675" i="1"/>
  <c r="AF667" i="1"/>
  <c r="AF659" i="1"/>
  <c r="AF651" i="1"/>
  <c r="AF643" i="1"/>
  <c r="AF635" i="1"/>
  <c r="AF627" i="1"/>
  <c r="AF619" i="1"/>
  <c r="AF611" i="1"/>
  <c r="AF603" i="1"/>
  <c r="AF595" i="1"/>
  <c r="AF587" i="1"/>
  <c r="AF579" i="1"/>
  <c r="AF571" i="1"/>
  <c r="AF563" i="1"/>
  <c r="AF555" i="1"/>
  <c r="AF547" i="1"/>
  <c r="AF539" i="1"/>
  <c r="AF531" i="1"/>
  <c r="AF523" i="1"/>
  <c r="AF515" i="1"/>
  <c r="AF507" i="1"/>
  <c r="AF499" i="1"/>
  <c r="AF491" i="1"/>
  <c r="AF483" i="1"/>
  <c r="AF475" i="1"/>
  <c r="AF467" i="1"/>
  <c r="AF459" i="1"/>
  <c r="AF451" i="1"/>
  <c r="AF443" i="1"/>
  <c r="AF435" i="1"/>
  <c r="AF427" i="1"/>
  <c r="AF419" i="1"/>
  <c r="AF411" i="1"/>
  <c r="AF403" i="1"/>
  <c r="AF395" i="1"/>
  <c r="AF387" i="1"/>
  <c r="AF379" i="1"/>
  <c r="AF371" i="1"/>
  <c r="AF363" i="1"/>
  <c r="AF355" i="1"/>
  <c r="AF347" i="1"/>
  <c r="AF339" i="1"/>
  <c r="AF331" i="1"/>
  <c r="AF323" i="1"/>
  <c r="AF315" i="1"/>
  <c r="AF307" i="1"/>
  <c r="AF299" i="1"/>
  <c r="AF291" i="1"/>
  <c r="AF283" i="1"/>
  <c r="AF275" i="1"/>
  <c r="AF267" i="1"/>
  <c r="AF259" i="1"/>
  <c r="AF251" i="1"/>
  <c r="AF243" i="1"/>
  <c r="AF235" i="1"/>
  <c r="AF227" i="1"/>
  <c r="AF219" i="1"/>
  <c r="AF211" i="1"/>
  <c r="AF203" i="1"/>
  <c r="AF195" i="1"/>
  <c r="AF187" i="1"/>
  <c r="AF179" i="1"/>
  <c r="AF171" i="1"/>
  <c r="AF163" i="1"/>
  <c r="AF155" i="1"/>
  <c r="AF147" i="1"/>
  <c r="AF139" i="1"/>
  <c r="AF131" i="1"/>
  <c r="AF123" i="1"/>
  <c r="AF115" i="1"/>
  <c r="AF107" i="1"/>
  <c r="AF99" i="1"/>
  <c r="AF91" i="1"/>
  <c r="AF83" i="1"/>
  <c r="AF75" i="1"/>
  <c r="AF67" i="1"/>
  <c r="AF59" i="1"/>
  <c r="AF51" i="1"/>
  <c r="AF43" i="1"/>
  <c r="AF35" i="1"/>
  <c r="AF27" i="1"/>
  <c r="AF19" i="1"/>
  <c r="AF11" i="1"/>
  <c r="AF3" i="1"/>
  <c r="AF433" i="1"/>
  <c r="AF425" i="1"/>
  <c r="AF417" i="1"/>
  <c r="AF409" i="1"/>
  <c r="AF401" i="1"/>
  <c r="AF393" i="1"/>
  <c r="AF385" i="1"/>
  <c r="AF377" i="1"/>
  <c r="AF369" i="1"/>
  <c r="AF361" i="1"/>
  <c r="AF353" i="1"/>
  <c r="AF345" i="1"/>
  <c r="AF337" i="1"/>
  <c r="AF329" i="1"/>
  <c r="AF321" i="1"/>
  <c r="AF313" i="1"/>
  <c r="AF305" i="1"/>
  <c r="AF297" i="1"/>
  <c r="AF289" i="1"/>
  <c r="AF281" i="1"/>
  <c r="AF273" i="1"/>
  <c r="AF265" i="1"/>
  <c r="AF257" i="1"/>
  <c r="AF249" i="1"/>
  <c r="AF241" i="1"/>
  <c r="AF233" i="1"/>
  <c r="AF225" i="1"/>
  <c r="AF217" i="1"/>
  <c r="AF209" i="1"/>
  <c r="AF201" i="1"/>
  <c r="AF193" i="1"/>
  <c r="AF185" i="1"/>
  <c r="AF177" i="1"/>
  <c r="AF169" i="1"/>
  <c r="AF161" i="1"/>
  <c r="AF153" i="1"/>
  <c r="AF145" i="1"/>
  <c r="AF137" i="1"/>
  <c r="AF129" i="1"/>
  <c r="AF121" i="1"/>
  <c r="AF113" i="1"/>
  <c r="AF105" i="1"/>
  <c r="AF97" i="1"/>
  <c r="AF89" i="1"/>
  <c r="AF81" i="1"/>
  <c r="AF73" i="1"/>
  <c r="AF65" i="1"/>
  <c r="AF57" i="1"/>
  <c r="AF49" i="1"/>
  <c r="AF41" i="1"/>
  <c r="AF33" i="1"/>
  <c r="AF25" i="1"/>
  <c r="AF17" i="1"/>
  <c r="AF9" i="1"/>
  <c r="AF448" i="1"/>
  <c r="AF440" i="1"/>
  <c r="AF432" i="1"/>
  <c r="AF424" i="1"/>
  <c r="AF416" i="1"/>
  <c r="AF408" i="1"/>
  <c r="AF400" i="1"/>
  <c r="AF392" i="1"/>
  <c r="AF384" i="1"/>
  <c r="AF376" i="1"/>
  <c r="AF368" i="1"/>
  <c r="AF360" i="1"/>
  <c r="AF352" i="1"/>
  <c r="AF344" i="1"/>
  <c r="AF336" i="1"/>
  <c r="AF328" i="1"/>
  <c r="AF320" i="1"/>
  <c r="AF312" i="1"/>
  <c r="AF304" i="1"/>
  <c r="AF296" i="1"/>
  <c r="AF288" i="1"/>
  <c r="AF280" i="1"/>
  <c r="AF272" i="1"/>
  <c r="AF264" i="1"/>
  <c r="AF256" i="1"/>
  <c r="AF248" i="1"/>
  <c r="AF240" i="1"/>
  <c r="AF232" i="1"/>
  <c r="AF224" i="1"/>
  <c r="AF216" i="1"/>
  <c r="AF208" i="1"/>
  <c r="AF200" i="1"/>
  <c r="AF192" i="1"/>
  <c r="AF184" i="1"/>
  <c r="AF176" i="1"/>
  <c r="AF168" i="1"/>
  <c r="AF160" i="1"/>
  <c r="AF152" i="1"/>
  <c r="AF144" i="1"/>
  <c r="AF136" i="1"/>
  <c r="AF128" i="1"/>
  <c r="AF120" i="1"/>
  <c r="AF112" i="1"/>
  <c r="AF104" i="1"/>
  <c r="AF96" i="1"/>
  <c r="AF88" i="1"/>
  <c r="AF80" i="1"/>
  <c r="AF72" i="1"/>
  <c r="AF64" i="1"/>
  <c r="AF56" i="1"/>
  <c r="AF48" i="1"/>
  <c r="AF40" i="1"/>
  <c r="AF32" i="1"/>
  <c r="AF24" i="1"/>
  <c r="AF16" i="1"/>
  <c r="AF8" i="1"/>
  <c r="AF383" i="1"/>
  <c r="AF375" i="1"/>
  <c r="AF367" i="1"/>
  <c r="AF359" i="1"/>
  <c r="AF351" i="1"/>
  <c r="AF343" i="1"/>
  <c r="AF335" i="1"/>
  <c r="AF327" i="1"/>
  <c r="AF319" i="1"/>
  <c r="AF311" i="1"/>
  <c r="AF303" i="1"/>
  <c r="AF295" i="1"/>
  <c r="AF287" i="1"/>
  <c r="AF279" i="1"/>
  <c r="AF271" i="1"/>
  <c r="AF263" i="1"/>
  <c r="AF255" i="1"/>
  <c r="AF247" i="1"/>
  <c r="AF239" i="1"/>
  <c r="AF231" i="1"/>
  <c r="AF223" i="1"/>
  <c r="AF215" i="1"/>
  <c r="AF207" i="1"/>
  <c r="AF199" i="1"/>
  <c r="AF191" i="1"/>
  <c r="AF183" i="1"/>
  <c r="AF175" i="1"/>
  <c r="AF167" i="1"/>
  <c r="AF159" i="1"/>
  <c r="AF151" i="1"/>
  <c r="AF143" i="1"/>
  <c r="AF135" i="1"/>
  <c r="AF127" i="1"/>
  <c r="AF119" i="1"/>
  <c r="AF111" i="1"/>
  <c r="AF103" i="1"/>
  <c r="AF95" i="1"/>
  <c r="AF87" i="1"/>
  <c r="AF79" i="1"/>
  <c r="AF71" i="1"/>
  <c r="AF63" i="1"/>
  <c r="AF55" i="1"/>
  <c r="AF47" i="1"/>
  <c r="AF39" i="1"/>
  <c r="AF31" i="1"/>
  <c r="AF23" i="1"/>
  <c r="AF15" i="1"/>
  <c r="AF7" i="1"/>
  <c r="AF462" i="1"/>
  <c r="AF454" i="1"/>
  <c r="AF446" i="1"/>
  <c r="AF438" i="1"/>
  <c r="AF430" i="1"/>
  <c r="AF422" i="1"/>
  <c r="AF414" i="1"/>
  <c r="AF406" i="1"/>
  <c r="AF398" i="1"/>
  <c r="AF390" i="1"/>
  <c r="AF382" i="1"/>
  <c r="AF374" i="1"/>
  <c r="AF366" i="1"/>
  <c r="AF358" i="1"/>
  <c r="AF350" i="1"/>
  <c r="AF342" i="1"/>
  <c r="AF334" i="1"/>
  <c r="AF326" i="1"/>
  <c r="AF318" i="1"/>
  <c r="AF310" i="1"/>
  <c r="AF302" i="1"/>
  <c r="AF294" i="1"/>
  <c r="AF286" i="1"/>
  <c r="AF278" i="1"/>
  <c r="AF270" i="1"/>
  <c r="AF262" i="1"/>
  <c r="AF254" i="1"/>
  <c r="AF246" i="1"/>
  <c r="AF238" i="1"/>
  <c r="AF230" i="1"/>
  <c r="AF222" i="1"/>
  <c r="AF214" i="1"/>
  <c r="AF206" i="1"/>
  <c r="AF198" i="1"/>
  <c r="AF190" i="1"/>
  <c r="AF182" i="1"/>
  <c r="AF174" i="1"/>
  <c r="AF166" i="1"/>
  <c r="AF158" i="1"/>
  <c r="AF150" i="1"/>
  <c r="AF142" i="1"/>
  <c r="AF134" i="1"/>
  <c r="AF126" i="1"/>
  <c r="AF118" i="1"/>
  <c r="AF110" i="1"/>
  <c r="AF102" i="1"/>
  <c r="AF94" i="1"/>
  <c r="AF86" i="1"/>
  <c r="AF78" i="1"/>
  <c r="AF70" i="1"/>
  <c r="AF62" i="1"/>
  <c r="AF54" i="1"/>
  <c r="AF46" i="1"/>
  <c r="AF38" i="1"/>
  <c r="AF30" i="1"/>
  <c r="AF22" i="1"/>
  <c r="AF14" i="1"/>
  <c r="AF6" i="1"/>
  <c r="AF461" i="1"/>
  <c r="AF453" i="1"/>
  <c r="AF445" i="1"/>
  <c r="AF437" i="1"/>
  <c r="AF429" i="1"/>
  <c r="AF421" i="1"/>
  <c r="AF413" i="1"/>
  <c r="AF405" i="1"/>
  <c r="AF397" i="1"/>
  <c r="AF389" i="1"/>
  <c r="AF381" i="1"/>
  <c r="AF373" i="1"/>
  <c r="AF365" i="1"/>
  <c r="AF357" i="1"/>
  <c r="AF349" i="1"/>
  <c r="AF341" i="1"/>
  <c r="AF333" i="1"/>
  <c r="AF325" i="1"/>
  <c r="AF317" i="1"/>
  <c r="AF309" i="1"/>
  <c r="AF301" i="1"/>
  <c r="AF293" i="1"/>
  <c r="AF285" i="1"/>
  <c r="AF277" i="1"/>
  <c r="AF269" i="1"/>
  <c r="AF261" i="1"/>
  <c r="AF253" i="1"/>
  <c r="AF245" i="1"/>
  <c r="AF237" i="1"/>
  <c r="AF229" i="1"/>
  <c r="AF221" i="1"/>
  <c r="AF213" i="1"/>
  <c r="AF205" i="1"/>
  <c r="AF197" i="1"/>
  <c r="AF189" i="1"/>
  <c r="AF181" i="1"/>
  <c r="AF173" i="1"/>
  <c r="AF165" i="1"/>
  <c r="AF157" i="1"/>
  <c r="AF149" i="1"/>
  <c r="AF141" i="1"/>
  <c r="AF133" i="1"/>
  <c r="AF125" i="1"/>
  <c r="AF117" i="1"/>
  <c r="AF109" i="1"/>
  <c r="AF101" i="1"/>
  <c r="AF93" i="1"/>
  <c r="AF85" i="1"/>
  <c r="AF77" i="1"/>
  <c r="AF69" i="1"/>
  <c r="AF61" i="1"/>
  <c r="AF53" i="1"/>
  <c r="AF45" i="1"/>
  <c r="AF37" i="1"/>
  <c r="AF29" i="1"/>
  <c r="AF21" i="1"/>
  <c r="AF13" i="1"/>
  <c r="AF5" i="1"/>
  <c r="AF428" i="1"/>
  <c r="AF420" i="1"/>
  <c r="AF412" i="1"/>
  <c r="AF404" i="1"/>
  <c r="AF396" i="1"/>
  <c r="AF388" i="1"/>
  <c r="AF380" i="1"/>
  <c r="AF372" i="1"/>
  <c r="AF364" i="1"/>
  <c r="AF356" i="1"/>
  <c r="AF348" i="1"/>
  <c r="AF340" i="1"/>
  <c r="AF332" i="1"/>
  <c r="AF324" i="1"/>
  <c r="AF308" i="1"/>
  <c r="AF300" i="1"/>
  <c r="AF292" i="1"/>
  <c r="AF284" i="1"/>
  <c r="AF276" i="1"/>
  <c r="AF268" i="1"/>
  <c r="AF260" i="1"/>
  <c r="AF252" i="1"/>
  <c r="AF244" i="1"/>
  <c r="AF236" i="1"/>
  <c r="AF228" i="1"/>
  <c r="AF220" i="1"/>
  <c r="AF212" i="1"/>
  <c r="AF204" i="1"/>
  <c r="AF196" i="1"/>
  <c r="AF188" i="1"/>
  <c r="AF180" i="1"/>
  <c r="AF172" i="1"/>
  <c r="AF164" i="1"/>
  <c r="AF156" i="1"/>
  <c r="AF148" i="1"/>
  <c r="AF140" i="1"/>
  <c r="AF132" i="1"/>
  <c r="AF124" i="1"/>
  <c r="AF116" i="1"/>
  <c r="AF108" i="1"/>
  <c r="AF100" i="1"/>
  <c r="AF92" i="1"/>
  <c r="AF84" i="1"/>
  <c r="AF76" i="1"/>
  <c r="AF68" i="1"/>
  <c r="AF60" i="1"/>
  <c r="AF52" i="1"/>
  <c r="AF44" i="1"/>
  <c r="AF36" i="1"/>
  <c r="AF28" i="1"/>
  <c r="AF20" i="1"/>
  <c r="AF12" i="1"/>
  <c r="AF4" i="1"/>
</calcChain>
</file>

<file path=xl/sharedStrings.xml><?xml version="1.0" encoding="utf-8"?>
<sst xmlns="http://schemas.openxmlformats.org/spreadsheetml/2006/main" count="20093" uniqueCount="5164">
  <si>
    <t>Loan_ID</t>
  </si>
  <si>
    <t>Customer_ID</t>
  </si>
  <si>
    <t>Age</t>
  </si>
  <si>
    <t>Gender</t>
  </si>
  <si>
    <t>Marital_Status</t>
  </si>
  <si>
    <t>Employment_Status</t>
  </si>
  <si>
    <t>Annual_Income</t>
  </si>
  <si>
    <t>Credit_Score</t>
  </si>
  <si>
    <t>Loan_Amount</t>
  </si>
  <si>
    <t>Interest_Rate</t>
  </si>
  <si>
    <t>Loan_Term_Months</t>
  </si>
  <si>
    <t>Loan_Type</t>
  </si>
  <si>
    <t>Debt_To_Income</t>
  </si>
  <si>
    <t>Existing_Debt</t>
  </si>
  <si>
    <t>Collateral_Value</t>
  </si>
  <si>
    <t>Application_Date</t>
  </si>
  <si>
    <t>Approval_Status</t>
  </si>
  <si>
    <t>Default_Status</t>
  </si>
  <si>
    <t>Region</t>
  </si>
  <si>
    <t>Monthly_Installment</t>
  </si>
  <si>
    <t>LN00001</t>
  </si>
  <si>
    <t>CUST00001</t>
  </si>
  <si>
    <t>Male</t>
  </si>
  <si>
    <t>Single</t>
  </si>
  <si>
    <t>Unemployed</t>
  </si>
  <si>
    <t>Auto</t>
  </si>
  <si>
    <t>2024-04-04</t>
  </si>
  <si>
    <t>Pending</t>
  </si>
  <si>
    <t>No</t>
  </si>
  <si>
    <t>South</t>
  </si>
  <si>
    <t>LN00002</t>
  </si>
  <si>
    <t>CUST00002</t>
  </si>
  <si>
    <t>Married</t>
  </si>
  <si>
    <t>Personal</t>
  </si>
  <si>
    <t>2025-09-28</t>
  </si>
  <si>
    <t>Central</t>
  </si>
  <si>
    <t>LN00003</t>
  </si>
  <si>
    <t>CUST00003</t>
  </si>
  <si>
    <t>Female</t>
  </si>
  <si>
    <t>Divorced</t>
  </si>
  <si>
    <t>Mortgage</t>
  </si>
  <si>
    <t>2022-11-29</t>
  </si>
  <si>
    <t>Approved</t>
  </si>
  <si>
    <t>West</t>
  </si>
  <si>
    <t>LN00004</t>
  </si>
  <si>
    <t>CUST00004</t>
  </si>
  <si>
    <t>Employed</t>
  </si>
  <si>
    <t>2022-04-26</t>
  </si>
  <si>
    <t>Yes</t>
  </si>
  <si>
    <t>East</t>
  </si>
  <si>
    <t>LN00005</t>
  </si>
  <si>
    <t>CUST00005</t>
  </si>
  <si>
    <t>Education</t>
  </si>
  <si>
    <t>2024-02-08</t>
  </si>
  <si>
    <t>LN00006</t>
  </si>
  <si>
    <t>CUST00006</t>
  </si>
  <si>
    <t>2023-12-12</t>
  </si>
  <si>
    <t>LN00007</t>
  </si>
  <si>
    <t>CUST00007</t>
  </si>
  <si>
    <t>Self-Employed</t>
  </si>
  <si>
    <t>2024-12-03</t>
  </si>
  <si>
    <t>Rejected</t>
  </si>
  <si>
    <t>LN00008</t>
  </si>
  <si>
    <t>CUST00008</t>
  </si>
  <si>
    <t>2022-08-03</t>
  </si>
  <si>
    <t>LN00009</t>
  </si>
  <si>
    <t>CUST00009</t>
  </si>
  <si>
    <t>2022-06-26</t>
  </si>
  <si>
    <t>North</t>
  </si>
  <si>
    <t>LN00010</t>
  </si>
  <si>
    <t>CUST00010</t>
  </si>
  <si>
    <t>2023-02-05</t>
  </si>
  <si>
    <t>LN00011</t>
  </si>
  <si>
    <t>CUST00011</t>
  </si>
  <si>
    <t>2022-01-04</t>
  </si>
  <si>
    <t>LN00012</t>
  </si>
  <si>
    <t>CUST00012</t>
  </si>
  <si>
    <t>2025-04-27</t>
  </si>
  <si>
    <t>LN00013</t>
  </si>
  <si>
    <t>CUST00013</t>
  </si>
  <si>
    <t>2025-02-28</t>
  </si>
  <si>
    <t>LN00014</t>
  </si>
  <si>
    <t>CUST00014</t>
  </si>
  <si>
    <t>2022-03-08</t>
  </si>
  <si>
    <t>LN00015</t>
  </si>
  <si>
    <t>CUST00015</t>
  </si>
  <si>
    <t>Business</t>
  </si>
  <si>
    <t>2025-05-08</t>
  </si>
  <si>
    <t>LN00016</t>
  </si>
  <si>
    <t>CUST00016</t>
  </si>
  <si>
    <t>2023-11-10</t>
  </si>
  <si>
    <t>LN00017</t>
  </si>
  <si>
    <t>CUST00017</t>
  </si>
  <si>
    <t>2023-09-05</t>
  </si>
  <si>
    <t>LN00018</t>
  </si>
  <si>
    <t>CUST00018</t>
  </si>
  <si>
    <t>2025-07-17</t>
  </si>
  <si>
    <t>LN00019</t>
  </si>
  <si>
    <t>CUST00019</t>
  </si>
  <si>
    <t>2022-04-25</t>
  </si>
  <si>
    <t>LN00020</t>
  </si>
  <si>
    <t>CUST00020</t>
  </si>
  <si>
    <t>2024-12-16</t>
  </si>
  <si>
    <t>LN00021</t>
  </si>
  <si>
    <t>CUST00021</t>
  </si>
  <si>
    <t>2025-01-15</t>
  </si>
  <si>
    <t>LN00022</t>
  </si>
  <si>
    <t>CUST00022</t>
  </si>
  <si>
    <t>2022-01-30</t>
  </si>
  <si>
    <t>LN00023</t>
  </si>
  <si>
    <t>CUST00023</t>
  </si>
  <si>
    <t>2024-11-28</t>
  </si>
  <si>
    <t>LN00024</t>
  </si>
  <si>
    <t>CUST00024</t>
  </si>
  <si>
    <t>2022-09-27</t>
  </si>
  <si>
    <t>LN00025</t>
  </si>
  <si>
    <t>CUST00025</t>
  </si>
  <si>
    <t>2023-08-18</t>
  </si>
  <si>
    <t>LN00026</t>
  </si>
  <si>
    <t>CUST00026</t>
  </si>
  <si>
    <t>2025-11-24</t>
  </si>
  <si>
    <t>LN00027</t>
  </si>
  <si>
    <t>CUST00027</t>
  </si>
  <si>
    <t>2023-12-30</t>
  </si>
  <si>
    <t>LN00028</t>
  </si>
  <si>
    <t>CUST00028</t>
  </si>
  <si>
    <t>2023-12-28</t>
  </si>
  <si>
    <t>LN00029</t>
  </si>
  <si>
    <t>CUST00029</t>
  </si>
  <si>
    <t>2023-07-14</t>
  </si>
  <si>
    <t>LN00030</t>
  </si>
  <si>
    <t>CUST00030</t>
  </si>
  <si>
    <t>2022-12-13</t>
  </si>
  <si>
    <t>LN00031</t>
  </si>
  <si>
    <t>CUST00031</t>
  </si>
  <si>
    <t>2023-03-07</t>
  </si>
  <si>
    <t>LN00032</t>
  </si>
  <si>
    <t>CUST00032</t>
  </si>
  <si>
    <t>2022-02-24</t>
  </si>
  <si>
    <t>LN00033</t>
  </si>
  <si>
    <t>CUST00033</t>
  </si>
  <si>
    <t>2025-12-27</t>
  </si>
  <si>
    <t>LN00034</t>
  </si>
  <si>
    <t>CUST00034</t>
  </si>
  <si>
    <t>2022-12-15</t>
  </si>
  <si>
    <t>LN00035</t>
  </si>
  <si>
    <t>CUST00035</t>
  </si>
  <si>
    <t>2022-07-20</t>
  </si>
  <si>
    <t>LN00036</t>
  </si>
  <si>
    <t>CUST00036</t>
  </si>
  <si>
    <t>2022-10-19</t>
  </si>
  <si>
    <t>LN00037</t>
  </si>
  <si>
    <t>CUST00037</t>
  </si>
  <si>
    <t>2025-09-26</t>
  </si>
  <si>
    <t>LN00038</t>
  </si>
  <si>
    <t>CUST00038</t>
  </si>
  <si>
    <t>2024-03-02</t>
  </si>
  <si>
    <t>LN00039</t>
  </si>
  <si>
    <t>CUST00039</t>
  </si>
  <si>
    <t>2023-09-13</t>
  </si>
  <si>
    <t>LN00040</t>
  </si>
  <si>
    <t>CUST00040</t>
  </si>
  <si>
    <t>2023-10-18</t>
  </si>
  <si>
    <t>LN00041</t>
  </si>
  <si>
    <t>CUST00041</t>
  </si>
  <si>
    <t>2024-03-13</t>
  </si>
  <si>
    <t>LN00042</t>
  </si>
  <si>
    <t>CUST00042</t>
  </si>
  <si>
    <t>2022-09-05</t>
  </si>
  <si>
    <t>LN00043</t>
  </si>
  <si>
    <t>CUST00043</t>
  </si>
  <si>
    <t>2023-01-27</t>
  </si>
  <si>
    <t>LN00044</t>
  </si>
  <si>
    <t>CUST00044</t>
  </si>
  <si>
    <t>2023-03-22</t>
  </si>
  <si>
    <t>LN00045</t>
  </si>
  <si>
    <t>CUST00045</t>
  </si>
  <si>
    <t>2023-01-29</t>
  </si>
  <si>
    <t>LN00046</t>
  </si>
  <si>
    <t>CUST00046</t>
  </si>
  <si>
    <t>2025-06-29</t>
  </si>
  <si>
    <t>LN00047</t>
  </si>
  <si>
    <t>CUST00047</t>
  </si>
  <si>
    <t>LN00048</t>
  </si>
  <si>
    <t>CUST00048</t>
  </si>
  <si>
    <t>2022-01-18</t>
  </si>
  <si>
    <t>LN00049</t>
  </si>
  <si>
    <t>CUST00049</t>
  </si>
  <si>
    <t>2023-05-03</t>
  </si>
  <si>
    <t>LN00050</t>
  </si>
  <si>
    <t>CUST00050</t>
  </si>
  <si>
    <t>2024-01-12</t>
  </si>
  <si>
    <t>LN00051</t>
  </si>
  <si>
    <t>CUST00051</t>
  </si>
  <si>
    <t>2023-08-02</t>
  </si>
  <si>
    <t>LN00052</t>
  </si>
  <si>
    <t>CUST00052</t>
  </si>
  <si>
    <t>2024-12-30</t>
  </si>
  <si>
    <t>LN00053</t>
  </si>
  <si>
    <t>CUST00053</t>
  </si>
  <si>
    <t>2024-06-17</t>
  </si>
  <si>
    <t>LN00054</t>
  </si>
  <si>
    <t>CUST00054</t>
  </si>
  <si>
    <t>2023-10-13</t>
  </si>
  <si>
    <t>LN00055</t>
  </si>
  <si>
    <t>CUST00055</t>
  </si>
  <si>
    <t>2022-09-30</t>
  </si>
  <si>
    <t>LN00056</t>
  </si>
  <si>
    <t>CUST00056</t>
  </si>
  <si>
    <t>2022-02-27</t>
  </si>
  <si>
    <t>LN00057</t>
  </si>
  <si>
    <t>CUST00057</t>
  </si>
  <si>
    <t>2024-12-01</t>
  </si>
  <si>
    <t>LN00058</t>
  </si>
  <si>
    <t>CUST00058</t>
  </si>
  <si>
    <t>2022-08-20</t>
  </si>
  <si>
    <t>LN00059</t>
  </si>
  <si>
    <t>CUST00059</t>
  </si>
  <si>
    <t>2022-05-19</t>
  </si>
  <si>
    <t>LN00060</t>
  </si>
  <si>
    <t>CUST00060</t>
  </si>
  <si>
    <t>2022-05-21</t>
  </si>
  <si>
    <t>LN00061</t>
  </si>
  <si>
    <t>CUST00061</t>
  </si>
  <si>
    <t>2025-04-21</t>
  </si>
  <si>
    <t>LN00062</t>
  </si>
  <si>
    <t>CUST00062</t>
  </si>
  <si>
    <t>2022-07-05</t>
  </si>
  <si>
    <t>LN00063</t>
  </si>
  <si>
    <t>CUST00063</t>
  </si>
  <si>
    <t>2024-02-07</t>
  </si>
  <si>
    <t>LN00064</t>
  </si>
  <si>
    <t>CUST00064</t>
  </si>
  <si>
    <t>2023-02-10</t>
  </si>
  <si>
    <t>LN00065</t>
  </si>
  <si>
    <t>CUST00065</t>
  </si>
  <si>
    <t>2025-08-27</t>
  </si>
  <si>
    <t>LN00066</t>
  </si>
  <si>
    <t>CUST00066</t>
  </si>
  <si>
    <t>2025-03-27</t>
  </si>
  <si>
    <t>LN00067</t>
  </si>
  <si>
    <t>CUST00067</t>
  </si>
  <si>
    <t>2022-01-21</t>
  </si>
  <si>
    <t>LN00068</t>
  </si>
  <si>
    <t>CUST00068</t>
  </si>
  <si>
    <t>2023-10-10</t>
  </si>
  <si>
    <t>LN00069</t>
  </si>
  <si>
    <t>CUST00069</t>
  </si>
  <si>
    <t>2023-06-09</t>
  </si>
  <si>
    <t>LN00070</t>
  </si>
  <si>
    <t>CUST00070</t>
  </si>
  <si>
    <t>2025-03-30</t>
  </si>
  <si>
    <t>LN00071</t>
  </si>
  <si>
    <t>CUST00071</t>
  </si>
  <si>
    <t>2023-06-19</t>
  </si>
  <si>
    <t>LN00072</t>
  </si>
  <si>
    <t>CUST00072</t>
  </si>
  <si>
    <t>2025-09-29</t>
  </si>
  <si>
    <t>LN00073</t>
  </si>
  <si>
    <t>CUST00073</t>
  </si>
  <si>
    <t>2024-10-03</t>
  </si>
  <si>
    <t>LN00074</t>
  </si>
  <si>
    <t>CUST00074</t>
  </si>
  <si>
    <t>2024-12-31</t>
  </si>
  <si>
    <t>LN00075</t>
  </si>
  <si>
    <t>CUST00075</t>
  </si>
  <si>
    <t>2025-05-03</t>
  </si>
  <si>
    <t>LN00076</t>
  </si>
  <si>
    <t>CUST00076</t>
  </si>
  <si>
    <t>2025-06-19</t>
  </si>
  <si>
    <t>LN00077</t>
  </si>
  <si>
    <t>CUST00077</t>
  </si>
  <si>
    <t>2025-05-06</t>
  </si>
  <si>
    <t>LN00078</t>
  </si>
  <si>
    <t>CUST00078</t>
  </si>
  <si>
    <t>2022-04-03</t>
  </si>
  <si>
    <t>LN00079</t>
  </si>
  <si>
    <t>CUST00079</t>
  </si>
  <si>
    <t>2023-07-03</t>
  </si>
  <si>
    <t>LN00080</t>
  </si>
  <si>
    <t>CUST00080</t>
  </si>
  <si>
    <t>2024-02-27</t>
  </si>
  <si>
    <t>LN00081</t>
  </si>
  <si>
    <t>CUST00081</t>
  </si>
  <si>
    <t>2022-08-18</t>
  </si>
  <si>
    <t>LN00082</t>
  </si>
  <si>
    <t>CUST00082</t>
  </si>
  <si>
    <t>2022-11-12</t>
  </si>
  <si>
    <t>LN00083</t>
  </si>
  <si>
    <t>CUST00083</t>
  </si>
  <si>
    <t>2022-03-22</t>
  </si>
  <si>
    <t>LN00084</t>
  </si>
  <si>
    <t>CUST00084</t>
  </si>
  <si>
    <t>2023-06-17</t>
  </si>
  <si>
    <t>LN00085</t>
  </si>
  <si>
    <t>CUST00085</t>
  </si>
  <si>
    <t>2024-10-01</t>
  </si>
  <si>
    <t>LN00086</t>
  </si>
  <si>
    <t>CUST00086</t>
  </si>
  <si>
    <t>2023-06-08</t>
  </si>
  <si>
    <t>LN00087</t>
  </si>
  <si>
    <t>CUST00087</t>
  </si>
  <si>
    <t>2022-06-18</t>
  </si>
  <si>
    <t>LN00088</t>
  </si>
  <si>
    <t>CUST00088</t>
  </si>
  <si>
    <t>LN00089</t>
  </si>
  <si>
    <t>CUST00089</t>
  </si>
  <si>
    <t>2024-03-09</t>
  </si>
  <si>
    <t>LN00090</t>
  </si>
  <si>
    <t>CUST00090</t>
  </si>
  <si>
    <t>2022-07-08</t>
  </si>
  <si>
    <t>LN00091</t>
  </si>
  <si>
    <t>CUST00091</t>
  </si>
  <si>
    <t>2025-01-21</t>
  </si>
  <si>
    <t>LN00092</t>
  </si>
  <si>
    <t>CUST00092</t>
  </si>
  <si>
    <t>2023-10-29</t>
  </si>
  <si>
    <t>LN00093</t>
  </si>
  <si>
    <t>CUST00093</t>
  </si>
  <si>
    <t>2022-12-04</t>
  </si>
  <si>
    <t>LN00094</t>
  </si>
  <si>
    <t>CUST00094</t>
  </si>
  <si>
    <t>2023-10-17</t>
  </si>
  <si>
    <t>LN00095</t>
  </si>
  <si>
    <t>CUST00095</t>
  </si>
  <si>
    <t>2023-05-27</t>
  </si>
  <si>
    <t>LN00096</t>
  </si>
  <si>
    <t>CUST00096</t>
  </si>
  <si>
    <t>2022-01-09</t>
  </si>
  <si>
    <t>LN00097</t>
  </si>
  <si>
    <t>CUST00097</t>
  </si>
  <si>
    <t>2024-03-20</t>
  </si>
  <si>
    <t>LN00098</t>
  </si>
  <si>
    <t>CUST00098</t>
  </si>
  <si>
    <t>2023-05-29</t>
  </si>
  <si>
    <t>LN00099</t>
  </si>
  <si>
    <t>CUST00099</t>
  </si>
  <si>
    <t>2024-04-05</t>
  </si>
  <si>
    <t>LN00100</t>
  </si>
  <si>
    <t>CUST00100</t>
  </si>
  <si>
    <t>2022-05-05</t>
  </si>
  <si>
    <t>LN00101</t>
  </si>
  <si>
    <t>CUST00101</t>
  </si>
  <si>
    <t>2024-05-09</t>
  </si>
  <si>
    <t>LN00102</t>
  </si>
  <si>
    <t>CUST00102</t>
  </si>
  <si>
    <t>2022-04-17</t>
  </si>
  <si>
    <t>LN00103</t>
  </si>
  <si>
    <t>CUST00103</t>
  </si>
  <si>
    <t>2024-05-23</t>
  </si>
  <si>
    <t>LN00104</t>
  </si>
  <si>
    <t>CUST00104</t>
  </si>
  <si>
    <t>2023-01-16</t>
  </si>
  <si>
    <t>LN00105</t>
  </si>
  <si>
    <t>CUST00105</t>
  </si>
  <si>
    <t>2025-12-30</t>
  </si>
  <si>
    <t>LN00106</t>
  </si>
  <si>
    <t>CUST00106</t>
  </si>
  <si>
    <t>2024-03-10</t>
  </si>
  <si>
    <t>LN00107</t>
  </si>
  <si>
    <t>CUST00107</t>
  </si>
  <si>
    <t>2022-04-21</t>
  </si>
  <si>
    <t>LN00108</t>
  </si>
  <si>
    <t>CUST00108</t>
  </si>
  <si>
    <t>2022-09-16</t>
  </si>
  <si>
    <t>LN00109</t>
  </si>
  <si>
    <t>CUST00109</t>
  </si>
  <si>
    <t>2023-06-05</t>
  </si>
  <si>
    <t>LN00110</t>
  </si>
  <si>
    <t>CUST00110</t>
  </si>
  <si>
    <t>2022-01-19</t>
  </si>
  <si>
    <t>LN00111</t>
  </si>
  <si>
    <t>CUST00111</t>
  </si>
  <si>
    <t>2023-09-04</t>
  </si>
  <si>
    <t>LN00112</t>
  </si>
  <si>
    <t>CUST00112</t>
  </si>
  <si>
    <t>2022-09-22</t>
  </si>
  <si>
    <t>LN00113</t>
  </si>
  <si>
    <t>CUST00113</t>
  </si>
  <si>
    <t>2025-02-03</t>
  </si>
  <si>
    <t>LN00114</t>
  </si>
  <si>
    <t>CUST00114</t>
  </si>
  <si>
    <t>2025-01-24</t>
  </si>
  <si>
    <t>LN00115</t>
  </si>
  <si>
    <t>CUST00115</t>
  </si>
  <si>
    <t>2025-01-16</t>
  </si>
  <si>
    <t>LN00116</t>
  </si>
  <si>
    <t>CUST00116</t>
  </si>
  <si>
    <t>2023-03-29</t>
  </si>
  <si>
    <t>LN00117</t>
  </si>
  <si>
    <t>CUST00117</t>
  </si>
  <si>
    <t>2024-08-05</t>
  </si>
  <si>
    <t>LN00118</t>
  </si>
  <si>
    <t>CUST00118</t>
  </si>
  <si>
    <t>2022-09-23</t>
  </si>
  <si>
    <t>LN00119</t>
  </si>
  <si>
    <t>CUST00119</t>
  </si>
  <si>
    <t>2023-11-22</t>
  </si>
  <si>
    <t>LN00120</t>
  </si>
  <si>
    <t>CUST00120</t>
  </si>
  <si>
    <t>2023-05-30</t>
  </si>
  <si>
    <t>LN00121</t>
  </si>
  <si>
    <t>CUST00121</t>
  </si>
  <si>
    <t>2023-10-15</t>
  </si>
  <si>
    <t>LN00122</t>
  </si>
  <si>
    <t>CUST00122</t>
  </si>
  <si>
    <t>2025-07-18</t>
  </si>
  <si>
    <t>LN00123</t>
  </si>
  <si>
    <t>CUST00123</t>
  </si>
  <si>
    <t>2024-10-15</t>
  </si>
  <si>
    <t>LN00124</t>
  </si>
  <si>
    <t>CUST00124</t>
  </si>
  <si>
    <t>2022-06-09</t>
  </si>
  <si>
    <t>LN00125</t>
  </si>
  <si>
    <t>CUST00125</t>
  </si>
  <si>
    <t>2024-06-13</t>
  </si>
  <si>
    <t>LN00126</t>
  </si>
  <si>
    <t>CUST00126</t>
  </si>
  <si>
    <t>2024-03-18</t>
  </si>
  <si>
    <t>LN00127</t>
  </si>
  <si>
    <t>CUST00127</t>
  </si>
  <si>
    <t>2022-09-07</t>
  </si>
  <si>
    <t>LN00128</t>
  </si>
  <si>
    <t>CUST00128</t>
  </si>
  <si>
    <t>2024-08-10</t>
  </si>
  <si>
    <t>LN00129</t>
  </si>
  <si>
    <t>CUST00129</t>
  </si>
  <si>
    <t>2023-06-21</t>
  </si>
  <si>
    <t>LN00130</t>
  </si>
  <si>
    <t>CUST00130</t>
  </si>
  <si>
    <t>2025-02-21</t>
  </si>
  <si>
    <t>LN00131</t>
  </si>
  <si>
    <t>CUST00131</t>
  </si>
  <si>
    <t>2022-10-20</t>
  </si>
  <si>
    <t>LN00132</t>
  </si>
  <si>
    <t>CUST00132</t>
  </si>
  <si>
    <t>2022-03-28</t>
  </si>
  <si>
    <t>LN00133</t>
  </si>
  <si>
    <t>CUST00133</t>
  </si>
  <si>
    <t>LN00134</t>
  </si>
  <si>
    <t>CUST00134</t>
  </si>
  <si>
    <t>LN00135</t>
  </si>
  <si>
    <t>CUST00135</t>
  </si>
  <si>
    <t>2024-01-13</t>
  </si>
  <si>
    <t>LN00136</t>
  </si>
  <si>
    <t>CUST00136</t>
  </si>
  <si>
    <t>2024-04-30</t>
  </si>
  <si>
    <t>LN00137</t>
  </si>
  <si>
    <t>CUST00137</t>
  </si>
  <si>
    <t>2025-06-02</t>
  </si>
  <si>
    <t>LN00138</t>
  </si>
  <si>
    <t>CUST00138</t>
  </si>
  <si>
    <t>LN00139</t>
  </si>
  <si>
    <t>CUST00139</t>
  </si>
  <si>
    <t>2022-11-02</t>
  </si>
  <si>
    <t>LN00140</t>
  </si>
  <si>
    <t>CUST00140</t>
  </si>
  <si>
    <t>LN00141</t>
  </si>
  <si>
    <t>CUST00141</t>
  </si>
  <si>
    <t>2025-02-15</t>
  </si>
  <si>
    <t>LN00142</t>
  </si>
  <si>
    <t>CUST00142</t>
  </si>
  <si>
    <t>2022-06-06</t>
  </si>
  <si>
    <t>LN00143</t>
  </si>
  <si>
    <t>CUST00143</t>
  </si>
  <si>
    <t>2025-04-29</t>
  </si>
  <si>
    <t>LN00144</t>
  </si>
  <si>
    <t>CUST00144</t>
  </si>
  <si>
    <t>2024-12-09</t>
  </si>
  <si>
    <t>LN00145</t>
  </si>
  <si>
    <t>CUST00145</t>
  </si>
  <si>
    <t>2024-01-18</t>
  </si>
  <si>
    <t>LN00146</t>
  </si>
  <si>
    <t>CUST00146</t>
  </si>
  <si>
    <t>2022-12-29</t>
  </si>
  <si>
    <t>LN00147</t>
  </si>
  <si>
    <t>CUST00147</t>
  </si>
  <si>
    <t>2024-04-22</t>
  </si>
  <si>
    <t>LN00148</t>
  </si>
  <si>
    <t>CUST00148</t>
  </si>
  <si>
    <t>2023-11-25</t>
  </si>
  <si>
    <t>LN00149</t>
  </si>
  <si>
    <t>CUST00149</t>
  </si>
  <si>
    <t>2023-10-16</t>
  </si>
  <si>
    <t>LN00150</t>
  </si>
  <si>
    <t>CUST00150</t>
  </si>
  <si>
    <t>2024-09-19</t>
  </si>
  <si>
    <t>LN00151</t>
  </si>
  <si>
    <t>CUST00151</t>
  </si>
  <si>
    <t>2024-02-28</t>
  </si>
  <si>
    <t>LN00152</t>
  </si>
  <si>
    <t>CUST00152</t>
  </si>
  <si>
    <t>2022-03-20</t>
  </si>
  <si>
    <t>LN00153</t>
  </si>
  <si>
    <t>CUST00153</t>
  </si>
  <si>
    <t>2025-07-28</t>
  </si>
  <si>
    <t>LN00154</t>
  </si>
  <si>
    <t>CUST00154</t>
  </si>
  <si>
    <t>2022-08-24</t>
  </si>
  <si>
    <t>LN00155</t>
  </si>
  <si>
    <t>CUST00155</t>
  </si>
  <si>
    <t>2025-06-01</t>
  </si>
  <si>
    <t>LN00156</t>
  </si>
  <si>
    <t>CUST00156</t>
  </si>
  <si>
    <t>LN00157</t>
  </si>
  <si>
    <t>CUST00157</t>
  </si>
  <si>
    <t>2025-11-25</t>
  </si>
  <si>
    <t>LN00158</t>
  </si>
  <si>
    <t>CUST00158</t>
  </si>
  <si>
    <t>LN00159</t>
  </si>
  <si>
    <t>CUST00159</t>
  </si>
  <si>
    <t>LN00160</t>
  </si>
  <si>
    <t>CUST00160</t>
  </si>
  <si>
    <t>2024-04-17</t>
  </si>
  <si>
    <t>LN00161</t>
  </si>
  <si>
    <t>CUST00161</t>
  </si>
  <si>
    <t>2024-10-09</t>
  </si>
  <si>
    <t>LN00162</t>
  </si>
  <si>
    <t>CUST00162</t>
  </si>
  <si>
    <t>2023-12-13</t>
  </si>
  <si>
    <t>LN00163</t>
  </si>
  <si>
    <t>CUST00163</t>
  </si>
  <si>
    <t>LN00164</t>
  </si>
  <si>
    <t>CUST00164</t>
  </si>
  <si>
    <t>LN00165</t>
  </si>
  <si>
    <t>CUST00165</t>
  </si>
  <si>
    <t>2022-03-15</t>
  </si>
  <si>
    <t>LN00166</t>
  </si>
  <si>
    <t>CUST00166</t>
  </si>
  <si>
    <t>2025-07-06</t>
  </si>
  <si>
    <t>LN00167</t>
  </si>
  <si>
    <t>CUST00167</t>
  </si>
  <si>
    <t>2024-11-07</t>
  </si>
  <si>
    <t>LN00168</t>
  </si>
  <si>
    <t>CUST00168</t>
  </si>
  <si>
    <t>2024-02-15</t>
  </si>
  <si>
    <t>LN00169</t>
  </si>
  <si>
    <t>CUST00169</t>
  </si>
  <si>
    <t>2024-03-24</t>
  </si>
  <si>
    <t>LN00170</t>
  </si>
  <si>
    <t>CUST00170</t>
  </si>
  <si>
    <t>2022-05-30</t>
  </si>
  <si>
    <t>LN00171</t>
  </si>
  <si>
    <t>CUST00171</t>
  </si>
  <si>
    <t>2023-04-26</t>
  </si>
  <si>
    <t>LN00172</t>
  </si>
  <si>
    <t>CUST00172</t>
  </si>
  <si>
    <t>2025-02-17</t>
  </si>
  <si>
    <t>LN00173</t>
  </si>
  <si>
    <t>CUST00173</t>
  </si>
  <si>
    <t>2022-05-03</t>
  </si>
  <si>
    <t>LN00174</t>
  </si>
  <si>
    <t>CUST00174</t>
  </si>
  <si>
    <t>2022-08-01</t>
  </si>
  <si>
    <t>LN00175</t>
  </si>
  <si>
    <t>CUST00175</t>
  </si>
  <si>
    <t>2025-10-25</t>
  </si>
  <si>
    <t>LN00176</t>
  </si>
  <si>
    <t>CUST00176</t>
  </si>
  <si>
    <t>2024-10-24</t>
  </si>
  <si>
    <t>LN00177</t>
  </si>
  <si>
    <t>CUST00177</t>
  </si>
  <si>
    <t>2024-11-24</t>
  </si>
  <si>
    <t>LN00178</t>
  </si>
  <si>
    <t>CUST00178</t>
  </si>
  <si>
    <t>2024-06-09</t>
  </si>
  <si>
    <t>LN00179</t>
  </si>
  <si>
    <t>CUST00179</t>
  </si>
  <si>
    <t>LN00180</t>
  </si>
  <si>
    <t>CUST00180</t>
  </si>
  <si>
    <t>2023-11-02</t>
  </si>
  <si>
    <t>LN00181</t>
  </si>
  <si>
    <t>CUST00181</t>
  </si>
  <si>
    <t>2023-03-03</t>
  </si>
  <si>
    <t>LN00182</t>
  </si>
  <si>
    <t>CUST00182</t>
  </si>
  <si>
    <t>2025-09-25</t>
  </si>
  <si>
    <t>LN00183</t>
  </si>
  <si>
    <t>CUST00183</t>
  </si>
  <si>
    <t>2024-01-28</t>
  </si>
  <si>
    <t>LN00184</t>
  </si>
  <si>
    <t>CUST00184</t>
  </si>
  <si>
    <t>2022-05-04</t>
  </si>
  <si>
    <t>LN00185</t>
  </si>
  <si>
    <t>CUST00185</t>
  </si>
  <si>
    <t>2022-01-29</t>
  </si>
  <si>
    <t>LN00186</t>
  </si>
  <si>
    <t>CUST00186</t>
  </si>
  <si>
    <t>LN00187</t>
  </si>
  <si>
    <t>CUST00187</t>
  </si>
  <si>
    <t>2024-04-06</t>
  </si>
  <si>
    <t>LN00188</t>
  </si>
  <si>
    <t>CUST00188</t>
  </si>
  <si>
    <t>LN00189</t>
  </si>
  <si>
    <t>CUST00189</t>
  </si>
  <si>
    <t>2025-12-31</t>
  </si>
  <si>
    <t>LN00190</t>
  </si>
  <si>
    <t>CUST00190</t>
  </si>
  <si>
    <t>2025-12-19</t>
  </si>
  <si>
    <t>LN00191</t>
  </si>
  <si>
    <t>CUST00191</t>
  </si>
  <si>
    <t>2025-11-20</t>
  </si>
  <si>
    <t>LN00192</t>
  </si>
  <si>
    <t>CUST00192</t>
  </si>
  <si>
    <t>2025-08-02</t>
  </si>
  <si>
    <t>LN00193</t>
  </si>
  <si>
    <t>CUST00193</t>
  </si>
  <si>
    <t>2022-06-15</t>
  </si>
  <si>
    <t>LN00194</t>
  </si>
  <si>
    <t>CUST00194</t>
  </si>
  <si>
    <t>2025-05-18</t>
  </si>
  <si>
    <t>LN00195</t>
  </si>
  <si>
    <t>CUST00195</t>
  </si>
  <si>
    <t>LN00196</t>
  </si>
  <si>
    <t>CUST00196</t>
  </si>
  <si>
    <t>2022-03-06</t>
  </si>
  <si>
    <t>LN00197</t>
  </si>
  <si>
    <t>CUST00197</t>
  </si>
  <si>
    <t>2023-04-05</t>
  </si>
  <si>
    <t>LN00198</t>
  </si>
  <si>
    <t>CUST00198</t>
  </si>
  <si>
    <t>LN00199</t>
  </si>
  <si>
    <t>CUST00199</t>
  </si>
  <si>
    <t>2022-07-07</t>
  </si>
  <si>
    <t>LN00200</t>
  </si>
  <si>
    <t>CUST00200</t>
  </si>
  <si>
    <t>2024-07-10</t>
  </si>
  <si>
    <t>LN00201</t>
  </si>
  <si>
    <t>CUST00201</t>
  </si>
  <si>
    <t>2024-02-23</t>
  </si>
  <si>
    <t>LN00202</t>
  </si>
  <si>
    <t>CUST00202</t>
  </si>
  <si>
    <t>2022-11-09</t>
  </si>
  <si>
    <t>LN00203</t>
  </si>
  <si>
    <t>CUST00203</t>
  </si>
  <si>
    <t>LN00204</t>
  </si>
  <si>
    <t>CUST00204</t>
  </si>
  <si>
    <t>2025-07-19</t>
  </si>
  <si>
    <t>LN00205</t>
  </si>
  <si>
    <t>CUST00205</t>
  </si>
  <si>
    <t>2023-09-14</t>
  </si>
  <si>
    <t>LN00206</t>
  </si>
  <si>
    <t>CUST00206</t>
  </si>
  <si>
    <t>LN00207</t>
  </si>
  <si>
    <t>CUST00207</t>
  </si>
  <si>
    <t>2024-02-20</t>
  </si>
  <si>
    <t>LN00208</t>
  </si>
  <si>
    <t>CUST00208</t>
  </si>
  <si>
    <t>2025-09-03</t>
  </si>
  <si>
    <t>LN00209</t>
  </si>
  <si>
    <t>CUST00209</t>
  </si>
  <si>
    <t>2024-06-15</t>
  </si>
  <si>
    <t>LN00210</t>
  </si>
  <si>
    <t>CUST00210</t>
  </si>
  <si>
    <t>2023-04-01</t>
  </si>
  <si>
    <t>LN00211</t>
  </si>
  <si>
    <t>CUST00211</t>
  </si>
  <si>
    <t>2024-02-16</t>
  </si>
  <si>
    <t>LN00212</t>
  </si>
  <si>
    <t>CUST00212</t>
  </si>
  <si>
    <t>2022-03-01</t>
  </si>
  <si>
    <t>LN00213</t>
  </si>
  <si>
    <t>CUST00213</t>
  </si>
  <si>
    <t>2025-11-04</t>
  </si>
  <si>
    <t>LN00214</t>
  </si>
  <si>
    <t>CUST00214</t>
  </si>
  <si>
    <t>2025-03-02</t>
  </si>
  <si>
    <t>LN00215</t>
  </si>
  <si>
    <t>CUST00215</t>
  </si>
  <si>
    <t>2023-12-03</t>
  </si>
  <si>
    <t>LN00216</t>
  </si>
  <si>
    <t>CUST00216</t>
  </si>
  <si>
    <t>2022-05-07</t>
  </si>
  <si>
    <t>LN00217</t>
  </si>
  <si>
    <t>CUST00217</t>
  </si>
  <si>
    <t>2024-10-18</t>
  </si>
  <si>
    <t>LN00218</t>
  </si>
  <si>
    <t>CUST00218</t>
  </si>
  <si>
    <t>2025-05-15</t>
  </si>
  <si>
    <t>LN00219</t>
  </si>
  <si>
    <t>CUST00219</t>
  </si>
  <si>
    <t>2024-01-23</t>
  </si>
  <si>
    <t>LN00220</t>
  </si>
  <si>
    <t>CUST00220</t>
  </si>
  <si>
    <t>2023-08-21</t>
  </si>
  <si>
    <t>LN00221</t>
  </si>
  <si>
    <t>CUST00221</t>
  </si>
  <si>
    <t>2024-02-19</t>
  </si>
  <si>
    <t>LN00222</t>
  </si>
  <si>
    <t>CUST00222</t>
  </si>
  <si>
    <t>2023-11-16</t>
  </si>
  <si>
    <t>LN00223</t>
  </si>
  <si>
    <t>CUST00223</t>
  </si>
  <si>
    <t>2022-07-25</t>
  </si>
  <si>
    <t>LN00224</t>
  </si>
  <si>
    <t>CUST00224</t>
  </si>
  <si>
    <t>2024-07-27</t>
  </si>
  <si>
    <t>LN00225</t>
  </si>
  <si>
    <t>CUST00225</t>
  </si>
  <si>
    <t>2025-05-23</t>
  </si>
  <si>
    <t>LN00226</t>
  </si>
  <si>
    <t>CUST00226</t>
  </si>
  <si>
    <t>2025-10-11</t>
  </si>
  <si>
    <t>LN00227</t>
  </si>
  <si>
    <t>CUST00227</t>
  </si>
  <si>
    <t>2023-03-09</t>
  </si>
  <si>
    <t>LN00228</t>
  </si>
  <si>
    <t>CUST00228</t>
  </si>
  <si>
    <t>LN00229</t>
  </si>
  <si>
    <t>CUST00229</t>
  </si>
  <si>
    <t>2023-03-28</t>
  </si>
  <si>
    <t>LN00230</t>
  </si>
  <si>
    <t>CUST00230</t>
  </si>
  <si>
    <t>2025-04-19</t>
  </si>
  <si>
    <t>LN00231</t>
  </si>
  <si>
    <t>CUST00231</t>
  </si>
  <si>
    <t>2025-08-05</t>
  </si>
  <si>
    <t>LN00232</t>
  </si>
  <si>
    <t>CUST00232</t>
  </si>
  <si>
    <t>2025-06-15</t>
  </si>
  <si>
    <t>LN00233</t>
  </si>
  <si>
    <t>CUST00233</t>
  </si>
  <si>
    <t>2025-07-08</t>
  </si>
  <si>
    <t>LN00234</t>
  </si>
  <si>
    <t>CUST00234</t>
  </si>
  <si>
    <t>2025-08-01</t>
  </si>
  <si>
    <t>LN00235</t>
  </si>
  <si>
    <t>CUST00235</t>
  </si>
  <si>
    <t>2024-11-15</t>
  </si>
  <si>
    <t>LN00236</t>
  </si>
  <si>
    <t>CUST00236</t>
  </si>
  <si>
    <t>2024-11-11</t>
  </si>
  <si>
    <t>LN00237</t>
  </si>
  <si>
    <t>CUST00237</t>
  </si>
  <si>
    <t>2024-05-29</t>
  </si>
  <si>
    <t>LN00238</t>
  </si>
  <si>
    <t>CUST00238</t>
  </si>
  <si>
    <t>2025-09-20</t>
  </si>
  <si>
    <t>LN00239</t>
  </si>
  <si>
    <t>CUST00239</t>
  </si>
  <si>
    <t>2022-12-19</t>
  </si>
  <si>
    <t>LN00240</t>
  </si>
  <si>
    <t>CUST00240</t>
  </si>
  <si>
    <t>2024-12-14</t>
  </si>
  <si>
    <t>LN00241</t>
  </si>
  <si>
    <t>CUST00241</t>
  </si>
  <si>
    <t>LN00242</t>
  </si>
  <si>
    <t>CUST00242</t>
  </si>
  <si>
    <t>LN00243</t>
  </si>
  <si>
    <t>CUST00243</t>
  </si>
  <si>
    <t>2024-10-31</t>
  </si>
  <si>
    <t>LN00244</t>
  </si>
  <si>
    <t>CUST00244</t>
  </si>
  <si>
    <t>2025-05-12</t>
  </si>
  <si>
    <t>LN00245</t>
  </si>
  <si>
    <t>CUST00245</t>
  </si>
  <si>
    <t>2022-01-25</t>
  </si>
  <si>
    <t>LN00246</t>
  </si>
  <si>
    <t>CUST00246</t>
  </si>
  <si>
    <t>2024-09-16</t>
  </si>
  <si>
    <t>LN00247</t>
  </si>
  <si>
    <t>CUST00247</t>
  </si>
  <si>
    <t>2023-04-02</t>
  </si>
  <si>
    <t>LN00248</t>
  </si>
  <si>
    <t>CUST00248</t>
  </si>
  <si>
    <t>2023-05-19</t>
  </si>
  <si>
    <t>LN00249</t>
  </si>
  <si>
    <t>CUST00249</t>
  </si>
  <si>
    <t>2025-05-26</t>
  </si>
  <si>
    <t>LN00250</t>
  </si>
  <si>
    <t>CUST00250</t>
  </si>
  <si>
    <t>2025-12-14</t>
  </si>
  <si>
    <t>LN00251</t>
  </si>
  <si>
    <t>CUST00251</t>
  </si>
  <si>
    <t>2022-02-01</t>
  </si>
  <si>
    <t>LN00252</t>
  </si>
  <si>
    <t>CUST00252</t>
  </si>
  <si>
    <t>2023-07-02</t>
  </si>
  <si>
    <t>LN00253</t>
  </si>
  <si>
    <t>CUST00253</t>
  </si>
  <si>
    <t>LN00254</t>
  </si>
  <si>
    <t>CUST00254</t>
  </si>
  <si>
    <t>2022-11-10</t>
  </si>
  <si>
    <t>LN00255</t>
  </si>
  <si>
    <t>CUST00255</t>
  </si>
  <si>
    <t>2022-09-25</t>
  </si>
  <si>
    <t>LN00256</t>
  </si>
  <si>
    <t>CUST00256</t>
  </si>
  <si>
    <t>2025-04-24</t>
  </si>
  <si>
    <t>LN00257</t>
  </si>
  <si>
    <t>CUST00257</t>
  </si>
  <si>
    <t>2023-05-25</t>
  </si>
  <si>
    <t>LN00258</t>
  </si>
  <si>
    <t>CUST00258</t>
  </si>
  <si>
    <t>2023-11-26</t>
  </si>
  <si>
    <t>LN00259</t>
  </si>
  <si>
    <t>CUST00259</t>
  </si>
  <si>
    <t>2024-02-17</t>
  </si>
  <si>
    <t>LN00260</t>
  </si>
  <si>
    <t>CUST00260</t>
  </si>
  <si>
    <t>2025-10-15</t>
  </si>
  <si>
    <t>LN00261</t>
  </si>
  <si>
    <t>CUST00261</t>
  </si>
  <si>
    <t>LN00262</t>
  </si>
  <si>
    <t>CUST00262</t>
  </si>
  <si>
    <t>2025-12-22</t>
  </si>
  <si>
    <t>LN00263</t>
  </si>
  <si>
    <t>CUST00263</t>
  </si>
  <si>
    <t>2022-09-01</t>
  </si>
  <si>
    <t>LN00264</t>
  </si>
  <si>
    <t>CUST00264</t>
  </si>
  <si>
    <t>2023-09-02</t>
  </si>
  <si>
    <t>LN00265</t>
  </si>
  <si>
    <t>CUST00265</t>
  </si>
  <si>
    <t>2023-12-23</t>
  </si>
  <si>
    <t>LN00266</t>
  </si>
  <si>
    <t>CUST00266</t>
  </si>
  <si>
    <t>2022-03-07</t>
  </si>
  <si>
    <t>LN00267</t>
  </si>
  <si>
    <t>CUST00267</t>
  </si>
  <si>
    <t>2024-11-05</t>
  </si>
  <si>
    <t>LN00268</t>
  </si>
  <si>
    <t>CUST00268</t>
  </si>
  <si>
    <t>2024-06-04</t>
  </si>
  <si>
    <t>LN00269</t>
  </si>
  <si>
    <t>CUST00269</t>
  </si>
  <si>
    <t>2025-09-18</t>
  </si>
  <si>
    <t>LN00270</t>
  </si>
  <si>
    <t>CUST00270</t>
  </si>
  <si>
    <t>2024-06-24</t>
  </si>
  <si>
    <t>LN00271</t>
  </si>
  <si>
    <t>CUST00271</t>
  </si>
  <si>
    <t>LN00272</t>
  </si>
  <si>
    <t>CUST00272</t>
  </si>
  <si>
    <t>2024-08-07</t>
  </si>
  <si>
    <t>LN00273</t>
  </si>
  <si>
    <t>CUST00273</t>
  </si>
  <si>
    <t>2024-11-10</t>
  </si>
  <si>
    <t>LN00274</t>
  </si>
  <si>
    <t>CUST00274</t>
  </si>
  <si>
    <t>2025-09-06</t>
  </si>
  <si>
    <t>LN00275</t>
  </si>
  <si>
    <t>CUST00275</t>
  </si>
  <si>
    <t>2025-10-04</t>
  </si>
  <si>
    <t>LN00276</t>
  </si>
  <si>
    <t>CUST00276</t>
  </si>
  <si>
    <t>2024-12-12</t>
  </si>
  <si>
    <t>LN00277</t>
  </si>
  <si>
    <t>CUST00277</t>
  </si>
  <si>
    <t>2024-06-14</t>
  </si>
  <si>
    <t>LN00278</t>
  </si>
  <si>
    <t>CUST00278</t>
  </si>
  <si>
    <t>2023-02-21</t>
  </si>
  <si>
    <t>LN00279</t>
  </si>
  <si>
    <t>CUST00279</t>
  </si>
  <si>
    <t>2024-09-14</t>
  </si>
  <si>
    <t>LN00280</t>
  </si>
  <si>
    <t>CUST00280</t>
  </si>
  <si>
    <t>LN00281</t>
  </si>
  <si>
    <t>CUST00281</t>
  </si>
  <si>
    <t>2024-02-09</t>
  </si>
  <si>
    <t>LN00282</t>
  </si>
  <si>
    <t>CUST00282</t>
  </si>
  <si>
    <t>2025-07-24</t>
  </si>
  <si>
    <t>LN00283</t>
  </si>
  <si>
    <t>CUST00283</t>
  </si>
  <si>
    <t>2024-05-10</t>
  </si>
  <si>
    <t>LN00284</t>
  </si>
  <si>
    <t>CUST00284</t>
  </si>
  <si>
    <t>2025-11-21</t>
  </si>
  <si>
    <t>LN00285</t>
  </si>
  <si>
    <t>CUST00285</t>
  </si>
  <si>
    <t>2023-08-12</t>
  </si>
  <si>
    <t>LN00286</t>
  </si>
  <si>
    <t>CUST00286</t>
  </si>
  <si>
    <t>2025-06-17</t>
  </si>
  <si>
    <t>LN00287</t>
  </si>
  <si>
    <t>CUST00287</t>
  </si>
  <si>
    <t>2022-10-18</t>
  </si>
  <si>
    <t>LN00288</t>
  </si>
  <si>
    <t>CUST00288</t>
  </si>
  <si>
    <t>2022-10-26</t>
  </si>
  <si>
    <t>LN00289</t>
  </si>
  <si>
    <t>CUST00289</t>
  </si>
  <si>
    <t>2025-01-29</t>
  </si>
  <si>
    <t>LN00290</t>
  </si>
  <si>
    <t>CUST00290</t>
  </si>
  <si>
    <t>2023-04-16</t>
  </si>
  <si>
    <t>LN00291</t>
  </si>
  <si>
    <t>CUST00291</t>
  </si>
  <si>
    <t>LN00292</t>
  </si>
  <si>
    <t>CUST00292</t>
  </si>
  <si>
    <t>2023-10-19</t>
  </si>
  <si>
    <t>LN00293</t>
  </si>
  <si>
    <t>CUST00293</t>
  </si>
  <si>
    <t>2025-08-06</t>
  </si>
  <si>
    <t>LN00294</t>
  </si>
  <si>
    <t>CUST00294</t>
  </si>
  <si>
    <t>2024-06-02</t>
  </si>
  <si>
    <t>LN00295</t>
  </si>
  <si>
    <t>CUST00295</t>
  </si>
  <si>
    <t>2024-09-13</t>
  </si>
  <si>
    <t>LN00296</t>
  </si>
  <si>
    <t>CUST00296</t>
  </si>
  <si>
    <t>LN00297</t>
  </si>
  <si>
    <t>CUST00297</t>
  </si>
  <si>
    <t>2022-08-23</t>
  </si>
  <si>
    <t>LN00298</t>
  </si>
  <si>
    <t>CUST00298</t>
  </si>
  <si>
    <t>2025-10-28</t>
  </si>
  <si>
    <t>LN00299</t>
  </si>
  <si>
    <t>CUST00299</t>
  </si>
  <si>
    <t>2025-09-27</t>
  </si>
  <si>
    <t>LN00300</t>
  </si>
  <si>
    <t>CUST00300</t>
  </si>
  <si>
    <t>2023-05-12</t>
  </si>
  <si>
    <t>LN00301</t>
  </si>
  <si>
    <t>CUST00301</t>
  </si>
  <si>
    <t>2023-12-19</t>
  </si>
  <si>
    <t>LN00302</t>
  </si>
  <si>
    <t>CUST00302</t>
  </si>
  <si>
    <t>2024-01-15</t>
  </si>
  <si>
    <t>LN00303</t>
  </si>
  <si>
    <t>CUST00303</t>
  </si>
  <si>
    <t>2024-11-16</t>
  </si>
  <si>
    <t>LN00304</t>
  </si>
  <si>
    <t>CUST00304</t>
  </si>
  <si>
    <t>2023-07-12</t>
  </si>
  <si>
    <t>LN00305</t>
  </si>
  <si>
    <t>CUST00305</t>
  </si>
  <si>
    <t>2023-04-24</t>
  </si>
  <si>
    <t>LN00306</t>
  </si>
  <si>
    <t>CUST00306</t>
  </si>
  <si>
    <t>2023-10-02</t>
  </si>
  <si>
    <t>LN00307</t>
  </si>
  <si>
    <t>CUST00307</t>
  </si>
  <si>
    <t>2024-10-28</t>
  </si>
  <si>
    <t>LN00308</t>
  </si>
  <si>
    <t>CUST00308</t>
  </si>
  <si>
    <t>2024-02-04</t>
  </si>
  <si>
    <t>LN00309</t>
  </si>
  <si>
    <t>CUST00309</t>
  </si>
  <si>
    <t>LN00310</t>
  </si>
  <si>
    <t>CUST00310</t>
  </si>
  <si>
    <t>LN00311</t>
  </si>
  <si>
    <t>CUST00311</t>
  </si>
  <si>
    <t>2022-07-18</t>
  </si>
  <si>
    <t>LN00312</t>
  </si>
  <si>
    <t>CUST00312</t>
  </si>
  <si>
    <t>2023-09-21</t>
  </si>
  <si>
    <t>LN00313</t>
  </si>
  <si>
    <t>CUST00313</t>
  </si>
  <si>
    <t>LN00314</t>
  </si>
  <si>
    <t>CUST00314</t>
  </si>
  <si>
    <t>2023-01-11</t>
  </si>
  <si>
    <t>LN00315</t>
  </si>
  <si>
    <t>CUST00315</t>
  </si>
  <si>
    <t>2022-11-28</t>
  </si>
  <si>
    <t>LN00316</t>
  </si>
  <si>
    <t>CUST00316</t>
  </si>
  <si>
    <t>2022-11-11</t>
  </si>
  <si>
    <t>LN00317</t>
  </si>
  <si>
    <t>CUST00317</t>
  </si>
  <si>
    <t>2025-02-27</t>
  </si>
  <si>
    <t>LN00318</t>
  </si>
  <si>
    <t>CUST00318</t>
  </si>
  <si>
    <t>2022-10-29</t>
  </si>
  <si>
    <t>LN00319</t>
  </si>
  <si>
    <t>CUST00319</t>
  </si>
  <si>
    <t>LN00320</t>
  </si>
  <si>
    <t>CUST00320</t>
  </si>
  <si>
    <t>2022-06-19</t>
  </si>
  <si>
    <t>LN00321</t>
  </si>
  <si>
    <t>CUST00321</t>
  </si>
  <si>
    <t>LN00322</t>
  </si>
  <si>
    <t>CUST00322</t>
  </si>
  <si>
    <t>2022-06-29</t>
  </si>
  <si>
    <t>LN00323</t>
  </si>
  <si>
    <t>CUST00323</t>
  </si>
  <si>
    <t>2025-11-07</t>
  </si>
  <si>
    <t>LN00324</t>
  </si>
  <si>
    <t>CUST00324</t>
  </si>
  <si>
    <t>2023-04-29</t>
  </si>
  <si>
    <t>LN00325</t>
  </si>
  <si>
    <t>CUST00325</t>
  </si>
  <si>
    <t>2025-06-14</t>
  </si>
  <si>
    <t>LN00326</t>
  </si>
  <si>
    <t>CUST00326</t>
  </si>
  <si>
    <t>2023-03-20</t>
  </si>
  <si>
    <t>LN00327</t>
  </si>
  <si>
    <t>CUST00327</t>
  </si>
  <si>
    <t>2022-01-28</t>
  </si>
  <si>
    <t>LN00328</t>
  </si>
  <si>
    <t>CUST00328</t>
  </si>
  <si>
    <t>2023-07-06</t>
  </si>
  <si>
    <t>LN00329</t>
  </si>
  <si>
    <t>CUST00329</t>
  </si>
  <si>
    <t>2023-08-07</t>
  </si>
  <si>
    <t>LN00330</t>
  </si>
  <si>
    <t>CUST00330</t>
  </si>
  <si>
    <t>2024-05-11</t>
  </si>
  <si>
    <t>LN00331</t>
  </si>
  <si>
    <t>CUST00331</t>
  </si>
  <si>
    <t>2025-03-24</t>
  </si>
  <si>
    <t>LN00332</t>
  </si>
  <si>
    <t>CUST00332</t>
  </si>
  <si>
    <t>2024-11-30</t>
  </si>
  <si>
    <t>LN00333</t>
  </si>
  <si>
    <t>CUST00333</t>
  </si>
  <si>
    <t>2023-06-02</t>
  </si>
  <si>
    <t>LN00334</t>
  </si>
  <si>
    <t>CUST00334</t>
  </si>
  <si>
    <t>2023-07-13</t>
  </si>
  <si>
    <t>LN00335</t>
  </si>
  <si>
    <t>CUST00335</t>
  </si>
  <si>
    <t>2025-08-28</t>
  </si>
  <si>
    <t>LN00336</t>
  </si>
  <si>
    <t>CUST00336</t>
  </si>
  <si>
    <t>2025-12-13</t>
  </si>
  <si>
    <t>LN00337</t>
  </si>
  <si>
    <t>CUST00337</t>
  </si>
  <si>
    <t>2024-09-22</t>
  </si>
  <si>
    <t>LN00338</t>
  </si>
  <si>
    <t>CUST00338</t>
  </si>
  <si>
    <t>2025-08-22</t>
  </si>
  <si>
    <t>LN00339</t>
  </si>
  <si>
    <t>CUST00339</t>
  </si>
  <si>
    <t>LN00340</t>
  </si>
  <si>
    <t>CUST00340</t>
  </si>
  <si>
    <t>LN00341</t>
  </si>
  <si>
    <t>CUST00341</t>
  </si>
  <si>
    <t>2023-12-07</t>
  </si>
  <si>
    <t>LN00342</t>
  </si>
  <si>
    <t>CUST00342</t>
  </si>
  <si>
    <t>2022-04-23</t>
  </si>
  <si>
    <t>LN00343</t>
  </si>
  <si>
    <t>CUST00343</t>
  </si>
  <si>
    <t>2023-05-26</t>
  </si>
  <si>
    <t>LN00344</t>
  </si>
  <si>
    <t>CUST00344</t>
  </si>
  <si>
    <t>2023-09-03</t>
  </si>
  <si>
    <t>LN00345</t>
  </si>
  <si>
    <t>CUST00345</t>
  </si>
  <si>
    <t>2024-06-27</t>
  </si>
  <si>
    <t>LN00346</t>
  </si>
  <si>
    <t>CUST00346</t>
  </si>
  <si>
    <t>2023-10-21</t>
  </si>
  <si>
    <t>LN00347</t>
  </si>
  <si>
    <t>CUST00347</t>
  </si>
  <si>
    <t>LN00348</t>
  </si>
  <si>
    <t>CUST00348</t>
  </si>
  <si>
    <t>2022-11-08</t>
  </si>
  <si>
    <t>LN00349</t>
  </si>
  <si>
    <t>CUST00349</t>
  </si>
  <si>
    <t>2024-07-08</t>
  </si>
  <si>
    <t>LN00350</t>
  </si>
  <si>
    <t>CUST00350</t>
  </si>
  <si>
    <t>2025-08-08</t>
  </si>
  <si>
    <t>LN00351</t>
  </si>
  <si>
    <t>CUST00351</t>
  </si>
  <si>
    <t>2022-07-19</t>
  </si>
  <si>
    <t>LN00352</t>
  </si>
  <si>
    <t>CUST00352</t>
  </si>
  <si>
    <t>2025-04-17</t>
  </si>
  <si>
    <t>LN00353</t>
  </si>
  <si>
    <t>CUST00353</t>
  </si>
  <si>
    <t>LN00354</t>
  </si>
  <si>
    <t>CUST00354</t>
  </si>
  <si>
    <t>2023-11-28</t>
  </si>
  <si>
    <t>LN00355</t>
  </si>
  <si>
    <t>CUST00355</t>
  </si>
  <si>
    <t>LN00356</t>
  </si>
  <si>
    <t>CUST00356</t>
  </si>
  <si>
    <t>2025-12-29</t>
  </si>
  <si>
    <t>LN00357</t>
  </si>
  <si>
    <t>CUST00357</t>
  </si>
  <si>
    <t>2025-01-04</t>
  </si>
  <si>
    <t>LN00358</t>
  </si>
  <si>
    <t>CUST00358</t>
  </si>
  <si>
    <t>2023-04-09</t>
  </si>
  <si>
    <t>LN00359</t>
  </si>
  <si>
    <t>CUST00359</t>
  </si>
  <si>
    <t>2024-12-24</t>
  </si>
  <si>
    <t>LN00360</t>
  </si>
  <si>
    <t>CUST00360</t>
  </si>
  <si>
    <t>LN00361</t>
  </si>
  <si>
    <t>CUST00361</t>
  </si>
  <si>
    <t>2023-05-01</t>
  </si>
  <si>
    <t>LN00362</t>
  </si>
  <si>
    <t>CUST00362</t>
  </si>
  <si>
    <t>2023-02-20</t>
  </si>
  <si>
    <t>LN00363</t>
  </si>
  <si>
    <t>CUST00363</t>
  </si>
  <si>
    <t>2024-03-26</t>
  </si>
  <si>
    <t>LN00364</t>
  </si>
  <si>
    <t>CUST00364</t>
  </si>
  <si>
    <t>2022-09-02</t>
  </si>
  <si>
    <t>LN00365</t>
  </si>
  <si>
    <t>CUST00365</t>
  </si>
  <si>
    <t>LN00366</t>
  </si>
  <si>
    <t>CUST00366</t>
  </si>
  <si>
    <t>2025-12-18</t>
  </si>
  <si>
    <t>LN00367</t>
  </si>
  <si>
    <t>CUST00367</t>
  </si>
  <si>
    <t>LN00368</t>
  </si>
  <si>
    <t>CUST00368</t>
  </si>
  <si>
    <t>2024-07-23</t>
  </si>
  <si>
    <t>LN00369</t>
  </si>
  <si>
    <t>CUST00369</t>
  </si>
  <si>
    <t>2024-09-09</t>
  </si>
  <si>
    <t>LN00370</t>
  </si>
  <si>
    <t>CUST00370</t>
  </si>
  <si>
    <t>2025-05-20</t>
  </si>
  <si>
    <t>LN00371</t>
  </si>
  <si>
    <t>CUST00371</t>
  </si>
  <si>
    <t>2023-02-16</t>
  </si>
  <si>
    <t>LN00372</t>
  </si>
  <si>
    <t>CUST00372</t>
  </si>
  <si>
    <t>2024-12-05</t>
  </si>
  <si>
    <t>LN00373</t>
  </si>
  <si>
    <t>CUST00373</t>
  </si>
  <si>
    <t>2025-04-06</t>
  </si>
  <si>
    <t>LN00374</t>
  </si>
  <si>
    <t>CUST00374</t>
  </si>
  <si>
    <t>LN00375</t>
  </si>
  <si>
    <t>CUST00375</t>
  </si>
  <si>
    <t>2023-10-22</t>
  </si>
  <si>
    <t>LN00376</t>
  </si>
  <si>
    <t>CUST00376</t>
  </si>
  <si>
    <t>2022-07-22</t>
  </si>
  <si>
    <t>LN00377</t>
  </si>
  <si>
    <t>CUST00377</t>
  </si>
  <si>
    <t>2024-04-19</t>
  </si>
  <si>
    <t>LN00378</t>
  </si>
  <si>
    <t>CUST00378</t>
  </si>
  <si>
    <t>2025-03-31</t>
  </si>
  <si>
    <t>LN00379</t>
  </si>
  <si>
    <t>CUST00379</t>
  </si>
  <si>
    <t>2022-03-29</t>
  </si>
  <si>
    <t>LN00380</t>
  </si>
  <si>
    <t>CUST00380</t>
  </si>
  <si>
    <t>2023-02-07</t>
  </si>
  <si>
    <t>LN00381</t>
  </si>
  <si>
    <t>CUST00381</t>
  </si>
  <si>
    <t>2023-08-09</t>
  </si>
  <si>
    <t>LN00382</t>
  </si>
  <si>
    <t>CUST00382</t>
  </si>
  <si>
    <t>2024-08-29</t>
  </si>
  <si>
    <t>LN00383</t>
  </si>
  <si>
    <t>CUST00383</t>
  </si>
  <si>
    <t>2023-09-29</t>
  </si>
  <si>
    <t>LN00384</t>
  </si>
  <si>
    <t>CUST00384</t>
  </si>
  <si>
    <t>LN00385</t>
  </si>
  <si>
    <t>CUST00385</t>
  </si>
  <si>
    <t>2024-08-22</t>
  </si>
  <si>
    <t>LN00386</t>
  </si>
  <si>
    <t>CUST00386</t>
  </si>
  <si>
    <t>2023-12-01</t>
  </si>
  <si>
    <t>LN00387</t>
  </si>
  <si>
    <t>CUST00387</t>
  </si>
  <si>
    <t>2025-11-10</t>
  </si>
  <si>
    <t>LN00388</t>
  </si>
  <si>
    <t>CUST00388</t>
  </si>
  <si>
    <t>2025-07-07</t>
  </si>
  <si>
    <t>LN00389</t>
  </si>
  <si>
    <t>CUST00389</t>
  </si>
  <si>
    <t>2025-02-26</t>
  </si>
  <si>
    <t>LN00390</t>
  </si>
  <si>
    <t>CUST00390</t>
  </si>
  <si>
    <t>2023-03-11</t>
  </si>
  <si>
    <t>LN00391</t>
  </si>
  <si>
    <t>CUST00391</t>
  </si>
  <si>
    <t>2022-02-22</t>
  </si>
  <si>
    <t>LN00392</t>
  </si>
  <si>
    <t>CUST00392</t>
  </si>
  <si>
    <t>2025-03-08</t>
  </si>
  <si>
    <t>LN00393</t>
  </si>
  <si>
    <t>CUST00393</t>
  </si>
  <si>
    <t>2023-08-11</t>
  </si>
  <si>
    <t>LN00394</t>
  </si>
  <si>
    <t>CUST00394</t>
  </si>
  <si>
    <t>2025-01-10</t>
  </si>
  <si>
    <t>LN00395</t>
  </si>
  <si>
    <t>CUST00395</t>
  </si>
  <si>
    <t>2024-01-30</t>
  </si>
  <si>
    <t>LN00396</t>
  </si>
  <si>
    <t>CUST00396</t>
  </si>
  <si>
    <t>2022-04-30</t>
  </si>
  <si>
    <t>LN00397</t>
  </si>
  <si>
    <t>CUST00397</t>
  </si>
  <si>
    <t>2022-12-14</t>
  </si>
  <si>
    <t>LN00398</t>
  </si>
  <si>
    <t>CUST00398</t>
  </si>
  <si>
    <t>LN00399</t>
  </si>
  <si>
    <t>CUST00399</t>
  </si>
  <si>
    <t>LN00400</t>
  </si>
  <si>
    <t>CUST00400</t>
  </si>
  <si>
    <t>2023-06-06</t>
  </si>
  <si>
    <t>LN00401</t>
  </si>
  <si>
    <t>CUST00401</t>
  </si>
  <si>
    <t>2023-01-06</t>
  </si>
  <si>
    <t>LN00402</t>
  </si>
  <si>
    <t>CUST00402</t>
  </si>
  <si>
    <t>LN00403</t>
  </si>
  <si>
    <t>CUST00403</t>
  </si>
  <si>
    <t>2023-06-28</t>
  </si>
  <si>
    <t>LN00404</t>
  </si>
  <si>
    <t>CUST00404</t>
  </si>
  <si>
    <t>2022-10-03</t>
  </si>
  <si>
    <t>LN00405</t>
  </si>
  <si>
    <t>CUST00405</t>
  </si>
  <si>
    <t>2022-05-18</t>
  </si>
  <si>
    <t>LN00406</t>
  </si>
  <si>
    <t>CUST00406</t>
  </si>
  <si>
    <t>2023-07-19</t>
  </si>
  <si>
    <t>LN00407</t>
  </si>
  <si>
    <t>CUST00407</t>
  </si>
  <si>
    <t>2022-01-05</t>
  </si>
  <si>
    <t>LN00408</t>
  </si>
  <si>
    <t>CUST00408</t>
  </si>
  <si>
    <t>LN00409</t>
  </si>
  <si>
    <t>CUST00409</t>
  </si>
  <si>
    <t>2024-04-09</t>
  </si>
  <si>
    <t>LN00410</t>
  </si>
  <si>
    <t>CUST00410</t>
  </si>
  <si>
    <t>2023-04-14</t>
  </si>
  <si>
    <t>LN00411</t>
  </si>
  <si>
    <t>CUST00411</t>
  </si>
  <si>
    <t>LN00412</t>
  </si>
  <si>
    <t>CUST00412</t>
  </si>
  <si>
    <t>2023-03-01</t>
  </si>
  <si>
    <t>LN00413</t>
  </si>
  <si>
    <t>CUST00413</t>
  </si>
  <si>
    <t>LN00414</t>
  </si>
  <si>
    <t>CUST00414</t>
  </si>
  <si>
    <t>2025-02-12</t>
  </si>
  <si>
    <t>LN00415</t>
  </si>
  <si>
    <t>CUST00415</t>
  </si>
  <si>
    <t>2024-06-07</t>
  </si>
  <si>
    <t>LN00416</t>
  </si>
  <si>
    <t>CUST00416</t>
  </si>
  <si>
    <t>2025-03-09</t>
  </si>
  <si>
    <t>LN00417</t>
  </si>
  <si>
    <t>CUST00417</t>
  </si>
  <si>
    <t>LN00418</t>
  </si>
  <si>
    <t>CUST00418</t>
  </si>
  <si>
    <t>2025-01-27</t>
  </si>
  <si>
    <t>LN00419</t>
  </si>
  <si>
    <t>CUST00419</t>
  </si>
  <si>
    <t>2024-12-28</t>
  </si>
  <si>
    <t>LN00420</t>
  </si>
  <si>
    <t>CUST00420</t>
  </si>
  <si>
    <t>2022-08-31</t>
  </si>
  <si>
    <t>LN00421</t>
  </si>
  <si>
    <t>CUST00421</t>
  </si>
  <si>
    <t>2023-06-03</t>
  </si>
  <si>
    <t>LN00422</t>
  </si>
  <si>
    <t>CUST00422</t>
  </si>
  <si>
    <t>LN00423</t>
  </si>
  <si>
    <t>CUST00423</t>
  </si>
  <si>
    <t>2022-10-07</t>
  </si>
  <si>
    <t>LN00424</t>
  </si>
  <si>
    <t>CUST00424</t>
  </si>
  <si>
    <t>LN00425</t>
  </si>
  <si>
    <t>CUST00425</t>
  </si>
  <si>
    <t>2023-09-23</t>
  </si>
  <si>
    <t>LN00426</t>
  </si>
  <si>
    <t>CUST00426</t>
  </si>
  <si>
    <t>2022-06-24</t>
  </si>
  <si>
    <t>LN00427</t>
  </si>
  <si>
    <t>CUST00427</t>
  </si>
  <si>
    <t>2022-05-26</t>
  </si>
  <si>
    <t>LN00428</t>
  </si>
  <si>
    <t>CUST00428</t>
  </si>
  <si>
    <t>2025-11-02</t>
  </si>
  <si>
    <t>LN00429</t>
  </si>
  <si>
    <t>CUST00429</t>
  </si>
  <si>
    <t>LN00430</t>
  </si>
  <si>
    <t>CUST00430</t>
  </si>
  <si>
    <t>2025-03-05</t>
  </si>
  <si>
    <t>LN00431</t>
  </si>
  <si>
    <t>CUST00431</t>
  </si>
  <si>
    <t>2023-04-27</t>
  </si>
  <si>
    <t>LN00432</t>
  </si>
  <si>
    <t>CUST00432</t>
  </si>
  <si>
    <t>2025-06-08</t>
  </si>
  <si>
    <t>LN00433</t>
  </si>
  <si>
    <t>CUST00433</t>
  </si>
  <si>
    <t>LN00434</t>
  </si>
  <si>
    <t>CUST00434</t>
  </si>
  <si>
    <t>2025-04-03</t>
  </si>
  <si>
    <t>LN00435</t>
  </si>
  <si>
    <t>CUST00435</t>
  </si>
  <si>
    <t>2022-01-11</t>
  </si>
  <si>
    <t>LN00436</t>
  </si>
  <si>
    <t>CUST00436</t>
  </si>
  <si>
    <t>2024-09-20</t>
  </si>
  <si>
    <t>LN00437</t>
  </si>
  <si>
    <t>CUST00437</t>
  </si>
  <si>
    <t>2025-07-13</t>
  </si>
  <si>
    <t>LN00438</t>
  </si>
  <si>
    <t>CUST00438</t>
  </si>
  <si>
    <t>2024-06-28</t>
  </si>
  <si>
    <t>LN00439</t>
  </si>
  <si>
    <t>CUST00439</t>
  </si>
  <si>
    <t>LN00440</t>
  </si>
  <si>
    <t>CUST00440</t>
  </si>
  <si>
    <t>2023-04-03</t>
  </si>
  <si>
    <t>LN00441</t>
  </si>
  <si>
    <t>CUST00441</t>
  </si>
  <si>
    <t>2025-09-21</t>
  </si>
  <si>
    <t>LN00442</t>
  </si>
  <si>
    <t>CUST00442</t>
  </si>
  <si>
    <t>LN00443</t>
  </si>
  <si>
    <t>CUST00443</t>
  </si>
  <si>
    <t>LN00444</t>
  </si>
  <si>
    <t>CUST00444</t>
  </si>
  <si>
    <t>2022-11-30</t>
  </si>
  <si>
    <t>LN00445</t>
  </si>
  <si>
    <t>CUST00445</t>
  </si>
  <si>
    <t>2025-04-16</t>
  </si>
  <si>
    <t>LN00446</t>
  </si>
  <si>
    <t>CUST00446</t>
  </si>
  <si>
    <t>LN00447</t>
  </si>
  <si>
    <t>CUST00447</t>
  </si>
  <si>
    <t>2023-01-26</t>
  </si>
  <si>
    <t>LN00448</t>
  </si>
  <si>
    <t>CUST00448</t>
  </si>
  <si>
    <t>2025-07-01</t>
  </si>
  <si>
    <t>LN00449</t>
  </si>
  <si>
    <t>CUST00449</t>
  </si>
  <si>
    <t>2022-11-03</t>
  </si>
  <si>
    <t>LN00450</t>
  </si>
  <si>
    <t>CUST00450</t>
  </si>
  <si>
    <t>LN00451</t>
  </si>
  <si>
    <t>CUST00451</t>
  </si>
  <si>
    <t>LN00452</t>
  </si>
  <si>
    <t>CUST00452</t>
  </si>
  <si>
    <t>LN00453</t>
  </si>
  <si>
    <t>CUST00453</t>
  </si>
  <si>
    <t>2022-02-10</t>
  </si>
  <si>
    <t>LN00454</t>
  </si>
  <si>
    <t>CUST00454</t>
  </si>
  <si>
    <t>2023-11-09</t>
  </si>
  <si>
    <t>LN00455</t>
  </si>
  <si>
    <t>CUST00455</t>
  </si>
  <si>
    <t>2023-08-27</t>
  </si>
  <si>
    <t>LN00456</t>
  </si>
  <si>
    <t>CUST00456</t>
  </si>
  <si>
    <t>LN00457</t>
  </si>
  <si>
    <t>CUST00457</t>
  </si>
  <si>
    <t>2024-07-05</t>
  </si>
  <si>
    <t>LN00458</t>
  </si>
  <si>
    <t>CUST00458</t>
  </si>
  <si>
    <t>LN00459</t>
  </si>
  <si>
    <t>CUST00459</t>
  </si>
  <si>
    <t>LN00460</t>
  </si>
  <si>
    <t>CUST00460</t>
  </si>
  <si>
    <t>2025-06-21</t>
  </si>
  <si>
    <t>LN00461</t>
  </si>
  <si>
    <t>CUST00461</t>
  </si>
  <si>
    <t>2024-07-03</t>
  </si>
  <si>
    <t>LN00462</t>
  </si>
  <si>
    <t>CUST00462</t>
  </si>
  <si>
    <t>2025-09-19</t>
  </si>
  <si>
    <t>LN00463</t>
  </si>
  <si>
    <t>CUST00463</t>
  </si>
  <si>
    <t>LN00464</t>
  </si>
  <si>
    <t>CUST00464</t>
  </si>
  <si>
    <t>2022-04-14</t>
  </si>
  <si>
    <t>LN00465</t>
  </si>
  <si>
    <t>CUST00465</t>
  </si>
  <si>
    <t>LN00466</t>
  </si>
  <si>
    <t>CUST00466</t>
  </si>
  <si>
    <t>2024-02-12</t>
  </si>
  <si>
    <t>LN00467</t>
  </si>
  <si>
    <t>CUST00467</t>
  </si>
  <si>
    <t>LN00468</t>
  </si>
  <si>
    <t>CUST00468</t>
  </si>
  <si>
    <t>2023-09-24</t>
  </si>
  <si>
    <t>LN00469</t>
  </si>
  <si>
    <t>CUST00469</t>
  </si>
  <si>
    <t>2023-05-08</t>
  </si>
  <si>
    <t>LN00470</t>
  </si>
  <si>
    <t>CUST00470</t>
  </si>
  <si>
    <t>2024-09-29</t>
  </si>
  <si>
    <t>LN00471</t>
  </si>
  <si>
    <t>CUST00471</t>
  </si>
  <si>
    <t>2025-08-12</t>
  </si>
  <si>
    <t>LN00472</t>
  </si>
  <si>
    <t>CUST00472</t>
  </si>
  <si>
    <t>2024-05-05</t>
  </si>
  <si>
    <t>LN00473</t>
  </si>
  <si>
    <t>CUST00473</t>
  </si>
  <si>
    <t>2025-02-09</t>
  </si>
  <si>
    <t>LN00474</t>
  </si>
  <si>
    <t>CUST00474</t>
  </si>
  <si>
    <t>2024-06-10</t>
  </si>
  <si>
    <t>LN00475</t>
  </si>
  <si>
    <t>CUST00475</t>
  </si>
  <si>
    <t>LN00476</t>
  </si>
  <si>
    <t>CUST00476</t>
  </si>
  <si>
    <t>2025-01-25</t>
  </si>
  <si>
    <t>LN00477</t>
  </si>
  <si>
    <t>CUST00477</t>
  </si>
  <si>
    <t>LN00478</t>
  </si>
  <si>
    <t>CUST00478</t>
  </si>
  <si>
    <t>LN00479</t>
  </si>
  <si>
    <t>CUST00479</t>
  </si>
  <si>
    <t>LN00480</t>
  </si>
  <si>
    <t>CUST00480</t>
  </si>
  <si>
    <t>LN00481</t>
  </si>
  <si>
    <t>CUST00481</t>
  </si>
  <si>
    <t>2022-04-22</t>
  </si>
  <si>
    <t>LN00482</t>
  </si>
  <si>
    <t>CUST00482</t>
  </si>
  <si>
    <t>2023-04-06</t>
  </si>
  <si>
    <t>LN00483</t>
  </si>
  <si>
    <t>CUST00483</t>
  </si>
  <si>
    <t>LN00484</t>
  </si>
  <si>
    <t>CUST00484</t>
  </si>
  <si>
    <t>2025-04-02</t>
  </si>
  <si>
    <t>LN00485</t>
  </si>
  <si>
    <t>CUST00485</t>
  </si>
  <si>
    <t>2022-05-27</t>
  </si>
  <si>
    <t>LN00486</t>
  </si>
  <si>
    <t>CUST00486</t>
  </si>
  <si>
    <t>LN00487</t>
  </si>
  <si>
    <t>CUST00487</t>
  </si>
  <si>
    <t>LN00488</t>
  </si>
  <si>
    <t>CUST00488</t>
  </si>
  <si>
    <t>LN00489</t>
  </si>
  <si>
    <t>CUST00489</t>
  </si>
  <si>
    <t>2024-03-31</t>
  </si>
  <si>
    <t>LN00490</t>
  </si>
  <si>
    <t>CUST00490</t>
  </si>
  <si>
    <t>LN00491</t>
  </si>
  <si>
    <t>CUST00491</t>
  </si>
  <si>
    <t>LN00492</t>
  </si>
  <si>
    <t>CUST00492</t>
  </si>
  <si>
    <t>2025-06-13</t>
  </si>
  <si>
    <t>LN00493</t>
  </si>
  <si>
    <t>CUST00493</t>
  </si>
  <si>
    <t>2023-03-14</t>
  </si>
  <si>
    <t>LN00494</t>
  </si>
  <si>
    <t>CUST00494</t>
  </si>
  <si>
    <t>2025-05-25</t>
  </si>
  <si>
    <t>LN00495</t>
  </si>
  <si>
    <t>CUST00495</t>
  </si>
  <si>
    <t>LN00496</t>
  </si>
  <si>
    <t>CUST00496</t>
  </si>
  <si>
    <t>2024-02-06</t>
  </si>
  <si>
    <t>LN00497</t>
  </si>
  <si>
    <t>CUST00497</t>
  </si>
  <si>
    <t>2024-01-26</t>
  </si>
  <si>
    <t>LN00498</t>
  </si>
  <si>
    <t>CUST00498</t>
  </si>
  <si>
    <t>2024-02-25</t>
  </si>
  <si>
    <t>LN00499</t>
  </si>
  <si>
    <t>CUST00499</t>
  </si>
  <si>
    <t>2022-12-01</t>
  </si>
  <si>
    <t>LN00500</t>
  </si>
  <si>
    <t>CUST00500</t>
  </si>
  <si>
    <t>2025-06-11</t>
  </si>
  <si>
    <t>LN00501</t>
  </si>
  <si>
    <t>CUST00501</t>
  </si>
  <si>
    <t>2023-07-07</t>
  </si>
  <si>
    <t>LN00502</t>
  </si>
  <si>
    <t>CUST00502</t>
  </si>
  <si>
    <t>2024-03-17</t>
  </si>
  <si>
    <t>LN00503</t>
  </si>
  <si>
    <t>CUST00503</t>
  </si>
  <si>
    <t>2022-11-14</t>
  </si>
  <si>
    <t>LN00504</t>
  </si>
  <si>
    <t>CUST00504</t>
  </si>
  <si>
    <t>2023-05-13</t>
  </si>
  <si>
    <t>LN00505</t>
  </si>
  <si>
    <t>CUST00505</t>
  </si>
  <si>
    <t>LN00506</t>
  </si>
  <si>
    <t>CUST00506</t>
  </si>
  <si>
    <t>2023-12-20</t>
  </si>
  <si>
    <t>LN00507</t>
  </si>
  <si>
    <t>CUST00507</t>
  </si>
  <si>
    <t>2023-08-23</t>
  </si>
  <si>
    <t>LN00508</t>
  </si>
  <si>
    <t>CUST00508</t>
  </si>
  <si>
    <t>LN00509</t>
  </si>
  <si>
    <t>CUST00509</t>
  </si>
  <si>
    <t>2022-08-12</t>
  </si>
  <si>
    <t>LN00510</t>
  </si>
  <si>
    <t>CUST00510</t>
  </si>
  <si>
    <t>LN00511</t>
  </si>
  <si>
    <t>CUST00511</t>
  </si>
  <si>
    <t>2023-12-26</t>
  </si>
  <si>
    <t>LN00512</t>
  </si>
  <si>
    <t>CUST00512</t>
  </si>
  <si>
    <t>2022-03-18</t>
  </si>
  <si>
    <t>LN00513</t>
  </si>
  <si>
    <t>CUST00513</t>
  </si>
  <si>
    <t>2024-02-24</t>
  </si>
  <si>
    <t>LN00514</t>
  </si>
  <si>
    <t>CUST00514</t>
  </si>
  <si>
    <t>2025-12-26</t>
  </si>
  <si>
    <t>LN00515</t>
  </si>
  <si>
    <t>CUST00515</t>
  </si>
  <si>
    <t>LN00516</t>
  </si>
  <si>
    <t>CUST00516</t>
  </si>
  <si>
    <t>2023-03-04</t>
  </si>
  <si>
    <t>LN00517</t>
  </si>
  <si>
    <t>CUST00517</t>
  </si>
  <si>
    <t>2025-12-08</t>
  </si>
  <si>
    <t>LN00518</t>
  </si>
  <si>
    <t>CUST00518</t>
  </si>
  <si>
    <t>2024-05-22</t>
  </si>
  <si>
    <t>LN00519</t>
  </si>
  <si>
    <t>CUST00519</t>
  </si>
  <si>
    <t>2025-06-25</t>
  </si>
  <si>
    <t>LN00520</t>
  </si>
  <si>
    <t>CUST00520</t>
  </si>
  <si>
    <t>2024-05-06</t>
  </si>
  <si>
    <t>LN00521</t>
  </si>
  <si>
    <t>CUST00521</t>
  </si>
  <si>
    <t>2024-08-23</t>
  </si>
  <si>
    <t>LN00522</t>
  </si>
  <si>
    <t>CUST00522</t>
  </si>
  <si>
    <t>2022-02-13</t>
  </si>
  <si>
    <t>LN00523</t>
  </si>
  <si>
    <t>CUST00523</t>
  </si>
  <si>
    <t>LN00524</t>
  </si>
  <si>
    <t>CUST00524</t>
  </si>
  <si>
    <t>2024-05-27</t>
  </si>
  <si>
    <t>LN00525</t>
  </si>
  <si>
    <t>CUST00525</t>
  </si>
  <si>
    <t>2023-03-25</t>
  </si>
  <si>
    <t>LN00526</t>
  </si>
  <si>
    <t>CUST00526</t>
  </si>
  <si>
    <t>2023-06-22</t>
  </si>
  <si>
    <t>LN00527</t>
  </si>
  <si>
    <t>CUST00527</t>
  </si>
  <si>
    <t>2025-05-04</t>
  </si>
  <si>
    <t>LN00528</t>
  </si>
  <si>
    <t>CUST00528</t>
  </si>
  <si>
    <t>2022-10-12</t>
  </si>
  <si>
    <t>LN00529</t>
  </si>
  <si>
    <t>CUST00529</t>
  </si>
  <si>
    <t>2025-04-15</t>
  </si>
  <si>
    <t>LN00530</t>
  </si>
  <si>
    <t>CUST00530</t>
  </si>
  <si>
    <t>2024-06-19</t>
  </si>
  <si>
    <t>LN00531</t>
  </si>
  <si>
    <t>CUST00531</t>
  </si>
  <si>
    <t>2024-02-02</t>
  </si>
  <si>
    <t>LN00532</t>
  </si>
  <si>
    <t>CUST00532</t>
  </si>
  <si>
    <t>2022-11-24</t>
  </si>
  <si>
    <t>LN00533</t>
  </si>
  <si>
    <t>CUST00533</t>
  </si>
  <si>
    <t>LN00534</t>
  </si>
  <si>
    <t>CUST00534</t>
  </si>
  <si>
    <t>2022-02-04</t>
  </si>
  <si>
    <t>LN00535</t>
  </si>
  <si>
    <t>CUST00535</t>
  </si>
  <si>
    <t>2023-08-30</t>
  </si>
  <si>
    <t>LN00536</t>
  </si>
  <si>
    <t>CUST00536</t>
  </si>
  <si>
    <t>2022-08-05</t>
  </si>
  <si>
    <t>LN00537</t>
  </si>
  <si>
    <t>CUST00537</t>
  </si>
  <si>
    <t>LN00538</t>
  </si>
  <si>
    <t>CUST00538</t>
  </si>
  <si>
    <t>2022-01-07</t>
  </si>
  <si>
    <t>LN00539</t>
  </si>
  <si>
    <t>CUST00539</t>
  </si>
  <si>
    <t>LN00540</t>
  </si>
  <si>
    <t>CUST00540</t>
  </si>
  <si>
    <t>2023-01-21</t>
  </si>
  <si>
    <t>LN00541</t>
  </si>
  <si>
    <t>CUST00541</t>
  </si>
  <si>
    <t>2023-07-27</t>
  </si>
  <si>
    <t>LN00542</t>
  </si>
  <si>
    <t>CUST00542</t>
  </si>
  <si>
    <t>LN00543</t>
  </si>
  <si>
    <t>CUST00543</t>
  </si>
  <si>
    <t>2022-08-29</t>
  </si>
  <si>
    <t>LN00544</t>
  </si>
  <si>
    <t>CUST00544</t>
  </si>
  <si>
    <t>LN00545</t>
  </si>
  <si>
    <t>CUST00545</t>
  </si>
  <si>
    <t>LN00546</t>
  </si>
  <si>
    <t>CUST00546</t>
  </si>
  <si>
    <t>2025-12-10</t>
  </si>
  <si>
    <t>LN00547</t>
  </si>
  <si>
    <t>CUST00547</t>
  </si>
  <si>
    <t>LN00548</t>
  </si>
  <si>
    <t>CUST00548</t>
  </si>
  <si>
    <t>LN00549</t>
  </si>
  <si>
    <t>CUST00549</t>
  </si>
  <si>
    <t>2023-11-23</t>
  </si>
  <si>
    <t>LN00550</t>
  </si>
  <si>
    <t>CUST00550</t>
  </si>
  <si>
    <t>2022-03-02</t>
  </si>
  <si>
    <t>LN00551</t>
  </si>
  <si>
    <t>CUST00551</t>
  </si>
  <si>
    <t>2022-08-26</t>
  </si>
  <si>
    <t>LN00552</t>
  </si>
  <si>
    <t>CUST00552</t>
  </si>
  <si>
    <t>2023-02-11</t>
  </si>
  <si>
    <t>LN00553</t>
  </si>
  <si>
    <t>CUST00553</t>
  </si>
  <si>
    <t>2022-01-06</t>
  </si>
  <si>
    <t>LN00554</t>
  </si>
  <si>
    <t>CUST00554</t>
  </si>
  <si>
    <t>2025-04-07</t>
  </si>
  <si>
    <t>LN00555</t>
  </si>
  <si>
    <t>CUST00555</t>
  </si>
  <si>
    <t>2023-11-27</t>
  </si>
  <si>
    <t>LN00556</t>
  </si>
  <si>
    <t>CUST00556</t>
  </si>
  <si>
    <t>2023-07-31</t>
  </si>
  <si>
    <t>LN00557</t>
  </si>
  <si>
    <t>CUST00557</t>
  </si>
  <si>
    <t>2023-10-24</t>
  </si>
  <si>
    <t>LN00558</t>
  </si>
  <si>
    <t>CUST00558</t>
  </si>
  <si>
    <t>2023-06-15</t>
  </si>
  <si>
    <t>LN00559</t>
  </si>
  <si>
    <t>CUST00559</t>
  </si>
  <si>
    <t>2022-10-08</t>
  </si>
  <si>
    <t>LN00560</t>
  </si>
  <si>
    <t>CUST00560</t>
  </si>
  <si>
    <t>2023-11-03</t>
  </si>
  <si>
    <t>LN00561</t>
  </si>
  <si>
    <t>CUST00561</t>
  </si>
  <si>
    <t>2023-09-08</t>
  </si>
  <si>
    <t>LN00562</t>
  </si>
  <si>
    <t>CUST00562</t>
  </si>
  <si>
    <t>2025-10-18</t>
  </si>
  <si>
    <t>LN00563</t>
  </si>
  <si>
    <t>CUST00563</t>
  </si>
  <si>
    <t>LN00564</t>
  </si>
  <si>
    <t>CUST00564</t>
  </si>
  <si>
    <t>2025-03-28</t>
  </si>
  <si>
    <t>LN00565</t>
  </si>
  <si>
    <t>CUST00565</t>
  </si>
  <si>
    <t>LN00566</t>
  </si>
  <si>
    <t>CUST00566</t>
  </si>
  <si>
    <t>2022-09-19</t>
  </si>
  <si>
    <t>LN00567</t>
  </si>
  <si>
    <t>CUST00567</t>
  </si>
  <si>
    <t>2024-01-17</t>
  </si>
  <si>
    <t>LN00568</t>
  </si>
  <si>
    <t>CUST00568</t>
  </si>
  <si>
    <t>2022-07-11</t>
  </si>
  <si>
    <t>LN00569</t>
  </si>
  <si>
    <t>CUST00569</t>
  </si>
  <si>
    <t>LN00570</t>
  </si>
  <si>
    <t>CUST00570</t>
  </si>
  <si>
    <t>2022-06-23</t>
  </si>
  <si>
    <t>LN00571</t>
  </si>
  <si>
    <t>CUST00571</t>
  </si>
  <si>
    <t>LN00572</t>
  </si>
  <si>
    <t>CUST00572</t>
  </si>
  <si>
    <t>2023-11-18</t>
  </si>
  <si>
    <t>LN00573</t>
  </si>
  <si>
    <t>CUST00573</t>
  </si>
  <si>
    <t>2022-08-27</t>
  </si>
  <si>
    <t>LN00574</t>
  </si>
  <si>
    <t>CUST00574</t>
  </si>
  <si>
    <t>LN00575</t>
  </si>
  <si>
    <t>CUST00575</t>
  </si>
  <si>
    <t>LN00576</t>
  </si>
  <si>
    <t>CUST00576</t>
  </si>
  <si>
    <t>2023-10-25</t>
  </si>
  <si>
    <t>LN00577</t>
  </si>
  <si>
    <t>CUST00577</t>
  </si>
  <si>
    <t>2025-07-27</t>
  </si>
  <si>
    <t>LN00578</t>
  </si>
  <si>
    <t>CUST00578</t>
  </si>
  <si>
    <t>LN00579</t>
  </si>
  <si>
    <t>CUST00579</t>
  </si>
  <si>
    <t>2024-10-20</t>
  </si>
  <si>
    <t>LN00580</t>
  </si>
  <si>
    <t>CUST00580</t>
  </si>
  <si>
    <t>LN00581</t>
  </si>
  <si>
    <t>CUST00581</t>
  </si>
  <si>
    <t>2024-03-29</t>
  </si>
  <si>
    <t>LN00582</t>
  </si>
  <si>
    <t>CUST00582</t>
  </si>
  <si>
    <t>2023-04-28</t>
  </si>
  <si>
    <t>LN00583</t>
  </si>
  <si>
    <t>CUST00583</t>
  </si>
  <si>
    <t>2024-05-14</t>
  </si>
  <si>
    <t>LN00584</t>
  </si>
  <si>
    <t>CUST00584</t>
  </si>
  <si>
    <t>LN00585</t>
  </si>
  <si>
    <t>CUST00585</t>
  </si>
  <si>
    <t>2024-10-25</t>
  </si>
  <si>
    <t>LN00586</t>
  </si>
  <si>
    <t>CUST00586</t>
  </si>
  <si>
    <t>LN00587</t>
  </si>
  <si>
    <t>CUST00587</t>
  </si>
  <si>
    <t>LN00588</t>
  </si>
  <si>
    <t>CUST00588</t>
  </si>
  <si>
    <t>2025-08-04</t>
  </si>
  <si>
    <t>LN00589</t>
  </si>
  <si>
    <t>CUST00589</t>
  </si>
  <si>
    <t>2022-07-06</t>
  </si>
  <si>
    <t>LN00590</t>
  </si>
  <si>
    <t>CUST00590</t>
  </si>
  <si>
    <t>2024-04-16</t>
  </si>
  <si>
    <t>LN00591</t>
  </si>
  <si>
    <t>CUST00591</t>
  </si>
  <si>
    <t>2024-04-08</t>
  </si>
  <si>
    <t>LN00592</t>
  </si>
  <si>
    <t>CUST00592</t>
  </si>
  <si>
    <t>2025-08-11</t>
  </si>
  <si>
    <t>LN00593</t>
  </si>
  <si>
    <t>CUST00593</t>
  </si>
  <si>
    <t>2022-06-20</t>
  </si>
  <si>
    <t>LN00594</t>
  </si>
  <si>
    <t>CUST00594</t>
  </si>
  <si>
    <t>2023-10-09</t>
  </si>
  <si>
    <t>LN00595</t>
  </si>
  <si>
    <t>CUST00595</t>
  </si>
  <si>
    <t>2022-07-16</t>
  </si>
  <si>
    <t>LN00596</t>
  </si>
  <si>
    <t>CUST00596</t>
  </si>
  <si>
    <t>2024-11-04</t>
  </si>
  <si>
    <t>LN00597</t>
  </si>
  <si>
    <t>CUST00597</t>
  </si>
  <si>
    <t>2023-12-06</t>
  </si>
  <si>
    <t>LN00598</t>
  </si>
  <si>
    <t>CUST00598</t>
  </si>
  <si>
    <t>2022-09-13</t>
  </si>
  <si>
    <t>LN00599</t>
  </si>
  <si>
    <t>CUST00599</t>
  </si>
  <si>
    <t>LN00600</t>
  </si>
  <si>
    <t>CUST00600</t>
  </si>
  <si>
    <t>2025-11-27</t>
  </si>
  <si>
    <t>LN00601</t>
  </si>
  <si>
    <t>CUST00601</t>
  </si>
  <si>
    <t>LN00602</t>
  </si>
  <si>
    <t>CUST00602</t>
  </si>
  <si>
    <t>2022-09-28</t>
  </si>
  <si>
    <t>LN00603</t>
  </si>
  <si>
    <t>CUST00603</t>
  </si>
  <si>
    <t>2023-07-24</t>
  </si>
  <si>
    <t>LN00604</t>
  </si>
  <si>
    <t>CUST00604</t>
  </si>
  <si>
    <t>2022-04-07</t>
  </si>
  <si>
    <t>LN00605</t>
  </si>
  <si>
    <t>CUST00605</t>
  </si>
  <si>
    <t>LN00606</t>
  </si>
  <si>
    <t>CUST00606</t>
  </si>
  <si>
    <t>2023-06-11</t>
  </si>
  <si>
    <t>LN00607</t>
  </si>
  <si>
    <t>CUST00607</t>
  </si>
  <si>
    <t>2024-01-05</t>
  </si>
  <si>
    <t>LN00608</t>
  </si>
  <si>
    <t>CUST00608</t>
  </si>
  <si>
    <t>LN00609</t>
  </si>
  <si>
    <t>CUST00609</t>
  </si>
  <si>
    <t>LN00610</t>
  </si>
  <si>
    <t>CUST00610</t>
  </si>
  <si>
    <t>2023-02-23</t>
  </si>
  <si>
    <t>LN00611</t>
  </si>
  <si>
    <t>CUST00611</t>
  </si>
  <si>
    <t>LN00612</t>
  </si>
  <si>
    <t>CUST00612</t>
  </si>
  <si>
    <t>2025-01-20</t>
  </si>
  <si>
    <t>LN00613</t>
  </si>
  <si>
    <t>CUST00613</t>
  </si>
  <si>
    <t>2023-08-28</t>
  </si>
  <si>
    <t>LN00614</t>
  </si>
  <si>
    <t>CUST00614</t>
  </si>
  <si>
    <t>LN00615</t>
  </si>
  <si>
    <t>CUST00615</t>
  </si>
  <si>
    <t>2024-04-02</t>
  </si>
  <si>
    <t>LN00616</t>
  </si>
  <si>
    <t>CUST00616</t>
  </si>
  <si>
    <t>LN00617</t>
  </si>
  <si>
    <t>CUST00617</t>
  </si>
  <si>
    <t>LN00618</t>
  </si>
  <si>
    <t>CUST00618</t>
  </si>
  <si>
    <t>2023-05-16</t>
  </si>
  <si>
    <t>LN00619</t>
  </si>
  <si>
    <t>CUST00619</t>
  </si>
  <si>
    <t>2022-05-14</t>
  </si>
  <si>
    <t>LN00620</t>
  </si>
  <si>
    <t>CUST00620</t>
  </si>
  <si>
    <t>LN00621</t>
  </si>
  <si>
    <t>CUST00621</t>
  </si>
  <si>
    <t>LN00622</t>
  </si>
  <si>
    <t>CUST00622</t>
  </si>
  <si>
    <t>LN00623</t>
  </si>
  <si>
    <t>CUST00623</t>
  </si>
  <si>
    <t>LN00624</t>
  </si>
  <si>
    <t>CUST00624</t>
  </si>
  <si>
    <t>LN00625</t>
  </si>
  <si>
    <t>CUST00625</t>
  </si>
  <si>
    <t>2022-05-09</t>
  </si>
  <si>
    <t>LN00626</t>
  </si>
  <si>
    <t>CUST00626</t>
  </si>
  <si>
    <t>LN00627</t>
  </si>
  <si>
    <t>CUST00627</t>
  </si>
  <si>
    <t>LN00628</t>
  </si>
  <si>
    <t>CUST00628</t>
  </si>
  <si>
    <t>2025-08-14</t>
  </si>
  <si>
    <t>LN00629</t>
  </si>
  <si>
    <t>CUST00629</t>
  </si>
  <si>
    <t>2025-01-31</t>
  </si>
  <si>
    <t>LN00630</t>
  </si>
  <si>
    <t>CUST00630</t>
  </si>
  <si>
    <t>LN00631</t>
  </si>
  <si>
    <t>CUST00631</t>
  </si>
  <si>
    <t>2023-03-06</t>
  </si>
  <si>
    <t>LN00632</t>
  </si>
  <si>
    <t>CUST00632</t>
  </si>
  <si>
    <t>LN00633</t>
  </si>
  <si>
    <t>CUST00633</t>
  </si>
  <si>
    <t>LN00634</t>
  </si>
  <si>
    <t>CUST00634</t>
  </si>
  <si>
    <t>LN00635</t>
  </si>
  <si>
    <t>CUST00635</t>
  </si>
  <si>
    <t>2022-05-11</t>
  </si>
  <si>
    <t>LN00636</t>
  </si>
  <si>
    <t>CUST00636</t>
  </si>
  <si>
    <t>LN00637</t>
  </si>
  <si>
    <t>CUST00637</t>
  </si>
  <si>
    <t>LN00638</t>
  </si>
  <si>
    <t>CUST00638</t>
  </si>
  <si>
    <t>2022-01-15</t>
  </si>
  <si>
    <t>LN00639</t>
  </si>
  <si>
    <t>CUST00639</t>
  </si>
  <si>
    <t>2022-07-03</t>
  </si>
  <si>
    <t>LN00640</t>
  </si>
  <si>
    <t>CUST00640</t>
  </si>
  <si>
    <t>2024-11-14</t>
  </si>
  <si>
    <t>LN00641</t>
  </si>
  <si>
    <t>CUST00641</t>
  </si>
  <si>
    <t>LN00642</t>
  </si>
  <si>
    <t>CUST00642</t>
  </si>
  <si>
    <t>2025-09-05</t>
  </si>
  <si>
    <t>LN00643</t>
  </si>
  <si>
    <t>CUST00643</t>
  </si>
  <si>
    <t>2022-03-12</t>
  </si>
  <si>
    <t>LN00644</t>
  </si>
  <si>
    <t>CUST00644</t>
  </si>
  <si>
    <t>2022-07-02</t>
  </si>
  <si>
    <t>LN00645</t>
  </si>
  <si>
    <t>CUST00645</t>
  </si>
  <si>
    <t>LN00646</t>
  </si>
  <si>
    <t>CUST00646</t>
  </si>
  <si>
    <t>2024-10-11</t>
  </si>
  <si>
    <t>LN00647</t>
  </si>
  <si>
    <t>CUST00647</t>
  </si>
  <si>
    <t>2025-02-10</t>
  </si>
  <si>
    <t>LN00648</t>
  </si>
  <si>
    <t>CUST00648</t>
  </si>
  <si>
    <t>LN00649</t>
  </si>
  <si>
    <t>CUST00649</t>
  </si>
  <si>
    <t>2022-12-16</t>
  </si>
  <si>
    <t>LN00650</t>
  </si>
  <si>
    <t>CUST00650</t>
  </si>
  <si>
    <t>2025-07-25</t>
  </si>
  <si>
    <t>LN00651</t>
  </si>
  <si>
    <t>CUST00651</t>
  </si>
  <si>
    <t>LN00652</t>
  </si>
  <si>
    <t>CUST00652</t>
  </si>
  <si>
    <t>LN00653</t>
  </si>
  <si>
    <t>CUST00653</t>
  </si>
  <si>
    <t>LN00654</t>
  </si>
  <si>
    <t>CUST00654</t>
  </si>
  <si>
    <t>LN00655</t>
  </si>
  <si>
    <t>CUST00655</t>
  </si>
  <si>
    <t>LN00656</t>
  </si>
  <si>
    <t>CUST00656</t>
  </si>
  <si>
    <t>2023-08-10</t>
  </si>
  <si>
    <t>LN00657</t>
  </si>
  <si>
    <t>CUST00657</t>
  </si>
  <si>
    <t>LN00658</t>
  </si>
  <si>
    <t>CUST00658</t>
  </si>
  <si>
    <t>2024-03-08</t>
  </si>
  <si>
    <t>LN00659</t>
  </si>
  <si>
    <t>CUST00659</t>
  </si>
  <si>
    <t>LN00660</t>
  </si>
  <si>
    <t>CUST00660</t>
  </si>
  <si>
    <t>LN00661</t>
  </si>
  <si>
    <t>CUST00661</t>
  </si>
  <si>
    <t>2025-08-13</t>
  </si>
  <si>
    <t>LN00662</t>
  </si>
  <si>
    <t>CUST00662</t>
  </si>
  <si>
    <t>2025-07-23</t>
  </si>
  <si>
    <t>LN00663</t>
  </si>
  <si>
    <t>CUST00663</t>
  </si>
  <si>
    <t>2022-06-22</t>
  </si>
  <si>
    <t>LN00664</t>
  </si>
  <si>
    <t>CUST00664</t>
  </si>
  <si>
    <t>LN00665</t>
  </si>
  <si>
    <t>CUST00665</t>
  </si>
  <si>
    <t>2023-02-06</t>
  </si>
  <si>
    <t>LN00666</t>
  </si>
  <si>
    <t>CUST00666</t>
  </si>
  <si>
    <t>2023-04-18</t>
  </si>
  <si>
    <t>LN00667</t>
  </si>
  <si>
    <t>CUST00667</t>
  </si>
  <si>
    <t>LN00668</t>
  </si>
  <si>
    <t>CUST00668</t>
  </si>
  <si>
    <t>2025-08-29</t>
  </si>
  <si>
    <t>LN00669</t>
  </si>
  <si>
    <t>CUST00669</t>
  </si>
  <si>
    <t>2022-11-01</t>
  </si>
  <si>
    <t>LN00670</t>
  </si>
  <si>
    <t>CUST00670</t>
  </si>
  <si>
    <t>LN00671</t>
  </si>
  <si>
    <t>CUST00671</t>
  </si>
  <si>
    <t>2025-02-07</t>
  </si>
  <si>
    <t>LN00672</t>
  </si>
  <si>
    <t>CUST00672</t>
  </si>
  <si>
    <t>LN00673</t>
  </si>
  <si>
    <t>CUST00673</t>
  </si>
  <si>
    <t>LN00674</t>
  </si>
  <si>
    <t>CUST00674</t>
  </si>
  <si>
    <t>2025-07-12</t>
  </si>
  <si>
    <t>LN00675</t>
  </si>
  <si>
    <t>CUST00675</t>
  </si>
  <si>
    <t>2022-04-11</t>
  </si>
  <si>
    <t>LN00676</t>
  </si>
  <si>
    <t>CUST00676</t>
  </si>
  <si>
    <t>LN00677</t>
  </si>
  <si>
    <t>CUST00677</t>
  </si>
  <si>
    <t>LN00678</t>
  </si>
  <si>
    <t>CUST00678</t>
  </si>
  <si>
    <t>2024-08-25</t>
  </si>
  <si>
    <t>LN00679</t>
  </si>
  <si>
    <t>CUST00679</t>
  </si>
  <si>
    <t>LN00680</t>
  </si>
  <si>
    <t>CUST00680</t>
  </si>
  <si>
    <t>2022-11-20</t>
  </si>
  <si>
    <t>LN00681</t>
  </si>
  <si>
    <t>CUST00681</t>
  </si>
  <si>
    <t>2022-02-06</t>
  </si>
  <si>
    <t>LN00682</t>
  </si>
  <si>
    <t>CUST00682</t>
  </si>
  <si>
    <t>2025-02-25</t>
  </si>
  <si>
    <t>LN00683</t>
  </si>
  <si>
    <t>CUST00683</t>
  </si>
  <si>
    <t>2025-06-18</t>
  </si>
  <si>
    <t>LN00684</t>
  </si>
  <si>
    <t>CUST00684</t>
  </si>
  <si>
    <t>LN00685</t>
  </si>
  <si>
    <t>CUST00685</t>
  </si>
  <si>
    <t>LN00686</t>
  </si>
  <si>
    <t>CUST00686</t>
  </si>
  <si>
    <t>2025-12-07</t>
  </si>
  <si>
    <t>LN00687</t>
  </si>
  <si>
    <t>CUST00687</t>
  </si>
  <si>
    <t>2023-12-18</t>
  </si>
  <si>
    <t>LN00688</t>
  </si>
  <si>
    <t>CUST00688</t>
  </si>
  <si>
    <t>2022-07-23</t>
  </si>
  <si>
    <t>LN00689</t>
  </si>
  <si>
    <t>CUST00689</t>
  </si>
  <si>
    <t>2022-02-05</t>
  </si>
  <si>
    <t>LN00690</t>
  </si>
  <si>
    <t>CUST00690</t>
  </si>
  <si>
    <t>LN00691</t>
  </si>
  <si>
    <t>CUST00691</t>
  </si>
  <si>
    <t>LN00692</t>
  </si>
  <si>
    <t>CUST00692</t>
  </si>
  <si>
    <t>2023-07-04</t>
  </si>
  <si>
    <t>LN00693</t>
  </si>
  <si>
    <t>CUST00693</t>
  </si>
  <si>
    <t>2023-08-03</t>
  </si>
  <si>
    <t>LN00694</t>
  </si>
  <si>
    <t>CUST00694</t>
  </si>
  <si>
    <t>2022-06-11</t>
  </si>
  <si>
    <t>LN00695</t>
  </si>
  <si>
    <t>CUST00695</t>
  </si>
  <si>
    <t>2022-09-08</t>
  </si>
  <si>
    <t>LN00696</t>
  </si>
  <si>
    <t>CUST00696</t>
  </si>
  <si>
    <t>LN00697</t>
  </si>
  <si>
    <t>CUST00697</t>
  </si>
  <si>
    <t>2022-11-04</t>
  </si>
  <si>
    <t>LN00698</t>
  </si>
  <si>
    <t>CUST00698</t>
  </si>
  <si>
    <t>LN00699</t>
  </si>
  <si>
    <t>CUST00699</t>
  </si>
  <si>
    <t>2023-06-29</t>
  </si>
  <si>
    <t>LN00700</t>
  </si>
  <si>
    <t>CUST00700</t>
  </si>
  <si>
    <t>2022-07-14</t>
  </si>
  <si>
    <t>LN00701</t>
  </si>
  <si>
    <t>CUST00701</t>
  </si>
  <si>
    <t>2024-08-01</t>
  </si>
  <si>
    <t>LN00702</t>
  </si>
  <si>
    <t>CUST00702</t>
  </si>
  <si>
    <t>2023-02-15</t>
  </si>
  <si>
    <t>LN00703</t>
  </si>
  <si>
    <t>CUST00703</t>
  </si>
  <si>
    <t>2024-10-17</t>
  </si>
  <si>
    <t>LN00704</t>
  </si>
  <si>
    <t>CUST00704</t>
  </si>
  <si>
    <t>2023-05-22</t>
  </si>
  <si>
    <t>LN00705</t>
  </si>
  <si>
    <t>CUST00705</t>
  </si>
  <si>
    <t>LN00706</t>
  </si>
  <si>
    <t>CUST00706</t>
  </si>
  <si>
    <t>LN00707</t>
  </si>
  <si>
    <t>CUST00707</t>
  </si>
  <si>
    <t>LN00708</t>
  </si>
  <si>
    <t>CUST00708</t>
  </si>
  <si>
    <t>2023-12-29</t>
  </si>
  <si>
    <t>LN00709</t>
  </si>
  <si>
    <t>CUST00709</t>
  </si>
  <si>
    <t>LN00710</t>
  </si>
  <si>
    <t>CUST00710</t>
  </si>
  <si>
    <t>LN00711</t>
  </si>
  <si>
    <t>CUST00711</t>
  </si>
  <si>
    <t>2024-11-20</t>
  </si>
  <si>
    <t>LN00712</t>
  </si>
  <si>
    <t>CUST00712</t>
  </si>
  <si>
    <t>LN00713</t>
  </si>
  <si>
    <t>CUST00713</t>
  </si>
  <si>
    <t>2025-12-24</t>
  </si>
  <si>
    <t>LN00714</t>
  </si>
  <si>
    <t>CUST00714</t>
  </si>
  <si>
    <t>LN00715</t>
  </si>
  <si>
    <t>CUST00715</t>
  </si>
  <si>
    <t>LN00716</t>
  </si>
  <si>
    <t>CUST00716</t>
  </si>
  <si>
    <t>LN00717</t>
  </si>
  <si>
    <t>CUST00717</t>
  </si>
  <si>
    <t>2024-09-27</t>
  </si>
  <si>
    <t>LN00718</t>
  </si>
  <si>
    <t>CUST00718</t>
  </si>
  <si>
    <t>LN00719</t>
  </si>
  <si>
    <t>CUST00719</t>
  </si>
  <si>
    <t>2024-06-18</t>
  </si>
  <si>
    <t>LN00720</t>
  </si>
  <si>
    <t>CUST00720</t>
  </si>
  <si>
    <t>LN00721</t>
  </si>
  <si>
    <t>CUST00721</t>
  </si>
  <si>
    <t>2025-03-07</t>
  </si>
  <si>
    <t>LN00722</t>
  </si>
  <si>
    <t>CUST00722</t>
  </si>
  <si>
    <t>2025-03-29</t>
  </si>
  <si>
    <t>LN00723</t>
  </si>
  <si>
    <t>CUST00723</t>
  </si>
  <si>
    <t>LN00724</t>
  </si>
  <si>
    <t>CUST00724</t>
  </si>
  <si>
    <t>LN00725</t>
  </si>
  <si>
    <t>CUST00725</t>
  </si>
  <si>
    <t>LN00726</t>
  </si>
  <si>
    <t>CUST00726</t>
  </si>
  <si>
    <t>2025-09-22</t>
  </si>
  <si>
    <t>LN00727</t>
  </si>
  <si>
    <t>CUST00727</t>
  </si>
  <si>
    <t>2022-12-25</t>
  </si>
  <si>
    <t>LN00728</t>
  </si>
  <si>
    <t>CUST00728</t>
  </si>
  <si>
    <t>LN00729</t>
  </si>
  <si>
    <t>CUST00729</t>
  </si>
  <si>
    <t>2024-01-03</t>
  </si>
  <si>
    <t>LN00730</t>
  </si>
  <si>
    <t>CUST00730</t>
  </si>
  <si>
    <t>LN00731</t>
  </si>
  <si>
    <t>CUST00731</t>
  </si>
  <si>
    <t>2025-02-19</t>
  </si>
  <si>
    <t>LN00732</t>
  </si>
  <si>
    <t>CUST00732</t>
  </si>
  <si>
    <t>2022-05-31</t>
  </si>
  <si>
    <t>LN00733</t>
  </si>
  <si>
    <t>CUST00733</t>
  </si>
  <si>
    <t>LN00734</t>
  </si>
  <si>
    <t>CUST00734</t>
  </si>
  <si>
    <t>2025-04-23</t>
  </si>
  <si>
    <t>LN00735</t>
  </si>
  <si>
    <t>CUST00735</t>
  </si>
  <si>
    <t>2023-04-11</t>
  </si>
  <si>
    <t>LN00736</t>
  </si>
  <si>
    <t>CUST00736</t>
  </si>
  <si>
    <t>LN00737</t>
  </si>
  <si>
    <t>CUST00737</t>
  </si>
  <si>
    <t>LN00738</t>
  </si>
  <si>
    <t>CUST00738</t>
  </si>
  <si>
    <t>2023-03-27</t>
  </si>
  <si>
    <t>LN00739</t>
  </si>
  <si>
    <t>CUST00739</t>
  </si>
  <si>
    <t>LN00740</t>
  </si>
  <si>
    <t>CUST00740</t>
  </si>
  <si>
    <t>2022-03-24</t>
  </si>
  <si>
    <t>LN00741</t>
  </si>
  <si>
    <t>CUST00741</t>
  </si>
  <si>
    <t>LN00742</t>
  </si>
  <si>
    <t>CUST00742</t>
  </si>
  <si>
    <t>LN00743</t>
  </si>
  <si>
    <t>CUST00743</t>
  </si>
  <si>
    <t>2025-06-09</t>
  </si>
  <si>
    <t>LN00744</t>
  </si>
  <si>
    <t>CUST00744</t>
  </si>
  <si>
    <t>2025-05-30</t>
  </si>
  <si>
    <t>LN00745</t>
  </si>
  <si>
    <t>CUST00745</t>
  </si>
  <si>
    <t>2023-10-03</t>
  </si>
  <si>
    <t>LN00746</t>
  </si>
  <si>
    <t>CUST00746</t>
  </si>
  <si>
    <t>2022-07-15</t>
  </si>
  <si>
    <t>LN00747</t>
  </si>
  <si>
    <t>CUST00747</t>
  </si>
  <si>
    <t>2024-11-13</t>
  </si>
  <si>
    <t>LN00748</t>
  </si>
  <si>
    <t>CUST00748</t>
  </si>
  <si>
    <t>2023-06-13</t>
  </si>
  <si>
    <t>LN00749</t>
  </si>
  <si>
    <t>CUST00749</t>
  </si>
  <si>
    <t>2022-08-15</t>
  </si>
  <si>
    <t>LN00750</t>
  </si>
  <si>
    <t>CUST00750</t>
  </si>
  <si>
    <t>2024-02-10</t>
  </si>
  <si>
    <t>LN00751</t>
  </si>
  <si>
    <t>CUST00751</t>
  </si>
  <si>
    <t>2024-01-25</t>
  </si>
  <si>
    <t>LN00752</t>
  </si>
  <si>
    <t>CUST00752</t>
  </si>
  <si>
    <t>2024-11-27</t>
  </si>
  <si>
    <t>LN00753</t>
  </si>
  <si>
    <t>CUST00753</t>
  </si>
  <si>
    <t>2024-11-02</t>
  </si>
  <si>
    <t>LN00754</t>
  </si>
  <si>
    <t>CUST00754</t>
  </si>
  <si>
    <t>2022-06-21</t>
  </si>
  <si>
    <t>LN00755</t>
  </si>
  <si>
    <t>CUST00755</t>
  </si>
  <si>
    <t>2025-02-01</t>
  </si>
  <si>
    <t>LN00756</t>
  </si>
  <si>
    <t>CUST00756</t>
  </si>
  <si>
    <t>LN00757</t>
  </si>
  <si>
    <t>CUST00757</t>
  </si>
  <si>
    <t>2023-11-15</t>
  </si>
  <si>
    <t>LN00758</t>
  </si>
  <si>
    <t>CUST00758</t>
  </si>
  <si>
    <t>2024-07-20</t>
  </si>
  <si>
    <t>LN00759</t>
  </si>
  <si>
    <t>CUST00759</t>
  </si>
  <si>
    <t>2023-02-04</t>
  </si>
  <si>
    <t>LN00760</t>
  </si>
  <si>
    <t>CUST00760</t>
  </si>
  <si>
    <t>LN00761</t>
  </si>
  <si>
    <t>CUST00761</t>
  </si>
  <si>
    <t>2025-09-11</t>
  </si>
  <si>
    <t>LN00762</t>
  </si>
  <si>
    <t>CUST00762</t>
  </si>
  <si>
    <t>2024-12-29</t>
  </si>
  <si>
    <t>LN00763</t>
  </si>
  <si>
    <t>CUST00763</t>
  </si>
  <si>
    <t>LN00764</t>
  </si>
  <si>
    <t>CUST00764</t>
  </si>
  <si>
    <t>LN00765</t>
  </si>
  <si>
    <t>CUST00765</t>
  </si>
  <si>
    <t>LN00766</t>
  </si>
  <si>
    <t>CUST00766</t>
  </si>
  <si>
    <t>2022-02-16</t>
  </si>
  <si>
    <t>LN00767</t>
  </si>
  <si>
    <t>CUST00767</t>
  </si>
  <si>
    <t>LN00768</t>
  </si>
  <si>
    <t>CUST00768</t>
  </si>
  <si>
    <t>2023-10-07</t>
  </si>
  <si>
    <t>LN00769</t>
  </si>
  <si>
    <t>CUST00769</t>
  </si>
  <si>
    <t>LN00770</t>
  </si>
  <si>
    <t>CUST00770</t>
  </si>
  <si>
    <t>2023-08-25</t>
  </si>
  <si>
    <t>LN00771</t>
  </si>
  <si>
    <t>CUST00771</t>
  </si>
  <si>
    <t>2024-12-25</t>
  </si>
  <si>
    <t>LN00772</t>
  </si>
  <si>
    <t>CUST00772</t>
  </si>
  <si>
    <t>LN00773</t>
  </si>
  <si>
    <t>CUST00773</t>
  </si>
  <si>
    <t>LN00774</t>
  </si>
  <si>
    <t>CUST00774</t>
  </si>
  <si>
    <t>2025-10-20</t>
  </si>
  <si>
    <t>LN00775</t>
  </si>
  <si>
    <t>CUST00775</t>
  </si>
  <si>
    <t>LN00776</t>
  </si>
  <si>
    <t>CUST00776</t>
  </si>
  <si>
    <t>LN00777</t>
  </si>
  <si>
    <t>CUST00777</t>
  </si>
  <si>
    <t>2023-03-12</t>
  </si>
  <si>
    <t>LN00778</t>
  </si>
  <si>
    <t>CUST00778</t>
  </si>
  <si>
    <t>2025-08-31</t>
  </si>
  <si>
    <t>LN00779</t>
  </si>
  <si>
    <t>CUST00779</t>
  </si>
  <si>
    <t>LN00780</t>
  </si>
  <si>
    <t>CUST00780</t>
  </si>
  <si>
    <t>LN00781</t>
  </si>
  <si>
    <t>CUST00781</t>
  </si>
  <si>
    <t>LN00782</t>
  </si>
  <si>
    <t>CUST00782</t>
  </si>
  <si>
    <t>2023-07-28</t>
  </si>
  <si>
    <t>LN00783</t>
  </si>
  <si>
    <t>CUST00783</t>
  </si>
  <si>
    <t>LN00784</t>
  </si>
  <si>
    <t>CUST00784</t>
  </si>
  <si>
    <t>LN00785</t>
  </si>
  <si>
    <t>CUST00785</t>
  </si>
  <si>
    <t>2023-09-09</t>
  </si>
  <si>
    <t>LN00786</t>
  </si>
  <si>
    <t>CUST00786</t>
  </si>
  <si>
    <t>LN00787</t>
  </si>
  <si>
    <t>CUST00787</t>
  </si>
  <si>
    <t>2025-05-16</t>
  </si>
  <si>
    <t>LN00788</t>
  </si>
  <si>
    <t>CUST00788</t>
  </si>
  <si>
    <t>LN00789</t>
  </si>
  <si>
    <t>CUST00789</t>
  </si>
  <si>
    <t>2025-04-26</t>
  </si>
  <si>
    <t>LN00790</t>
  </si>
  <si>
    <t>CUST00790</t>
  </si>
  <si>
    <t>LN00791</t>
  </si>
  <si>
    <t>CUST00791</t>
  </si>
  <si>
    <t>2025-09-15</t>
  </si>
  <si>
    <t>LN00792</t>
  </si>
  <si>
    <t>CUST00792</t>
  </si>
  <si>
    <t>LN00793</t>
  </si>
  <si>
    <t>CUST00793</t>
  </si>
  <si>
    <t>LN00794</t>
  </si>
  <si>
    <t>CUST00794</t>
  </si>
  <si>
    <t>2023-12-11</t>
  </si>
  <si>
    <t>LN00795</t>
  </si>
  <si>
    <t>CUST00795</t>
  </si>
  <si>
    <t>2023-05-24</t>
  </si>
  <si>
    <t>LN00796</t>
  </si>
  <si>
    <t>CUST00796</t>
  </si>
  <si>
    <t>2024-02-22</t>
  </si>
  <si>
    <t>LN00797</t>
  </si>
  <si>
    <t>CUST00797</t>
  </si>
  <si>
    <t>LN00798</t>
  </si>
  <si>
    <t>CUST00798</t>
  </si>
  <si>
    <t>2025-08-25</t>
  </si>
  <si>
    <t>LN00799</t>
  </si>
  <si>
    <t>CUST00799</t>
  </si>
  <si>
    <t>2023-01-08</t>
  </si>
  <si>
    <t>LN00800</t>
  </si>
  <si>
    <t>CUST00800</t>
  </si>
  <si>
    <t>2025-05-19</t>
  </si>
  <si>
    <t>LN00801</t>
  </si>
  <si>
    <t>CUST00801</t>
  </si>
  <si>
    <t>2025-01-22</t>
  </si>
  <si>
    <t>LN00802</t>
  </si>
  <si>
    <t>CUST00802</t>
  </si>
  <si>
    <t>LN00803</t>
  </si>
  <si>
    <t>CUST00803</t>
  </si>
  <si>
    <t>LN00804</t>
  </si>
  <si>
    <t>CUST00804</t>
  </si>
  <si>
    <t>2023-07-21</t>
  </si>
  <si>
    <t>LN00805</t>
  </si>
  <si>
    <t>CUST00805</t>
  </si>
  <si>
    <t>2022-02-25</t>
  </si>
  <si>
    <t>LN00806</t>
  </si>
  <si>
    <t>CUST00806</t>
  </si>
  <si>
    <t>LN00807</t>
  </si>
  <si>
    <t>CUST00807</t>
  </si>
  <si>
    <t>2024-03-05</t>
  </si>
  <si>
    <t>LN00808</t>
  </si>
  <si>
    <t>CUST00808</t>
  </si>
  <si>
    <t>2023-02-13</t>
  </si>
  <si>
    <t>LN00809</t>
  </si>
  <si>
    <t>CUST00809</t>
  </si>
  <si>
    <t>2025-06-04</t>
  </si>
  <si>
    <t>LN00810</t>
  </si>
  <si>
    <t>CUST00810</t>
  </si>
  <si>
    <t>LN00811</t>
  </si>
  <si>
    <t>CUST00811</t>
  </si>
  <si>
    <t>LN00812</t>
  </si>
  <si>
    <t>CUST00812</t>
  </si>
  <si>
    <t>2022-11-22</t>
  </si>
  <si>
    <t>LN00813</t>
  </si>
  <si>
    <t>CUST00813</t>
  </si>
  <si>
    <t>2025-11-12</t>
  </si>
  <si>
    <t>LN00814</t>
  </si>
  <si>
    <t>CUST00814</t>
  </si>
  <si>
    <t>2022-07-21</t>
  </si>
  <si>
    <t>LN00815</t>
  </si>
  <si>
    <t>CUST00815</t>
  </si>
  <si>
    <t>2022-09-10</t>
  </si>
  <si>
    <t>LN00816</t>
  </si>
  <si>
    <t>CUST00816</t>
  </si>
  <si>
    <t>2025-07-15</t>
  </si>
  <si>
    <t>LN00817</t>
  </si>
  <si>
    <t>CUST00817</t>
  </si>
  <si>
    <t>LN00818</t>
  </si>
  <si>
    <t>CUST00818</t>
  </si>
  <si>
    <t>LN00819</t>
  </si>
  <si>
    <t>CUST00819</t>
  </si>
  <si>
    <t>LN00820</t>
  </si>
  <si>
    <t>CUST00820</t>
  </si>
  <si>
    <t>LN00821</t>
  </si>
  <si>
    <t>CUST00821</t>
  </si>
  <si>
    <t>2025-10-02</t>
  </si>
  <si>
    <t>LN00822</t>
  </si>
  <si>
    <t>CUST00822</t>
  </si>
  <si>
    <t>2022-09-21</t>
  </si>
  <si>
    <t>LN00823</t>
  </si>
  <si>
    <t>CUST00823</t>
  </si>
  <si>
    <t>LN00824</t>
  </si>
  <si>
    <t>CUST00824</t>
  </si>
  <si>
    <t>2023-02-01</t>
  </si>
  <si>
    <t>LN00825</t>
  </si>
  <si>
    <t>CUST00825</t>
  </si>
  <si>
    <t>2024-10-16</t>
  </si>
  <si>
    <t>LN00826</t>
  </si>
  <si>
    <t>CUST00826</t>
  </si>
  <si>
    <t>2023-06-26</t>
  </si>
  <si>
    <t>LN00827</t>
  </si>
  <si>
    <t>CUST00827</t>
  </si>
  <si>
    <t>2024-05-15</t>
  </si>
  <si>
    <t>LN00828</t>
  </si>
  <si>
    <t>CUST00828</t>
  </si>
  <si>
    <t>2024-03-11</t>
  </si>
  <si>
    <t>LN00829</t>
  </si>
  <si>
    <t>CUST00829</t>
  </si>
  <si>
    <t>LN00830</t>
  </si>
  <si>
    <t>CUST00830</t>
  </si>
  <si>
    <t>2024-10-07</t>
  </si>
  <si>
    <t>LN00831</t>
  </si>
  <si>
    <t>CUST00831</t>
  </si>
  <si>
    <t>LN00832</t>
  </si>
  <si>
    <t>CUST00832</t>
  </si>
  <si>
    <t>LN00833</t>
  </si>
  <si>
    <t>CUST00833</t>
  </si>
  <si>
    <t>2024-02-11</t>
  </si>
  <si>
    <t>LN00834</t>
  </si>
  <si>
    <t>CUST00834</t>
  </si>
  <si>
    <t>LN00835</t>
  </si>
  <si>
    <t>CUST00835</t>
  </si>
  <si>
    <t>LN00836</t>
  </si>
  <si>
    <t>CUST00836</t>
  </si>
  <si>
    <t>2025-04-28</t>
  </si>
  <si>
    <t>LN00837</t>
  </si>
  <si>
    <t>CUST00837</t>
  </si>
  <si>
    <t>LN00838</t>
  </si>
  <si>
    <t>CUST00838</t>
  </si>
  <si>
    <t>2023-12-02</t>
  </si>
  <si>
    <t>LN00839</t>
  </si>
  <si>
    <t>CUST00839</t>
  </si>
  <si>
    <t>LN00840</t>
  </si>
  <si>
    <t>CUST00840</t>
  </si>
  <si>
    <t>2022-12-17</t>
  </si>
  <si>
    <t>LN00841</t>
  </si>
  <si>
    <t>CUST00841</t>
  </si>
  <si>
    <t>2024-01-10</t>
  </si>
  <si>
    <t>LN00842</t>
  </si>
  <si>
    <t>CUST00842</t>
  </si>
  <si>
    <t>LN00843</t>
  </si>
  <si>
    <t>CUST00843</t>
  </si>
  <si>
    <t>2023-03-05</t>
  </si>
  <si>
    <t>LN00844</t>
  </si>
  <si>
    <t>CUST00844</t>
  </si>
  <si>
    <t>LN00845</t>
  </si>
  <si>
    <t>CUST00845</t>
  </si>
  <si>
    <t>2025-07-11</t>
  </si>
  <si>
    <t>LN00846</t>
  </si>
  <si>
    <t>CUST00846</t>
  </si>
  <si>
    <t>2024-07-07</t>
  </si>
  <si>
    <t>LN00847</t>
  </si>
  <si>
    <t>CUST00847</t>
  </si>
  <si>
    <t>2024-09-05</t>
  </si>
  <si>
    <t>LN00848</t>
  </si>
  <si>
    <t>CUST00848</t>
  </si>
  <si>
    <t>LN00849</t>
  </si>
  <si>
    <t>CUST00849</t>
  </si>
  <si>
    <t>2022-11-26</t>
  </si>
  <si>
    <t>LN00850</t>
  </si>
  <si>
    <t>CUST00850</t>
  </si>
  <si>
    <t>LN00851</t>
  </si>
  <si>
    <t>CUST00851</t>
  </si>
  <si>
    <t>LN00852</t>
  </si>
  <si>
    <t>CUST00852</t>
  </si>
  <si>
    <t>2024-03-21</t>
  </si>
  <si>
    <t>LN00853</t>
  </si>
  <si>
    <t>CUST00853</t>
  </si>
  <si>
    <t>2023-09-16</t>
  </si>
  <si>
    <t>LN00854</t>
  </si>
  <si>
    <t>CUST00854</t>
  </si>
  <si>
    <t>LN00855</t>
  </si>
  <si>
    <t>CUST00855</t>
  </si>
  <si>
    <t>LN00856</t>
  </si>
  <si>
    <t>CUST00856</t>
  </si>
  <si>
    <t>2023-05-23</t>
  </si>
  <si>
    <t>LN00857</t>
  </si>
  <si>
    <t>CUST00857</t>
  </si>
  <si>
    <t>LN00858</t>
  </si>
  <si>
    <t>CUST00858</t>
  </si>
  <si>
    <t>LN00859</t>
  </si>
  <si>
    <t>CUST00859</t>
  </si>
  <si>
    <t>LN00860</t>
  </si>
  <si>
    <t>CUST00860</t>
  </si>
  <si>
    <t>LN00861</t>
  </si>
  <si>
    <t>CUST00861</t>
  </si>
  <si>
    <t>2024-01-27</t>
  </si>
  <si>
    <t>LN00862</t>
  </si>
  <si>
    <t>CUST00862</t>
  </si>
  <si>
    <t>LN00863</t>
  </si>
  <si>
    <t>CUST00863</t>
  </si>
  <si>
    <t>2025-09-23</t>
  </si>
  <si>
    <t>LN00864</t>
  </si>
  <si>
    <t>CUST00864</t>
  </si>
  <si>
    <t>2023-02-12</t>
  </si>
  <si>
    <t>LN00865</t>
  </si>
  <si>
    <t>CUST00865</t>
  </si>
  <si>
    <t>2025-02-05</t>
  </si>
  <si>
    <t>LN00866</t>
  </si>
  <si>
    <t>CUST00866</t>
  </si>
  <si>
    <t>2023-11-13</t>
  </si>
  <si>
    <t>LN00867</t>
  </si>
  <si>
    <t>CUST00867</t>
  </si>
  <si>
    <t>LN00868</t>
  </si>
  <si>
    <t>CUST00868</t>
  </si>
  <si>
    <t>LN00869</t>
  </si>
  <si>
    <t>CUST00869</t>
  </si>
  <si>
    <t>LN00870</t>
  </si>
  <si>
    <t>CUST00870</t>
  </si>
  <si>
    <t>LN00871</t>
  </si>
  <si>
    <t>CUST00871</t>
  </si>
  <si>
    <t>LN00872</t>
  </si>
  <si>
    <t>CUST00872</t>
  </si>
  <si>
    <t>LN00873</t>
  </si>
  <si>
    <t>CUST00873</t>
  </si>
  <si>
    <t>LN00874</t>
  </si>
  <si>
    <t>CUST00874</t>
  </si>
  <si>
    <t>2025-08-18</t>
  </si>
  <si>
    <t>LN00875</t>
  </si>
  <si>
    <t>CUST00875</t>
  </si>
  <si>
    <t>2024-07-17</t>
  </si>
  <si>
    <t>LN00876</t>
  </si>
  <si>
    <t>CUST00876</t>
  </si>
  <si>
    <t>LN00877</t>
  </si>
  <si>
    <t>CUST00877</t>
  </si>
  <si>
    <t>LN00878</t>
  </si>
  <si>
    <t>CUST00878</t>
  </si>
  <si>
    <t>2025-05-17</t>
  </si>
  <si>
    <t>LN00879</t>
  </si>
  <si>
    <t>CUST00879</t>
  </si>
  <si>
    <t>2025-08-07</t>
  </si>
  <si>
    <t>LN00880</t>
  </si>
  <si>
    <t>CUST00880</t>
  </si>
  <si>
    <t>2024-10-12</t>
  </si>
  <si>
    <t>LN00881</t>
  </si>
  <si>
    <t>CUST00881</t>
  </si>
  <si>
    <t>LN00882</t>
  </si>
  <si>
    <t>CUST00882</t>
  </si>
  <si>
    <t>2024-01-16</t>
  </si>
  <si>
    <t>LN00883</t>
  </si>
  <si>
    <t>CUST00883</t>
  </si>
  <si>
    <t>2023-11-07</t>
  </si>
  <si>
    <t>LN00884</t>
  </si>
  <si>
    <t>CUST00884</t>
  </si>
  <si>
    <t>LN00885</t>
  </si>
  <si>
    <t>CUST00885</t>
  </si>
  <si>
    <t>LN00886</t>
  </si>
  <si>
    <t>CUST00886</t>
  </si>
  <si>
    <t>2023-02-19</t>
  </si>
  <si>
    <t>LN00887</t>
  </si>
  <si>
    <t>CUST00887</t>
  </si>
  <si>
    <t>2025-11-29</t>
  </si>
  <si>
    <t>LN00888</t>
  </si>
  <si>
    <t>CUST00888</t>
  </si>
  <si>
    <t>2024-05-12</t>
  </si>
  <si>
    <t>LN00889</t>
  </si>
  <si>
    <t>CUST00889</t>
  </si>
  <si>
    <t>2025-04-18</t>
  </si>
  <si>
    <t>LN00890</t>
  </si>
  <si>
    <t>CUST00890</t>
  </si>
  <si>
    <t>2023-07-01</t>
  </si>
  <si>
    <t>LN00891</t>
  </si>
  <si>
    <t>CUST00891</t>
  </si>
  <si>
    <t>LN00892</t>
  </si>
  <si>
    <t>CUST00892</t>
  </si>
  <si>
    <t>LN00893</t>
  </si>
  <si>
    <t>CUST00893</t>
  </si>
  <si>
    <t>2025-11-19</t>
  </si>
  <si>
    <t>LN00894</t>
  </si>
  <si>
    <t>CUST00894</t>
  </si>
  <si>
    <t>2025-05-22</t>
  </si>
  <si>
    <t>LN00895</t>
  </si>
  <si>
    <t>CUST00895</t>
  </si>
  <si>
    <t>2022-02-09</t>
  </si>
  <si>
    <t>LN00896</t>
  </si>
  <si>
    <t>CUST00896</t>
  </si>
  <si>
    <t>2025-11-13</t>
  </si>
  <si>
    <t>LN00897</t>
  </si>
  <si>
    <t>CUST00897</t>
  </si>
  <si>
    <t>LN00898</t>
  </si>
  <si>
    <t>CUST00898</t>
  </si>
  <si>
    <t>LN00899</t>
  </si>
  <si>
    <t>CUST00899</t>
  </si>
  <si>
    <t>LN00900</t>
  </si>
  <si>
    <t>CUST00900</t>
  </si>
  <si>
    <t>2024-01-20</t>
  </si>
  <si>
    <t>LN00901</t>
  </si>
  <si>
    <t>CUST00901</t>
  </si>
  <si>
    <t>2023-06-04</t>
  </si>
  <si>
    <t>LN00902</t>
  </si>
  <si>
    <t>CUST00902</t>
  </si>
  <si>
    <t>2025-03-21</t>
  </si>
  <si>
    <t>LN00903</t>
  </si>
  <si>
    <t>CUST00903</t>
  </si>
  <si>
    <t>2025-07-03</t>
  </si>
  <si>
    <t>LN00904</t>
  </si>
  <si>
    <t>CUST00904</t>
  </si>
  <si>
    <t>LN00905</t>
  </si>
  <si>
    <t>CUST00905</t>
  </si>
  <si>
    <t>LN00906</t>
  </si>
  <si>
    <t>CUST00906</t>
  </si>
  <si>
    <t>LN00907</t>
  </si>
  <si>
    <t>CUST00907</t>
  </si>
  <si>
    <t>2024-07-12</t>
  </si>
  <si>
    <t>LN00908</t>
  </si>
  <si>
    <t>CUST00908</t>
  </si>
  <si>
    <t>LN00909</t>
  </si>
  <si>
    <t>CUST00909</t>
  </si>
  <si>
    <t>LN00910</t>
  </si>
  <si>
    <t>CUST00910</t>
  </si>
  <si>
    <t>2025-08-09</t>
  </si>
  <si>
    <t>LN00911</t>
  </si>
  <si>
    <t>CUST00911</t>
  </si>
  <si>
    <t>2024-03-03</t>
  </si>
  <si>
    <t>LN00912</t>
  </si>
  <si>
    <t>CUST00912</t>
  </si>
  <si>
    <t>2023-01-28</t>
  </si>
  <si>
    <t>LN00913</t>
  </si>
  <si>
    <t>CUST00913</t>
  </si>
  <si>
    <t>2025-09-17</t>
  </si>
  <si>
    <t>LN00914</t>
  </si>
  <si>
    <t>CUST00914</t>
  </si>
  <si>
    <t>2022-12-06</t>
  </si>
  <si>
    <t>LN00915</t>
  </si>
  <si>
    <t>CUST00915</t>
  </si>
  <si>
    <t>2024-05-21</t>
  </si>
  <si>
    <t>LN00916</t>
  </si>
  <si>
    <t>CUST00916</t>
  </si>
  <si>
    <t>2023-08-16</t>
  </si>
  <si>
    <t>LN00917</t>
  </si>
  <si>
    <t>CUST00917</t>
  </si>
  <si>
    <t>2024-09-15</t>
  </si>
  <si>
    <t>LN00918</t>
  </si>
  <si>
    <t>CUST00918</t>
  </si>
  <si>
    <t>2023-01-14</t>
  </si>
  <si>
    <t>LN00919</t>
  </si>
  <si>
    <t>CUST00919</t>
  </si>
  <si>
    <t>2024-10-23</t>
  </si>
  <si>
    <t>LN00920</t>
  </si>
  <si>
    <t>CUST00920</t>
  </si>
  <si>
    <t>2023-04-25</t>
  </si>
  <si>
    <t>LN00921</t>
  </si>
  <si>
    <t>CUST00921</t>
  </si>
  <si>
    <t>2024-07-22</t>
  </si>
  <si>
    <t>LN00922</t>
  </si>
  <si>
    <t>CUST00922</t>
  </si>
  <si>
    <t>2022-08-16</t>
  </si>
  <si>
    <t>LN00923</t>
  </si>
  <si>
    <t>CUST00923</t>
  </si>
  <si>
    <t>2023-02-25</t>
  </si>
  <si>
    <t>LN00924</t>
  </si>
  <si>
    <t>CUST00924</t>
  </si>
  <si>
    <t>LN00925</t>
  </si>
  <si>
    <t>CUST00925</t>
  </si>
  <si>
    <t>2023-01-24</t>
  </si>
  <si>
    <t>LN00926</t>
  </si>
  <si>
    <t>CUST00926</t>
  </si>
  <si>
    <t>LN00927</t>
  </si>
  <si>
    <t>CUST00927</t>
  </si>
  <si>
    <t>2023-08-13</t>
  </si>
  <si>
    <t>LN00928</t>
  </si>
  <si>
    <t>CUST00928</t>
  </si>
  <si>
    <t>LN00929</t>
  </si>
  <si>
    <t>CUST00929</t>
  </si>
  <si>
    <t>LN00930</t>
  </si>
  <si>
    <t>CUST00930</t>
  </si>
  <si>
    <t>LN00931</t>
  </si>
  <si>
    <t>CUST00931</t>
  </si>
  <si>
    <t>LN00932</t>
  </si>
  <si>
    <t>CUST00932</t>
  </si>
  <si>
    <t>LN00933</t>
  </si>
  <si>
    <t>CUST00933</t>
  </si>
  <si>
    <t>2025-10-16</t>
  </si>
  <si>
    <t>LN00934</t>
  </si>
  <si>
    <t>CUST00934</t>
  </si>
  <si>
    <t>2025-07-10</t>
  </si>
  <si>
    <t>LN00935</t>
  </si>
  <si>
    <t>CUST00935</t>
  </si>
  <si>
    <t>LN00936</t>
  </si>
  <si>
    <t>CUST00936</t>
  </si>
  <si>
    <t>LN00937</t>
  </si>
  <si>
    <t>CUST00937</t>
  </si>
  <si>
    <t>2023-12-27</t>
  </si>
  <si>
    <t>LN00938</t>
  </si>
  <si>
    <t>CUST00938</t>
  </si>
  <si>
    <t>LN00939</t>
  </si>
  <si>
    <t>CUST00939</t>
  </si>
  <si>
    <t>2024-04-28</t>
  </si>
  <si>
    <t>LN00940</t>
  </si>
  <si>
    <t>CUST00940</t>
  </si>
  <si>
    <t>2023-05-06</t>
  </si>
  <si>
    <t>LN00941</t>
  </si>
  <si>
    <t>CUST00941</t>
  </si>
  <si>
    <t>LN00942</t>
  </si>
  <si>
    <t>CUST00942</t>
  </si>
  <si>
    <t>2022-04-06</t>
  </si>
  <si>
    <t>LN00943</t>
  </si>
  <si>
    <t>CUST00943</t>
  </si>
  <si>
    <t>LN00944</t>
  </si>
  <si>
    <t>CUST00944</t>
  </si>
  <si>
    <t>2025-05-29</t>
  </si>
  <si>
    <t>LN00945</t>
  </si>
  <si>
    <t>CUST00945</t>
  </si>
  <si>
    <t>LN00946</t>
  </si>
  <si>
    <t>CUST00946</t>
  </si>
  <si>
    <t>LN00947</t>
  </si>
  <si>
    <t>CUST00947</t>
  </si>
  <si>
    <t>LN00948</t>
  </si>
  <si>
    <t>CUST00948</t>
  </si>
  <si>
    <t>2022-02-17</t>
  </si>
  <si>
    <t>LN00949</t>
  </si>
  <si>
    <t>CUST00949</t>
  </si>
  <si>
    <t>LN00950</t>
  </si>
  <si>
    <t>CUST00950</t>
  </si>
  <si>
    <t>2024-10-19</t>
  </si>
  <si>
    <t>LN00951</t>
  </si>
  <si>
    <t>CUST00951</t>
  </si>
  <si>
    <t>LN00952</t>
  </si>
  <si>
    <t>CUST00952</t>
  </si>
  <si>
    <t>2023-03-24</t>
  </si>
  <si>
    <t>LN00953</t>
  </si>
  <si>
    <t>CUST00953</t>
  </si>
  <si>
    <t>LN00954</t>
  </si>
  <si>
    <t>CUST00954</t>
  </si>
  <si>
    <t>2022-09-04</t>
  </si>
  <si>
    <t>LN00955</t>
  </si>
  <si>
    <t>CUST00955</t>
  </si>
  <si>
    <t>LN00956</t>
  </si>
  <si>
    <t>CUST00956</t>
  </si>
  <si>
    <t>2025-06-07</t>
  </si>
  <si>
    <t>LN00957</t>
  </si>
  <si>
    <t>CUST00957</t>
  </si>
  <si>
    <t>LN00958</t>
  </si>
  <si>
    <t>CUST00958</t>
  </si>
  <si>
    <t>LN00959</t>
  </si>
  <si>
    <t>CUST00959</t>
  </si>
  <si>
    <t>LN00960</t>
  </si>
  <si>
    <t>CUST00960</t>
  </si>
  <si>
    <t>2022-01-31</t>
  </si>
  <si>
    <t>LN00961</t>
  </si>
  <si>
    <t>CUST00961</t>
  </si>
  <si>
    <t>LN00962</t>
  </si>
  <si>
    <t>CUST00962</t>
  </si>
  <si>
    <t>2024-10-21</t>
  </si>
  <si>
    <t>LN00963</t>
  </si>
  <si>
    <t>CUST00963</t>
  </si>
  <si>
    <t>2025-09-16</t>
  </si>
  <si>
    <t>LN00964</t>
  </si>
  <si>
    <t>CUST00964</t>
  </si>
  <si>
    <t>2025-08-23</t>
  </si>
  <si>
    <t>LN00965</t>
  </si>
  <si>
    <t>CUST00965</t>
  </si>
  <si>
    <t>LN00966</t>
  </si>
  <si>
    <t>CUST00966</t>
  </si>
  <si>
    <t>2025-05-21</t>
  </si>
  <si>
    <t>LN00967</t>
  </si>
  <si>
    <t>CUST00967</t>
  </si>
  <si>
    <t>2024-03-25</t>
  </si>
  <si>
    <t>LN00968</t>
  </si>
  <si>
    <t>CUST00968</t>
  </si>
  <si>
    <t>LN00969</t>
  </si>
  <si>
    <t>CUST00969</t>
  </si>
  <si>
    <t>2023-09-06</t>
  </si>
  <si>
    <t>LN00970</t>
  </si>
  <si>
    <t>CUST00970</t>
  </si>
  <si>
    <t>2025-11-09</t>
  </si>
  <si>
    <t>LN00971</t>
  </si>
  <si>
    <t>CUST00971</t>
  </si>
  <si>
    <t>LN00972</t>
  </si>
  <si>
    <t>CUST00972</t>
  </si>
  <si>
    <t>LN00973</t>
  </si>
  <si>
    <t>CUST00973</t>
  </si>
  <si>
    <t>2023-01-12</t>
  </si>
  <si>
    <t>LN00974</t>
  </si>
  <si>
    <t>CUST00974</t>
  </si>
  <si>
    <t>LN00975</t>
  </si>
  <si>
    <t>CUST00975</t>
  </si>
  <si>
    <t>LN00976</t>
  </si>
  <si>
    <t>CUST00976</t>
  </si>
  <si>
    <t>2024-01-14</t>
  </si>
  <si>
    <t>LN00977</t>
  </si>
  <si>
    <t>CUST00977</t>
  </si>
  <si>
    <t>2025-07-04</t>
  </si>
  <si>
    <t>LN00978</t>
  </si>
  <si>
    <t>CUST00978</t>
  </si>
  <si>
    <t>LN00979</t>
  </si>
  <si>
    <t>CUST00979</t>
  </si>
  <si>
    <t>2024-07-14</t>
  </si>
  <si>
    <t>LN00980</t>
  </si>
  <si>
    <t>CUST00980</t>
  </si>
  <si>
    <t>LN00981</t>
  </si>
  <si>
    <t>CUST00981</t>
  </si>
  <si>
    <t>2024-08-30</t>
  </si>
  <si>
    <t>LN00982</t>
  </si>
  <si>
    <t>CUST00982</t>
  </si>
  <si>
    <t>2025-02-02</t>
  </si>
  <si>
    <t>LN00983</t>
  </si>
  <si>
    <t>CUST00983</t>
  </si>
  <si>
    <t>2024-03-23</t>
  </si>
  <si>
    <t>LN00984</t>
  </si>
  <si>
    <t>CUST00984</t>
  </si>
  <si>
    <t>LN00985</t>
  </si>
  <si>
    <t>CUST00985</t>
  </si>
  <si>
    <t>LN00986</t>
  </si>
  <si>
    <t>CUST00986</t>
  </si>
  <si>
    <t>LN00987</t>
  </si>
  <si>
    <t>CUST00987</t>
  </si>
  <si>
    <t>2023-07-20</t>
  </si>
  <si>
    <t>LN00988</t>
  </si>
  <si>
    <t>CUST00988</t>
  </si>
  <si>
    <t>LN00989</t>
  </si>
  <si>
    <t>CUST00989</t>
  </si>
  <si>
    <t>LN00990</t>
  </si>
  <si>
    <t>CUST00990</t>
  </si>
  <si>
    <t>2023-08-14</t>
  </si>
  <si>
    <t>LN00991</t>
  </si>
  <si>
    <t>CUST00991</t>
  </si>
  <si>
    <t>2023-02-02</t>
  </si>
  <si>
    <t>LN00992</t>
  </si>
  <si>
    <t>CUST00992</t>
  </si>
  <si>
    <t>2025-06-23</t>
  </si>
  <si>
    <t>LN00993</t>
  </si>
  <si>
    <t>CUST00993</t>
  </si>
  <si>
    <t>LN00994</t>
  </si>
  <si>
    <t>CUST00994</t>
  </si>
  <si>
    <t>2025-05-01</t>
  </si>
  <si>
    <t>LN00995</t>
  </si>
  <si>
    <t>CUST00995</t>
  </si>
  <si>
    <t>2023-05-11</t>
  </si>
  <si>
    <t>LN00996</t>
  </si>
  <si>
    <t>CUST00996</t>
  </si>
  <si>
    <t>2025-12-28</t>
  </si>
  <si>
    <t>LN00997</t>
  </si>
  <si>
    <t>CUST00997</t>
  </si>
  <si>
    <t>2025-01-11</t>
  </si>
  <si>
    <t>LN00998</t>
  </si>
  <si>
    <t>CUST00998</t>
  </si>
  <si>
    <t>LN00999</t>
  </si>
  <si>
    <t>CUST00999</t>
  </si>
  <si>
    <t>LN01000</t>
  </si>
  <si>
    <t>CUST01000</t>
  </si>
  <si>
    <t>2022-12-03</t>
  </si>
  <si>
    <t>LN01001</t>
  </si>
  <si>
    <t>CUST01001</t>
  </si>
  <si>
    <t>2023-04-21</t>
  </si>
  <si>
    <t>LN01002</t>
  </si>
  <si>
    <t>CUST01002</t>
  </si>
  <si>
    <t>LN01003</t>
  </si>
  <si>
    <t>CUST01003</t>
  </si>
  <si>
    <t>LN01004</t>
  </si>
  <si>
    <t>CUST01004</t>
  </si>
  <si>
    <t>2025-11-03</t>
  </si>
  <si>
    <t>LN01005</t>
  </si>
  <si>
    <t>CUST01005</t>
  </si>
  <si>
    <t>LN01006</t>
  </si>
  <si>
    <t>CUST01006</t>
  </si>
  <si>
    <t>2024-06-30</t>
  </si>
  <si>
    <t>LN01007</t>
  </si>
  <si>
    <t>CUST01007</t>
  </si>
  <si>
    <t>LN01008</t>
  </si>
  <si>
    <t>CUST01008</t>
  </si>
  <si>
    <t>LN01009</t>
  </si>
  <si>
    <t>CUST01009</t>
  </si>
  <si>
    <t>2024-07-24</t>
  </si>
  <si>
    <t>LN01010</t>
  </si>
  <si>
    <t>CUST01010</t>
  </si>
  <si>
    <t>2024-12-26</t>
  </si>
  <si>
    <t>LN01011</t>
  </si>
  <si>
    <t>CUST01011</t>
  </si>
  <si>
    <t>LN01012</t>
  </si>
  <si>
    <t>CUST01012</t>
  </si>
  <si>
    <t>2025-12-20</t>
  </si>
  <si>
    <t>LN01013</t>
  </si>
  <si>
    <t>CUST01013</t>
  </si>
  <si>
    <t>2025-01-17</t>
  </si>
  <si>
    <t>LN01014</t>
  </si>
  <si>
    <t>CUST01014</t>
  </si>
  <si>
    <t>LN01015</t>
  </si>
  <si>
    <t>CUST01015</t>
  </si>
  <si>
    <t>LN01016</t>
  </si>
  <si>
    <t>CUST01016</t>
  </si>
  <si>
    <t>2022-04-10</t>
  </si>
  <si>
    <t>LN01017</t>
  </si>
  <si>
    <t>CUST01017</t>
  </si>
  <si>
    <t>LN01018</t>
  </si>
  <si>
    <t>CUST01018</t>
  </si>
  <si>
    <t>LN01019</t>
  </si>
  <si>
    <t>CUST01019</t>
  </si>
  <si>
    <t>LN01020</t>
  </si>
  <si>
    <t>CUST01020</t>
  </si>
  <si>
    <t>LN01021</t>
  </si>
  <si>
    <t>CUST01021</t>
  </si>
  <si>
    <t>2024-07-25</t>
  </si>
  <si>
    <t>LN01022</t>
  </si>
  <si>
    <t>CUST01022</t>
  </si>
  <si>
    <t>LN01023</t>
  </si>
  <si>
    <t>CUST01023</t>
  </si>
  <si>
    <t>LN01024</t>
  </si>
  <si>
    <t>CUST01024</t>
  </si>
  <si>
    <t>LN01025</t>
  </si>
  <si>
    <t>CUST01025</t>
  </si>
  <si>
    <t>2023-10-30</t>
  </si>
  <si>
    <t>LN01026</t>
  </si>
  <si>
    <t>CUST01026</t>
  </si>
  <si>
    <t>LN01027</t>
  </si>
  <si>
    <t>CUST01027</t>
  </si>
  <si>
    <t>LN01028</t>
  </si>
  <si>
    <t>CUST01028</t>
  </si>
  <si>
    <t>LN01029</t>
  </si>
  <si>
    <t>CUST01029</t>
  </si>
  <si>
    <t>2022-08-22</t>
  </si>
  <si>
    <t>LN01030</t>
  </si>
  <si>
    <t>CUST01030</t>
  </si>
  <si>
    <t>LN01031</t>
  </si>
  <si>
    <t>CUST01031</t>
  </si>
  <si>
    <t>LN01032</t>
  </si>
  <si>
    <t>CUST01032</t>
  </si>
  <si>
    <t>LN01033</t>
  </si>
  <si>
    <t>CUST01033</t>
  </si>
  <si>
    <t>2022-05-10</t>
  </si>
  <si>
    <t>LN01034</t>
  </si>
  <si>
    <t>CUST01034</t>
  </si>
  <si>
    <t>2025-11-26</t>
  </si>
  <si>
    <t>LN01035</t>
  </si>
  <si>
    <t>CUST01035</t>
  </si>
  <si>
    <t>2024-10-29</t>
  </si>
  <si>
    <t>LN01036</t>
  </si>
  <si>
    <t>CUST01036</t>
  </si>
  <si>
    <t>LN01037</t>
  </si>
  <si>
    <t>CUST01037</t>
  </si>
  <si>
    <t>LN01038</t>
  </si>
  <si>
    <t>CUST01038</t>
  </si>
  <si>
    <t>LN01039</t>
  </si>
  <si>
    <t>CUST01039</t>
  </si>
  <si>
    <t>LN01040</t>
  </si>
  <si>
    <t>CUST01040</t>
  </si>
  <si>
    <t>LN01041</t>
  </si>
  <si>
    <t>CUST01041</t>
  </si>
  <si>
    <t>LN01042</t>
  </si>
  <si>
    <t>CUST01042</t>
  </si>
  <si>
    <t>LN01043</t>
  </si>
  <si>
    <t>CUST01043</t>
  </si>
  <si>
    <t>2022-09-24</t>
  </si>
  <si>
    <t>LN01044</t>
  </si>
  <si>
    <t>CUST01044</t>
  </si>
  <si>
    <t>LN01045</t>
  </si>
  <si>
    <t>CUST01045</t>
  </si>
  <si>
    <t>2024-10-02</t>
  </si>
  <si>
    <t>LN01046</t>
  </si>
  <si>
    <t>CUST01046</t>
  </si>
  <si>
    <t>2023-05-09</t>
  </si>
  <si>
    <t>LN01047</t>
  </si>
  <si>
    <t>CUST01047</t>
  </si>
  <si>
    <t>2025-01-06</t>
  </si>
  <si>
    <t>LN01048</t>
  </si>
  <si>
    <t>CUST01048</t>
  </si>
  <si>
    <t>LN01049</t>
  </si>
  <si>
    <t>CUST01049</t>
  </si>
  <si>
    <t>2025-05-10</t>
  </si>
  <si>
    <t>LN01050</t>
  </si>
  <si>
    <t>CUST01050</t>
  </si>
  <si>
    <t>LN01051</t>
  </si>
  <si>
    <t>CUST01051</t>
  </si>
  <si>
    <t>2024-09-17</t>
  </si>
  <si>
    <t>LN01052</t>
  </si>
  <si>
    <t>CUST01052</t>
  </si>
  <si>
    <t>2024-08-15</t>
  </si>
  <si>
    <t>LN01053</t>
  </si>
  <si>
    <t>CUST01053</t>
  </si>
  <si>
    <t>LN01054</t>
  </si>
  <si>
    <t>CUST01054</t>
  </si>
  <si>
    <t>2022-07-31</t>
  </si>
  <si>
    <t>LN01055</t>
  </si>
  <si>
    <t>CUST01055</t>
  </si>
  <si>
    <t>2024-01-06</t>
  </si>
  <si>
    <t>LN01056</t>
  </si>
  <si>
    <t>CUST01056</t>
  </si>
  <si>
    <t>LN01057</t>
  </si>
  <si>
    <t>CUST01057</t>
  </si>
  <si>
    <t>2024-09-30</t>
  </si>
  <si>
    <t>LN01058</t>
  </si>
  <si>
    <t>CUST01058</t>
  </si>
  <si>
    <t>LN01059</t>
  </si>
  <si>
    <t>CUST01059</t>
  </si>
  <si>
    <t>LN01060</t>
  </si>
  <si>
    <t>CUST01060</t>
  </si>
  <si>
    <t>2022-10-01</t>
  </si>
  <si>
    <t>LN01061</t>
  </si>
  <si>
    <t>CUST01061</t>
  </si>
  <si>
    <t>2025-04-10</t>
  </si>
  <si>
    <t>LN01062</t>
  </si>
  <si>
    <t>CUST01062</t>
  </si>
  <si>
    <t>2025-03-03</t>
  </si>
  <si>
    <t>LN01063</t>
  </si>
  <si>
    <t>CUST01063</t>
  </si>
  <si>
    <t>2024-03-07</t>
  </si>
  <si>
    <t>LN01064</t>
  </si>
  <si>
    <t>CUST01064</t>
  </si>
  <si>
    <t>LN01065</t>
  </si>
  <si>
    <t>CUST01065</t>
  </si>
  <si>
    <t>LN01066</t>
  </si>
  <si>
    <t>CUST01066</t>
  </si>
  <si>
    <t>LN01067</t>
  </si>
  <si>
    <t>CUST01067</t>
  </si>
  <si>
    <t>LN01068</t>
  </si>
  <si>
    <t>CUST01068</t>
  </si>
  <si>
    <t>2023-05-28</t>
  </si>
  <si>
    <t>LN01069</t>
  </si>
  <si>
    <t>CUST01069</t>
  </si>
  <si>
    <t>2022-11-07</t>
  </si>
  <si>
    <t>LN01070</t>
  </si>
  <si>
    <t>CUST01070</t>
  </si>
  <si>
    <t>LN01071</t>
  </si>
  <si>
    <t>CUST01071</t>
  </si>
  <si>
    <t>LN01072</t>
  </si>
  <si>
    <t>CUST01072</t>
  </si>
  <si>
    <t>2025-10-23</t>
  </si>
  <si>
    <t>LN01073</t>
  </si>
  <si>
    <t>CUST01073</t>
  </si>
  <si>
    <t>2023-01-10</t>
  </si>
  <si>
    <t>LN01074</t>
  </si>
  <si>
    <t>CUST01074</t>
  </si>
  <si>
    <t>2024-04-11</t>
  </si>
  <si>
    <t>LN01075</t>
  </si>
  <si>
    <t>CUST01075</t>
  </si>
  <si>
    <t>LN01076</t>
  </si>
  <si>
    <t>CUST01076</t>
  </si>
  <si>
    <t>2022-07-24</t>
  </si>
  <si>
    <t>LN01077</t>
  </si>
  <si>
    <t>CUST01077</t>
  </si>
  <si>
    <t>2025-10-31</t>
  </si>
  <si>
    <t>LN01078</t>
  </si>
  <si>
    <t>CUST01078</t>
  </si>
  <si>
    <t>LN01079</t>
  </si>
  <si>
    <t>CUST01079</t>
  </si>
  <si>
    <t>LN01080</t>
  </si>
  <si>
    <t>CUST01080</t>
  </si>
  <si>
    <t>2024-08-08</t>
  </si>
  <si>
    <t>LN01081</t>
  </si>
  <si>
    <t>CUST01081</t>
  </si>
  <si>
    <t>2024-06-23</t>
  </si>
  <si>
    <t>LN01082</t>
  </si>
  <si>
    <t>CUST01082</t>
  </si>
  <si>
    <t>LN01083</t>
  </si>
  <si>
    <t>CUST01083</t>
  </si>
  <si>
    <t>LN01084</t>
  </si>
  <si>
    <t>CUST01084</t>
  </si>
  <si>
    <t>2022-04-05</t>
  </si>
  <si>
    <t>LN01085</t>
  </si>
  <si>
    <t>CUST01085</t>
  </si>
  <si>
    <t>LN01086</t>
  </si>
  <si>
    <t>CUST01086</t>
  </si>
  <si>
    <t>LN01087</t>
  </si>
  <si>
    <t>CUST01087</t>
  </si>
  <si>
    <t>LN01088</t>
  </si>
  <si>
    <t>CUST01088</t>
  </si>
  <si>
    <t>LN01089</t>
  </si>
  <si>
    <t>CUST01089</t>
  </si>
  <si>
    <t>2024-12-21</t>
  </si>
  <si>
    <t>LN01090</t>
  </si>
  <si>
    <t>CUST01090</t>
  </si>
  <si>
    <t>2024-04-26</t>
  </si>
  <si>
    <t>LN01091</t>
  </si>
  <si>
    <t>CUST01091</t>
  </si>
  <si>
    <t>LN01092</t>
  </si>
  <si>
    <t>CUST01092</t>
  </si>
  <si>
    <t>2025-01-26</t>
  </si>
  <si>
    <t>LN01093</t>
  </si>
  <si>
    <t>CUST01093</t>
  </si>
  <si>
    <t>2023-08-04</t>
  </si>
  <si>
    <t>LN01094</t>
  </si>
  <si>
    <t>CUST01094</t>
  </si>
  <si>
    <t>LN01095</t>
  </si>
  <si>
    <t>CUST01095</t>
  </si>
  <si>
    <t>LN01096</t>
  </si>
  <si>
    <t>CUST01096</t>
  </si>
  <si>
    <t>LN01097</t>
  </si>
  <si>
    <t>CUST01097</t>
  </si>
  <si>
    <t>2025-01-28</t>
  </si>
  <si>
    <t>LN01098</t>
  </si>
  <si>
    <t>CUST01098</t>
  </si>
  <si>
    <t>2023-06-01</t>
  </si>
  <si>
    <t>LN01099</t>
  </si>
  <si>
    <t>CUST01099</t>
  </si>
  <si>
    <t>LN01100</t>
  </si>
  <si>
    <t>CUST01100</t>
  </si>
  <si>
    <t>LN01101</t>
  </si>
  <si>
    <t>CUST01101</t>
  </si>
  <si>
    <t>2022-06-27</t>
  </si>
  <si>
    <t>LN01102</t>
  </si>
  <si>
    <t>CUST01102</t>
  </si>
  <si>
    <t>2023-09-01</t>
  </si>
  <si>
    <t>LN01103</t>
  </si>
  <si>
    <t>CUST01103</t>
  </si>
  <si>
    <t>2023-10-11</t>
  </si>
  <si>
    <t>LN01104</t>
  </si>
  <si>
    <t>CUST01104</t>
  </si>
  <si>
    <t>LN01105</t>
  </si>
  <si>
    <t>CUST01105</t>
  </si>
  <si>
    <t>LN01106</t>
  </si>
  <si>
    <t>CUST01106</t>
  </si>
  <si>
    <t>LN01107</t>
  </si>
  <si>
    <t>CUST01107</t>
  </si>
  <si>
    <t>2024-09-21</t>
  </si>
  <si>
    <t>LN01108</t>
  </si>
  <si>
    <t>CUST01108</t>
  </si>
  <si>
    <t>2022-10-06</t>
  </si>
  <si>
    <t>LN01109</t>
  </si>
  <si>
    <t>CUST01109</t>
  </si>
  <si>
    <t>LN01110</t>
  </si>
  <si>
    <t>CUST01110</t>
  </si>
  <si>
    <t>LN01111</t>
  </si>
  <si>
    <t>CUST01111</t>
  </si>
  <si>
    <t>2023-01-09</t>
  </si>
  <si>
    <t>LN01112</t>
  </si>
  <si>
    <t>CUST01112</t>
  </si>
  <si>
    <t>LN01113</t>
  </si>
  <si>
    <t>CUST01113</t>
  </si>
  <si>
    <t>LN01114</t>
  </si>
  <si>
    <t>CUST01114</t>
  </si>
  <si>
    <t>2022-03-17</t>
  </si>
  <si>
    <t>LN01115</t>
  </si>
  <si>
    <t>CUST01115</t>
  </si>
  <si>
    <t>2023-04-08</t>
  </si>
  <si>
    <t>LN01116</t>
  </si>
  <si>
    <t>CUST01116</t>
  </si>
  <si>
    <t>LN01117</t>
  </si>
  <si>
    <t>CUST01117</t>
  </si>
  <si>
    <t>LN01118</t>
  </si>
  <si>
    <t>CUST01118</t>
  </si>
  <si>
    <t>2024-01-19</t>
  </si>
  <si>
    <t>LN01119</t>
  </si>
  <si>
    <t>CUST01119</t>
  </si>
  <si>
    <t>LN01120</t>
  </si>
  <si>
    <t>CUST01120</t>
  </si>
  <si>
    <t>2023-11-06</t>
  </si>
  <si>
    <t>LN01121</t>
  </si>
  <si>
    <t>CUST01121</t>
  </si>
  <si>
    <t>LN01122</t>
  </si>
  <si>
    <t>CUST01122</t>
  </si>
  <si>
    <t>2022-10-25</t>
  </si>
  <si>
    <t>LN01123</t>
  </si>
  <si>
    <t>CUST01123</t>
  </si>
  <si>
    <t>LN01124</t>
  </si>
  <si>
    <t>CUST01124</t>
  </si>
  <si>
    <t>2023-01-22</t>
  </si>
  <si>
    <t>LN01125</t>
  </si>
  <si>
    <t>CUST01125</t>
  </si>
  <si>
    <t>2025-07-26</t>
  </si>
  <si>
    <t>LN01126</t>
  </si>
  <si>
    <t>CUST01126</t>
  </si>
  <si>
    <t>LN01127</t>
  </si>
  <si>
    <t>CUST01127</t>
  </si>
  <si>
    <t>2024-12-22</t>
  </si>
  <si>
    <t>LN01128</t>
  </si>
  <si>
    <t>CUST01128</t>
  </si>
  <si>
    <t>LN01129</t>
  </si>
  <si>
    <t>CUST01129</t>
  </si>
  <si>
    <t>LN01130</t>
  </si>
  <si>
    <t>CUST01130</t>
  </si>
  <si>
    <t>LN01131</t>
  </si>
  <si>
    <t>CUST01131</t>
  </si>
  <si>
    <t>LN01132</t>
  </si>
  <si>
    <t>CUST01132</t>
  </si>
  <si>
    <t>2024-07-29</t>
  </si>
  <si>
    <t>LN01133</t>
  </si>
  <si>
    <t>CUST01133</t>
  </si>
  <si>
    <t>LN01134</t>
  </si>
  <si>
    <t>CUST01134</t>
  </si>
  <si>
    <t>LN01135</t>
  </si>
  <si>
    <t>CUST01135</t>
  </si>
  <si>
    <t>2025-12-05</t>
  </si>
  <si>
    <t>LN01136</t>
  </si>
  <si>
    <t>CUST01136</t>
  </si>
  <si>
    <t>2024-08-17</t>
  </si>
  <si>
    <t>LN01137</t>
  </si>
  <si>
    <t>CUST01137</t>
  </si>
  <si>
    <t>LN01138</t>
  </si>
  <si>
    <t>CUST01138</t>
  </si>
  <si>
    <t>LN01139</t>
  </si>
  <si>
    <t>CUST01139</t>
  </si>
  <si>
    <t>2023-08-15</t>
  </si>
  <si>
    <t>LN01140</t>
  </si>
  <si>
    <t>CUST01140</t>
  </si>
  <si>
    <t>2023-09-07</t>
  </si>
  <si>
    <t>LN01141</t>
  </si>
  <si>
    <t>CUST01141</t>
  </si>
  <si>
    <t>2023-05-21</t>
  </si>
  <si>
    <t>LN01142</t>
  </si>
  <si>
    <t>CUST01142</t>
  </si>
  <si>
    <t>2025-10-07</t>
  </si>
  <si>
    <t>LN01143</t>
  </si>
  <si>
    <t>CUST01143</t>
  </si>
  <si>
    <t>2025-11-22</t>
  </si>
  <si>
    <t>LN01144</t>
  </si>
  <si>
    <t>CUST01144</t>
  </si>
  <si>
    <t>LN01145</t>
  </si>
  <si>
    <t>CUST01145</t>
  </si>
  <si>
    <t>2022-08-17</t>
  </si>
  <si>
    <t>LN01146</t>
  </si>
  <si>
    <t>CUST01146</t>
  </si>
  <si>
    <t>LN01147</t>
  </si>
  <si>
    <t>CUST01147</t>
  </si>
  <si>
    <t>LN01148</t>
  </si>
  <si>
    <t>CUST01148</t>
  </si>
  <si>
    <t>2023-01-13</t>
  </si>
  <si>
    <t>LN01149</t>
  </si>
  <si>
    <t>CUST01149</t>
  </si>
  <si>
    <t>2024-04-03</t>
  </si>
  <si>
    <t>LN01150</t>
  </si>
  <si>
    <t>CUST01150</t>
  </si>
  <si>
    <t>2022-12-27</t>
  </si>
  <si>
    <t>LN01151</t>
  </si>
  <si>
    <t>CUST01151</t>
  </si>
  <si>
    <t>2024-03-19</t>
  </si>
  <si>
    <t>LN01152</t>
  </si>
  <si>
    <t>CUST01152</t>
  </si>
  <si>
    <t>2022-03-21</t>
  </si>
  <si>
    <t>LN01153</t>
  </si>
  <si>
    <t>CUST01153</t>
  </si>
  <si>
    <t>LN01154</t>
  </si>
  <si>
    <t>CUST01154</t>
  </si>
  <si>
    <t>LN01155</t>
  </si>
  <si>
    <t>CUST01155</t>
  </si>
  <si>
    <t>2023-08-17</t>
  </si>
  <si>
    <t>LN01156</t>
  </si>
  <si>
    <t>CUST01156</t>
  </si>
  <si>
    <t>2023-08-06</t>
  </si>
  <si>
    <t>LN01157</t>
  </si>
  <si>
    <t>CUST01157</t>
  </si>
  <si>
    <t>2022-08-30</t>
  </si>
  <si>
    <t>LN01158</t>
  </si>
  <si>
    <t>CUST01158</t>
  </si>
  <si>
    <t>2024-11-19</t>
  </si>
  <si>
    <t>LN01159</t>
  </si>
  <si>
    <t>CUST01159</t>
  </si>
  <si>
    <t>2025-06-28</t>
  </si>
  <si>
    <t>LN01160</t>
  </si>
  <si>
    <t>CUST01160</t>
  </si>
  <si>
    <t>2025-02-13</t>
  </si>
  <si>
    <t>LN01161</t>
  </si>
  <si>
    <t>CUST01161</t>
  </si>
  <si>
    <t>2025-09-12</t>
  </si>
  <si>
    <t>LN01162</t>
  </si>
  <si>
    <t>CUST01162</t>
  </si>
  <si>
    <t>2023-12-08</t>
  </si>
  <si>
    <t>LN01163</t>
  </si>
  <si>
    <t>CUST01163</t>
  </si>
  <si>
    <t>LN01164</t>
  </si>
  <si>
    <t>CUST01164</t>
  </si>
  <si>
    <t>LN01165</t>
  </si>
  <si>
    <t>CUST01165</t>
  </si>
  <si>
    <t>2023-11-24</t>
  </si>
  <si>
    <t>LN01166</t>
  </si>
  <si>
    <t>CUST01166</t>
  </si>
  <si>
    <t>LN01167</t>
  </si>
  <si>
    <t>CUST01167</t>
  </si>
  <si>
    <t>2025-10-26</t>
  </si>
  <si>
    <t>LN01168</t>
  </si>
  <si>
    <t>CUST01168</t>
  </si>
  <si>
    <t>2025-07-30</t>
  </si>
  <si>
    <t>LN01169</t>
  </si>
  <si>
    <t>CUST01169</t>
  </si>
  <si>
    <t>2024-04-25</t>
  </si>
  <si>
    <t>LN01170</t>
  </si>
  <si>
    <t>CUST01170</t>
  </si>
  <si>
    <t>LN01171</t>
  </si>
  <si>
    <t>CUST01171</t>
  </si>
  <si>
    <t>LN01172</t>
  </si>
  <si>
    <t>CUST01172</t>
  </si>
  <si>
    <t>LN01173</t>
  </si>
  <si>
    <t>CUST01173</t>
  </si>
  <si>
    <t>LN01174</t>
  </si>
  <si>
    <t>CUST01174</t>
  </si>
  <si>
    <t>LN01175</t>
  </si>
  <si>
    <t>CUST01175</t>
  </si>
  <si>
    <t>2022-12-02</t>
  </si>
  <si>
    <t>LN01176</t>
  </si>
  <si>
    <t>CUST01176</t>
  </si>
  <si>
    <t>LN01177</t>
  </si>
  <si>
    <t>CUST01177</t>
  </si>
  <si>
    <t>2024-08-12</t>
  </si>
  <si>
    <t>LN01178</t>
  </si>
  <si>
    <t>CUST01178</t>
  </si>
  <si>
    <t>LN01179</t>
  </si>
  <si>
    <t>CUST01179</t>
  </si>
  <si>
    <t>LN01180</t>
  </si>
  <si>
    <t>CUST01180</t>
  </si>
  <si>
    <t>LN01181</t>
  </si>
  <si>
    <t>CUST01181</t>
  </si>
  <si>
    <t>LN01182</t>
  </si>
  <si>
    <t>CUST01182</t>
  </si>
  <si>
    <t>LN01183</t>
  </si>
  <si>
    <t>CUST01183</t>
  </si>
  <si>
    <t>2024-04-20</t>
  </si>
  <si>
    <t>LN01184</t>
  </si>
  <si>
    <t>CUST01184</t>
  </si>
  <si>
    <t>2024-02-18</t>
  </si>
  <si>
    <t>LN01185</t>
  </si>
  <si>
    <t>CUST01185</t>
  </si>
  <si>
    <t>LN01186</t>
  </si>
  <si>
    <t>CUST01186</t>
  </si>
  <si>
    <t>2022-03-19</t>
  </si>
  <si>
    <t>LN01187</t>
  </si>
  <si>
    <t>CUST01187</t>
  </si>
  <si>
    <t>LN01188</t>
  </si>
  <si>
    <t>CUST01188</t>
  </si>
  <si>
    <t>LN01189</t>
  </si>
  <si>
    <t>CUST01189</t>
  </si>
  <si>
    <t>LN01190</t>
  </si>
  <si>
    <t>CUST01190</t>
  </si>
  <si>
    <t>2024-04-07</t>
  </si>
  <si>
    <t>LN01191</t>
  </si>
  <si>
    <t>CUST01191</t>
  </si>
  <si>
    <t>LN01192</t>
  </si>
  <si>
    <t>CUST01192</t>
  </si>
  <si>
    <t>LN01193</t>
  </si>
  <si>
    <t>CUST01193</t>
  </si>
  <si>
    <t>2023-11-29</t>
  </si>
  <si>
    <t>LN01194</t>
  </si>
  <si>
    <t>CUST01194</t>
  </si>
  <si>
    <t>2023-10-06</t>
  </si>
  <si>
    <t>LN01195</t>
  </si>
  <si>
    <t>CUST01195</t>
  </si>
  <si>
    <t>LN01196</t>
  </si>
  <si>
    <t>CUST01196</t>
  </si>
  <si>
    <t>LN01197</t>
  </si>
  <si>
    <t>CUST01197</t>
  </si>
  <si>
    <t>2023-01-17</t>
  </si>
  <si>
    <t>LN01198</t>
  </si>
  <si>
    <t>CUST01198</t>
  </si>
  <si>
    <t>LN01199</t>
  </si>
  <si>
    <t>CUST01199</t>
  </si>
  <si>
    <t>LN01200</t>
  </si>
  <si>
    <t>CUST01200</t>
  </si>
  <si>
    <t>2024-09-02</t>
  </si>
  <si>
    <t>LN01201</t>
  </si>
  <si>
    <t>CUST01201</t>
  </si>
  <si>
    <t>2025-02-08</t>
  </si>
  <si>
    <t>LN01202</t>
  </si>
  <si>
    <t>CUST01202</t>
  </si>
  <si>
    <t>2022-12-26</t>
  </si>
  <si>
    <t>LN01203</t>
  </si>
  <si>
    <t>CUST01203</t>
  </si>
  <si>
    <t>LN01204</t>
  </si>
  <si>
    <t>CUST01204</t>
  </si>
  <si>
    <t>LN01205</t>
  </si>
  <si>
    <t>CUST01205</t>
  </si>
  <si>
    <t>LN01206</t>
  </si>
  <si>
    <t>CUST01206</t>
  </si>
  <si>
    <t>LN01207</t>
  </si>
  <si>
    <t>CUST01207</t>
  </si>
  <si>
    <t>2025-05-05</t>
  </si>
  <si>
    <t>LN01208</t>
  </si>
  <si>
    <t>CUST01208</t>
  </si>
  <si>
    <t>LN01209</t>
  </si>
  <si>
    <t>CUST01209</t>
  </si>
  <si>
    <t>2025-04-20</t>
  </si>
  <si>
    <t>LN01210</t>
  </si>
  <si>
    <t>CUST01210</t>
  </si>
  <si>
    <t>LN01211</t>
  </si>
  <si>
    <t>CUST01211</t>
  </si>
  <si>
    <t>2024-10-30</t>
  </si>
  <si>
    <t>LN01212</t>
  </si>
  <si>
    <t>CUST01212</t>
  </si>
  <si>
    <t>2025-03-25</t>
  </si>
  <si>
    <t>LN01213</t>
  </si>
  <si>
    <t>CUST01213</t>
  </si>
  <si>
    <t>2023-11-17</t>
  </si>
  <si>
    <t>LN01214</t>
  </si>
  <si>
    <t>CUST01214</t>
  </si>
  <si>
    <t>LN01215</t>
  </si>
  <si>
    <t>CUST01215</t>
  </si>
  <si>
    <t>LN01216</t>
  </si>
  <si>
    <t>CUST01216</t>
  </si>
  <si>
    <t>2025-10-22</t>
  </si>
  <si>
    <t>LN01217</t>
  </si>
  <si>
    <t>CUST01217</t>
  </si>
  <si>
    <t>LN01218</t>
  </si>
  <si>
    <t>CUST01218</t>
  </si>
  <si>
    <t>LN01219</t>
  </si>
  <si>
    <t>CUST01219</t>
  </si>
  <si>
    <t>2024-11-08</t>
  </si>
  <si>
    <t>LN01220</t>
  </si>
  <si>
    <t>CUST01220</t>
  </si>
  <si>
    <t>LN01221</t>
  </si>
  <si>
    <t>CUST01221</t>
  </si>
  <si>
    <t>LN01222</t>
  </si>
  <si>
    <t>CUST01222</t>
  </si>
  <si>
    <t>2023-09-10</t>
  </si>
  <si>
    <t>LN01223</t>
  </si>
  <si>
    <t>CUST01223</t>
  </si>
  <si>
    <t>LN01224</t>
  </si>
  <si>
    <t>CUST01224</t>
  </si>
  <si>
    <t>LN01225</t>
  </si>
  <si>
    <t>CUST01225</t>
  </si>
  <si>
    <t>LN01226</t>
  </si>
  <si>
    <t>CUST01226</t>
  </si>
  <si>
    <t>LN01227</t>
  </si>
  <si>
    <t>CUST01227</t>
  </si>
  <si>
    <t>2025-01-12</t>
  </si>
  <si>
    <t>LN01228</t>
  </si>
  <si>
    <t>CUST01228</t>
  </si>
  <si>
    <t>LN01229</t>
  </si>
  <si>
    <t>CUST01229</t>
  </si>
  <si>
    <t>2024-07-01</t>
  </si>
  <si>
    <t>LN01230</t>
  </si>
  <si>
    <t>CUST01230</t>
  </si>
  <si>
    <t>2023-10-26</t>
  </si>
  <si>
    <t>LN01231</t>
  </si>
  <si>
    <t>CUST01231</t>
  </si>
  <si>
    <t>2024-05-19</t>
  </si>
  <si>
    <t>LN01232</t>
  </si>
  <si>
    <t>CUST01232</t>
  </si>
  <si>
    <t>2024-05-28</t>
  </si>
  <si>
    <t>LN01233</t>
  </si>
  <si>
    <t>CUST01233</t>
  </si>
  <si>
    <t>2025-09-07</t>
  </si>
  <si>
    <t>LN01234</t>
  </si>
  <si>
    <t>CUST01234</t>
  </si>
  <si>
    <t>LN01235</t>
  </si>
  <si>
    <t>CUST01235</t>
  </si>
  <si>
    <t>LN01236</t>
  </si>
  <si>
    <t>CUST01236</t>
  </si>
  <si>
    <t>2022-07-10</t>
  </si>
  <si>
    <t>LN01237</t>
  </si>
  <si>
    <t>CUST01237</t>
  </si>
  <si>
    <t>2023-12-09</t>
  </si>
  <si>
    <t>LN01238</t>
  </si>
  <si>
    <t>CUST01238</t>
  </si>
  <si>
    <t>LN01239</t>
  </si>
  <si>
    <t>CUST01239</t>
  </si>
  <si>
    <t>2022-01-10</t>
  </si>
  <si>
    <t>LN01240</t>
  </si>
  <si>
    <t>CUST01240</t>
  </si>
  <si>
    <t>LN01241</t>
  </si>
  <si>
    <t>CUST01241</t>
  </si>
  <si>
    <t>LN01242</t>
  </si>
  <si>
    <t>CUST01242</t>
  </si>
  <si>
    <t>2024-01-09</t>
  </si>
  <si>
    <t>LN01243</t>
  </si>
  <si>
    <t>CUST01243</t>
  </si>
  <si>
    <t>LN01244</t>
  </si>
  <si>
    <t>CUST01244</t>
  </si>
  <si>
    <t>LN01245</t>
  </si>
  <si>
    <t>CUST01245</t>
  </si>
  <si>
    <t>2022-01-22</t>
  </si>
  <si>
    <t>LN01246</t>
  </si>
  <si>
    <t>CUST01246</t>
  </si>
  <si>
    <t>2024-07-02</t>
  </si>
  <si>
    <t>LN01247</t>
  </si>
  <si>
    <t>CUST01247</t>
  </si>
  <si>
    <t>2023-12-14</t>
  </si>
  <si>
    <t>LN01248</t>
  </si>
  <si>
    <t>CUST01248</t>
  </si>
  <si>
    <t>2025-10-29</t>
  </si>
  <si>
    <t>LN01249</t>
  </si>
  <si>
    <t>CUST01249</t>
  </si>
  <si>
    <t>LN01250</t>
  </si>
  <si>
    <t>CUST01250</t>
  </si>
  <si>
    <t>2022-10-10</t>
  </si>
  <si>
    <t>LN01251</t>
  </si>
  <si>
    <t>CUST01251</t>
  </si>
  <si>
    <t>2024-08-14</t>
  </si>
  <si>
    <t>LN01252</t>
  </si>
  <si>
    <t>CUST01252</t>
  </si>
  <si>
    <t>LN01253</t>
  </si>
  <si>
    <t>CUST01253</t>
  </si>
  <si>
    <t>LN01254</t>
  </si>
  <si>
    <t>CUST01254</t>
  </si>
  <si>
    <t>2024-12-11</t>
  </si>
  <si>
    <t>LN01255</t>
  </si>
  <si>
    <t>CUST01255</t>
  </si>
  <si>
    <t>2022-07-27</t>
  </si>
  <si>
    <t>LN01256</t>
  </si>
  <si>
    <t>CUST01256</t>
  </si>
  <si>
    <t>LN01257</t>
  </si>
  <si>
    <t>CUST01257</t>
  </si>
  <si>
    <t>LN01258</t>
  </si>
  <si>
    <t>CUST01258</t>
  </si>
  <si>
    <t>2025-08-21</t>
  </si>
  <si>
    <t>LN01259</t>
  </si>
  <si>
    <t>CUST01259</t>
  </si>
  <si>
    <t>LN01260</t>
  </si>
  <si>
    <t>CUST01260</t>
  </si>
  <si>
    <t>LN01261</t>
  </si>
  <si>
    <t>CUST01261</t>
  </si>
  <si>
    <t>LN01262</t>
  </si>
  <si>
    <t>CUST01262</t>
  </si>
  <si>
    <t>LN01263</t>
  </si>
  <si>
    <t>CUST01263</t>
  </si>
  <si>
    <t>LN01264</t>
  </si>
  <si>
    <t>CUST01264</t>
  </si>
  <si>
    <t>LN01265</t>
  </si>
  <si>
    <t>CUST01265</t>
  </si>
  <si>
    <t>LN01266</t>
  </si>
  <si>
    <t>CUST01266</t>
  </si>
  <si>
    <t>LN01267</t>
  </si>
  <si>
    <t>CUST01267</t>
  </si>
  <si>
    <t>2023-07-29</t>
  </si>
  <si>
    <t>LN01268</t>
  </si>
  <si>
    <t>CUST01268</t>
  </si>
  <si>
    <t>LN01269</t>
  </si>
  <si>
    <t>CUST01269</t>
  </si>
  <si>
    <t>2024-10-13</t>
  </si>
  <si>
    <t>LN01270</t>
  </si>
  <si>
    <t>CUST01270</t>
  </si>
  <si>
    <t>2025-06-30</t>
  </si>
  <si>
    <t>LN01271</t>
  </si>
  <si>
    <t>CUST01271</t>
  </si>
  <si>
    <t>LN01272</t>
  </si>
  <si>
    <t>CUST01272</t>
  </si>
  <si>
    <t>LN01273</t>
  </si>
  <si>
    <t>CUST01273</t>
  </si>
  <si>
    <t>LN01274</t>
  </si>
  <si>
    <t>CUST01274</t>
  </si>
  <si>
    <t>LN01275</t>
  </si>
  <si>
    <t>CUST01275</t>
  </si>
  <si>
    <t>2023-11-14</t>
  </si>
  <si>
    <t>LN01276</t>
  </si>
  <si>
    <t>CUST01276</t>
  </si>
  <si>
    <t>2022-09-26</t>
  </si>
  <si>
    <t>LN01277</t>
  </si>
  <si>
    <t>CUST01277</t>
  </si>
  <si>
    <t>LN01278</t>
  </si>
  <si>
    <t>CUST01278</t>
  </si>
  <si>
    <t>2022-06-12</t>
  </si>
  <si>
    <t>LN01279</t>
  </si>
  <si>
    <t>CUST01279</t>
  </si>
  <si>
    <t>LN01280</t>
  </si>
  <si>
    <t>CUST01280</t>
  </si>
  <si>
    <t>LN01281</t>
  </si>
  <si>
    <t>CUST01281</t>
  </si>
  <si>
    <t>LN01282</t>
  </si>
  <si>
    <t>CUST01282</t>
  </si>
  <si>
    <t>LN01283</t>
  </si>
  <si>
    <t>CUST01283</t>
  </si>
  <si>
    <t>2022-11-17</t>
  </si>
  <si>
    <t>LN01284</t>
  </si>
  <si>
    <t>CUST01284</t>
  </si>
  <si>
    <t>LN01285</t>
  </si>
  <si>
    <t>CUST01285</t>
  </si>
  <si>
    <t>LN01286</t>
  </si>
  <si>
    <t>CUST01286</t>
  </si>
  <si>
    <t>LN01287</t>
  </si>
  <si>
    <t>CUST01287</t>
  </si>
  <si>
    <t>2025-04-11</t>
  </si>
  <si>
    <t>LN01288</t>
  </si>
  <si>
    <t>CUST01288</t>
  </si>
  <si>
    <t>2025-03-11</t>
  </si>
  <si>
    <t>LN01289</t>
  </si>
  <si>
    <t>CUST01289</t>
  </si>
  <si>
    <t>LN01290</t>
  </si>
  <si>
    <t>CUST01290</t>
  </si>
  <si>
    <t>2024-11-01</t>
  </si>
  <si>
    <t>LN01291</t>
  </si>
  <si>
    <t>CUST01291</t>
  </si>
  <si>
    <t>LN01292</t>
  </si>
  <si>
    <t>CUST01292</t>
  </si>
  <si>
    <t>LN01293</t>
  </si>
  <si>
    <t>CUST01293</t>
  </si>
  <si>
    <t>LN01294</t>
  </si>
  <si>
    <t>CUST01294</t>
  </si>
  <si>
    <t>LN01295</t>
  </si>
  <si>
    <t>CUST01295</t>
  </si>
  <si>
    <t>2025-01-30</t>
  </si>
  <si>
    <t>LN01296</t>
  </si>
  <si>
    <t>CUST01296</t>
  </si>
  <si>
    <t>2022-04-04</t>
  </si>
  <si>
    <t>LN01297</t>
  </si>
  <si>
    <t>CUST01297</t>
  </si>
  <si>
    <t>LN01298</t>
  </si>
  <si>
    <t>CUST01298</t>
  </si>
  <si>
    <t>LN01299</t>
  </si>
  <si>
    <t>CUST01299</t>
  </si>
  <si>
    <t>LN01300</t>
  </si>
  <si>
    <t>CUST01300</t>
  </si>
  <si>
    <t>LN01301</t>
  </si>
  <si>
    <t>CUST01301</t>
  </si>
  <si>
    <t>LN01302</t>
  </si>
  <si>
    <t>CUST01302</t>
  </si>
  <si>
    <t>2023-08-05</t>
  </si>
  <si>
    <t>LN01303</t>
  </si>
  <si>
    <t>CUST01303</t>
  </si>
  <si>
    <t>LN01304</t>
  </si>
  <si>
    <t>CUST01304</t>
  </si>
  <si>
    <t>LN01305</t>
  </si>
  <si>
    <t>CUST01305</t>
  </si>
  <si>
    <t>LN01306</t>
  </si>
  <si>
    <t>CUST01306</t>
  </si>
  <si>
    <t>LN01307</t>
  </si>
  <si>
    <t>CUST01307</t>
  </si>
  <si>
    <t>LN01308</t>
  </si>
  <si>
    <t>CUST01308</t>
  </si>
  <si>
    <t>LN01309</t>
  </si>
  <si>
    <t>CUST01309</t>
  </si>
  <si>
    <t>2025-05-24</t>
  </si>
  <si>
    <t>LN01310</t>
  </si>
  <si>
    <t>CUST01310</t>
  </si>
  <si>
    <t>LN01311</t>
  </si>
  <si>
    <t>CUST01311</t>
  </si>
  <si>
    <t>LN01312</t>
  </si>
  <si>
    <t>CUST01312</t>
  </si>
  <si>
    <t>LN01313</t>
  </si>
  <si>
    <t>CUST01313</t>
  </si>
  <si>
    <t>LN01314</t>
  </si>
  <si>
    <t>CUST01314</t>
  </si>
  <si>
    <t>LN01315</t>
  </si>
  <si>
    <t>CUST01315</t>
  </si>
  <si>
    <t>LN01316</t>
  </si>
  <si>
    <t>CUST01316</t>
  </si>
  <si>
    <t>2024-05-02</t>
  </si>
  <si>
    <t>LN01317</t>
  </si>
  <si>
    <t>CUST01317</t>
  </si>
  <si>
    <t>LN01318</t>
  </si>
  <si>
    <t>CUST01318</t>
  </si>
  <si>
    <t>2022-12-10</t>
  </si>
  <si>
    <t>LN01319</t>
  </si>
  <si>
    <t>CUST01319</t>
  </si>
  <si>
    <t>2023-09-20</t>
  </si>
  <si>
    <t>LN01320</t>
  </si>
  <si>
    <t>CUST01320</t>
  </si>
  <si>
    <t>2024-09-28</t>
  </si>
  <si>
    <t>LN01321</t>
  </si>
  <si>
    <t>CUST01321</t>
  </si>
  <si>
    <t>LN01322</t>
  </si>
  <si>
    <t>CUST01322</t>
  </si>
  <si>
    <t>LN01323</t>
  </si>
  <si>
    <t>CUST01323</t>
  </si>
  <si>
    <t>2025-01-13</t>
  </si>
  <si>
    <t>LN01324</t>
  </si>
  <si>
    <t>CUST01324</t>
  </si>
  <si>
    <t>2024-02-01</t>
  </si>
  <si>
    <t>LN01325</t>
  </si>
  <si>
    <t>CUST01325</t>
  </si>
  <si>
    <t>2022-01-16</t>
  </si>
  <si>
    <t>LN01326</t>
  </si>
  <si>
    <t>CUST01326</t>
  </si>
  <si>
    <t>LN01327</t>
  </si>
  <si>
    <t>CUST01327</t>
  </si>
  <si>
    <t>LN01328</t>
  </si>
  <si>
    <t>CUST01328</t>
  </si>
  <si>
    <t>LN01329</t>
  </si>
  <si>
    <t>CUST01329</t>
  </si>
  <si>
    <t>2023-12-05</t>
  </si>
  <si>
    <t>LN01330</t>
  </si>
  <si>
    <t>CUST01330</t>
  </si>
  <si>
    <t>2022-02-12</t>
  </si>
  <si>
    <t>LN01331</t>
  </si>
  <si>
    <t>CUST01331</t>
  </si>
  <si>
    <t>LN01332</t>
  </si>
  <si>
    <t>CUST01332</t>
  </si>
  <si>
    <t>2025-01-14</t>
  </si>
  <si>
    <t>LN01333</t>
  </si>
  <si>
    <t>CUST01333</t>
  </si>
  <si>
    <t>2025-08-24</t>
  </si>
  <si>
    <t>LN01334</t>
  </si>
  <si>
    <t>CUST01334</t>
  </si>
  <si>
    <t>2025-04-05</t>
  </si>
  <si>
    <t>LN01335</t>
  </si>
  <si>
    <t>CUST01335</t>
  </si>
  <si>
    <t>LN01336</t>
  </si>
  <si>
    <t>CUST01336</t>
  </si>
  <si>
    <t>2024-12-18</t>
  </si>
  <si>
    <t>LN01337</t>
  </si>
  <si>
    <t>CUST01337</t>
  </si>
  <si>
    <t>LN01338</t>
  </si>
  <si>
    <t>CUST01338</t>
  </si>
  <si>
    <t>LN01339</t>
  </si>
  <si>
    <t>CUST01339</t>
  </si>
  <si>
    <t>2023-04-19</t>
  </si>
  <si>
    <t>LN01340</t>
  </si>
  <si>
    <t>CUST01340</t>
  </si>
  <si>
    <t>LN01341</t>
  </si>
  <si>
    <t>CUST01341</t>
  </si>
  <si>
    <t>LN01342</t>
  </si>
  <si>
    <t>CUST01342</t>
  </si>
  <si>
    <t>2024-01-11</t>
  </si>
  <si>
    <t>LN01343</t>
  </si>
  <si>
    <t>CUST01343</t>
  </si>
  <si>
    <t>LN01344</t>
  </si>
  <si>
    <t>CUST01344</t>
  </si>
  <si>
    <t>LN01345</t>
  </si>
  <si>
    <t>CUST01345</t>
  </si>
  <si>
    <t>LN01346</t>
  </si>
  <si>
    <t>CUST01346</t>
  </si>
  <si>
    <t>2022-05-25</t>
  </si>
  <si>
    <t>LN01347</t>
  </si>
  <si>
    <t>CUST01347</t>
  </si>
  <si>
    <t>2023-06-20</t>
  </si>
  <si>
    <t>LN01348</t>
  </si>
  <si>
    <t>CUST01348</t>
  </si>
  <si>
    <t>LN01349</t>
  </si>
  <si>
    <t>CUST01349</t>
  </si>
  <si>
    <t>LN01350</t>
  </si>
  <si>
    <t>CUST01350</t>
  </si>
  <si>
    <t>LN01351</t>
  </si>
  <si>
    <t>CUST01351</t>
  </si>
  <si>
    <t>LN01352</t>
  </si>
  <si>
    <t>CUST01352</t>
  </si>
  <si>
    <t>LN01353</t>
  </si>
  <si>
    <t>CUST01353</t>
  </si>
  <si>
    <t>2025-11-23</t>
  </si>
  <si>
    <t>LN01354</t>
  </si>
  <si>
    <t>CUST01354</t>
  </si>
  <si>
    <t>LN01355</t>
  </si>
  <si>
    <t>CUST01355</t>
  </si>
  <si>
    <t>LN01356</t>
  </si>
  <si>
    <t>CUST01356</t>
  </si>
  <si>
    <t>2025-07-05</t>
  </si>
  <si>
    <t>LN01357</t>
  </si>
  <si>
    <t>CUST01357</t>
  </si>
  <si>
    <t>2023-07-17</t>
  </si>
  <si>
    <t>LN01358</t>
  </si>
  <si>
    <t>CUST01358</t>
  </si>
  <si>
    <t>LN01359</t>
  </si>
  <si>
    <t>CUST01359</t>
  </si>
  <si>
    <t>LN01360</t>
  </si>
  <si>
    <t>CUST01360</t>
  </si>
  <si>
    <t>2022-12-11</t>
  </si>
  <si>
    <t>LN01361</t>
  </si>
  <si>
    <t>CUST01361</t>
  </si>
  <si>
    <t>LN01362</t>
  </si>
  <si>
    <t>CUST01362</t>
  </si>
  <si>
    <t>LN01363</t>
  </si>
  <si>
    <t>CUST01363</t>
  </si>
  <si>
    <t>2023-06-24</t>
  </si>
  <si>
    <t>LN01364</t>
  </si>
  <si>
    <t>CUST01364</t>
  </si>
  <si>
    <t>LN01365</t>
  </si>
  <si>
    <t>CUST01365</t>
  </si>
  <si>
    <t>2025-12-12</t>
  </si>
  <si>
    <t>LN01366</t>
  </si>
  <si>
    <t>CUST01366</t>
  </si>
  <si>
    <t>LN01367</t>
  </si>
  <si>
    <t>CUST01367</t>
  </si>
  <si>
    <t>2023-12-15</t>
  </si>
  <si>
    <t>LN01368</t>
  </si>
  <si>
    <t>CUST01368</t>
  </si>
  <si>
    <t>LN01369</t>
  </si>
  <si>
    <t>CUST01369</t>
  </si>
  <si>
    <t>2022-08-11</t>
  </si>
  <si>
    <t>LN01370</t>
  </si>
  <si>
    <t>CUST01370</t>
  </si>
  <si>
    <t>2022-02-07</t>
  </si>
  <si>
    <t>LN01371</t>
  </si>
  <si>
    <t>CUST01371</t>
  </si>
  <si>
    <t>2023-05-17</t>
  </si>
  <si>
    <t>LN01372</t>
  </si>
  <si>
    <t>CUST01372</t>
  </si>
  <si>
    <t>LN01373</t>
  </si>
  <si>
    <t>CUST01373</t>
  </si>
  <si>
    <t>LN01374</t>
  </si>
  <si>
    <t>CUST01374</t>
  </si>
  <si>
    <t>2025-04-25</t>
  </si>
  <si>
    <t>LN01375</t>
  </si>
  <si>
    <t>CUST01375</t>
  </si>
  <si>
    <t>LN01376</t>
  </si>
  <si>
    <t>CUST01376</t>
  </si>
  <si>
    <t>LN01377</t>
  </si>
  <si>
    <t>CUST01377</t>
  </si>
  <si>
    <t>2023-02-17</t>
  </si>
  <si>
    <t>LN01378</t>
  </si>
  <si>
    <t>CUST01378</t>
  </si>
  <si>
    <t>LN01379</t>
  </si>
  <si>
    <t>CUST01379</t>
  </si>
  <si>
    <t>LN01380</t>
  </si>
  <si>
    <t>CUST01380</t>
  </si>
  <si>
    <t>LN01381</t>
  </si>
  <si>
    <t>CUST01381</t>
  </si>
  <si>
    <t>LN01382</t>
  </si>
  <si>
    <t>CUST01382</t>
  </si>
  <si>
    <t>LN01383</t>
  </si>
  <si>
    <t>CUST01383</t>
  </si>
  <si>
    <t>LN01384</t>
  </si>
  <si>
    <t>CUST01384</t>
  </si>
  <si>
    <t>2024-07-13</t>
  </si>
  <si>
    <t>LN01385</t>
  </si>
  <si>
    <t>CUST01385</t>
  </si>
  <si>
    <t>LN01386</t>
  </si>
  <si>
    <t>CUST01386</t>
  </si>
  <si>
    <t>LN01387</t>
  </si>
  <si>
    <t>CUST01387</t>
  </si>
  <si>
    <t>2025-07-21</t>
  </si>
  <si>
    <t>LN01388</t>
  </si>
  <si>
    <t>CUST01388</t>
  </si>
  <si>
    <t>LN01389</t>
  </si>
  <si>
    <t>CUST01389</t>
  </si>
  <si>
    <t>2023-12-16</t>
  </si>
  <si>
    <t>LN01390</t>
  </si>
  <si>
    <t>CUST01390</t>
  </si>
  <si>
    <t>LN01391</t>
  </si>
  <si>
    <t>CUST01391</t>
  </si>
  <si>
    <t>2025-12-11</t>
  </si>
  <si>
    <t>LN01392</t>
  </si>
  <si>
    <t>CUST01392</t>
  </si>
  <si>
    <t>LN01393</t>
  </si>
  <si>
    <t>CUST01393</t>
  </si>
  <si>
    <t>LN01394</t>
  </si>
  <si>
    <t>CUST01394</t>
  </si>
  <si>
    <t>LN01395</t>
  </si>
  <si>
    <t>CUST01395</t>
  </si>
  <si>
    <t>LN01396</t>
  </si>
  <si>
    <t>CUST01396</t>
  </si>
  <si>
    <t>2022-09-11</t>
  </si>
  <si>
    <t>LN01397</t>
  </si>
  <si>
    <t>CUST01397</t>
  </si>
  <si>
    <t>LN01398</t>
  </si>
  <si>
    <t>CUST01398</t>
  </si>
  <si>
    <t>2022-03-25</t>
  </si>
  <si>
    <t>LN01399</t>
  </si>
  <si>
    <t>CUST01399</t>
  </si>
  <si>
    <t>LN01400</t>
  </si>
  <si>
    <t>CUST01400</t>
  </si>
  <si>
    <t>LN01401</t>
  </si>
  <si>
    <t>CUST01401</t>
  </si>
  <si>
    <t>LN01402</t>
  </si>
  <si>
    <t>CUST01402</t>
  </si>
  <si>
    <t>LN01403</t>
  </si>
  <si>
    <t>CUST01403</t>
  </si>
  <si>
    <t>LN01404</t>
  </si>
  <si>
    <t>CUST01404</t>
  </si>
  <si>
    <t>LN01405</t>
  </si>
  <si>
    <t>CUST01405</t>
  </si>
  <si>
    <t>LN01406</t>
  </si>
  <si>
    <t>CUST01406</t>
  </si>
  <si>
    <t>2022-12-24</t>
  </si>
  <si>
    <t>LN01407</t>
  </si>
  <si>
    <t>CUST01407</t>
  </si>
  <si>
    <t>LN01408</t>
  </si>
  <si>
    <t>CUST01408</t>
  </si>
  <si>
    <t>LN01409</t>
  </si>
  <si>
    <t>CUST01409</t>
  </si>
  <si>
    <t>2023-01-31</t>
  </si>
  <si>
    <t>LN01410</t>
  </si>
  <si>
    <t>CUST01410</t>
  </si>
  <si>
    <t>LN01411</t>
  </si>
  <si>
    <t>CUST01411</t>
  </si>
  <si>
    <t>2023-04-12</t>
  </si>
  <si>
    <t>LN01412</t>
  </si>
  <si>
    <t>CUST01412</t>
  </si>
  <si>
    <t>2022-11-16</t>
  </si>
  <si>
    <t>LN01413</t>
  </si>
  <si>
    <t>CUST01413</t>
  </si>
  <si>
    <t>2025-11-11</t>
  </si>
  <si>
    <t>LN01414</t>
  </si>
  <si>
    <t>CUST01414</t>
  </si>
  <si>
    <t>LN01415</t>
  </si>
  <si>
    <t>CUST01415</t>
  </si>
  <si>
    <t>LN01416</t>
  </si>
  <si>
    <t>CUST01416</t>
  </si>
  <si>
    <t>2023-06-30</t>
  </si>
  <si>
    <t>LN01417</t>
  </si>
  <si>
    <t>CUST01417</t>
  </si>
  <si>
    <t>LN01418</t>
  </si>
  <si>
    <t>CUST01418</t>
  </si>
  <si>
    <t>LN01419</t>
  </si>
  <si>
    <t>CUST01419</t>
  </si>
  <si>
    <t>LN01420</t>
  </si>
  <si>
    <t>CUST01420</t>
  </si>
  <si>
    <t>LN01421</t>
  </si>
  <si>
    <t>CUST01421</t>
  </si>
  <si>
    <t>2024-03-04</t>
  </si>
  <si>
    <t>LN01422</t>
  </si>
  <si>
    <t>CUST01422</t>
  </si>
  <si>
    <t>LN01423</t>
  </si>
  <si>
    <t>CUST01423</t>
  </si>
  <si>
    <t>2022-12-08</t>
  </si>
  <si>
    <t>LN01424</t>
  </si>
  <si>
    <t>CUST01424</t>
  </si>
  <si>
    <t>LN01425</t>
  </si>
  <si>
    <t>CUST01425</t>
  </si>
  <si>
    <t>LN01426</t>
  </si>
  <si>
    <t>CUST01426</t>
  </si>
  <si>
    <t>2024-02-05</t>
  </si>
  <si>
    <t>LN01427</t>
  </si>
  <si>
    <t>CUST01427</t>
  </si>
  <si>
    <t>2025-07-20</t>
  </si>
  <si>
    <t>LN01428</t>
  </si>
  <si>
    <t>CUST01428</t>
  </si>
  <si>
    <t>2023-05-05</t>
  </si>
  <si>
    <t>LN01429</t>
  </si>
  <si>
    <t>CUST01429</t>
  </si>
  <si>
    <t>2025-10-19</t>
  </si>
  <si>
    <t>LN01430</t>
  </si>
  <si>
    <t>CUST01430</t>
  </si>
  <si>
    <t>LN01431</t>
  </si>
  <si>
    <t>CUST01431</t>
  </si>
  <si>
    <t>LN01432</t>
  </si>
  <si>
    <t>CUST01432</t>
  </si>
  <si>
    <t>2023-11-12</t>
  </si>
  <si>
    <t>LN01433</t>
  </si>
  <si>
    <t>CUST01433</t>
  </si>
  <si>
    <t>2022-06-13</t>
  </si>
  <si>
    <t>LN01434</t>
  </si>
  <si>
    <t>CUST01434</t>
  </si>
  <si>
    <t>LN01435</t>
  </si>
  <si>
    <t>CUST01435</t>
  </si>
  <si>
    <t>LN01436</t>
  </si>
  <si>
    <t>CUST01436</t>
  </si>
  <si>
    <t>2024-07-26</t>
  </si>
  <si>
    <t>LN01437</t>
  </si>
  <si>
    <t>CUST01437</t>
  </si>
  <si>
    <t>2022-04-12</t>
  </si>
  <si>
    <t>LN01438</t>
  </si>
  <si>
    <t>CUST01438</t>
  </si>
  <si>
    <t>LN01439</t>
  </si>
  <si>
    <t>CUST01439</t>
  </si>
  <si>
    <t>LN01440</t>
  </si>
  <si>
    <t>CUST01440</t>
  </si>
  <si>
    <t>LN01441</t>
  </si>
  <si>
    <t>CUST01441</t>
  </si>
  <si>
    <t>LN01442</t>
  </si>
  <si>
    <t>CUST01442</t>
  </si>
  <si>
    <t>LN01443</t>
  </si>
  <si>
    <t>CUST01443</t>
  </si>
  <si>
    <t>2025-03-10</t>
  </si>
  <si>
    <t>LN01444</t>
  </si>
  <si>
    <t>CUST01444</t>
  </si>
  <si>
    <t>2022-12-31</t>
  </si>
  <si>
    <t>LN01445</t>
  </si>
  <si>
    <t>CUST01445</t>
  </si>
  <si>
    <t>LN01446</t>
  </si>
  <si>
    <t>CUST01446</t>
  </si>
  <si>
    <t>2025-10-10</t>
  </si>
  <si>
    <t>LN01447</t>
  </si>
  <si>
    <t>CUST01447</t>
  </si>
  <si>
    <t>2023-04-23</t>
  </si>
  <si>
    <t>LN01448</t>
  </si>
  <si>
    <t>CUST01448</t>
  </si>
  <si>
    <t>2023-06-10</t>
  </si>
  <si>
    <t>LN01449</t>
  </si>
  <si>
    <t>CUST01449</t>
  </si>
  <si>
    <t>LN01450</t>
  </si>
  <si>
    <t>CUST01450</t>
  </si>
  <si>
    <t>LN01451</t>
  </si>
  <si>
    <t>CUST01451</t>
  </si>
  <si>
    <t>LN01452</t>
  </si>
  <si>
    <t>CUST01452</t>
  </si>
  <si>
    <t>LN01453</t>
  </si>
  <si>
    <t>CUST01453</t>
  </si>
  <si>
    <t>LN01454</t>
  </si>
  <si>
    <t>CUST01454</t>
  </si>
  <si>
    <t>LN01455</t>
  </si>
  <si>
    <t>CUST01455</t>
  </si>
  <si>
    <t>2022-08-08</t>
  </si>
  <si>
    <t>LN01456</t>
  </si>
  <si>
    <t>CUST01456</t>
  </si>
  <si>
    <t>LN01457</t>
  </si>
  <si>
    <t>CUST01457</t>
  </si>
  <si>
    <t>2025-03-17</t>
  </si>
  <si>
    <t>LN01458</t>
  </si>
  <si>
    <t>CUST01458</t>
  </si>
  <si>
    <t>LN01459</t>
  </si>
  <si>
    <t>CUST01459</t>
  </si>
  <si>
    <t>LN01460</t>
  </si>
  <si>
    <t>CUST01460</t>
  </si>
  <si>
    <t>LN01461</t>
  </si>
  <si>
    <t>CUST01461</t>
  </si>
  <si>
    <t>2023-01-05</t>
  </si>
  <si>
    <t>LN01462</t>
  </si>
  <si>
    <t>CUST01462</t>
  </si>
  <si>
    <t>LN01463</t>
  </si>
  <si>
    <t>CUST01463</t>
  </si>
  <si>
    <t>LN01464</t>
  </si>
  <si>
    <t>CUST01464</t>
  </si>
  <si>
    <t>LN01465</t>
  </si>
  <si>
    <t>CUST01465</t>
  </si>
  <si>
    <t>2023-06-25</t>
  </si>
  <si>
    <t>LN01466</t>
  </si>
  <si>
    <t>CUST01466</t>
  </si>
  <si>
    <t>2025-09-04</t>
  </si>
  <si>
    <t>LN01467</t>
  </si>
  <si>
    <t>CUST01467</t>
  </si>
  <si>
    <t>LN01468</t>
  </si>
  <si>
    <t>CUST01468</t>
  </si>
  <si>
    <t>LN01469</t>
  </si>
  <si>
    <t>CUST01469</t>
  </si>
  <si>
    <t>2025-05-27</t>
  </si>
  <si>
    <t>LN01470</t>
  </si>
  <si>
    <t>CUST01470</t>
  </si>
  <si>
    <t>LN01471</t>
  </si>
  <si>
    <t>CUST01471</t>
  </si>
  <si>
    <t>LN01472</t>
  </si>
  <si>
    <t>CUST01472</t>
  </si>
  <si>
    <t>LN01473</t>
  </si>
  <si>
    <t>CUST01473</t>
  </si>
  <si>
    <t>2024-01-31</t>
  </si>
  <si>
    <t>LN01474</t>
  </si>
  <si>
    <t>CUST01474</t>
  </si>
  <si>
    <t>LN01475</t>
  </si>
  <si>
    <t>CUST01475</t>
  </si>
  <si>
    <t>LN01476</t>
  </si>
  <si>
    <t>CUST01476</t>
  </si>
  <si>
    <t>2022-07-01</t>
  </si>
  <si>
    <t>LN01477</t>
  </si>
  <si>
    <t>CUST01477</t>
  </si>
  <si>
    <t>LN01478</t>
  </si>
  <si>
    <t>CUST01478</t>
  </si>
  <si>
    <t>LN01479</t>
  </si>
  <si>
    <t>CUST01479</t>
  </si>
  <si>
    <t>2022-11-18</t>
  </si>
  <si>
    <t>LN01480</t>
  </si>
  <si>
    <t>CUST01480</t>
  </si>
  <si>
    <t>LN01481</t>
  </si>
  <si>
    <t>CUST01481</t>
  </si>
  <si>
    <t>2023-09-26</t>
  </si>
  <si>
    <t>LN01482</t>
  </si>
  <si>
    <t>CUST01482</t>
  </si>
  <si>
    <t>2022-10-09</t>
  </si>
  <si>
    <t>LN01483</t>
  </si>
  <si>
    <t>CUST01483</t>
  </si>
  <si>
    <t>2025-09-13</t>
  </si>
  <si>
    <t>LN01484</t>
  </si>
  <si>
    <t>CUST01484</t>
  </si>
  <si>
    <t>LN01485</t>
  </si>
  <si>
    <t>CUST01485</t>
  </si>
  <si>
    <t>LN01486</t>
  </si>
  <si>
    <t>CUST01486</t>
  </si>
  <si>
    <t>LN01487</t>
  </si>
  <si>
    <t>CUST01487</t>
  </si>
  <si>
    <t>LN01488</t>
  </si>
  <si>
    <t>CUST01488</t>
  </si>
  <si>
    <t>LN01489</t>
  </si>
  <si>
    <t>CUST01489</t>
  </si>
  <si>
    <t>2024-09-08</t>
  </si>
  <si>
    <t>LN01490</t>
  </si>
  <si>
    <t>CUST01490</t>
  </si>
  <si>
    <t>LN01491</t>
  </si>
  <si>
    <t>CUST01491</t>
  </si>
  <si>
    <t>2024-11-12</t>
  </si>
  <si>
    <t>LN01492</t>
  </si>
  <si>
    <t>CUST01492</t>
  </si>
  <si>
    <t>LN01493</t>
  </si>
  <si>
    <t>CUST01493</t>
  </si>
  <si>
    <t>LN01494</t>
  </si>
  <si>
    <t>CUST01494</t>
  </si>
  <si>
    <t>2024-12-13</t>
  </si>
  <si>
    <t>LN01495</t>
  </si>
  <si>
    <t>CUST01495</t>
  </si>
  <si>
    <t>2025-10-17</t>
  </si>
  <si>
    <t>LN01496</t>
  </si>
  <si>
    <t>CUST01496</t>
  </si>
  <si>
    <t>2024-10-22</t>
  </si>
  <si>
    <t>LN01497</t>
  </si>
  <si>
    <t>CUST01497</t>
  </si>
  <si>
    <t>2023-10-27</t>
  </si>
  <si>
    <t>LN01498</t>
  </si>
  <si>
    <t>CUST01498</t>
  </si>
  <si>
    <t>2025-05-07</t>
  </si>
  <si>
    <t>LN01499</t>
  </si>
  <si>
    <t>CUST01499</t>
  </si>
  <si>
    <t>LN01500</t>
  </si>
  <si>
    <t>CUST01500</t>
  </si>
  <si>
    <t>LN01501</t>
  </si>
  <si>
    <t>CUST01501</t>
  </si>
  <si>
    <t>LN01502</t>
  </si>
  <si>
    <t>CUST01502</t>
  </si>
  <si>
    <t>2024-03-28</t>
  </si>
  <si>
    <t>LN01503</t>
  </si>
  <si>
    <t>CUST01503</t>
  </si>
  <si>
    <t>LN01504</t>
  </si>
  <si>
    <t>CUST01504</t>
  </si>
  <si>
    <t>2022-04-29</t>
  </si>
  <si>
    <t>LN01505</t>
  </si>
  <si>
    <t>CUST01505</t>
  </si>
  <si>
    <t>2022-05-23</t>
  </si>
  <si>
    <t>LN01506</t>
  </si>
  <si>
    <t>CUST01506</t>
  </si>
  <si>
    <t>2023-09-18</t>
  </si>
  <si>
    <t>LN01507</t>
  </si>
  <si>
    <t>CUST01507</t>
  </si>
  <si>
    <t>LN01508</t>
  </si>
  <si>
    <t>CUST01508</t>
  </si>
  <si>
    <t>LN01509</t>
  </si>
  <si>
    <t>CUST01509</t>
  </si>
  <si>
    <t>LN01510</t>
  </si>
  <si>
    <t>CUST01510</t>
  </si>
  <si>
    <t>LN01511</t>
  </si>
  <si>
    <t>CUST01511</t>
  </si>
  <si>
    <t>2025-07-29</t>
  </si>
  <si>
    <t>LN01512</t>
  </si>
  <si>
    <t>CUST01512</t>
  </si>
  <si>
    <t>2023-04-22</t>
  </si>
  <si>
    <t>LN01513</t>
  </si>
  <si>
    <t>CUST01513</t>
  </si>
  <si>
    <t>LN01514</t>
  </si>
  <si>
    <t>CUST01514</t>
  </si>
  <si>
    <t>LN01515</t>
  </si>
  <si>
    <t>CUST01515</t>
  </si>
  <si>
    <t>LN01516</t>
  </si>
  <si>
    <t>CUST01516</t>
  </si>
  <si>
    <t>LN01517</t>
  </si>
  <si>
    <t>CUST01517</t>
  </si>
  <si>
    <t>2025-10-03</t>
  </si>
  <si>
    <t>LN01518</t>
  </si>
  <si>
    <t>CUST01518</t>
  </si>
  <si>
    <t>2025-11-16</t>
  </si>
  <si>
    <t>LN01519</t>
  </si>
  <si>
    <t>CUST01519</t>
  </si>
  <si>
    <t>LN01520</t>
  </si>
  <si>
    <t>CUST01520</t>
  </si>
  <si>
    <t>2024-03-14</t>
  </si>
  <si>
    <t>LN01521</t>
  </si>
  <si>
    <t>CUST01521</t>
  </si>
  <si>
    <t>LN01522</t>
  </si>
  <si>
    <t>CUST01522</t>
  </si>
  <si>
    <t>2023-06-23</t>
  </si>
  <si>
    <t>LN01523</t>
  </si>
  <si>
    <t>CUST01523</t>
  </si>
  <si>
    <t>LN01524</t>
  </si>
  <si>
    <t>CUST01524</t>
  </si>
  <si>
    <t>2023-05-10</t>
  </si>
  <si>
    <t>LN01525</t>
  </si>
  <si>
    <t>CUST01525</t>
  </si>
  <si>
    <t>2024-06-16</t>
  </si>
  <si>
    <t>LN01526</t>
  </si>
  <si>
    <t>CUST01526</t>
  </si>
  <si>
    <t>LN01527</t>
  </si>
  <si>
    <t>CUST01527</t>
  </si>
  <si>
    <t>2022-05-13</t>
  </si>
  <si>
    <t>LN01528</t>
  </si>
  <si>
    <t>CUST01528</t>
  </si>
  <si>
    <t>LN01529</t>
  </si>
  <si>
    <t>CUST01529</t>
  </si>
  <si>
    <t>LN01530</t>
  </si>
  <si>
    <t>CUST01530</t>
  </si>
  <si>
    <t>LN01531</t>
  </si>
  <si>
    <t>CUST01531</t>
  </si>
  <si>
    <t>2024-08-21</t>
  </si>
  <si>
    <t>LN01532</t>
  </si>
  <si>
    <t>CUST01532</t>
  </si>
  <si>
    <t>LN01533</t>
  </si>
  <si>
    <t>CUST01533</t>
  </si>
  <si>
    <t>LN01534</t>
  </si>
  <si>
    <t>CUST01534</t>
  </si>
  <si>
    <t>2025-01-09</t>
  </si>
  <si>
    <t>LN01535</t>
  </si>
  <si>
    <t>CUST01535</t>
  </si>
  <si>
    <t>LN01536</t>
  </si>
  <si>
    <t>CUST01536</t>
  </si>
  <si>
    <t>LN01537</t>
  </si>
  <si>
    <t>CUST01537</t>
  </si>
  <si>
    <t>2025-07-02</t>
  </si>
  <si>
    <t>LN01538</t>
  </si>
  <si>
    <t>CUST01538</t>
  </si>
  <si>
    <t>2025-06-22</t>
  </si>
  <si>
    <t>LN01539</t>
  </si>
  <si>
    <t>CUST01539</t>
  </si>
  <si>
    <t>LN01540</t>
  </si>
  <si>
    <t>CUST01540</t>
  </si>
  <si>
    <t>LN01541</t>
  </si>
  <si>
    <t>CUST01541</t>
  </si>
  <si>
    <t>LN01542</t>
  </si>
  <si>
    <t>CUST01542</t>
  </si>
  <si>
    <t>LN01543</t>
  </si>
  <si>
    <t>CUST01543</t>
  </si>
  <si>
    <t>LN01544</t>
  </si>
  <si>
    <t>CUST01544</t>
  </si>
  <si>
    <t>LN01545</t>
  </si>
  <si>
    <t>CUST01545</t>
  </si>
  <si>
    <t>2023-09-15</t>
  </si>
  <si>
    <t>LN01546</t>
  </si>
  <si>
    <t>CUST01546</t>
  </si>
  <si>
    <t>LN01547</t>
  </si>
  <si>
    <t>CUST01547</t>
  </si>
  <si>
    <t>LN01548</t>
  </si>
  <si>
    <t>CUST01548</t>
  </si>
  <si>
    <t>LN01549</t>
  </si>
  <si>
    <t>CUST01549</t>
  </si>
  <si>
    <t>2022-01-01</t>
  </si>
  <si>
    <t>LN01550</t>
  </si>
  <si>
    <t>CUST01550</t>
  </si>
  <si>
    <t>LN01551</t>
  </si>
  <si>
    <t>CUST01551</t>
  </si>
  <si>
    <t>2022-09-15</t>
  </si>
  <si>
    <t>LN01552</t>
  </si>
  <si>
    <t>CUST01552</t>
  </si>
  <si>
    <t>2024-11-25</t>
  </si>
  <si>
    <t>LN01553</t>
  </si>
  <si>
    <t>CUST01553</t>
  </si>
  <si>
    <t>LN01554</t>
  </si>
  <si>
    <t>CUST01554</t>
  </si>
  <si>
    <t>LN01555</t>
  </si>
  <si>
    <t>CUST01555</t>
  </si>
  <si>
    <t>LN01556</t>
  </si>
  <si>
    <t>CUST01556</t>
  </si>
  <si>
    <t>LN01557</t>
  </si>
  <si>
    <t>CUST01557</t>
  </si>
  <si>
    <t>LN01558</t>
  </si>
  <si>
    <t>CUST01558</t>
  </si>
  <si>
    <t>LN01559</t>
  </si>
  <si>
    <t>CUST01559</t>
  </si>
  <si>
    <t>LN01560</t>
  </si>
  <si>
    <t>CUST01560</t>
  </si>
  <si>
    <t>2023-12-31</t>
  </si>
  <si>
    <t>LN01561</t>
  </si>
  <si>
    <t>CUST01561</t>
  </si>
  <si>
    <t>2025-06-10</t>
  </si>
  <si>
    <t>LN01562</t>
  </si>
  <si>
    <t>CUST01562</t>
  </si>
  <si>
    <t>2024-05-20</t>
  </si>
  <si>
    <t>LN01563</t>
  </si>
  <si>
    <t>CUST01563</t>
  </si>
  <si>
    <t>LN01564</t>
  </si>
  <si>
    <t>CUST01564</t>
  </si>
  <si>
    <t>LN01565</t>
  </si>
  <si>
    <t>CUST01565</t>
  </si>
  <si>
    <t>LN01566</t>
  </si>
  <si>
    <t>CUST01566</t>
  </si>
  <si>
    <t>2022-12-05</t>
  </si>
  <si>
    <t>LN01567</t>
  </si>
  <si>
    <t>CUST01567</t>
  </si>
  <si>
    <t>LN01568</t>
  </si>
  <si>
    <t>CUST01568</t>
  </si>
  <si>
    <t>2024-05-08</t>
  </si>
  <si>
    <t>LN01569</t>
  </si>
  <si>
    <t>CUST01569</t>
  </si>
  <si>
    <t>2024-12-27</t>
  </si>
  <si>
    <t>LN01570</t>
  </si>
  <si>
    <t>CUST01570</t>
  </si>
  <si>
    <t>2023-01-25</t>
  </si>
  <si>
    <t>LN01571</t>
  </si>
  <si>
    <t>CUST01571</t>
  </si>
  <si>
    <t>2023-08-31</t>
  </si>
  <si>
    <t>LN01572</t>
  </si>
  <si>
    <t>CUST01572</t>
  </si>
  <si>
    <t>LN01573</t>
  </si>
  <si>
    <t>CUST01573</t>
  </si>
  <si>
    <t>2025-06-05</t>
  </si>
  <si>
    <t>LN01574</t>
  </si>
  <si>
    <t>CUST01574</t>
  </si>
  <si>
    <t>LN01575</t>
  </si>
  <si>
    <t>CUST01575</t>
  </si>
  <si>
    <t>LN01576</t>
  </si>
  <si>
    <t>CUST01576</t>
  </si>
  <si>
    <t>2022-04-01</t>
  </si>
  <si>
    <t>LN01577</t>
  </si>
  <si>
    <t>CUST01577</t>
  </si>
  <si>
    <t>2025-08-16</t>
  </si>
  <si>
    <t>LN01578</t>
  </si>
  <si>
    <t>CUST01578</t>
  </si>
  <si>
    <t>LN01579</t>
  </si>
  <si>
    <t>CUST01579</t>
  </si>
  <si>
    <t>2025-08-15</t>
  </si>
  <si>
    <t>LN01580</t>
  </si>
  <si>
    <t>CUST01580</t>
  </si>
  <si>
    <t>LN01581</t>
  </si>
  <si>
    <t>CUST01581</t>
  </si>
  <si>
    <t>LN01582</t>
  </si>
  <si>
    <t>CUST01582</t>
  </si>
  <si>
    <t>2024-07-06</t>
  </si>
  <si>
    <t>LN01583</t>
  </si>
  <si>
    <t>CUST01583</t>
  </si>
  <si>
    <t>LN01584</t>
  </si>
  <si>
    <t>CUST01584</t>
  </si>
  <si>
    <t>LN01585</t>
  </si>
  <si>
    <t>CUST01585</t>
  </si>
  <si>
    <t>2025-04-30</t>
  </si>
  <si>
    <t>LN01586</t>
  </si>
  <si>
    <t>CUST01586</t>
  </si>
  <si>
    <t>LN01587</t>
  </si>
  <si>
    <t>CUST01587</t>
  </si>
  <si>
    <t>LN01588</t>
  </si>
  <si>
    <t>CUST01588</t>
  </si>
  <si>
    <t>2023-03-31</t>
  </si>
  <si>
    <t>LN01589</t>
  </si>
  <si>
    <t>CUST01589</t>
  </si>
  <si>
    <t>LN01590</t>
  </si>
  <si>
    <t>CUST01590</t>
  </si>
  <si>
    <t>LN01591</t>
  </si>
  <si>
    <t>CUST01591</t>
  </si>
  <si>
    <t>LN01592</t>
  </si>
  <si>
    <t>CUST01592</t>
  </si>
  <si>
    <t>LN01593</t>
  </si>
  <si>
    <t>CUST01593</t>
  </si>
  <si>
    <t>2022-03-14</t>
  </si>
  <si>
    <t>LN01594</t>
  </si>
  <si>
    <t>CUST01594</t>
  </si>
  <si>
    <t>2023-10-05</t>
  </si>
  <si>
    <t>LN01595</t>
  </si>
  <si>
    <t>CUST01595</t>
  </si>
  <si>
    <t>LN01596</t>
  </si>
  <si>
    <t>CUST01596</t>
  </si>
  <si>
    <t>LN01597</t>
  </si>
  <si>
    <t>CUST01597</t>
  </si>
  <si>
    <t>LN01598</t>
  </si>
  <si>
    <t>CUST01598</t>
  </si>
  <si>
    <t>LN01599</t>
  </si>
  <si>
    <t>CUST01599</t>
  </si>
  <si>
    <t>LN01600</t>
  </si>
  <si>
    <t>CUST01600</t>
  </si>
  <si>
    <t>LN01601</t>
  </si>
  <si>
    <t>CUST01601</t>
  </si>
  <si>
    <t>LN01602</t>
  </si>
  <si>
    <t>CUST01602</t>
  </si>
  <si>
    <t>LN01603</t>
  </si>
  <si>
    <t>CUST01603</t>
  </si>
  <si>
    <t>2025-07-16</t>
  </si>
  <si>
    <t>LN01604</t>
  </si>
  <si>
    <t>CUST01604</t>
  </si>
  <si>
    <t>2024-06-03</t>
  </si>
  <si>
    <t>LN01605</t>
  </si>
  <si>
    <t>CUST01605</t>
  </si>
  <si>
    <t>2025-12-23</t>
  </si>
  <si>
    <t>LN01606</t>
  </si>
  <si>
    <t>CUST01606</t>
  </si>
  <si>
    <t>LN01607</t>
  </si>
  <si>
    <t>CUST01607</t>
  </si>
  <si>
    <t>2024-02-26</t>
  </si>
  <si>
    <t>LN01608</t>
  </si>
  <si>
    <t>CUST01608</t>
  </si>
  <si>
    <t>LN01609</t>
  </si>
  <si>
    <t>CUST01609</t>
  </si>
  <si>
    <t>2025-10-13</t>
  </si>
  <si>
    <t>LN01610</t>
  </si>
  <si>
    <t>CUST01610</t>
  </si>
  <si>
    <t>2023-11-20</t>
  </si>
  <si>
    <t>LN01611</t>
  </si>
  <si>
    <t>CUST01611</t>
  </si>
  <si>
    <t>LN01612</t>
  </si>
  <si>
    <t>CUST01612</t>
  </si>
  <si>
    <t>LN01613</t>
  </si>
  <si>
    <t>CUST01613</t>
  </si>
  <si>
    <t>LN01614</t>
  </si>
  <si>
    <t>CUST01614</t>
  </si>
  <si>
    <t>2022-10-02</t>
  </si>
  <si>
    <t>LN01615</t>
  </si>
  <si>
    <t>CUST01615</t>
  </si>
  <si>
    <t>LN01616</t>
  </si>
  <si>
    <t>CUST01616</t>
  </si>
  <si>
    <t>LN01617</t>
  </si>
  <si>
    <t>CUST01617</t>
  </si>
  <si>
    <t>LN01618</t>
  </si>
  <si>
    <t>CUST01618</t>
  </si>
  <si>
    <t>LN01619</t>
  </si>
  <si>
    <t>CUST01619</t>
  </si>
  <si>
    <t>2025-05-02</t>
  </si>
  <si>
    <t>LN01620</t>
  </si>
  <si>
    <t>CUST01620</t>
  </si>
  <si>
    <t>LN01621</t>
  </si>
  <si>
    <t>CUST01621</t>
  </si>
  <si>
    <t>LN01622</t>
  </si>
  <si>
    <t>CUST01622</t>
  </si>
  <si>
    <t>2023-04-15</t>
  </si>
  <si>
    <t>LN01623</t>
  </si>
  <si>
    <t>CUST01623</t>
  </si>
  <si>
    <t>LN01624</t>
  </si>
  <si>
    <t>CUST01624</t>
  </si>
  <si>
    <t>LN01625</t>
  </si>
  <si>
    <t>CUST01625</t>
  </si>
  <si>
    <t>LN01626</t>
  </si>
  <si>
    <t>CUST01626</t>
  </si>
  <si>
    <t>LN01627</t>
  </si>
  <si>
    <t>CUST01627</t>
  </si>
  <si>
    <t>LN01628</t>
  </si>
  <si>
    <t>CUST01628</t>
  </si>
  <si>
    <t>2024-10-04</t>
  </si>
  <si>
    <t>LN01629</t>
  </si>
  <si>
    <t>CUST01629</t>
  </si>
  <si>
    <t>LN01630</t>
  </si>
  <si>
    <t>CUST01630</t>
  </si>
  <si>
    <t>2022-09-29</t>
  </si>
  <si>
    <t>LN01631</t>
  </si>
  <si>
    <t>CUST01631</t>
  </si>
  <si>
    <t>LN01632</t>
  </si>
  <si>
    <t>CUST01632</t>
  </si>
  <si>
    <t>LN01633</t>
  </si>
  <si>
    <t>CUST01633</t>
  </si>
  <si>
    <t>2024-08-06</t>
  </si>
  <si>
    <t>LN01634</t>
  </si>
  <si>
    <t>CUST01634</t>
  </si>
  <si>
    <t>LN01635</t>
  </si>
  <si>
    <t>CUST01635</t>
  </si>
  <si>
    <t>2025-11-28</t>
  </si>
  <si>
    <t>LN01636</t>
  </si>
  <si>
    <t>CUST01636</t>
  </si>
  <si>
    <t>LN01637</t>
  </si>
  <si>
    <t>CUST01637</t>
  </si>
  <si>
    <t>2023-03-21</t>
  </si>
  <si>
    <t>LN01638</t>
  </si>
  <si>
    <t>CUST01638</t>
  </si>
  <si>
    <t>LN01639</t>
  </si>
  <si>
    <t>CUST01639</t>
  </si>
  <si>
    <t>LN01640</t>
  </si>
  <si>
    <t>CUST01640</t>
  </si>
  <si>
    <t>LN01641</t>
  </si>
  <si>
    <t>CUST01641</t>
  </si>
  <si>
    <t>LN01642</t>
  </si>
  <si>
    <t>CUST01642</t>
  </si>
  <si>
    <t>LN01643</t>
  </si>
  <si>
    <t>CUST01643</t>
  </si>
  <si>
    <t>2022-10-16</t>
  </si>
  <si>
    <t>LN01644</t>
  </si>
  <si>
    <t>CUST01644</t>
  </si>
  <si>
    <t>LN01645</t>
  </si>
  <si>
    <t>CUST01645</t>
  </si>
  <si>
    <t>LN01646</t>
  </si>
  <si>
    <t>CUST01646</t>
  </si>
  <si>
    <t>2023-03-30</t>
  </si>
  <si>
    <t>LN01647</t>
  </si>
  <si>
    <t>CUST01647</t>
  </si>
  <si>
    <t>2024-05-31</t>
  </si>
  <si>
    <t>LN01648</t>
  </si>
  <si>
    <t>CUST01648</t>
  </si>
  <si>
    <t>LN01649</t>
  </si>
  <si>
    <t>CUST01649</t>
  </si>
  <si>
    <t>2022-06-14</t>
  </si>
  <si>
    <t>LN01650</t>
  </si>
  <si>
    <t>CUST01650</t>
  </si>
  <si>
    <t>LN01651</t>
  </si>
  <si>
    <t>CUST01651</t>
  </si>
  <si>
    <t>LN01652</t>
  </si>
  <si>
    <t>CUST01652</t>
  </si>
  <si>
    <t>LN01653</t>
  </si>
  <si>
    <t>CUST01653</t>
  </si>
  <si>
    <t>2024-11-23</t>
  </si>
  <si>
    <t>LN01654</t>
  </si>
  <si>
    <t>CUST01654</t>
  </si>
  <si>
    <t>LN01655</t>
  </si>
  <si>
    <t>CUST01655</t>
  </si>
  <si>
    <t>LN01656</t>
  </si>
  <si>
    <t>CUST01656</t>
  </si>
  <si>
    <t>LN01657</t>
  </si>
  <si>
    <t>CUST01657</t>
  </si>
  <si>
    <t>2024-08-20</t>
  </si>
  <si>
    <t>LN01658</t>
  </si>
  <si>
    <t>CUST01658</t>
  </si>
  <si>
    <t>2024-04-13</t>
  </si>
  <si>
    <t>LN01659</t>
  </si>
  <si>
    <t>CUST01659</t>
  </si>
  <si>
    <t>2023-06-14</t>
  </si>
  <si>
    <t>LN01660</t>
  </si>
  <si>
    <t>CUST01660</t>
  </si>
  <si>
    <t>2023-01-19</t>
  </si>
  <si>
    <t>LN01661</t>
  </si>
  <si>
    <t>CUST01661</t>
  </si>
  <si>
    <t>LN01662</t>
  </si>
  <si>
    <t>CUST01662</t>
  </si>
  <si>
    <t>LN01663</t>
  </si>
  <si>
    <t>CUST01663</t>
  </si>
  <si>
    <t>LN01664</t>
  </si>
  <si>
    <t>CUST01664</t>
  </si>
  <si>
    <t>2023-07-10</t>
  </si>
  <si>
    <t>LN01665</t>
  </si>
  <si>
    <t>CUST01665</t>
  </si>
  <si>
    <t>2023-11-08</t>
  </si>
  <si>
    <t>LN01666</t>
  </si>
  <si>
    <t>CUST01666</t>
  </si>
  <si>
    <t>2025-03-14</t>
  </si>
  <si>
    <t>LN01667</t>
  </si>
  <si>
    <t>CUST01667</t>
  </si>
  <si>
    <t>LN01668</t>
  </si>
  <si>
    <t>CUST01668</t>
  </si>
  <si>
    <t>LN01669</t>
  </si>
  <si>
    <t>CUST01669</t>
  </si>
  <si>
    <t>LN01670</t>
  </si>
  <si>
    <t>CUST01670</t>
  </si>
  <si>
    <t>2022-08-10</t>
  </si>
  <si>
    <t>LN01671</t>
  </si>
  <si>
    <t>CUST01671</t>
  </si>
  <si>
    <t>2025-12-04</t>
  </si>
  <si>
    <t>LN01672</t>
  </si>
  <si>
    <t>CUST01672</t>
  </si>
  <si>
    <t>LN01673</t>
  </si>
  <si>
    <t>CUST01673</t>
  </si>
  <si>
    <t>LN01674</t>
  </si>
  <si>
    <t>CUST01674</t>
  </si>
  <si>
    <t>LN01675</t>
  </si>
  <si>
    <t>CUST01675</t>
  </si>
  <si>
    <t>2022-06-04</t>
  </si>
  <si>
    <t>LN01676</t>
  </si>
  <si>
    <t>CUST01676</t>
  </si>
  <si>
    <t>LN01677</t>
  </si>
  <si>
    <t>CUST01677</t>
  </si>
  <si>
    <t>2023-12-10</t>
  </si>
  <si>
    <t>LN01678</t>
  </si>
  <si>
    <t>CUST01678</t>
  </si>
  <si>
    <t>LN01679</t>
  </si>
  <si>
    <t>CUST01679</t>
  </si>
  <si>
    <t>2023-07-08</t>
  </si>
  <si>
    <t>LN01680</t>
  </si>
  <si>
    <t>CUST01680</t>
  </si>
  <si>
    <t>LN01681</t>
  </si>
  <si>
    <t>CUST01681</t>
  </si>
  <si>
    <t>2022-01-12</t>
  </si>
  <si>
    <t>LN01682</t>
  </si>
  <si>
    <t>CUST01682</t>
  </si>
  <si>
    <t>2025-01-08</t>
  </si>
  <si>
    <t>LN01683</t>
  </si>
  <si>
    <t>CUST01683</t>
  </si>
  <si>
    <t>LN01684</t>
  </si>
  <si>
    <t>CUST01684</t>
  </si>
  <si>
    <t>2024-07-31</t>
  </si>
  <si>
    <t>LN01685</t>
  </si>
  <si>
    <t>CUST01685</t>
  </si>
  <si>
    <t>2024-11-29</t>
  </si>
  <si>
    <t>LN01686</t>
  </si>
  <si>
    <t>CUST01686</t>
  </si>
  <si>
    <t>LN01687</t>
  </si>
  <si>
    <t>CUST01687</t>
  </si>
  <si>
    <t>LN01688</t>
  </si>
  <si>
    <t>CUST01688</t>
  </si>
  <si>
    <t>LN01689</t>
  </si>
  <si>
    <t>CUST01689</t>
  </si>
  <si>
    <t>LN01690</t>
  </si>
  <si>
    <t>CUST01690</t>
  </si>
  <si>
    <t>LN01691</t>
  </si>
  <si>
    <t>CUST01691</t>
  </si>
  <si>
    <t>LN01692</t>
  </si>
  <si>
    <t>CUST01692</t>
  </si>
  <si>
    <t>LN01693</t>
  </si>
  <si>
    <t>CUST01693</t>
  </si>
  <si>
    <t>LN01694</t>
  </si>
  <si>
    <t>CUST01694</t>
  </si>
  <si>
    <t>LN01695</t>
  </si>
  <si>
    <t>CUST01695</t>
  </si>
  <si>
    <t>2022-12-21</t>
  </si>
  <si>
    <t>LN01696</t>
  </si>
  <si>
    <t>CUST01696</t>
  </si>
  <si>
    <t>LN01697</t>
  </si>
  <si>
    <t>CUST01697</t>
  </si>
  <si>
    <t>LN01698</t>
  </si>
  <si>
    <t>CUST01698</t>
  </si>
  <si>
    <t>LN01699</t>
  </si>
  <si>
    <t>CUST01699</t>
  </si>
  <si>
    <t>LN01700</t>
  </si>
  <si>
    <t>CUST01700</t>
  </si>
  <si>
    <t>LN01701</t>
  </si>
  <si>
    <t>CUST01701</t>
  </si>
  <si>
    <t>LN01702</t>
  </si>
  <si>
    <t>CUST01702</t>
  </si>
  <si>
    <t>LN01703</t>
  </si>
  <si>
    <t>CUST01703</t>
  </si>
  <si>
    <t>LN01704</t>
  </si>
  <si>
    <t>CUST01704</t>
  </si>
  <si>
    <t>2024-10-10</t>
  </si>
  <si>
    <t>LN01705</t>
  </si>
  <si>
    <t>CUST01705</t>
  </si>
  <si>
    <t>LN01706</t>
  </si>
  <si>
    <t>CUST01706</t>
  </si>
  <si>
    <t>LN01707</t>
  </si>
  <si>
    <t>CUST01707</t>
  </si>
  <si>
    <t>2022-10-14</t>
  </si>
  <si>
    <t>LN01708</t>
  </si>
  <si>
    <t>CUST01708</t>
  </si>
  <si>
    <t>LN01709</t>
  </si>
  <si>
    <t>CUST01709</t>
  </si>
  <si>
    <t>2022-12-07</t>
  </si>
  <si>
    <t>LN01710</t>
  </si>
  <si>
    <t>CUST01710</t>
  </si>
  <si>
    <t>2024-08-11</t>
  </si>
  <si>
    <t>LN01711</t>
  </si>
  <si>
    <t>CUST01711</t>
  </si>
  <si>
    <t>LN01712</t>
  </si>
  <si>
    <t>CUST01712</t>
  </si>
  <si>
    <t>LN01713</t>
  </si>
  <si>
    <t>CUST01713</t>
  </si>
  <si>
    <t>2022-06-25</t>
  </si>
  <si>
    <t>LN01714</t>
  </si>
  <si>
    <t>CUST01714</t>
  </si>
  <si>
    <t>LN01715</t>
  </si>
  <si>
    <t>CUST01715</t>
  </si>
  <si>
    <t>LN01716</t>
  </si>
  <si>
    <t>CUST01716</t>
  </si>
  <si>
    <t>LN01717</t>
  </si>
  <si>
    <t>CUST01717</t>
  </si>
  <si>
    <t>LN01718</t>
  </si>
  <si>
    <t>CUST01718</t>
  </si>
  <si>
    <t>LN01719</t>
  </si>
  <si>
    <t>CUST01719</t>
  </si>
  <si>
    <t>LN01720</t>
  </si>
  <si>
    <t>CUST01720</t>
  </si>
  <si>
    <t>LN01721</t>
  </si>
  <si>
    <t>CUST01721</t>
  </si>
  <si>
    <t>LN01722</t>
  </si>
  <si>
    <t>CUST01722</t>
  </si>
  <si>
    <t>LN01723</t>
  </si>
  <si>
    <t>CUST01723</t>
  </si>
  <si>
    <t>2025-10-06</t>
  </si>
  <si>
    <t>LN01724</t>
  </si>
  <si>
    <t>CUST01724</t>
  </si>
  <si>
    <t>LN01725</t>
  </si>
  <si>
    <t>CUST01725</t>
  </si>
  <si>
    <t>2025-07-14</t>
  </si>
  <si>
    <t>LN01726</t>
  </si>
  <si>
    <t>CUST01726</t>
  </si>
  <si>
    <t>LN01727</t>
  </si>
  <si>
    <t>CUST01727</t>
  </si>
  <si>
    <t>LN01728</t>
  </si>
  <si>
    <t>CUST01728</t>
  </si>
  <si>
    <t>LN01729</t>
  </si>
  <si>
    <t>CUST01729</t>
  </si>
  <si>
    <t>LN01730</t>
  </si>
  <si>
    <t>CUST01730</t>
  </si>
  <si>
    <t>2024-09-03</t>
  </si>
  <si>
    <t>LN01731</t>
  </si>
  <si>
    <t>CUST01731</t>
  </si>
  <si>
    <t>LN01732</t>
  </si>
  <si>
    <t>CUST01732</t>
  </si>
  <si>
    <t>2023-05-14</t>
  </si>
  <si>
    <t>LN01733</t>
  </si>
  <si>
    <t>CUST01733</t>
  </si>
  <si>
    <t>LN01734</t>
  </si>
  <si>
    <t>CUST01734</t>
  </si>
  <si>
    <t>LN01735</t>
  </si>
  <si>
    <t>CUST01735</t>
  </si>
  <si>
    <t>LN01736</t>
  </si>
  <si>
    <t>CUST01736</t>
  </si>
  <si>
    <t>LN01737</t>
  </si>
  <si>
    <t>CUST01737</t>
  </si>
  <si>
    <t>LN01738</t>
  </si>
  <si>
    <t>CUST01738</t>
  </si>
  <si>
    <t>LN01739</t>
  </si>
  <si>
    <t>CUST01739</t>
  </si>
  <si>
    <t>LN01740</t>
  </si>
  <si>
    <t>CUST01740</t>
  </si>
  <si>
    <t>LN01741</t>
  </si>
  <si>
    <t>CUST01741</t>
  </si>
  <si>
    <t>LN01742</t>
  </si>
  <si>
    <t>CUST01742</t>
  </si>
  <si>
    <t>LN01743</t>
  </si>
  <si>
    <t>CUST01743</t>
  </si>
  <si>
    <t>LN01744</t>
  </si>
  <si>
    <t>CUST01744</t>
  </si>
  <si>
    <t>LN01745</t>
  </si>
  <si>
    <t>CUST01745</t>
  </si>
  <si>
    <t>LN01746</t>
  </si>
  <si>
    <t>CUST01746</t>
  </si>
  <si>
    <t>LN01747</t>
  </si>
  <si>
    <t>CUST01747</t>
  </si>
  <si>
    <t>LN01748</t>
  </si>
  <si>
    <t>CUST01748</t>
  </si>
  <si>
    <t>2025-05-31</t>
  </si>
  <si>
    <t>LN01749</t>
  </si>
  <si>
    <t>CUST01749</t>
  </si>
  <si>
    <t>LN01750</t>
  </si>
  <si>
    <t>CUST01750</t>
  </si>
  <si>
    <t>LN01751</t>
  </si>
  <si>
    <t>CUST01751</t>
  </si>
  <si>
    <t>2025-12-03</t>
  </si>
  <si>
    <t>LN01752</t>
  </si>
  <si>
    <t>CUST01752</t>
  </si>
  <si>
    <t>2024-03-15</t>
  </si>
  <si>
    <t>LN01753</t>
  </si>
  <si>
    <t>CUST01753</t>
  </si>
  <si>
    <t>LN01754</t>
  </si>
  <si>
    <t>CUST01754</t>
  </si>
  <si>
    <t>LN01755</t>
  </si>
  <si>
    <t>CUST01755</t>
  </si>
  <si>
    <t>2022-03-23</t>
  </si>
  <si>
    <t>LN01756</t>
  </si>
  <si>
    <t>CUST01756</t>
  </si>
  <si>
    <t>LN01757</t>
  </si>
  <si>
    <t>CUST01757</t>
  </si>
  <si>
    <t>LN01758</t>
  </si>
  <si>
    <t>CUST01758</t>
  </si>
  <si>
    <t>LN01759</t>
  </si>
  <si>
    <t>CUST01759</t>
  </si>
  <si>
    <t>2024-08-13</t>
  </si>
  <si>
    <t>LN01760</t>
  </si>
  <si>
    <t>CUST01760</t>
  </si>
  <si>
    <t>LN01761</t>
  </si>
  <si>
    <t>CUST01761</t>
  </si>
  <si>
    <t>LN01762</t>
  </si>
  <si>
    <t>CUST01762</t>
  </si>
  <si>
    <t>LN01763</t>
  </si>
  <si>
    <t>CUST01763</t>
  </si>
  <si>
    <t>LN01764</t>
  </si>
  <si>
    <t>CUST01764</t>
  </si>
  <si>
    <t>LN01765</t>
  </si>
  <si>
    <t>CUST01765</t>
  </si>
  <si>
    <t>LN01766</t>
  </si>
  <si>
    <t>CUST01766</t>
  </si>
  <si>
    <t>LN01767</t>
  </si>
  <si>
    <t>CUST01767</t>
  </si>
  <si>
    <t>2022-02-21</t>
  </si>
  <si>
    <t>LN01768</t>
  </si>
  <si>
    <t>CUST01768</t>
  </si>
  <si>
    <t>LN01769</t>
  </si>
  <si>
    <t>CUST01769</t>
  </si>
  <si>
    <t>LN01770</t>
  </si>
  <si>
    <t>CUST01770</t>
  </si>
  <si>
    <t>2025-08-20</t>
  </si>
  <si>
    <t>LN01771</t>
  </si>
  <si>
    <t>CUST01771</t>
  </si>
  <si>
    <t>LN01772</t>
  </si>
  <si>
    <t>CUST01772</t>
  </si>
  <si>
    <t>2024-03-27</t>
  </si>
  <si>
    <t>LN01773</t>
  </si>
  <si>
    <t>CUST01773</t>
  </si>
  <si>
    <t>LN01774</t>
  </si>
  <si>
    <t>CUST01774</t>
  </si>
  <si>
    <t>LN01775</t>
  </si>
  <si>
    <t>CUST01775</t>
  </si>
  <si>
    <t>LN01776</t>
  </si>
  <si>
    <t>CUST01776</t>
  </si>
  <si>
    <t>2025-02-14</t>
  </si>
  <si>
    <t>LN01777</t>
  </si>
  <si>
    <t>CUST01777</t>
  </si>
  <si>
    <t>LN01778</t>
  </si>
  <si>
    <t>CUST01778</t>
  </si>
  <si>
    <t>LN01779</t>
  </si>
  <si>
    <t>CUST01779</t>
  </si>
  <si>
    <t>LN01780</t>
  </si>
  <si>
    <t>CUST01780</t>
  </si>
  <si>
    <t>2024-05-25</t>
  </si>
  <si>
    <t>LN01781</t>
  </si>
  <si>
    <t>CUST01781</t>
  </si>
  <si>
    <t>LN01782</t>
  </si>
  <si>
    <t>CUST01782</t>
  </si>
  <si>
    <t>2022-09-06</t>
  </si>
  <si>
    <t>LN01783</t>
  </si>
  <si>
    <t>CUST01783</t>
  </si>
  <si>
    <t>LN01784</t>
  </si>
  <si>
    <t>CUST01784</t>
  </si>
  <si>
    <t>2022-04-24</t>
  </si>
  <si>
    <t>LN01785</t>
  </si>
  <si>
    <t>CUST01785</t>
  </si>
  <si>
    <t>LN01786</t>
  </si>
  <si>
    <t>CUST01786</t>
  </si>
  <si>
    <t>2024-09-01</t>
  </si>
  <si>
    <t>LN01787</t>
  </si>
  <si>
    <t>CUST01787</t>
  </si>
  <si>
    <t>2024-05-16</t>
  </si>
  <si>
    <t>LN01788</t>
  </si>
  <si>
    <t>CUST01788</t>
  </si>
  <si>
    <t>LN01789</t>
  </si>
  <si>
    <t>CUST01789</t>
  </si>
  <si>
    <t>LN01790</t>
  </si>
  <si>
    <t>CUST01790</t>
  </si>
  <si>
    <t>2024-09-10</t>
  </si>
  <si>
    <t>LN01791</t>
  </si>
  <si>
    <t>CUST01791</t>
  </si>
  <si>
    <t>LN01792</t>
  </si>
  <si>
    <t>CUST01792</t>
  </si>
  <si>
    <t>2023-01-04</t>
  </si>
  <si>
    <t>LN01793</t>
  </si>
  <si>
    <t>CUST01793</t>
  </si>
  <si>
    <t>LN01794</t>
  </si>
  <si>
    <t>CUST01794</t>
  </si>
  <si>
    <t>LN01795</t>
  </si>
  <si>
    <t>CUST01795</t>
  </si>
  <si>
    <t>LN01796</t>
  </si>
  <si>
    <t>CUST01796</t>
  </si>
  <si>
    <t>LN01797</t>
  </si>
  <si>
    <t>CUST01797</t>
  </si>
  <si>
    <t>LN01798</t>
  </si>
  <si>
    <t>CUST01798</t>
  </si>
  <si>
    <t>2023-07-30</t>
  </si>
  <si>
    <t>LN01799</t>
  </si>
  <si>
    <t>CUST01799</t>
  </si>
  <si>
    <t>LN01800</t>
  </si>
  <si>
    <t>CUST01800</t>
  </si>
  <si>
    <t>LN01801</t>
  </si>
  <si>
    <t>CUST01801</t>
  </si>
  <si>
    <t>LN01802</t>
  </si>
  <si>
    <t>CUST01802</t>
  </si>
  <si>
    <t>2022-11-19</t>
  </si>
  <si>
    <t>LN01803</t>
  </si>
  <si>
    <t>CUST01803</t>
  </si>
  <si>
    <t>2023-04-13</t>
  </si>
  <si>
    <t>LN01804</t>
  </si>
  <si>
    <t>CUST01804</t>
  </si>
  <si>
    <t>LN01805</t>
  </si>
  <si>
    <t>CUST01805</t>
  </si>
  <si>
    <t>LN01806</t>
  </si>
  <si>
    <t>CUST01806</t>
  </si>
  <si>
    <t>2025-02-04</t>
  </si>
  <si>
    <t>LN01807</t>
  </si>
  <si>
    <t>CUST01807</t>
  </si>
  <si>
    <t>LN01808</t>
  </si>
  <si>
    <t>CUST01808</t>
  </si>
  <si>
    <t>LN01809</t>
  </si>
  <si>
    <t>CUST01809</t>
  </si>
  <si>
    <t>LN01810</t>
  </si>
  <si>
    <t>CUST01810</t>
  </si>
  <si>
    <t>2023-08-20</t>
  </si>
  <si>
    <t>LN01811</t>
  </si>
  <si>
    <t>CUST01811</t>
  </si>
  <si>
    <t>2025-10-09</t>
  </si>
  <si>
    <t>LN01812</t>
  </si>
  <si>
    <t>CUST01812</t>
  </si>
  <si>
    <t>2024-07-11</t>
  </si>
  <si>
    <t>LN01813</t>
  </si>
  <si>
    <t>CUST01813</t>
  </si>
  <si>
    <t>LN01814</t>
  </si>
  <si>
    <t>CUST01814</t>
  </si>
  <si>
    <t>LN01815</t>
  </si>
  <si>
    <t>CUST01815</t>
  </si>
  <si>
    <t>LN01816</t>
  </si>
  <si>
    <t>CUST01816</t>
  </si>
  <si>
    <t>LN01817</t>
  </si>
  <si>
    <t>CUST01817</t>
  </si>
  <si>
    <t>LN01818</t>
  </si>
  <si>
    <t>CUST01818</t>
  </si>
  <si>
    <t>LN01819</t>
  </si>
  <si>
    <t>CUST01819</t>
  </si>
  <si>
    <t>LN01820</t>
  </si>
  <si>
    <t>CUST01820</t>
  </si>
  <si>
    <t>LN01821</t>
  </si>
  <si>
    <t>CUST01821</t>
  </si>
  <si>
    <t>LN01822</t>
  </si>
  <si>
    <t>CUST01822</t>
  </si>
  <si>
    <t>LN01823</t>
  </si>
  <si>
    <t>CUST01823</t>
  </si>
  <si>
    <t>LN01824</t>
  </si>
  <si>
    <t>CUST01824</t>
  </si>
  <si>
    <t>2022-03-30</t>
  </si>
  <si>
    <t>LN01825</t>
  </si>
  <si>
    <t>CUST01825</t>
  </si>
  <si>
    <t>LN01826</t>
  </si>
  <si>
    <t>CUST01826</t>
  </si>
  <si>
    <t>2025-08-19</t>
  </si>
  <si>
    <t>LN01827</t>
  </si>
  <si>
    <t>CUST01827</t>
  </si>
  <si>
    <t>LN01828</t>
  </si>
  <si>
    <t>CUST01828</t>
  </si>
  <si>
    <t>LN01829</t>
  </si>
  <si>
    <t>CUST01829</t>
  </si>
  <si>
    <t>LN01830</t>
  </si>
  <si>
    <t>CUST01830</t>
  </si>
  <si>
    <t>LN01831</t>
  </si>
  <si>
    <t>CUST01831</t>
  </si>
  <si>
    <t>LN01832</t>
  </si>
  <si>
    <t>CUST01832</t>
  </si>
  <si>
    <t>LN01833</t>
  </si>
  <si>
    <t>CUST01833</t>
  </si>
  <si>
    <t>2024-12-08</t>
  </si>
  <si>
    <t>LN01834</t>
  </si>
  <si>
    <t>CUST01834</t>
  </si>
  <si>
    <t>2022-06-10</t>
  </si>
  <si>
    <t>LN01835</t>
  </si>
  <si>
    <t>CUST01835</t>
  </si>
  <si>
    <t>LN01836</t>
  </si>
  <si>
    <t>CUST01836</t>
  </si>
  <si>
    <t>2025-08-30</t>
  </si>
  <si>
    <t>LN01837</t>
  </si>
  <si>
    <t>CUST01837</t>
  </si>
  <si>
    <t>LN01838</t>
  </si>
  <si>
    <t>CUST01838</t>
  </si>
  <si>
    <t>2025-11-30</t>
  </si>
  <si>
    <t>LN01839</t>
  </si>
  <si>
    <t>CUST01839</t>
  </si>
  <si>
    <t>LN01840</t>
  </si>
  <si>
    <t>CUST01840</t>
  </si>
  <si>
    <t>LN01841</t>
  </si>
  <si>
    <t>CUST01841</t>
  </si>
  <si>
    <t>LN01842</t>
  </si>
  <si>
    <t>CUST01842</t>
  </si>
  <si>
    <t>LN01843</t>
  </si>
  <si>
    <t>CUST01843</t>
  </si>
  <si>
    <t>LN01844</t>
  </si>
  <si>
    <t>CUST01844</t>
  </si>
  <si>
    <t>LN01845</t>
  </si>
  <si>
    <t>CUST01845</t>
  </si>
  <si>
    <t>LN01846</t>
  </si>
  <si>
    <t>CUST01846</t>
  </si>
  <si>
    <t>LN01847</t>
  </si>
  <si>
    <t>CUST01847</t>
  </si>
  <si>
    <t>LN01848</t>
  </si>
  <si>
    <t>CUST01848</t>
  </si>
  <si>
    <t>LN01849</t>
  </si>
  <si>
    <t>CUST01849</t>
  </si>
  <si>
    <t>2024-01-21</t>
  </si>
  <si>
    <t>LN01850</t>
  </si>
  <si>
    <t>CUST01850</t>
  </si>
  <si>
    <t>LN01851</t>
  </si>
  <si>
    <t>CUST01851</t>
  </si>
  <si>
    <t>2022-10-11</t>
  </si>
  <si>
    <t>LN01852</t>
  </si>
  <si>
    <t>CUST01852</t>
  </si>
  <si>
    <t>LN01853</t>
  </si>
  <si>
    <t>CUST01853</t>
  </si>
  <si>
    <t>LN01854</t>
  </si>
  <si>
    <t>CUST01854</t>
  </si>
  <si>
    <t>2022-08-19</t>
  </si>
  <si>
    <t>LN01855</t>
  </si>
  <si>
    <t>CUST01855</t>
  </si>
  <si>
    <t>2023-06-07</t>
  </si>
  <si>
    <t>LN01856</t>
  </si>
  <si>
    <t>CUST01856</t>
  </si>
  <si>
    <t>LN01857</t>
  </si>
  <si>
    <t>CUST01857</t>
  </si>
  <si>
    <t>LN01858</t>
  </si>
  <si>
    <t>CUST01858</t>
  </si>
  <si>
    <t>LN01859</t>
  </si>
  <si>
    <t>CUST01859</t>
  </si>
  <si>
    <t>LN01860</t>
  </si>
  <si>
    <t>CUST01860</t>
  </si>
  <si>
    <t>LN01861</t>
  </si>
  <si>
    <t>CUST01861</t>
  </si>
  <si>
    <t>2022-05-22</t>
  </si>
  <si>
    <t>LN01862</t>
  </si>
  <si>
    <t>CUST01862</t>
  </si>
  <si>
    <t>LN01863</t>
  </si>
  <si>
    <t>CUST01863</t>
  </si>
  <si>
    <t>LN01864</t>
  </si>
  <si>
    <t>CUST01864</t>
  </si>
  <si>
    <t>LN01865</t>
  </si>
  <si>
    <t>CUST01865</t>
  </si>
  <si>
    <t>2024-09-25</t>
  </si>
  <si>
    <t>LN01866</t>
  </si>
  <si>
    <t>CUST01866</t>
  </si>
  <si>
    <t>LN01867</t>
  </si>
  <si>
    <t>CUST01867</t>
  </si>
  <si>
    <t>LN01868</t>
  </si>
  <si>
    <t>CUST01868</t>
  </si>
  <si>
    <t>2023-03-10</t>
  </si>
  <si>
    <t>LN01869</t>
  </si>
  <si>
    <t>CUST01869</t>
  </si>
  <si>
    <t>LN01870</t>
  </si>
  <si>
    <t>CUST01870</t>
  </si>
  <si>
    <t>2025-05-28</t>
  </si>
  <si>
    <t>LN01871</t>
  </si>
  <si>
    <t>CUST01871</t>
  </si>
  <si>
    <t>LN01872</t>
  </si>
  <si>
    <t>CUST01872</t>
  </si>
  <si>
    <t>LN01873</t>
  </si>
  <si>
    <t>CUST01873</t>
  </si>
  <si>
    <t>LN01874</t>
  </si>
  <si>
    <t>CUST01874</t>
  </si>
  <si>
    <t>LN01875</t>
  </si>
  <si>
    <t>CUST01875</t>
  </si>
  <si>
    <t>LN01876</t>
  </si>
  <si>
    <t>CUST01876</t>
  </si>
  <si>
    <t>LN01877</t>
  </si>
  <si>
    <t>CUST01877</t>
  </si>
  <si>
    <t>LN01878</t>
  </si>
  <si>
    <t>CUST01878</t>
  </si>
  <si>
    <t>LN01879</t>
  </si>
  <si>
    <t>CUST01879</t>
  </si>
  <si>
    <t>LN01880</t>
  </si>
  <si>
    <t>CUST01880</t>
  </si>
  <si>
    <t>2024-03-01</t>
  </si>
  <si>
    <t>LN01881</t>
  </si>
  <si>
    <t>CUST01881</t>
  </si>
  <si>
    <t>LN01882</t>
  </si>
  <si>
    <t>CUST01882</t>
  </si>
  <si>
    <t>2024-11-17</t>
  </si>
  <si>
    <t>LN01883</t>
  </si>
  <si>
    <t>CUST01883</t>
  </si>
  <si>
    <t>2023-05-07</t>
  </si>
  <si>
    <t>LN01884</t>
  </si>
  <si>
    <t>CUST01884</t>
  </si>
  <si>
    <t>LN01885</t>
  </si>
  <si>
    <t>CUST01885</t>
  </si>
  <si>
    <t>2023-09-12</t>
  </si>
  <si>
    <t>LN01886</t>
  </si>
  <si>
    <t>CUST01886</t>
  </si>
  <si>
    <t>LN01887</t>
  </si>
  <si>
    <t>CUST01887</t>
  </si>
  <si>
    <t>LN01888</t>
  </si>
  <si>
    <t>CUST01888</t>
  </si>
  <si>
    <t>2024-04-10</t>
  </si>
  <si>
    <t>LN01889</t>
  </si>
  <si>
    <t>CUST01889</t>
  </si>
  <si>
    <t>LN01890</t>
  </si>
  <si>
    <t>CUST01890</t>
  </si>
  <si>
    <t>2025-10-27</t>
  </si>
  <si>
    <t>LN01891</t>
  </si>
  <si>
    <t>CUST01891</t>
  </si>
  <si>
    <t>2023-09-25</t>
  </si>
  <si>
    <t>LN01892</t>
  </si>
  <si>
    <t>CUST01892</t>
  </si>
  <si>
    <t>LN01893</t>
  </si>
  <si>
    <t>CUST01893</t>
  </si>
  <si>
    <t>2024-12-23</t>
  </si>
  <si>
    <t>LN01894</t>
  </si>
  <si>
    <t>CUST01894</t>
  </si>
  <si>
    <t>2023-05-15</t>
  </si>
  <si>
    <t>LN01895</t>
  </si>
  <si>
    <t>CUST01895</t>
  </si>
  <si>
    <t>LN01896</t>
  </si>
  <si>
    <t>CUST01896</t>
  </si>
  <si>
    <t>2025-06-16</t>
  </si>
  <si>
    <t>LN01897</t>
  </si>
  <si>
    <t>CUST01897</t>
  </si>
  <si>
    <t>LN01898</t>
  </si>
  <si>
    <t>CUST01898</t>
  </si>
  <si>
    <t>LN01899</t>
  </si>
  <si>
    <t>CUST01899</t>
  </si>
  <si>
    <t>LN01900</t>
  </si>
  <si>
    <t>CUST01900</t>
  </si>
  <si>
    <t>2022-03-10</t>
  </si>
  <si>
    <t>LN01901</t>
  </si>
  <si>
    <t>CUST01901</t>
  </si>
  <si>
    <t>LN01902</t>
  </si>
  <si>
    <t>CUST01902</t>
  </si>
  <si>
    <t>LN01903</t>
  </si>
  <si>
    <t>CUST01903</t>
  </si>
  <si>
    <t>LN01904</t>
  </si>
  <si>
    <t>CUST01904</t>
  </si>
  <si>
    <t>LN01905</t>
  </si>
  <si>
    <t>CUST01905</t>
  </si>
  <si>
    <t>LN01906</t>
  </si>
  <si>
    <t>CUST01906</t>
  </si>
  <si>
    <t>LN01907</t>
  </si>
  <si>
    <t>CUST01907</t>
  </si>
  <si>
    <t>LN01908</t>
  </si>
  <si>
    <t>CUST01908</t>
  </si>
  <si>
    <t>LN01909</t>
  </si>
  <si>
    <t>CUST01909</t>
  </si>
  <si>
    <t>2024-08-28</t>
  </si>
  <si>
    <t>LN01910</t>
  </si>
  <si>
    <t>CUST01910</t>
  </si>
  <si>
    <t>LN01911</t>
  </si>
  <si>
    <t>CUST01911</t>
  </si>
  <si>
    <t>2023-06-18</t>
  </si>
  <si>
    <t>LN01912</t>
  </si>
  <si>
    <t>CUST01912</t>
  </si>
  <si>
    <t>LN01913</t>
  </si>
  <si>
    <t>CUST01913</t>
  </si>
  <si>
    <t>LN01914</t>
  </si>
  <si>
    <t>CUST01914</t>
  </si>
  <si>
    <t>LN01915</t>
  </si>
  <si>
    <t>CUST01915</t>
  </si>
  <si>
    <t>LN01916</t>
  </si>
  <si>
    <t>CUST01916</t>
  </si>
  <si>
    <t>LN01917</t>
  </si>
  <si>
    <t>CUST01917</t>
  </si>
  <si>
    <t>2024-11-21</t>
  </si>
  <si>
    <t>LN01918</t>
  </si>
  <si>
    <t>CUST01918</t>
  </si>
  <si>
    <t>LN01919</t>
  </si>
  <si>
    <t>CUST01919</t>
  </si>
  <si>
    <t>LN01920</t>
  </si>
  <si>
    <t>CUST01920</t>
  </si>
  <si>
    <t>LN01921</t>
  </si>
  <si>
    <t>CUST01921</t>
  </si>
  <si>
    <t>LN01922</t>
  </si>
  <si>
    <t>CUST01922</t>
  </si>
  <si>
    <t>LN01923</t>
  </si>
  <si>
    <t>CUST01923</t>
  </si>
  <si>
    <t>LN01924</t>
  </si>
  <si>
    <t>CUST01924</t>
  </si>
  <si>
    <t>2025-09-08</t>
  </si>
  <si>
    <t>LN01925</t>
  </si>
  <si>
    <t>CUST01925</t>
  </si>
  <si>
    <t>2025-02-11</t>
  </si>
  <si>
    <t>LN01926</t>
  </si>
  <si>
    <t>CUST01926</t>
  </si>
  <si>
    <t>LN01927</t>
  </si>
  <si>
    <t>CUST01927</t>
  </si>
  <si>
    <t>LN01928</t>
  </si>
  <si>
    <t>CUST01928</t>
  </si>
  <si>
    <t>LN01929</t>
  </si>
  <si>
    <t>CUST01929</t>
  </si>
  <si>
    <t>LN01930</t>
  </si>
  <si>
    <t>CUST01930</t>
  </si>
  <si>
    <t>LN01931</t>
  </si>
  <si>
    <t>CUST01931</t>
  </si>
  <si>
    <t>LN01932</t>
  </si>
  <si>
    <t>CUST01932</t>
  </si>
  <si>
    <t>LN01933</t>
  </si>
  <si>
    <t>CUST01933</t>
  </si>
  <si>
    <t>LN01934</t>
  </si>
  <si>
    <t>CUST01934</t>
  </si>
  <si>
    <t>LN01935</t>
  </si>
  <si>
    <t>CUST01935</t>
  </si>
  <si>
    <t>2025-07-22</t>
  </si>
  <si>
    <t>LN01936</t>
  </si>
  <si>
    <t>CUST01936</t>
  </si>
  <si>
    <t>2022-09-14</t>
  </si>
  <si>
    <t>LN01937</t>
  </si>
  <si>
    <t>CUST01937</t>
  </si>
  <si>
    <t>2023-09-17</t>
  </si>
  <si>
    <t>LN01938</t>
  </si>
  <si>
    <t>CUST01938</t>
  </si>
  <si>
    <t>LN01939</t>
  </si>
  <si>
    <t>CUST01939</t>
  </si>
  <si>
    <t>LN01940</t>
  </si>
  <si>
    <t>CUST01940</t>
  </si>
  <si>
    <t>2025-02-22</t>
  </si>
  <si>
    <t>LN01941</t>
  </si>
  <si>
    <t>CUST01941</t>
  </si>
  <si>
    <t>2025-04-13</t>
  </si>
  <si>
    <t>LN01942</t>
  </si>
  <si>
    <t>CUST01942</t>
  </si>
  <si>
    <t>2024-08-04</t>
  </si>
  <si>
    <t>LN01943</t>
  </si>
  <si>
    <t>CUST01943</t>
  </si>
  <si>
    <t>LN01944</t>
  </si>
  <si>
    <t>CUST01944</t>
  </si>
  <si>
    <t>LN01945</t>
  </si>
  <si>
    <t>CUST01945</t>
  </si>
  <si>
    <t>LN01946</t>
  </si>
  <si>
    <t>CUST01946</t>
  </si>
  <si>
    <t>LN01947</t>
  </si>
  <si>
    <t>CUST01947</t>
  </si>
  <si>
    <t>LN01948</t>
  </si>
  <si>
    <t>CUST01948</t>
  </si>
  <si>
    <t>LN01949</t>
  </si>
  <si>
    <t>CUST01949</t>
  </si>
  <si>
    <t>LN01950</t>
  </si>
  <si>
    <t>CUST01950</t>
  </si>
  <si>
    <t>LN01951</t>
  </si>
  <si>
    <t>CUST01951</t>
  </si>
  <si>
    <t>LN01952</t>
  </si>
  <si>
    <t>CUST01952</t>
  </si>
  <si>
    <t>LN01953</t>
  </si>
  <si>
    <t>CUST01953</t>
  </si>
  <si>
    <t>LN01954</t>
  </si>
  <si>
    <t>CUST01954</t>
  </si>
  <si>
    <t>LN01955</t>
  </si>
  <si>
    <t>CUST01955</t>
  </si>
  <si>
    <t>LN01956</t>
  </si>
  <si>
    <t>CUST01956</t>
  </si>
  <si>
    <t>LN01957</t>
  </si>
  <si>
    <t>CUST01957</t>
  </si>
  <si>
    <t>LN01958</t>
  </si>
  <si>
    <t>CUST01958</t>
  </si>
  <si>
    <t>LN01959</t>
  </si>
  <si>
    <t>CUST01959</t>
  </si>
  <si>
    <t>LN01960</t>
  </si>
  <si>
    <t>CUST01960</t>
  </si>
  <si>
    <t>2022-04-20</t>
  </si>
  <si>
    <t>LN01961</t>
  </si>
  <si>
    <t>CUST01961</t>
  </si>
  <si>
    <t>LN01962</t>
  </si>
  <si>
    <t>CUST01962</t>
  </si>
  <si>
    <t>LN01963</t>
  </si>
  <si>
    <t>CUST01963</t>
  </si>
  <si>
    <t>2025-11-06</t>
  </si>
  <si>
    <t>LN01964</t>
  </si>
  <si>
    <t>CUST01964</t>
  </si>
  <si>
    <t>LN01965</t>
  </si>
  <si>
    <t>CUST01965</t>
  </si>
  <si>
    <t>LN01966</t>
  </si>
  <si>
    <t>CUST01966</t>
  </si>
  <si>
    <t>2024-12-17</t>
  </si>
  <si>
    <t>LN01967</t>
  </si>
  <si>
    <t>CUST01967</t>
  </si>
  <si>
    <t>LN01968</t>
  </si>
  <si>
    <t>CUST01968</t>
  </si>
  <si>
    <t>LN01969</t>
  </si>
  <si>
    <t>CUST01969</t>
  </si>
  <si>
    <t>2023-08-24</t>
  </si>
  <si>
    <t>LN01970</t>
  </si>
  <si>
    <t>CUST01970</t>
  </si>
  <si>
    <t>LN01971</t>
  </si>
  <si>
    <t>CUST01971</t>
  </si>
  <si>
    <t>LN01972</t>
  </si>
  <si>
    <t>CUST01972</t>
  </si>
  <si>
    <t>LN01973</t>
  </si>
  <si>
    <t>CUST01973</t>
  </si>
  <si>
    <t>2025-08-10</t>
  </si>
  <si>
    <t>LN01974</t>
  </si>
  <si>
    <t>CUST01974</t>
  </si>
  <si>
    <t>LN01975</t>
  </si>
  <si>
    <t>CUST01975</t>
  </si>
  <si>
    <t>LN01976</t>
  </si>
  <si>
    <t>CUST01976</t>
  </si>
  <si>
    <t>LN01977</t>
  </si>
  <si>
    <t>CUST01977</t>
  </si>
  <si>
    <t>LN01978</t>
  </si>
  <si>
    <t>CUST01978</t>
  </si>
  <si>
    <t>LN01979</t>
  </si>
  <si>
    <t>CUST01979</t>
  </si>
  <si>
    <t>2023-09-11</t>
  </si>
  <si>
    <t>LN01980</t>
  </si>
  <si>
    <t>CUST01980</t>
  </si>
  <si>
    <t>LN01981</t>
  </si>
  <si>
    <t>CUST01981</t>
  </si>
  <si>
    <t>2023-10-12</t>
  </si>
  <si>
    <t>LN01982</t>
  </si>
  <si>
    <t>CUST01982</t>
  </si>
  <si>
    <t>LN01983</t>
  </si>
  <si>
    <t>CUST01983</t>
  </si>
  <si>
    <t>2024-04-21</t>
  </si>
  <si>
    <t>LN01984</t>
  </si>
  <si>
    <t>CUST01984</t>
  </si>
  <si>
    <t>LN01985</t>
  </si>
  <si>
    <t>CUST01985</t>
  </si>
  <si>
    <t>LN01986</t>
  </si>
  <si>
    <t>CUST01986</t>
  </si>
  <si>
    <t>2023-03-13</t>
  </si>
  <si>
    <t>LN01987</t>
  </si>
  <si>
    <t>CUST01987</t>
  </si>
  <si>
    <t>2023-10-23</t>
  </si>
  <si>
    <t>LN01988</t>
  </si>
  <si>
    <t>CUST01988</t>
  </si>
  <si>
    <t>LN01989</t>
  </si>
  <si>
    <t>CUST01989</t>
  </si>
  <si>
    <t>2024-11-06</t>
  </si>
  <si>
    <t>LN01990</t>
  </si>
  <si>
    <t>CUST01990</t>
  </si>
  <si>
    <t>LN01991</t>
  </si>
  <si>
    <t>CUST01991</t>
  </si>
  <si>
    <t>LN01992</t>
  </si>
  <si>
    <t>CUST01992</t>
  </si>
  <si>
    <t>2023-05-20</t>
  </si>
  <si>
    <t>LN01993</t>
  </si>
  <si>
    <t>CUST01993</t>
  </si>
  <si>
    <t>2025-10-05</t>
  </si>
  <si>
    <t>LN01994</t>
  </si>
  <si>
    <t>CUST01994</t>
  </si>
  <si>
    <t>LN01995</t>
  </si>
  <si>
    <t>CUST01995</t>
  </si>
  <si>
    <t>LN01996</t>
  </si>
  <si>
    <t>CUST01996</t>
  </si>
  <si>
    <t>LN01997</t>
  </si>
  <si>
    <t>CUST01997</t>
  </si>
  <si>
    <t>LN01998</t>
  </si>
  <si>
    <t>CUST01998</t>
  </si>
  <si>
    <t>LN01999</t>
  </si>
  <si>
    <t>CUST01999</t>
  </si>
  <si>
    <t>LN02000</t>
  </si>
  <si>
    <t>CUST02000</t>
  </si>
  <si>
    <t>2022-08-06</t>
  </si>
  <si>
    <t>Total Loan Applications</t>
  </si>
  <si>
    <t>Rejected Loans</t>
  </si>
  <si>
    <t>Approved Loans</t>
  </si>
  <si>
    <t>Approval Rate</t>
  </si>
  <si>
    <t>Total Funded Amount</t>
  </si>
  <si>
    <t>Average Loan Amount</t>
  </si>
  <si>
    <t>Highest Loan Granted</t>
  </si>
  <si>
    <t>Lowest Loan Grated</t>
  </si>
  <si>
    <t>Total Amount Repaid</t>
  </si>
  <si>
    <t>Average Repayment</t>
  </si>
  <si>
    <t>Repayment Rate</t>
  </si>
  <si>
    <t>Received Amount</t>
  </si>
  <si>
    <t>Good and Bad Loans</t>
  </si>
  <si>
    <t>Yearly Payment</t>
  </si>
  <si>
    <t>Row Labels</t>
  </si>
  <si>
    <t>Grand Total</t>
  </si>
  <si>
    <t>Sum of Total Loan Applications</t>
  </si>
  <si>
    <t>Sum of Total Funded Amount</t>
  </si>
  <si>
    <t>Sum of Received Amount</t>
  </si>
  <si>
    <t>Over Paid</t>
  </si>
  <si>
    <t>Active</t>
  </si>
  <si>
    <t>SUM OF TOATAL LOAN APPLICATION VS GOOD AND BAD LOAN</t>
  </si>
  <si>
    <t>Sum of Monthly_Installment</t>
  </si>
  <si>
    <t>SUM OF MONTHLY INSTALLMENT BY REGION</t>
  </si>
  <si>
    <t>SUM OF MONTHLY INSTALLMENT BY CUSTOMER ID</t>
  </si>
  <si>
    <t>FACTORS AFFECTING APPROVAL AND REPAYMENT ARE:</t>
  </si>
  <si>
    <t>1. Employment factors and incomes stability affect loan approval and repayment.</t>
  </si>
  <si>
    <t>2. loan purposes can also affect approval and repayment plans.</t>
  </si>
  <si>
    <t>3. the interest rate of loan affect repayment plans.</t>
  </si>
  <si>
    <t>4.collectral and Security pledges can determine loan approval and repayment plans.</t>
  </si>
  <si>
    <t>5. Borrowers Debt-to-Income Ratio (DTI) also determine loan approval.</t>
  </si>
  <si>
    <t>6.Loan amount and as well as terms affect approval and repayment.</t>
  </si>
  <si>
    <t>7. Borrowers credit scores and their history can also affect loan approval and repayment.</t>
  </si>
  <si>
    <t>SUM OF RECEIVED AMOUNT BY TOTAL LOAN APPLICATION</t>
  </si>
  <si>
    <t>SUM OF TOP 10 TOTAL FUNDED AMOUNT BY TOTAL LOAN APPLICATION</t>
  </si>
  <si>
    <t>SUM OF TOP 10 TOTAL LOAN APPLICATION BY APPLICATION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</si>
</sst>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Times New Roman"/>
      <family val="1"/>
    </font>
    <font>
      <b/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Percent" xfId="1" builtinId="5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 Analysis WK 4.xlsx]Sheet1!PivotTable3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Sheet1!$A$24:$A$34</c:f>
              <c:strCache>
                <c:ptCount val="10"/>
                <c:pt idx="0">
                  <c:v>2000</c:v>
                </c:pt>
                <c:pt idx="1">
                  <c:v>1999</c:v>
                </c:pt>
                <c:pt idx="2">
                  <c:v>1998</c:v>
                </c:pt>
                <c:pt idx="3">
                  <c:v>1997</c:v>
                </c:pt>
                <c:pt idx="4">
                  <c:v>1996</c:v>
                </c:pt>
                <c:pt idx="5">
                  <c:v>1995</c:v>
                </c:pt>
                <c:pt idx="6">
                  <c:v>1994</c:v>
                </c:pt>
                <c:pt idx="7">
                  <c:v>1993</c:v>
                </c:pt>
                <c:pt idx="8">
                  <c:v>1992</c:v>
                </c:pt>
                <c:pt idx="9">
                  <c:v>1991</c:v>
                </c:pt>
              </c:strCache>
            </c:strRef>
          </c:cat>
          <c:val>
            <c:numRef>
              <c:f>Sheet1!$B$24:$B$34</c:f>
              <c:numCache>
                <c:formatCode>General</c:formatCode>
                <c:ptCount val="10"/>
                <c:pt idx="0">
                  <c:v>103282064</c:v>
                </c:pt>
                <c:pt idx="1">
                  <c:v>103206349</c:v>
                </c:pt>
                <c:pt idx="2">
                  <c:v>103132577</c:v>
                </c:pt>
                <c:pt idx="3">
                  <c:v>103127478</c:v>
                </c:pt>
                <c:pt idx="4">
                  <c:v>103079161</c:v>
                </c:pt>
                <c:pt idx="5">
                  <c:v>103030998</c:v>
                </c:pt>
                <c:pt idx="6">
                  <c:v>102946729</c:v>
                </c:pt>
                <c:pt idx="7">
                  <c:v>102875140</c:v>
                </c:pt>
                <c:pt idx="8">
                  <c:v>102776400</c:v>
                </c:pt>
                <c:pt idx="9">
                  <c:v>102729553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2-4EB8-927F-E03FDFC68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250720"/>
        <c:axId val="1261249888"/>
      </c:barChart>
      <c:catAx>
        <c:axId val="126125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49888"/>
        <c:crosses val="autoZero"/>
        <c:auto val="1"/>
        <c:lblAlgn val="ctr"/>
        <c:lblOffset val="100"/>
        <c:noMultiLvlLbl val="0"/>
      </c:catAx>
      <c:valAx>
        <c:axId val="126124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5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 Analysis WK 4.xlsx]Sheet1!PivotTable1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2022-03-22</c:v>
                </c:pt>
                <c:pt idx="1">
                  <c:v>2022-05-26</c:v>
                </c:pt>
                <c:pt idx="2">
                  <c:v>2022-07-25</c:v>
                </c:pt>
                <c:pt idx="3">
                  <c:v>2022-12-15</c:v>
                </c:pt>
                <c:pt idx="4">
                  <c:v>2023-01-16</c:v>
                </c:pt>
                <c:pt idx="5">
                  <c:v>2023-06-21</c:v>
                </c:pt>
                <c:pt idx="6">
                  <c:v>2024-04-17</c:v>
                </c:pt>
                <c:pt idx="7">
                  <c:v>2024-08-05</c:v>
                </c:pt>
                <c:pt idx="8">
                  <c:v>2025-03-31</c:v>
                </c:pt>
                <c:pt idx="9">
                  <c:v>2025-09-20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5521</c:v>
                </c:pt>
                <c:pt idx="1">
                  <c:v>6699</c:v>
                </c:pt>
                <c:pt idx="2">
                  <c:v>5542</c:v>
                </c:pt>
                <c:pt idx="3">
                  <c:v>5531</c:v>
                </c:pt>
                <c:pt idx="4">
                  <c:v>5819</c:v>
                </c:pt>
                <c:pt idx="5">
                  <c:v>5465</c:v>
                </c:pt>
                <c:pt idx="6">
                  <c:v>5716</c:v>
                </c:pt>
                <c:pt idx="7">
                  <c:v>5800</c:v>
                </c:pt>
                <c:pt idx="8">
                  <c:v>8079</c:v>
                </c:pt>
                <c:pt idx="9">
                  <c:v>6023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C-4C9F-8B8C-B8A703C7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222848"/>
        <c:axId val="1261221184"/>
      </c:barChart>
      <c:catAx>
        <c:axId val="12612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1184"/>
        <c:crosses val="autoZero"/>
        <c:auto val="1"/>
        <c:lblAlgn val="ctr"/>
        <c:lblOffset val="100"/>
        <c:noMultiLvlLbl val="0"/>
      </c:catAx>
      <c:valAx>
        <c:axId val="12612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 Analysis WK 4.xlsx]Sheet1!PivotTable5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Sheet1!$A$43:$A$53</c:f>
              <c:strCache>
                <c:ptCount val="10"/>
                <c:pt idx="0">
                  <c:v>2000</c:v>
                </c:pt>
                <c:pt idx="1">
                  <c:v>1999</c:v>
                </c:pt>
                <c:pt idx="2">
                  <c:v>1998</c:v>
                </c:pt>
                <c:pt idx="3">
                  <c:v>1997</c:v>
                </c:pt>
                <c:pt idx="4">
                  <c:v>1996</c:v>
                </c:pt>
                <c:pt idx="5">
                  <c:v>1995</c:v>
                </c:pt>
                <c:pt idx="6">
                  <c:v>1994</c:v>
                </c:pt>
                <c:pt idx="7">
                  <c:v>1993</c:v>
                </c:pt>
                <c:pt idx="8">
                  <c:v>1992</c:v>
                </c:pt>
                <c:pt idx="9">
                  <c:v>1991</c:v>
                </c:pt>
              </c:strCache>
            </c:strRef>
          </c:cat>
          <c:val>
            <c:numRef>
              <c:f>Sheet1!$B$43:$B$53</c:f>
              <c:numCache>
                <c:formatCode>General</c:formatCode>
                <c:ptCount val="10"/>
                <c:pt idx="0">
                  <c:v>2685655655.8500009</c:v>
                </c:pt>
                <c:pt idx="1">
                  <c:v>2682970730.0600004</c:v>
                </c:pt>
                <c:pt idx="2">
                  <c:v>2680286027.9000006</c:v>
                </c:pt>
                <c:pt idx="3">
                  <c:v>2677607752.5100012</c:v>
                </c:pt>
                <c:pt idx="4">
                  <c:v>2674929507.7600012</c:v>
                </c:pt>
                <c:pt idx="5">
                  <c:v>2672252309.0700011</c:v>
                </c:pt>
                <c:pt idx="6">
                  <c:v>2669575607.5800014</c:v>
                </c:pt>
                <c:pt idx="7">
                  <c:v>2666899150.6300011</c:v>
                </c:pt>
                <c:pt idx="8">
                  <c:v>2664224287.730001</c:v>
                </c:pt>
                <c:pt idx="9">
                  <c:v>2661549917.3000011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8-489A-9F98-EAFAFCAB7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226176"/>
        <c:axId val="1261235744"/>
      </c:barChart>
      <c:catAx>
        <c:axId val="126122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35744"/>
        <c:crosses val="autoZero"/>
        <c:auto val="1"/>
        <c:lblAlgn val="ctr"/>
        <c:lblOffset val="100"/>
        <c:noMultiLvlLbl val="0"/>
      </c:catAx>
      <c:valAx>
        <c:axId val="12612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 Analysis WK 4.xlsx]Sheet1!PivotTable7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Sheet1!$A$63:$A$65</c:f>
              <c:strCache>
                <c:ptCount val="2"/>
                <c:pt idx="0">
                  <c:v>Active</c:v>
                </c:pt>
                <c:pt idx="1">
                  <c:v>Over Paid</c:v>
                </c:pt>
              </c:strCache>
            </c:strRef>
          </c:cat>
          <c:val>
            <c:numRef>
              <c:f>Sheet1!$B$63:$B$65</c:f>
              <c:numCache>
                <c:formatCode>General</c:formatCode>
                <c:ptCount val="2"/>
                <c:pt idx="0">
                  <c:v>1787945</c:v>
                </c:pt>
                <c:pt idx="1">
                  <c:v>213055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2-47F4-8DA7-28AA712B7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222432"/>
        <c:axId val="1261220768"/>
      </c:barChart>
      <c:catAx>
        <c:axId val="12612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0768"/>
        <c:crosses val="autoZero"/>
        <c:auto val="1"/>
        <c:lblAlgn val="ctr"/>
        <c:lblOffset val="100"/>
        <c:noMultiLvlLbl val="0"/>
      </c:catAx>
      <c:valAx>
        <c:axId val="126122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 Analysis WK 4.xlsx]Sheet1!PivotTable9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Sheet1!$A$80:$A$85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Sheet1!$B$80:$B$85</c:f>
              <c:numCache>
                <c:formatCode>General</c:formatCode>
                <c:ptCount val="5"/>
                <c:pt idx="0">
                  <c:v>553258.33999999985</c:v>
                </c:pt>
                <c:pt idx="1">
                  <c:v>527005.32999999961</c:v>
                </c:pt>
                <c:pt idx="2">
                  <c:v>506677.45000000013</c:v>
                </c:pt>
                <c:pt idx="3">
                  <c:v>565696.01999999979</c:v>
                </c:pt>
                <c:pt idx="4">
                  <c:v>532288.65000000014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5-4728-B352-487C5F036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189264"/>
        <c:axId val="1371181360"/>
      </c:barChart>
      <c:catAx>
        <c:axId val="137118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81360"/>
        <c:crosses val="autoZero"/>
        <c:auto val="1"/>
        <c:lblAlgn val="ctr"/>
        <c:lblOffset val="100"/>
        <c:noMultiLvlLbl val="0"/>
      </c:catAx>
      <c:valAx>
        <c:axId val="13711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8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[Bank_Loan_ Analysis WK 4.xlsx]Sheet1!PivotTable11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Sheet1!$A$96:$A$106</c:f>
              <c:strCache>
                <c:ptCount val="10"/>
                <c:pt idx="0">
                  <c:v>CUST00505</c:v>
                </c:pt>
                <c:pt idx="1">
                  <c:v>CUST00713</c:v>
                </c:pt>
                <c:pt idx="2">
                  <c:v>CUST01295</c:v>
                </c:pt>
                <c:pt idx="3">
                  <c:v>CUST01324</c:v>
                </c:pt>
                <c:pt idx="4">
                  <c:v>CUST01359</c:v>
                </c:pt>
                <c:pt idx="5">
                  <c:v>CUST01637</c:v>
                </c:pt>
                <c:pt idx="6">
                  <c:v>CUST01759</c:v>
                </c:pt>
                <c:pt idx="7">
                  <c:v>CUST01776</c:v>
                </c:pt>
                <c:pt idx="8">
                  <c:v>CUST01902</c:v>
                </c:pt>
                <c:pt idx="9">
                  <c:v>CUST01964</c:v>
                </c:pt>
              </c:strCache>
            </c:strRef>
          </c:cat>
          <c:val>
            <c:numRef>
              <c:f>Sheet1!$B$96:$B$106</c:f>
              <c:numCache>
                <c:formatCode>General</c:formatCode>
                <c:ptCount val="10"/>
                <c:pt idx="0">
                  <c:v>9308.49</c:v>
                </c:pt>
                <c:pt idx="1">
                  <c:v>9513.68</c:v>
                </c:pt>
                <c:pt idx="2">
                  <c:v>9214.6200000000008</c:v>
                </c:pt>
                <c:pt idx="3">
                  <c:v>9442.66</c:v>
                </c:pt>
                <c:pt idx="4">
                  <c:v>9147.49</c:v>
                </c:pt>
                <c:pt idx="5">
                  <c:v>9186.09</c:v>
                </c:pt>
                <c:pt idx="6">
                  <c:v>10121.700000000001</c:v>
                </c:pt>
                <c:pt idx="7">
                  <c:v>10142.040000000001</c:v>
                </c:pt>
                <c:pt idx="8">
                  <c:v>8946.76</c:v>
                </c:pt>
                <c:pt idx="9">
                  <c:v>8828.3700000000008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B-4634-AFF4-EFC7A3DCA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185520"/>
        <c:axId val="1371191760"/>
      </c:barChart>
      <c:catAx>
        <c:axId val="137118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91760"/>
        <c:crosses val="autoZero"/>
        <c:auto val="1"/>
        <c:lblAlgn val="ctr"/>
        <c:lblOffset val="100"/>
        <c:noMultiLvlLbl val="0"/>
      </c:catAx>
      <c:valAx>
        <c:axId val="137119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18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22</xdr:row>
      <xdr:rowOff>12700</xdr:rowOff>
    </xdr:from>
    <xdr:to>
      <xdr:col>6</xdr:col>
      <xdr:colOff>546100</xdr:colOff>
      <xdr:row>33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56B24-4536-4D47-B4EA-F8372E2EB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247650</xdr:colOff>
      <xdr:row>2</xdr:row>
      <xdr:rowOff>57150</xdr:rowOff>
    </xdr:from>
    <xdr:to>
      <xdr:col>6</xdr:col>
      <xdr:colOff>539750</xdr:colOff>
      <xdr:row>14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21870D-5826-4F7A-8CF7-8019A3EFD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342900</xdr:colOff>
      <xdr:row>40</xdr:row>
      <xdr:rowOff>165100</xdr:rowOff>
    </xdr:from>
    <xdr:to>
      <xdr:col>7</xdr:col>
      <xdr:colOff>222250</xdr:colOff>
      <xdr:row>53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5241FB-23A1-4FA3-9D65-C1AC95053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647700</xdr:colOff>
      <xdr:row>61</xdr:row>
      <xdr:rowOff>57150</xdr:rowOff>
    </xdr:from>
    <xdr:to>
      <xdr:col>7</xdr:col>
      <xdr:colOff>69850</xdr:colOff>
      <xdr:row>73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ECC29B-B9B8-4A18-ABC4-CB35D03D3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184150</xdr:colOff>
      <xdr:row>77</xdr:row>
      <xdr:rowOff>107950</xdr:rowOff>
    </xdr:from>
    <xdr:to>
      <xdr:col>6</xdr:col>
      <xdr:colOff>0</xdr:colOff>
      <xdr:row>88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68C695-F06F-445B-975B-946D19C7C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279400</xdr:colOff>
      <xdr:row>94</xdr:row>
      <xdr:rowOff>165100</xdr:rowOff>
    </xdr:from>
    <xdr:to>
      <xdr:col>6</xdr:col>
      <xdr:colOff>273050</xdr:colOff>
      <xdr:row>106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925590-7D5B-4D13-A854-4235C39D0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1.488135185187" createdVersion="7" refreshedVersion="7" minRefreshableVersion="3" recordCount="2000" xr:uid="{D8C6828A-9908-4E7E-850F-9C9E0312F990}">
  <cacheSource type="worksheet">
    <worksheetSource name="Table1"/>
  </cacheSource>
  <cacheFields count="34">
    <cacheField name="Loan_ID" numFmtId="0">
      <sharedItems/>
    </cacheField>
    <cacheField name="Customer_ID" numFmtId="0">
      <sharedItems count="2000">
        <s v="CUST00001"/>
        <s v="CUST00002"/>
        <s v="CUST00003"/>
        <s v="CUST00004"/>
        <s v="CUST00005"/>
        <s v="CUST00006"/>
        <s v="CUST00007"/>
        <s v="CUST00008"/>
        <s v="CUST00009"/>
        <s v="CUST00010"/>
        <s v="CUST00011"/>
        <s v="CUST00012"/>
        <s v="CUST00013"/>
        <s v="CUST00014"/>
        <s v="CUST00015"/>
        <s v="CUST00016"/>
        <s v="CUST00017"/>
        <s v="CUST00018"/>
        <s v="CUST00019"/>
        <s v="CUST00020"/>
        <s v="CUST00021"/>
        <s v="CUST00022"/>
        <s v="CUST00023"/>
        <s v="CUST00024"/>
        <s v="CUST00025"/>
        <s v="CUST00026"/>
        <s v="CUST00027"/>
        <s v="CUST00028"/>
        <s v="CUST00029"/>
        <s v="CUST00030"/>
        <s v="CUST00031"/>
        <s v="CUST00032"/>
        <s v="CUST00033"/>
        <s v="CUST00034"/>
        <s v="CUST00035"/>
        <s v="CUST00036"/>
        <s v="CUST00037"/>
        <s v="CUST00038"/>
        <s v="CUST00039"/>
        <s v="CUST00040"/>
        <s v="CUST00041"/>
        <s v="CUST00042"/>
        <s v="CUST00043"/>
        <s v="CUST00044"/>
        <s v="CUST00045"/>
        <s v="CUST00046"/>
        <s v="CUST00047"/>
        <s v="CUST00048"/>
        <s v="CUST00049"/>
        <s v="CUST00050"/>
        <s v="CUST00051"/>
        <s v="CUST00052"/>
        <s v="CUST00053"/>
        <s v="CUST00054"/>
        <s v="CUST00055"/>
        <s v="CUST00056"/>
        <s v="CUST00057"/>
        <s v="CUST00058"/>
        <s v="CUST00059"/>
        <s v="CUST00060"/>
        <s v="CUST00061"/>
        <s v="CUST00062"/>
        <s v="CUST00063"/>
        <s v="CUST00064"/>
        <s v="CUST00065"/>
        <s v="CUST00066"/>
        <s v="CUST00067"/>
        <s v="CUST00068"/>
        <s v="CUST00069"/>
        <s v="CUST00070"/>
        <s v="CUST00071"/>
        <s v="CUST00072"/>
        <s v="CUST00073"/>
        <s v="CUST00074"/>
        <s v="CUST00075"/>
        <s v="CUST00076"/>
        <s v="CUST00077"/>
        <s v="CUST00078"/>
        <s v="CUST00079"/>
        <s v="CUST00080"/>
        <s v="CUST00081"/>
        <s v="CUST00082"/>
        <s v="CUST00083"/>
        <s v="CUST00084"/>
        <s v="CUST00085"/>
        <s v="CUST00086"/>
        <s v="CUST00087"/>
        <s v="CUST00088"/>
        <s v="CUST00089"/>
        <s v="CUST00090"/>
        <s v="CUST00091"/>
        <s v="CUST00092"/>
        <s v="CUST00093"/>
        <s v="CUST00094"/>
        <s v="CUST00095"/>
        <s v="CUST00096"/>
        <s v="CUST00097"/>
        <s v="CUST00098"/>
        <s v="CUST00099"/>
        <s v="CUST00100"/>
        <s v="CUST00101"/>
        <s v="CUST00102"/>
        <s v="CUST00103"/>
        <s v="CUST00104"/>
        <s v="CUST00105"/>
        <s v="CUST00106"/>
        <s v="CUST00107"/>
        <s v="CUST00108"/>
        <s v="CUST00109"/>
        <s v="CUST00110"/>
        <s v="CUST00111"/>
        <s v="CUST00112"/>
        <s v="CUST00113"/>
        <s v="CUST00114"/>
        <s v="CUST00115"/>
        <s v="CUST00116"/>
        <s v="CUST00117"/>
        <s v="CUST00118"/>
        <s v="CUST00119"/>
        <s v="CUST00120"/>
        <s v="CUST00121"/>
        <s v="CUST00122"/>
        <s v="CUST00123"/>
        <s v="CUST00124"/>
        <s v="CUST00125"/>
        <s v="CUST00126"/>
        <s v="CUST00127"/>
        <s v="CUST00128"/>
        <s v="CUST00129"/>
        <s v="CUST00130"/>
        <s v="CUST00131"/>
        <s v="CUST00132"/>
        <s v="CUST00133"/>
        <s v="CUST00134"/>
        <s v="CUST00135"/>
        <s v="CUST00136"/>
        <s v="CUST00137"/>
        <s v="CUST00138"/>
        <s v="CUST00139"/>
        <s v="CUST00140"/>
        <s v="CUST00141"/>
        <s v="CUST00142"/>
        <s v="CUST00143"/>
        <s v="CUST00144"/>
        <s v="CUST00145"/>
        <s v="CUST00146"/>
        <s v="CUST00147"/>
        <s v="CUST00148"/>
        <s v="CUST00149"/>
        <s v="CUST00150"/>
        <s v="CUST00151"/>
        <s v="CUST00152"/>
        <s v="CUST00153"/>
        <s v="CUST00154"/>
        <s v="CUST00155"/>
        <s v="CUST00156"/>
        <s v="CUST00157"/>
        <s v="CUST00158"/>
        <s v="CUST00159"/>
        <s v="CUST00160"/>
        <s v="CUST00161"/>
        <s v="CUST00162"/>
        <s v="CUST00163"/>
        <s v="CUST00164"/>
        <s v="CUST00165"/>
        <s v="CUST00166"/>
        <s v="CUST00167"/>
        <s v="CUST00168"/>
        <s v="CUST00169"/>
        <s v="CUST00170"/>
        <s v="CUST00171"/>
        <s v="CUST00172"/>
        <s v="CUST00173"/>
        <s v="CUST00174"/>
        <s v="CUST00175"/>
        <s v="CUST00176"/>
        <s v="CUST00177"/>
        <s v="CUST00178"/>
        <s v="CUST00179"/>
        <s v="CUST00180"/>
        <s v="CUST00181"/>
        <s v="CUST00182"/>
        <s v="CUST00183"/>
        <s v="CUST00184"/>
        <s v="CUST00185"/>
        <s v="CUST00186"/>
        <s v="CUST00187"/>
        <s v="CUST00188"/>
        <s v="CUST00189"/>
        <s v="CUST00190"/>
        <s v="CUST00191"/>
        <s v="CUST00192"/>
        <s v="CUST00193"/>
        <s v="CUST00194"/>
        <s v="CUST00195"/>
        <s v="CUST00196"/>
        <s v="CUST00197"/>
        <s v="CUST00198"/>
        <s v="CUST00199"/>
        <s v="CUST00200"/>
        <s v="CUST00201"/>
        <s v="CUST00202"/>
        <s v="CUST00203"/>
        <s v="CUST00204"/>
        <s v="CUST00205"/>
        <s v="CUST00206"/>
        <s v="CUST00207"/>
        <s v="CUST00208"/>
        <s v="CUST00209"/>
        <s v="CUST00210"/>
        <s v="CUST00211"/>
        <s v="CUST00212"/>
        <s v="CUST00213"/>
        <s v="CUST00214"/>
        <s v="CUST00215"/>
        <s v="CUST00216"/>
        <s v="CUST00217"/>
        <s v="CUST00218"/>
        <s v="CUST00219"/>
        <s v="CUST00220"/>
        <s v="CUST00221"/>
        <s v="CUST00222"/>
        <s v="CUST00223"/>
        <s v="CUST00224"/>
        <s v="CUST00225"/>
        <s v="CUST00226"/>
        <s v="CUST00227"/>
        <s v="CUST00228"/>
        <s v="CUST00229"/>
        <s v="CUST00230"/>
        <s v="CUST00231"/>
        <s v="CUST00232"/>
        <s v="CUST00233"/>
        <s v="CUST00234"/>
        <s v="CUST00235"/>
        <s v="CUST00236"/>
        <s v="CUST00237"/>
        <s v="CUST00238"/>
        <s v="CUST00239"/>
        <s v="CUST00240"/>
        <s v="CUST00241"/>
        <s v="CUST00242"/>
        <s v="CUST00243"/>
        <s v="CUST00244"/>
        <s v="CUST00245"/>
        <s v="CUST00246"/>
        <s v="CUST00247"/>
        <s v="CUST00248"/>
        <s v="CUST00249"/>
        <s v="CUST00250"/>
        <s v="CUST00251"/>
        <s v="CUST00252"/>
        <s v="CUST00253"/>
        <s v="CUST00254"/>
        <s v="CUST00255"/>
        <s v="CUST00256"/>
        <s v="CUST00257"/>
        <s v="CUST00258"/>
        <s v="CUST00259"/>
        <s v="CUST00260"/>
        <s v="CUST00261"/>
        <s v="CUST00262"/>
        <s v="CUST00263"/>
        <s v="CUST00264"/>
        <s v="CUST00265"/>
        <s v="CUST00266"/>
        <s v="CUST00267"/>
        <s v="CUST00268"/>
        <s v="CUST00269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2"/>
        <s v="CUST00283"/>
        <s v="CUST00284"/>
        <s v="CUST00285"/>
        <s v="CUST00286"/>
        <s v="CUST00287"/>
        <s v="CUST00288"/>
        <s v="CUST00289"/>
        <s v="CUST00290"/>
        <s v="CUST00291"/>
        <s v="CUST00292"/>
        <s v="CUST00293"/>
        <s v="CUST00294"/>
        <s v="CUST00295"/>
        <s v="CUST00296"/>
        <s v="CUST00297"/>
        <s v="CUST00298"/>
        <s v="CUST00299"/>
        <s v="CUST00300"/>
        <s v="CUST00301"/>
        <s v="CUST00302"/>
        <s v="CUST00303"/>
        <s v="CUST00304"/>
        <s v="CUST00305"/>
        <s v="CUST00306"/>
        <s v="CUST00307"/>
        <s v="CUST00308"/>
        <s v="CUST00309"/>
        <s v="CUST00310"/>
        <s v="CUST00311"/>
        <s v="CUST00312"/>
        <s v="CUST00313"/>
        <s v="CUST00314"/>
        <s v="CUST00315"/>
        <s v="CUST00316"/>
        <s v="CUST00317"/>
        <s v="CUST00318"/>
        <s v="CUST00319"/>
        <s v="CUST00320"/>
        <s v="CUST00321"/>
        <s v="CUST00322"/>
        <s v="CUST00323"/>
        <s v="CUST00324"/>
        <s v="CUST00325"/>
        <s v="CUST00326"/>
        <s v="CUST00327"/>
        <s v="CUST00328"/>
        <s v="CUST00329"/>
        <s v="CUST00330"/>
        <s v="CUST00331"/>
        <s v="CUST00332"/>
        <s v="CUST00333"/>
        <s v="CUST00334"/>
        <s v="CUST00335"/>
        <s v="CUST00336"/>
        <s v="CUST00337"/>
        <s v="CUST00338"/>
        <s v="CUST00339"/>
        <s v="CUST00340"/>
        <s v="CUST00341"/>
        <s v="CUST00342"/>
        <s v="CUST00343"/>
        <s v="CUST00344"/>
        <s v="CUST00345"/>
        <s v="CUST00346"/>
        <s v="CUST00347"/>
        <s v="CUST00348"/>
        <s v="CUST00349"/>
        <s v="CUST00350"/>
        <s v="CUST00351"/>
        <s v="CUST00352"/>
        <s v="CUST00353"/>
        <s v="CUST00354"/>
        <s v="CUST00355"/>
        <s v="CUST00356"/>
        <s v="CUST00357"/>
        <s v="CUST00358"/>
        <s v="CUST00359"/>
        <s v="CUST00360"/>
        <s v="CUST00361"/>
        <s v="CUST00362"/>
        <s v="CUST00363"/>
        <s v="CUST00364"/>
        <s v="CUST00365"/>
        <s v="CUST00366"/>
        <s v="CUST00367"/>
        <s v="CUST00368"/>
        <s v="CUST00369"/>
        <s v="CUST00370"/>
        <s v="CUST00371"/>
        <s v="CUST00372"/>
        <s v="CUST00373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5"/>
        <s v="CUST00386"/>
        <s v="CUST00387"/>
        <s v="CUST00388"/>
        <s v="CUST00389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4"/>
        <s v="CUST00405"/>
        <s v="CUST00406"/>
        <s v="CUST00407"/>
        <s v="CUST00408"/>
        <s v="CUST00409"/>
        <s v="CUST00410"/>
        <s v="CUST00411"/>
        <s v="CUST00412"/>
        <s v="CUST00413"/>
        <s v="CUST00414"/>
        <s v="CUST00415"/>
        <s v="CUST00416"/>
        <s v="CUST00417"/>
        <s v="CUST00418"/>
        <s v="CUST00419"/>
        <s v="CUST00420"/>
        <s v="CUST00421"/>
        <s v="CUST00422"/>
        <s v="CUST00423"/>
        <s v="CUST00424"/>
        <s v="CUST00425"/>
        <s v="CUST00426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  <s v="CUST00442"/>
        <s v="CUST00443"/>
        <s v="CUST00444"/>
        <s v="CUST00445"/>
        <s v="CUST00446"/>
        <s v="CUST00447"/>
        <s v="CUST00448"/>
        <s v="CUST00449"/>
        <s v="CUST00450"/>
        <s v="CUST00451"/>
        <s v="CUST00452"/>
        <s v="CUST00453"/>
        <s v="CUST00454"/>
        <s v="CUST00455"/>
        <s v="CUST00456"/>
        <s v="CUST00457"/>
        <s v="CUST00458"/>
        <s v="CUST00459"/>
        <s v="CUST00460"/>
        <s v="CUST00461"/>
        <s v="CUST00462"/>
        <s v="CUST00463"/>
        <s v="CUST00464"/>
        <s v="CUST00465"/>
        <s v="CUST00466"/>
        <s v="CUST00467"/>
        <s v="CUST00468"/>
        <s v="CUST00469"/>
        <s v="CUST00470"/>
        <s v="CUST00471"/>
        <s v="CUST00472"/>
        <s v="CUST00473"/>
        <s v="CUST00474"/>
        <s v="CUST00475"/>
        <s v="CUST00476"/>
        <s v="CUST00477"/>
        <s v="CUST00478"/>
        <s v="CUST00479"/>
        <s v="CUST00480"/>
        <s v="CUST00481"/>
        <s v="CUST00482"/>
        <s v="CUST00483"/>
        <s v="CUST00484"/>
        <s v="CUST00485"/>
        <s v="CUST00486"/>
        <s v="CUST00487"/>
        <s v="CUST00488"/>
        <s v="CUST00489"/>
        <s v="CUST00490"/>
        <s v="CUST00491"/>
        <s v="CUST00492"/>
        <s v="CUST00493"/>
        <s v="CUST00494"/>
        <s v="CUST00495"/>
        <s v="CUST00496"/>
        <s v="CUST00497"/>
        <s v="CUST00498"/>
        <s v="CUST00499"/>
        <s v="CUST00500"/>
        <s v="CUST00501"/>
        <s v="CUST00502"/>
        <s v="CUST00503"/>
        <s v="CUST00504"/>
        <s v="CUST00505"/>
        <s v="CUST00506"/>
        <s v="CUST00507"/>
        <s v="CUST00508"/>
        <s v="CUST00509"/>
        <s v="CUST00510"/>
        <s v="CUST00511"/>
        <s v="CUST00512"/>
        <s v="CUST00513"/>
        <s v="CUST00514"/>
        <s v="CUST00515"/>
        <s v="CUST00516"/>
        <s v="CUST00517"/>
        <s v="CUST00518"/>
        <s v="CUST00519"/>
        <s v="CUST00520"/>
        <s v="CUST00521"/>
        <s v="CUST00522"/>
        <s v="CUST00523"/>
        <s v="CUST00524"/>
        <s v="CUST00525"/>
        <s v="CUST00526"/>
        <s v="CUST00527"/>
        <s v="CUST00528"/>
        <s v="CUST00529"/>
        <s v="CUST00530"/>
        <s v="CUST00531"/>
        <s v="CUST00532"/>
        <s v="CUST00533"/>
        <s v="CUST00534"/>
        <s v="CUST00535"/>
        <s v="CUST00536"/>
        <s v="CUST00537"/>
        <s v="CUST00538"/>
        <s v="CUST00539"/>
        <s v="CUST00540"/>
        <s v="CUST00541"/>
        <s v="CUST00542"/>
        <s v="CUST00543"/>
        <s v="CUST00544"/>
        <s v="CUST00545"/>
        <s v="CUST00546"/>
        <s v="CUST00547"/>
        <s v="CUST00548"/>
        <s v="CUST00549"/>
        <s v="CUST00550"/>
        <s v="CUST00551"/>
        <s v="CUST00552"/>
        <s v="CUST00553"/>
        <s v="CUST00554"/>
        <s v="CUST00555"/>
        <s v="CUST00556"/>
        <s v="CUST00557"/>
        <s v="CUST00558"/>
        <s v="CUST00559"/>
        <s v="CUST00560"/>
        <s v="CUST00561"/>
        <s v="CUST00562"/>
        <s v="CUST00563"/>
        <s v="CUST00564"/>
        <s v="CUST00565"/>
        <s v="CUST00566"/>
        <s v="CUST00567"/>
        <s v="CUST00568"/>
        <s v="CUST00569"/>
        <s v="CUST00570"/>
        <s v="CUST00571"/>
        <s v="CUST00572"/>
        <s v="CUST00573"/>
        <s v="CUST00574"/>
        <s v="CUST00575"/>
        <s v="CUST00576"/>
        <s v="CUST00577"/>
        <s v="CUST00578"/>
        <s v="CUST00579"/>
        <s v="CUST00580"/>
        <s v="CUST00581"/>
        <s v="CUST00582"/>
        <s v="CUST00583"/>
        <s v="CUST00584"/>
        <s v="CUST00585"/>
        <s v="CUST00586"/>
        <s v="CUST00587"/>
        <s v="CUST00588"/>
        <s v="CUST00589"/>
        <s v="CUST00590"/>
        <s v="CUST00591"/>
        <s v="CUST00592"/>
        <s v="CUST00593"/>
        <s v="CUST00594"/>
        <s v="CUST00595"/>
        <s v="CUST00596"/>
        <s v="CUST00597"/>
        <s v="CUST00598"/>
        <s v="CUST00599"/>
        <s v="CUST00600"/>
        <s v="CUST00601"/>
        <s v="CUST00602"/>
        <s v="CUST00603"/>
        <s v="CUST00604"/>
        <s v="CUST00605"/>
        <s v="CUST00606"/>
        <s v="CUST00607"/>
        <s v="CUST00608"/>
        <s v="CUST00609"/>
        <s v="CUST00610"/>
        <s v="CUST00611"/>
        <s v="CUST00612"/>
        <s v="CUST00613"/>
        <s v="CUST00614"/>
        <s v="CUST00615"/>
        <s v="CUST00616"/>
        <s v="CUST00617"/>
        <s v="CUST00618"/>
        <s v="CUST00619"/>
        <s v="CUST00620"/>
        <s v="CUST00621"/>
        <s v="CUST00622"/>
        <s v="CUST00623"/>
        <s v="CUST00624"/>
        <s v="CUST00625"/>
        <s v="CUST00626"/>
        <s v="CUST00627"/>
        <s v="CUST00628"/>
        <s v="CUST00629"/>
        <s v="CUST00630"/>
        <s v="CUST00631"/>
        <s v="CUST00632"/>
        <s v="CUST00633"/>
        <s v="CUST00634"/>
        <s v="CUST00635"/>
        <s v="CUST00636"/>
        <s v="CUST00637"/>
        <s v="CUST00638"/>
        <s v="CUST00639"/>
        <s v="CUST00640"/>
        <s v="CUST00641"/>
        <s v="CUST00642"/>
        <s v="CUST00643"/>
        <s v="CUST00644"/>
        <s v="CUST00645"/>
        <s v="CUST00646"/>
        <s v="CUST00647"/>
        <s v="CUST00648"/>
        <s v="CUST00649"/>
        <s v="CUST00650"/>
        <s v="CUST00651"/>
        <s v="CUST00652"/>
        <s v="CUST00653"/>
        <s v="CUST00654"/>
        <s v="CUST00655"/>
        <s v="CUST00656"/>
        <s v="CUST00657"/>
        <s v="CUST00658"/>
        <s v="CUST00659"/>
        <s v="CUST00660"/>
        <s v="CUST00661"/>
        <s v="CUST00662"/>
        <s v="CUST00663"/>
        <s v="CUST00664"/>
        <s v="CUST00665"/>
        <s v="CUST00666"/>
        <s v="CUST00667"/>
        <s v="CUST00668"/>
        <s v="CUST00669"/>
        <s v="CUST00670"/>
        <s v="CUST00671"/>
        <s v="CUST00672"/>
        <s v="CUST00673"/>
        <s v="CUST00674"/>
        <s v="CUST00675"/>
        <s v="CUST00676"/>
        <s v="CUST00677"/>
        <s v="CUST00678"/>
        <s v="CUST00679"/>
        <s v="CUST00680"/>
        <s v="CUST00681"/>
        <s v="CUST00682"/>
        <s v="CUST00683"/>
        <s v="CUST00684"/>
        <s v="CUST00685"/>
        <s v="CUST00686"/>
        <s v="CUST00687"/>
        <s v="CUST00688"/>
        <s v="CUST00689"/>
        <s v="CUST00690"/>
        <s v="CUST00691"/>
        <s v="CUST00692"/>
        <s v="CUST00693"/>
        <s v="CUST00694"/>
        <s v="CUST00695"/>
        <s v="CUST00696"/>
        <s v="CUST00697"/>
        <s v="CUST00698"/>
        <s v="CUST00699"/>
        <s v="CUST00700"/>
        <s v="CUST00701"/>
        <s v="CUST00702"/>
        <s v="CUST00703"/>
        <s v="CUST00704"/>
        <s v="CUST00705"/>
        <s v="CUST00706"/>
        <s v="CUST00707"/>
        <s v="CUST00708"/>
        <s v="CUST00709"/>
        <s v="CUST00710"/>
        <s v="CUST00711"/>
        <s v="CUST00712"/>
        <s v="CUST00713"/>
        <s v="CUST00714"/>
        <s v="CUST00715"/>
        <s v="CUST00716"/>
        <s v="CUST00717"/>
        <s v="CUST00718"/>
        <s v="CUST00719"/>
        <s v="CUST00720"/>
        <s v="CUST00721"/>
        <s v="CUST00722"/>
        <s v="CUST00723"/>
        <s v="CUST00724"/>
        <s v="CUST00725"/>
        <s v="CUST00726"/>
        <s v="CUST00727"/>
        <s v="CUST00728"/>
        <s v="CUST00729"/>
        <s v="CUST00730"/>
        <s v="CUST00731"/>
        <s v="CUST00732"/>
        <s v="CUST00733"/>
        <s v="CUST00734"/>
        <s v="CUST00735"/>
        <s v="CUST00736"/>
        <s v="CUST00737"/>
        <s v="CUST00738"/>
        <s v="CUST00739"/>
        <s v="CUST00740"/>
        <s v="CUST00741"/>
        <s v="CUST00742"/>
        <s v="CUST00743"/>
        <s v="CUST00744"/>
        <s v="CUST00745"/>
        <s v="CUST00746"/>
        <s v="CUST00747"/>
        <s v="CUST00748"/>
        <s v="CUST00749"/>
        <s v="CUST00750"/>
        <s v="CUST00751"/>
        <s v="CUST00752"/>
        <s v="CUST00753"/>
        <s v="CUST00754"/>
        <s v="CUST00755"/>
        <s v="CUST00756"/>
        <s v="CUST00757"/>
        <s v="CUST00758"/>
        <s v="CUST00759"/>
        <s v="CUST00760"/>
        <s v="CUST00761"/>
        <s v="CUST00762"/>
        <s v="CUST00763"/>
        <s v="CUST00764"/>
        <s v="CUST00765"/>
        <s v="CUST00766"/>
        <s v="CUST00767"/>
        <s v="CUST00768"/>
        <s v="CUST00769"/>
        <s v="CUST00770"/>
        <s v="CUST00771"/>
        <s v="CUST00772"/>
        <s v="CUST00773"/>
        <s v="CUST00774"/>
        <s v="CUST00775"/>
        <s v="CUST00776"/>
        <s v="CUST00777"/>
        <s v="CUST00778"/>
        <s v="CUST00779"/>
        <s v="CUST00780"/>
        <s v="CUST00781"/>
        <s v="CUST00782"/>
        <s v="CUST00783"/>
        <s v="CUST00784"/>
        <s v="CUST00785"/>
        <s v="CUST00786"/>
        <s v="CUST00787"/>
        <s v="CUST00788"/>
        <s v="CUST00789"/>
        <s v="CUST00790"/>
        <s v="CUST00791"/>
        <s v="CUST00792"/>
        <s v="CUST00793"/>
        <s v="CUST00794"/>
        <s v="CUST00795"/>
        <s v="CUST00796"/>
        <s v="CUST00797"/>
        <s v="CUST00798"/>
        <s v="CUST00799"/>
        <s v="CUST00800"/>
        <s v="CUST00801"/>
        <s v="CUST00802"/>
        <s v="CUST00803"/>
        <s v="CUST00804"/>
        <s v="CUST00805"/>
        <s v="CUST00806"/>
        <s v="CUST00807"/>
        <s v="CUST00808"/>
        <s v="CUST00809"/>
        <s v="CUST00810"/>
        <s v="CUST00811"/>
        <s v="CUST00812"/>
        <s v="CUST00813"/>
        <s v="CUST00814"/>
        <s v="CUST00815"/>
        <s v="CUST00816"/>
        <s v="CUST00817"/>
        <s v="CUST00818"/>
        <s v="CUST00819"/>
        <s v="CUST00820"/>
        <s v="CUST00821"/>
        <s v="CUST00822"/>
        <s v="CUST00823"/>
        <s v="CUST00824"/>
        <s v="CUST00825"/>
        <s v="CUST00826"/>
        <s v="CUST00827"/>
        <s v="CUST00828"/>
        <s v="CUST00829"/>
        <s v="CUST00830"/>
        <s v="CUST00831"/>
        <s v="CUST00832"/>
        <s v="CUST00833"/>
        <s v="CUST00834"/>
        <s v="CUST00835"/>
        <s v="CUST00836"/>
        <s v="CUST00837"/>
        <s v="CUST00838"/>
        <s v="CUST00839"/>
        <s v="CUST00840"/>
        <s v="CUST00841"/>
        <s v="CUST00842"/>
        <s v="CUST00843"/>
        <s v="CUST00844"/>
        <s v="CUST00845"/>
        <s v="CUST00846"/>
        <s v="CUST00847"/>
        <s v="CUST00848"/>
        <s v="CUST00849"/>
        <s v="CUST00850"/>
        <s v="CUST00851"/>
        <s v="CUST00852"/>
        <s v="CUST00853"/>
        <s v="CUST00854"/>
        <s v="CUST00855"/>
        <s v="CUST00856"/>
        <s v="CUST00857"/>
        <s v="CUST00858"/>
        <s v="CUST00859"/>
        <s v="CUST00860"/>
        <s v="CUST00861"/>
        <s v="CUST00862"/>
        <s v="CUST00863"/>
        <s v="CUST00864"/>
        <s v="CUST00865"/>
        <s v="CUST00866"/>
        <s v="CUST00867"/>
        <s v="CUST00868"/>
        <s v="CUST00869"/>
        <s v="CUST00870"/>
        <s v="CUST00871"/>
        <s v="CUST00872"/>
        <s v="CUST00873"/>
        <s v="CUST00874"/>
        <s v="CUST00875"/>
        <s v="CUST00876"/>
        <s v="CUST00877"/>
        <s v="CUST00878"/>
        <s v="CUST00879"/>
        <s v="CUST00880"/>
        <s v="CUST00881"/>
        <s v="CUST00882"/>
        <s v="CUST00883"/>
        <s v="CUST00884"/>
        <s v="CUST00885"/>
        <s v="CUST00886"/>
        <s v="CUST00887"/>
        <s v="CUST00888"/>
        <s v="CUST00889"/>
        <s v="CUST00890"/>
        <s v="CUST00891"/>
        <s v="CUST00892"/>
        <s v="CUST00893"/>
        <s v="CUST00894"/>
        <s v="CUST00895"/>
        <s v="CUST00896"/>
        <s v="CUST00897"/>
        <s v="CUST00898"/>
        <s v="CUST00899"/>
        <s v="CUST00900"/>
        <s v="CUST00901"/>
        <s v="CUST00902"/>
        <s v="CUST00903"/>
        <s v="CUST00904"/>
        <s v="CUST00905"/>
        <s v="CUST00906"/>
        <s v="CUST00907"/>
        <s v="CUST00908"/>
        <s v="CUST00909"/>
        <s v="CUST00910"/>
        <s v="CUST00911"/>
        <s v="CUST00912"/>
        <s v="CUST00913"/>
        <s v="CUST00914"/>
        <s v="CUST00915"/>
        <s v="CUST00916"/>
        <s v="CUST00917"/>
        <s v="CUST00918"/>
        <s v="CUST00919"/>
        <s v="CUST00920"/>
        <s v="CUST00921"/>
        <s v="CUST00922"/>
        <s v="CUST00923"/>
        <s v="CUST00924"/>
        <s v="CUST00925"/>
        <s v="CUST00926"/>
        <s v="CUST00927"/>
        <s v="CUST00928"/>
        <s v="CUST00929"/>
        <s v="CUST00930"/>
        <s v="CUST00931"/>
        <s v="CUST00932"/>
        <s v="CUST00933"/>
        <s v="CUST00934"/>
        <s v="CUST00935"/>
        <s v="CUST00936"/>
        <s v="CUST00937"/>
        <s v="CUST00938"/>
        <s v="CUST00939"/>
        <s v="CUST00940"/>
        <s v="CUST00941"/>
        <s v="CUST00942"/>
        <s v="CUST00943"/>
        <s v="CUST00944"/>
        <s v="CUST00945"/>
        <s v="CUST00946"/>
        <s v="CUST00947"/>
        <s v="CUST00948"/>
        <s v="CUST00949"/>
        <s v="CUST00950"/>
        <s v="CUST00951"/>
        <s v="CUST00952"/>
        <s v="CUST00953"/>
        <s v="CUST00954"/>
        <s v="CUST00955"/>
        <s v="CUST00956"/>
        <s v="CUST00957"/>
        <s v="CUST00958"/>
        <s v="CUST00959"/>
        <s v="CUST00960"/>
        <s v="CUST00961"/>
        <s v="CUST00962"/>
        <s v="CUST00963"/>
        <s v="CUST00964"/>
        <s v="CUST00965"/>
        <s v="CUST00966"/>
        <s v="CUST00967"/>
        <s v="CUST00968"/>
        <s v="CUST00969"/>
        <s v="CUST00970"/>
        <s v="CUST00971"/>
        <s v="CUST00972"/>
        <s v="CUST00973"/>
        <s v="CUST00974"/>
        <s v="CUST00975"/>
        <s v="CUST00976"/>
        <s v="CUST00977"/>
        <s v="CUST00978"/>
        <s v="CUST00979"/>
        <s v="CUST00980"/>
        <s v="CUST00981"/>
        <s v="CUST00982"/>
        <s v="CUST00983"/>
        <s v="CUST00984"/>
        <s v="CUST00985"/>
        <s v="CUST00986"/>
        <s v="CUST00987"/>
        <s v="CUST00988"/>
        <s v="CUST00989"/>
        <s v="CUST00990"/>
        <s v="CUST00991"/>
        <s v="CUST00992"/>
        <s v="CUST00993"/>
        <s v="CUST00994"/>
        <s v="CUST00995"/>
        <s v="CUST00996"/>
        <s v="CUST00997"/>
        <s v="CUST00998"/>
        <s v="CUST00999"/>
        <s v="CUST01000"/>
        <s v="CUST01001"/>
        <s v="CUST01002"/>
        <s v="CUST01003"/>
        <s v="CUST01004"/>
        <s v="CUST01005"/>
        <s v="CUST01006"/>
        <s v="CUST01007"/>
        <s v="CUST01008"/>
        <s v="CUST01009"/>
        <s v="CUST01010"/>
        <s v="CUST01011"/>
        <s v="CUST01012"/>
        <s v="CUST01013"/>
        <s v="CUST01014"/>
        <s v="CUST01015"/>
        <s v="CUST01016"/>
        <s v="CUST01017"/>
        <s v="CUST01018"/>
        <s v="CUST01019"/>
        <s v="CUST01020"/>
        <s v="CUST01021"/>
        <s v="CUST01022"/>
        <s v="CUST01023"/>
        <s v="CUST01024"/>
        <s v="CUST01025"/>
        <s v="CUST01026"/>
        <s v="CUST01027"/>
        <s v="CUST01028"/>
        <s v="CUST01029"/>
        <s v="CUST01030"/>
        <s v="CUST01031"/>
        <s v="CUST01032"/>
        <s v="CUST01033"/>
        <s v="CUST01034"/>
        <s v="CUST01035"/>
        <s v="CUST01036"/>
        <s v="CUST01037"/>
        <s v="CUST01038"/>
        <s v="CUST01039"/>
        <s v="CUST01040"/>
        <s v="CUST01041"/>
        <s v="CUST01042"/>
        <s v="CUST01043"/>
        <s v="CUST01044"/>
        <s v="CUST01045"/>
        <s v="CUST01046"/>
        <s v="CUST01047"/>
        <s v="CUST01048"/>
        <s v="CUST01049"/>
        <s v="CUST01050"/>
        <s v="CUST01051"/>
        <s v="CUST01052"/>
        <s v="CUST01053"/>
        <s v="CUST01054"/>
        <s v="CUST01055"/>
        <s v="CUST01056"/>
        <s v="CUST01057"/>
        <s v="CUST01058"/>
        <s v="CUST01059"/>
        <s v="CUST01060"/>
        <s v="CUST01061"/>
        <s v="CUST01062"/>
        <s v="CUST01063"/>
        <s v="CUST01064"/>
        <s v="CUST01065"/>
        <s v="CUST01066"/>
        <s v="CUST01067"/>
        <s v="CUST01068"/>
        <s v="CUST01069"/>
        <s v="CUST01070"/>
        <s v="CUST01071"/>
        <s v="CUST01072"/>
        <s v="CUST01073"/>
        <s v="CUST01074"/>
        <s v="CUST01075"/>
        <s v="CUST01076"/>
        <s v="CUST01077"/>
        <s v="CUST01078"/>
        <s v="CUST01079"/>
        <s v="CUST01080"/>
        <s v="CUST01081"/>
        <s v="CUST01082"/>
        <s v="CUST01083"/>
        <s v="CUST01084"/>
        <s v="CUST01085"/>
        <s v="CUST01086"/>
        <s v="CUST01087"/>
        <s v="CUST01088"/>
        <s v="CUST01089"/>
        <s v="CUST01090"/>
        <s v="CUST01091"/>
        <s v="CUST01092"/>
        <s v="CUST01093"/>
        <s v="CUST01094"/>
        <s v="CUST01095"/>
        <s v="CUST01096"/>
        <s v="CUST01097"/>
        <s v="CUST01098"/>
        <s v="CUST01099"/>
        <s v="CUST01100"/>
        <s v="CUST01101"/>
        <s v="CUST01102"/>
        <s v="CUST01103"/>
        <s v="CUST01104"/>
        <s v="CUST01105"/>
        <s v="CUST01106"/>
        <s v="CUST01107"/>
        <s v="CUST01108"/>
        <s v="CUST01109"/>
        <s v="CUST01110"/>
        <s v="CUST01111"/>
        <s v="CUST01112"/>
        <s v="CUST01113"/>
        <s v="CUST01114"/>
        <s v="CUST01115"/>
        <s v="CUST01116"/>
        <s v="CUST01117"/>
        <s v="CUST01118"/>
        <s v="CUST01119"/>
        <s v="CUST01120"/>
        <s v="CUST01121"/>
        <s v="CUST01122"/>
        <s v="CUST01123"/>
        <s v="CUST01124"/>
        <s v="CUST01125"/>
        <s v="CUST01126"/>
        <s v="CUST01127"/>
        <s v="CUST01128"/>
        <s v="CUST01129"/>
        <s v="CUST01130"/>
        <s v="CUST01131"/>
        <s v="CUST01132"/>
        <s v="CUST01133"/>
        <s v="CUST01134"/>
        <s v="CUST01135"/>
        <s v="CUST01136"/>
        <s v="CUST01137"/>
        <s v="CUST01138"/>
        <s v="CUST01139"/>
        <s v="CUST01140"/>
        <s v="CUST01141"/>
        <s v="CUST01142"/>
        <s v="CUST01143"/>
        <s v="CUST01144"/>
        <s v="CUST01145"/>
        <s v="CUST01146"/>
        <s v="CUST01147"/>
        <s v="CUST01148"/>
        <s v="CUST01149"/>
        <s v="CUST01150"/>
        <s v="CUST01151"/>
        <s v="CUST01152"/>
        <s v="CUST01153"/>
        <s v="CUST01154"/>
        <s v="CUST01155"/>
        <s v="CUST01156"/>
        <s v="CUST01157"/>
        <s v="CUST01158"/>
        <s v="CUST01159"/>
        <s v="CUST01160"/>
        <s v="CUST01161"/>
        <s v="CUST01162"/>
        <s v="CUST01163"/>
        <s v="CUST01164"/>
        <s v="CUST01165"/>
        <s v="CUST01166"/>
        <s v="CUST01167"/>
        <s v="CUST01168"/>
        <s v="CUST01169"/>
        <s v="CUST01170"/>
        <s v="CUST01171"/>
        <s v="CUST01172"/>
        <s v="CUST01173"/>
        <s v="CUST01174"/>
        <s v="CUST01175"/>
        <s v="CUST01176"/>
        <s v="CUST01177"/>
        <s v="CUST01178"/>
        <s v="CUST01179"/>
        <s v="CUST01180"/>
        <s v="CUST01181"/>
        <s v="CUST01182"/>
        <s v="CUST01183"/>
        <s v="CUST01184"/>
        <s v="CUST01185"/>
        <s v="CUST01186"/>
        <s v="CUST01187"/>
        <s v="CUST01188"/>
        <s v="CUST01189"/>
        <s v="CUST01190"/>
        <s v="CUST01191"/>
        <s v="CUST01192"/>
        <s v="CUST01193"/>
        <s v="CUST01194"/>
        <s v="CUST01195"/>
        <s v="CUST01196"/>
        <s v="CUST01197"/>
        <s v="CUST01198"/>
        <s v="CUST01199"/>
        <s v="CUST01200"/>
        <s v="CUST01201"/>
        <s v="CUST01202"/>
        <s v="CUST01203"/>
        <s v="CUST01204"/>
        <s v="CUST01205"/>
        <s v="CUST01206"/>
        <s v="CUST01207"/>
        <s v="CUST01208"/>
        <s v="CUST01209"/>
        <s v="CUST01210"/>
        <s v="CUST01211"/>
        <s v="CUST01212"/>
        <s v="CUST01213"/>
        <s v="CUST01214"/>
        <s v="CUST01215"/>
        <s v="CUST01216"/>
        <s v="CUST01217"/>
        <s v="CUST01218"/>
        <s v="CUST01219"/>
        <s v="CUST01220"/>
        <s v="CUST01221"/>
        <s v="CUST01222"/>
        <s v="CUST01223"/>
        <s v="CUST01224"/>
        <s v="CUST01225"/>
        <s v="CUST01226"/>
        <s v="CUST01227"/>
        <s v="CUST01228"/>
        <s v="CUST01229"/>
        <s v="CUST01230"/>
        <s v="CUST01231"/>
        <s v="CUST01232"/>
        <s v="CUST01233"/>
        <s v="CUST01234"/>
        <s v="CUST01235"/>
        <s v="CUST01236"/>
        <s v="CUST01237"/>
        <s v="CUST01238"/>
        <s v="CUST01239"/>
        <s v="CUST01240"/>
        <s v="CUST01241"/>
        <s v="CUST01242"/>
        <s v="CUST01243"/>
        <s v="CUST01244"/>
        <s v="CUST01245"/>
        <s v="CUST01246"/>
        <s v="CUST01247"/>
        <s v="CUST01248"/>
        <s v="CUST01249"/>
        <s v="CUST01250"/>
        <s v="CUST01251"/>
        <s v="CUST01252"/>
        <s v="CUST01253"/>
        <s v="CUST01254"/>
        <s v="CUST01255"/>
        <s v="CUST01256"/>
        <s v="CUST01257"/>
        <s v="CUST01258"/>
        <s v="CUST01259"/>
        <s v="CUST01260"/>
        <s v="CUST01261"/>
        <s v="CUST01262"/>
        <s v="CUST01263"/>
        <s v="CUST01264"/>
        <s v="CUST01265"/>
        <s v="CUST01266"/>
        <s v="CUST01267"/>
        <s v="CUST01268"/>
        <s v="CUST01269"/>
        <s v="CUST01270"/>
        <s v="CUST01271"/>
        <s v="CUST01272"/>
        <s v="CUST01273"/>
        <s v="CUST01274"/>
        <s v="CUST01275"/>
        <s v="CUST01276"/>
        <s v="CUST01277"/>
        <s v="CUST01278"/>
        <s v="CUST01279"/>
        <s v="CUST01280"/>
        <s v="CUST01281"/>
        <s v="CUST01282"/>
        <s v="CUST01283"/>
        <s v="CUST01284"/>
        <s v="CUST01285"/>
        <s v="CUST01286"/>
        <s v="CUST01287"/>
        <s v="CUST01288"/>
        <s v="CUST01289"/>
        <s v="CUST01290"/>
        <s v="CUST01291"/>
        <s v="CUST01292"/>
        <s v="CUST01293"/>
        <s v="CUST01294"/>
        <s v="CUST01295"/>
        <s v="CUST01296"/>
        <s v="CUST01297"/>
        <s v="CUST01298"/>
        <s v="CUST01299"/>
        <s v="CUST01300"/>
        <s v="CUST01301"/>
        <s v="CUST01302"/>
        <s v="CUST01303"/>
        <s v="CUST01304"/>
        <s v="CUST01305"/>
        <s v="CUST01306"/>
        <s v="CUST01307"/>
        <s v="CUST01308"/>
        <s v="CUST01309"/>
        <s v="CUST01310"/>
        <s v="CUST01311"/>
        <s v="CUST01312"/>
        <s v="CUST01313"/>
        <s v="CUST01314"/>
        <s v="CUST01315"/>
        <s v="CUST01316"/>
        <s v="CUST01317"/>
        <s v="CUST01318"/>
        <s v="CUST01319"/>
        <s v="CUST01320"/>
        <s v="CUST01321"/>
        <s v="CUST01322"/>
        <s v="CUST01323"/>
        <s v="CUST01324"/>
        <s v="CUST01325"/>
        <s v="CUST01326"/>
        <s v="CUST01327"/>
        <s v="CUST01328"/>
        <s v="CUST01329"/>
        <s v="CUST01330"/>
        <s v="CUST01331"/>
        <s v="CUST01332"/>
        <s v="CUST01333"/>
        <s v="CUST01334"/>
        <s v="CUST01335"/>
        <s v="CUST01336"/>
        <s v="CUST01337"/>
        <s v="CUST01338"/>
        <s v="CUST01339"/>
        <s v="CUST01340"/>
        <s v="CUST01341"/>
        <s v="CUST01342"/>
        <s v="CUST01343"/>
        <s v="CUST01344"/>
        <s v="CUST01345"/>
        <s v="CUST01346"/>
        <s v="CUST01347"/>
        <s v="CUST01348"/>
        <s v="CUST01349"/>
        <s v="CUST01350"/>
        <s v="CUST01351"/>
        <s v="CUST01352"/>
        <s v="CUST01353"/>
        <s v="CUST01354"/>
        <s v="CUST01355"/>
        <s v="CUST01356"/>
        <s v="CUST01357"/>
        <s v="CUST01358"/>
        <s v="CUST01359"/>
        <s v="CUST01360"/>
        <s v="CUST01361"/>
        <s v="CUST01362"/>
        <s v="CUST01363"/>
        <s v="CUST01364"/>
        <s v="CUST01365"/>
        <s v="CUST01366"/>
        <s v="CUST01367"/>
        <s v="CUST01368"/>
        <s v="CUST01369"/>
        <s v="CUST01370"/>
        <s v="CUST01371"/>
        <s v="CUST01372"/>
        <s v="CUST01373"/>
        <s v="CUST01374"/>
        <s v="CUST01375"/>
        <s v="CUST01376"/>
        <s v="CUST01377"/>
        <s v="CUST01378"/>
        <s v="CUST01379"/>
        <s v="CUST01380"/>
        <s v="CUST01381"/>
        <s v="CUST01382"/>
        <s v="CUST01383"/>
        <s v="CUST01384"/>
        <s v="CUST01385"/>
        <s v="CUST01386"/>
        <s v="CUST01387"/>
        <s v="CUST01388"/>
        <s v="CUST01389"/>
        <s v="CUST01390"/>
        <s v="CUST01391"/>
        <s v="CUST01392"/>
        <s v="CUST01393"/>
        <s v="CUST01394"/>
        <s v="CUST01395"/>
        <s v="CUST01396"/>
        <s v="CUST01397"/>
        <s v="CUST01398"/>
        <s v="CUST01399"/>
        <s v="CUST01400"/>
        <s v="CUST01401"/>
        <s v="CUST01402"/>
        <s v="CUST01403"/>
        <s v="CUST01404"/>
        <s v="CUST01405"/>
        <s v="CUST01406"/>
        <s v="CUST01407"/>
        <s v="CUST01408"/>
        <s v="CUST01409"/>
        <s v="CUST01410"/>
        <s v="CUST01411"/>
        <s v="CUST01412"/>
        <s v="CUST01413"/>
        <s v="CUST01414"/>
        <s v="CUST01415"/>
        <s v="CUST01416"/>
        <s v="CUST01417"/>
        <s v="CUST01418"/>
        <s v="CUST01419"/>
        <s v="CUST01420"/>
        <s v="CUST01421"/>
        <s v="CUST01422"/>
        <s v="CUST01423"/>
        <s v="CUST01424"/>
        <s v="CUST01425"/>
        <s v="CUST01426"/>
        <s v="CUST01427"/>
        <s v="CUST01428"/>
        <s v="CUST01429"/>
        <s v="CUST01430"/>
        <s v="CUST01431"/>
        <s v="CUST01432"/>
        <s v="CUST01433"/>
        <s v="CUST01434"/>
        <s v="CUST01435"/>
        <s v="CUST01436"/>
        <s v="CUST01437"/>
        <s v="CUST01438"/>
        <s v="CUST01439"/>
        <s v="CUST01440"/>
        <s v="CUST01441"/>
        <s v="CUST01442"/>
        <s v="CUST01443"/>
        <s v="CUST01444"/>
        <s v="CUST01445"/>
        <s v="CUST01446"/>
        <s v="CUST01447"/>
        <s v="CUST01448"/>
        <s v="CUST01449"/>
        <s v="CUST01450"/>
        <s v="CUST01451"/>
        <s v="CUST01452"/>
        <s v="CUST01453"/>
        <s v="CUST01454"/>
        <s v="CUST01455"/>
        <s v="CUST01456"/>
        <s v="CUST01457"/>
        <s v="CUST01458"/>
        <s v="CUST01459"/>
        <s v="CUST01460"/>
        <s v="CUST01461"/>
        <s v="CUST01462"/>
        <s v="CUST01463"/>
        <s v="CUST01464"/>
        <s v="CUST01465"/>
        <s v="CUST01466"/>
        <s v="CUST01467"/>
        <s v="CUST01468"/>
        <s v="CUST01469"/>
        <s v="CUST01470"/>
        <s v="CUST01471"/>
        <s v="CUST01472"/>
        <s v="CUST01473"/>
        <s v="CUST01474"/>
        <s v="CUST01475"/>
        <s v="CUST01476"/>
        <s v="CUST01477"/>
        <s v="CUST01478"/>
        <s v="CUST01479"/>
        <s v="CUST01480"/>
        <s v="CUST01481"/>
        <s v="CUST01482"/>
        <s v="CUST01483"/>
        <s v="CUST01484"/>
        <s v="CUST01485"/>
        <s v="CUST01486"/>
        <s v="CUST01487"/>
        <s v="CUST01488"/>
        <s v="CUST01489"/>
        <s v="CUST01490"/>
        <s v="CUST01491"/>
        <s v="CUST01492"/>
        <s v="CUST01493"/>
        <s v="CUST01494"/>
        <s v="CUST01495"/>
        <s v="CUST01496"/>
        <s v="CUST01497"/>
        <s v="CUST01498"/>
        <s v="CUST01499"/>
        <s v="CUST01500"/>
        <s v="CUST01501"/>
        <s v="CUST01502"/>
        <s v="CUST01503"/>
        <s v="CUST01504"/>
        <s v="CUST01505"/>
        <s v="CUST01506"/>
        <s v="CUST01507"/>
        <s v="CUST01508"/>
        <s v="CUST01509"/>
        <s v="CUST01510"/>
        <s v="CUST01511"/>
        <s v="CUST01512"/>
        <s v="CUST01513"/>
        <s v="CUST01514"/>
        <s v="CUST01515"/>
        <s v="CUST01516"/>
        <s v="CUST01517"/>
        <s v="CUST01518"/>
        <s v="CUST01519"/>
        <s v="CUST01520"/>
        <s v="CUST01521"/>
        <s v="CUST01522"/>
        <s v="CUST01523"/>
        <s v="CUST01524"/>
        <s v="CUST01525"/>
        <s v="CUST01526"/>
        <s v="CUST01527"/>
        <s v="CUST01528"/>
        <s v="CUST01529"/>
        <s v="CUST01530"/>
        <s v="CUST01531"/>
        <s v="CUST01532"/>
        <s v="CUST01533"/>
        <s v="CUST01534"/>
        <s v="CUST01535"/>
        <s v="CUST01536"/>
        <s v="CUST01537"/>
        <s v="CUST01538"/>
        <s v="CUST01539"/>
        <s v="CUST01540"/>
        <s v="CUST01541"/>
        <s v="CUST01542"/>
        <s v="CUST01543"/>
        <s v="CUST01544"/>
        <s v="CUST01545"/>
        <s v="CUST01546"/>
        <s v="CUST01547"/>
        <s v="CUST01548"/>
        <s v="CUST01549"/>
        <s v="CUST01550"/>
        <s v="CUST01551"/>
        <s v="CUST01552"/>
        <s v="CUST01553"/>
        <s v="CUST01554"/>
        <s v="CUST01555"/>
        <s v="CUST01556"/>
        <s v="CUST01557"/>
        <s v="CUST01558"/>
        <s v="CUST01559"/>
        <s v="CUST01560"/>
        <s v="CUST01561"/>
        <s v="CUST01562"/>
        <s v="CUST01563"/>
        <s v="CUST01564"/>
        <s v="CUST01565"/>
        <s v="CUST01566"/>
        <s v="CUST01567"/>
        <s v="CUST01568"/>
        <s v="CUST01569"/>
        <s v="CUST01570"/>
        <s v="CUST01571"/>
        <s v="CUST01572"/>
        <s v="CUST01573"/>
        <s v="CUST01574"/>
        <s v="CUST01575"/>
        <s v="CUST01576"/>
        <s v="CUST01577"/>
        <s v="CUST01578"/>
        <s v="CUST01579"/>
        <s v="CUST01580"/>
        <s v="CUST01581"/>
        <s v="CUST01582"/>
        <s v="CUST01583"/>
        <s v="CUST01584"/>
        <s v="CUST01585"/>
        <s v="CUST01586"/>
        <s v="CUST01587"/>
        <s v="CUST01588"/>
        <s v="CUST01589"/>
        <s v="CUST01590"/>
        <s v="CUST01591"/>
        <s v="CUST01592"/>
        <s v="CUST01593"/>
        <s v="CUST01594"/>
        <s v="CUST01595"/>
        <s v="CUST01596"/>
        <s v="CUST01597"/>
        <s v="CUST01598"/>
        <s v="CUST01599"/>
        <s v="CUST01600"/>
        <s v="CUST01601"/>
        <s v="CUST01602"/>
        <s v="CUST01603"/>
        <s v="CUST01604"/>
        <s v="CUST01605"/>
        <s v="CUST01606"/>
        <s v="CUST01607"/>
        <s v="CUST01608"/>
        <s v="CUST01609"/>
        <s v="CUST01610"/>
        <s v="CUST01611"/>
        <s v="CUST01612"/>
        <s v="CUST01613"/>
        <s v="CUST01614"/>
        <s v="CUST01615"/>
        <s v="CUST01616"/>
        <s v="CUST01617"/>
        <s v="CUST01618"/>
        <s v="CUST01619"/>
        <s v="CUST01620"/>
        <s v="CUST01621"/>
        <s v="CUST01622"/>
        <s v="CUST01623"/>
        <s v="CUST01624"/>
        <s v="CUST01625"/>
        <s v="CUST01626"/>
        <s v="CUST01627"/>
        <s v="CUST01628"/>
        <s v="CUST01629"/>
        <s v="CUST01630"/>
        <s v="CUST01631"/>
        <s v="CUST01632"/>
        <s v="CUST01633"/>
        <s v="CUST01634"/>
        <s v="CUST01635"/>
        <s v="CUST01636"/>
        <s v="CUST01637"/>
        <s v="CUST01638"/>
        <s v="CUST01639"/>
        <s v="CUST01640"/>
        <s v="CUST01641"/>
        <s v="CUST01642"/>
        <s v="CUST01643"/>
        <s v="CUST01644"/>
        <s v="CUST01645"/>
        <s v="CUST01646"/>
        <s v="CUST01647"/>
        <s v="CUST01648"/>
        <s v="CUST01649"/>
        <s v="CUST01650"/>
        <s v="CUST01651"/>
        <s v="CUST01652"/>
        <s v="CUST01653"/>
        <s v="CUST01654"/>
        <s v="CUST01655"/>
        <s v="CUST01656"/>
        <s v="CUST01657"/>
        <s v="CUST01658"/>
        <s v="CUST01659"/>
        <s v="CUST01660"/>
        <s v="CUST01661"/>
        <s v="CUST01662"/>
        <s v="CUST01663"/>
        <s v="CUST01664"/>
        <s v="CUST01665"/>
        <s v="CUST01666"/>
        <s v="CUST01667"/>
        <s v="CUST01668"/>
        <s v="CUST01669"/>
        <s v="CUST01670"/>
        <s v="CUST01671"/>
        <s v="CUST01672"/>
        <s v="CUST01673"/>
        <s v="CUST01674"/>
        <s v="CUST01675"/>
        <s v="CUST01676"/>
        <s v="CUST01677"/>
        <s v="CUST01678"/>
        <s v="CUST01679"/>
        <s v="CUST01680"/>
        <s v="CUST01681"/>
        <s v="CUST01682"/>
        <s v="CUST01683"/>
        <s v="CUST01684"/>
        <s v="CUST01685"/>
        <s v="CUST01686"/>
        <s v="CUST01687"/>
        <s v="CUST01688"/>
        <s v="CUST01689"/>
        <s v="CUST01690"/>
        <s v="CUST01691"/>
        <s v="CUST01692"/>
        <s v="CUST01693"/>
        <s v="CUST01694"/>
        <s v="CUST01695"/>
        <s v="CUST01696"/>
        <s v="CUST01697"/>
        <s v="CUST01698"/>
        <s v="CUST01699"/>
        <s v="CUST01700"/>
        <s v="CUST01701"/>
        <s v="CUST01702"/>
        <s v="CUST01703"/>
        <s v="CUST01704"/>
        <s v="CUST01705"/>
        <s v="CUST01706"/>
        <s v="CUST01707"/>
        <s v="CUST01708"/>
        <s v="CUST01709"/>
        <s v="CUST01710"/>
        <s v="CUST01711"/>
        <s v="CUST01712"/>
        <s v="CUST01713"/>
        <s v="CUST01714"/>
        <s v="CUST01715"/>
        <s v="CUST01716"/>
        <s v="CUST01717"/>
        <s v="CUST01718"/>
        <s v="CUST01719"/>
        <s v="CUST01720"/>
        <s v="CUST01721"/>
        <s v="CUST01722"/>
        <s v="CUST01723"/>
        <s v="CUST01724"/>
        <s v="CUST01725"/>
        <s v="CUST01726"/>
        <s v="CUST01727"/>
        <s v="CUST01728"/>
        <s v="CUST01729"/>
        <s v="CUST01730"/>
        <s v="CUST01731"/>
        <s v="CUST01732"/>
        <s v="CUST01733"/>
        <s v="CUST01734"/>
        <s v="CUST01735"/>
        <s v="CUST01736"/>
        <s v="CUST01737"/>
        <s v="CUST01738"/>
        <s v="CUST01739"/>
        <s v="CUST01740"/>
        <s v="CUST01741"/>
        <s v="CUST01742"/>
        <s v="CUST01743"/>
        <s v="CUST01744"/>
        <s v="CUST01745"/>
        <s v="CUST01746"/>
        <s v="CUST01747"/>
        <s v="CUST01748"/>
        <s v="CUST01749"/>
        <s v="CUST01750"/>
        <s v="CUST01751"/>
        <s v="CUST01752"/>
        <s v="CUST01753"/>
        <s v="CUST01754"/>
        <s v="CUST01755"/>
        <s v="CUST01756"/>
        <s v="CUST01757"/>
        <s v="CUST01758"/>
        <s v="CUST01759"/>
        <s v="CUST01760"/>
        <s v="CUST01761"/>
        <s v="CUST01762"/>
        <s v="CUST01763"/>
        <s v="CUST01764"/>
        <s v="CUST01765"/>
        <s v="CUST01766"/>
        <s v="CUST01767"/>
        <s v="CUST01768"/>
        <s v="CUST01769"/>
        <s v="CUST01770"/>
        <s v="CUST01771"/>
        <s v="CUST01772"/>
        <s v="CUST01773"/>
        <s v="CUST01774"/>
        <s v="CUST01775"/>
        <s v="CUST01776"/>
        <s v="CUST01777"/>
        <s v="CUST01778"/>
        <s v="CUST01779"/>
        <s v="CUST01780"/>
        <s v="CUST01781"/>
        <s v="CUST01782"/>
        <s v="CUST01783"/>
        <s v="CUST01784"/>
        <s v="CUST01785"/>
        <s v="CUST01786"/>
        <s v="CUST01787"/>
        <s v="CUST01788"/>
        <s v="CUST01789"/>
        <s v="CUST01790"/>
        <s v="CUST01791"/>
        <s v="CUST01792"/>
        <s v="CUST01793"/>
        <s v="CUST01794"/>
        <s v="CUST01795"/>
        <s v="CUST01796"/>
        <s v="CUST01797"/>
        <s v="CUST01798"/>
        <s v="CUST01799"/>
        <s v="CUST01800"/>
        <s v="CUST01801"/>
        <s v="CUST01802"/>
        <s v="CUST01803"/>
        <s v="CUST01804"/>
        <s v="CUST01805"/>
        <s v="CUST01806"/>
        <s v="CUST01807"/>
        <s v="CUST01808"/>
        <s v="CUST01809"/>
        <s v="CUST01810"/>
        <s v="CUST01811"/>
        <s v="CUST01812"/>
        <s v="CUST01813"/>
        <s v="CUST01814"/>
        <s v="CUST01815"/>
        <s v="CUST01816"/>
        <s v="CUST01817"/>
        <s v="CUST01818"/>
        <s v="CUST01819"/>
        <s v="CUST01820"/>
        <s v="CUST01821"/>
        <s v="CUST01822"/>
        <s v="CUST01823"/>
        <s v="CUST01824"/>
        <s v="CUST01825"/>
        <s v="CUST01826"/>
        <s v="CUST01827"/>
        <s v="CUST01828"/>
        <s v="CUST01829"/>
        <s v="CUST01830"/>
        <s v="CUST01831"/>
        <s v="CUST01832"/>
        <s v="CUST01833"/>
        <s v="CUST01834"/>
        <s v="CUST01835"/>
        <s v="CUST01836"/>
        <s v="CUST01837"/>
        <s v="CUST01838"/>
        <s v="CUST01839"/>
        <s v="CUST01840"/>
        <s v="CUST01841"/>
        <s v="CUST01842"/>
        <s v="CUST01843"/>
        <s v="CUST01844"/>
        <s v="CUST01845"/>
        <s v="CUST01846"/>
        <s v="CUST01847"/>
        <s v="CUST01848"/>
        <s v="CUST01849"/>
        <s v="CUST01850"/>
        <s v="CUST01851"/>
        <s v="CUST01852"/>
        <s v="CUST01853"/>
        <s v="CUST01854"/>
        <s v="CUST01855"/>
        <s v="CUST01856"/>
        <s v="CUST01857"/>
        <s v="CUST01858"/>
        <s v="CUST01859"/>
        <s v="CUST01860"/>
        <s v="CUST01861"/>
        <s v="CUST01862"/>
        <s v="CUST01863"/>
        <s v="CUST01864"/>
        <s v="CUST01865"/>
        <s v="CUST01866"/>
        <s v="CUST01867"/>
        <s v="CUST01868"/>
        <s v="CUST01869"/>
        <s v="CUST01870"/>
        <s v="CUST01871"/>
        <s v="CUST01872"/>
        <s v="CUST01873"/>
        <s v="CUST01874"/>
        <s v="CUST01875"/>
        <s v="CUST01876"/>
        <s v="CUST01877"/>
        <s v="CUST01878"/>
        <s v="CUST01879"/>
        <s v="CUST01880"/>
        <s v="CUST01881"/>
        <s v="CUST01882"/>
        <s v="CUST01883"/>
        <s v="CUST01884"/>
        <s v="CUST01885"/>
        <s v="CUST01886"/>
        <s v="CUST01887"/>
        <s v="CUST01888"/>
        <s v="CUST01889"/>
        <s v="CUST01890"/>
        <s v="CUST01891"/>
        <s v="CUST01892"/>
        <s v="CUST01893"/>
        <s v="CUST01894"/>
        <s v="CUST01895"/>
        <s v="CUST01896"/>
        <s v="CUST01897"/>
        <s v="CUST01898"/>
        <s v="CUST01899"/>
        <s v="CUST01900"/>
        <s v="CUST01901"/>
        <s v="CUST01902"/>
        <s v="CUST01903"/>
        <s v="CUST01904"/>
        <s v="CUST01905"/>
        <s v="CUST01906"/>
        <s v="CUST01907"/>
        <s v="CUST01908"/>
        <s v="CUST01909"/>
        <s v="CUST01910"/>
        <s v="CUST01911"/>
        <s v="CUST01912"/>
        <s v="CUST01913"/>
        <s v="CUST01914"/>
        <s v="CUST01915"/>
        <s v="CUST01916"/>
        <s v="CUST01917"/>
        <s v="CUST01918"/>
        <s v="CUST01919"/>
        <s v="CUST01920"/>
        <s v="CUST01921"/>
        <s v="CUST01922"/>
        <s v="CUST01923"/>
        <s v="CUST01924"/>
        <s v="CUST01925"/>
        <s v="CUST01926"/>
        <s v="CUST01927"/>
        <s v="CUST01928"/>
        <s v="CUST01929"/>
        <s v="CUST01930"/>
        <s v="CUST01931"/>
        <s v="CUST01932"/>
        <s v="CUST01933"/>
        <s v="CUST01934"/>
        <s v="CUST01935"/>
        <s v="CUST01936"/>
        <s v="CUST01937"/>
        <s v="CUST01938"/>
        <s v="CUST01939"/>
        <s v="CUST01940"/>
        <s v="CUST01941"/>
        <s v="CUST01942"/>
        <s v="CUST01943"/>
        <s v="CUST01944"/>
        <s v="CUST01945"/>
        <s v="CUST01946"/>
        <s v="CUST01947"/>
        <s v="CUST01948"/>
        <s v="CUST01949"/>
        <s v="CUST01950"/>
        <s v="CUST01951"/>
        <s v="CUST01952"/>
        <s v="CUST01953"/>
        <s v="CUST01954"/>
        <s v="CUST01955"/>
        <s v="CUST01956"/>
        <s v="CUST01957"/>
        <s v="CUST01958"/>
        <s v="CUST01959"/>
        <s v="CUST01960"/>
        <s v="CUST01961"/>
        <s v="CUST01962"/>
        <s v="CUST01963"/>
        <s v="CUST01964"/>
        <s v="CUST01965"/>
        <s v="CUST01966"/>
        <s v="CUST01967"/>
        <s v="CUST01968"/>
        <s v="CUST01969"/>
        <s v="CUST01970"/>
        <s v="CUST01971"/>
        <s v="CUST01972"/>
        <s v="CUST01973"/>
        <s v="CUST01974"/>
        <s v="CUST01975"/>
        <s v="CUST01976"/>
        <s v="CUST01977"/>
        <s v="CUST01978"/>
        <s v="CUST01979"/>
        <s v="CUST01980"/>
        <s v="CUST01981"/>
        <s v="CUST01982"/>
        <s v="CUST01983"/>
        <s v="CUST01984"/>
        <s v="CUST01985"/>
        <s v="CUST01986"/>
        <s v="CUST01987"/>
        <s v="CUST01988"/>
        <s v="CUST01989"/>
        <s v="CUST01990"/>
        <s v="CUST01991"/>
        <s v="CUST01992"/>
        <s v="CUST01993"/>
        <s v="CUST01994"/>
        <s v="CUST01995"/>
        <s v="CUST01996"/>
        <s v="CUST01997"/>
        <s v="CUST01998"/>
        <s v="CUST01999"/>
        <s v="CUST02000"/>
      </sharedItems>
    </cacheField>
    <cacheField name="Age" numFmtId="0">
      <sharedItems containsSemiMixedTypes="0" containsString="0" containsNumber="1" containsInteger="1" minValue="21" maxValue="65"/>
    </cacheField>
    <cacheField name="Gender" numFmtId="0">
      <sharedItems/>
    </cacheField>
    <cacheField name="Marital_Status" numFmtId="0">
      <sharedItems/>
    </cacheField>
    <cacheField name="Employment_Status" numFmtId="0">
      <sharedItems/>
    </cacheField>
    <cacheField name="Annual_Income" numFmtId="0">
      <sharedItems containsSemiMixedTypes="0" containsString="0" containsNumber="1" containsInteger="1" minValue="20134" maxValue="199989"/>
    </cacheField>
    <cacheField name="Credit_Score" numFmtId="0">
      <sharedItems containsSemiMixedTypes="0" containsString="0" containsNumber="1" containsInteger="1" minValue="300" maxValue="850"/>
    </cacheField>
    <cacheField name="Loan_Amount" numFmtId="0">
      <sharedItems containsSemiMixedTypes="0" containsString="0" containsNumber="1" containsInteger="1" minValue="5002" maxValue="99996"/>
    </cacheField>
    <cacheField name="Interest_Rate" numFmtId="0">
      <sharedItems containsSemiMixedTypes="0" containsString="0" containsNumber="1" minValue="3.5" maxValue="24"/>
    </cacheField>
    <cacheField name="Loan_Term_Months" numFmtId="0">
      <sharedItems containsSemiMixedTypes="0" containsString="0" containsNumber="1" containsInteger="1" minValue="12" maxValue="360"/>
    </cacheField>
    <cacheField name="Loan_Type" numFmtId="0">
      <sharedItems/>
    </cacheField>
    <cacheField name="Debt_To_Income" numFmtId="0">
      <sharedItems containsSemiMixedTypes="0" containsString="0" containsNumber="1" minValue="5.04" maxValue="59.97"/>
    </cacheField>
    <cacheField name="Existing_Debt" numFmtId="0">
      <sharedItems containsSemiMixedTypes="0" containsString="0" containsNumber="1" containsInteger="1" minValue="44" maxValue="79992"/>
    </cacheField>
    <cacheField name="Collateral_Value" numFmtId="0">
      <sharedItems containsSemiMixedTypes="0" containsString="0" containsNumber="1" containsInteger="1" minValue="91" maxValue="249845"/>
    </cacheField>
    <cacheField name="Application_Date" numFmtId="0">
      <sharedItems count="1085">
        <s v="2024-04-04"/>
        <s v="2025-09-28"/>
        <s v="2022-11-29"/>
        <s v="2022-04-26"/>
        <s v="2024-02-08"/>
        <s v="2023-12-12"/>
        <s v="2024-12-03"/>
        <s v="2022-08-03"/>
        <s v="2022-06-26"/>
        <s v="2023-02-05"/>
        <s v="2022-01-04"/>
        <s v="2025-04-27"/>
        <s v="2025-02-28"/>
        <s v="2022-03-08"/>
        <s v="2025-05-08"/>
        <s v="2023-11-10"/>
        <s v="2023-09-05"/>
        <s v="2025-07-17"/>
        <s v="2022-04-25"/>
        <s v="2024-12-16"/>
        <s v="2025-01-15"/>
        <s v="2022-01-30"/>
        <s v="2024-11-28"/>
        <s v="2022-09-27"/>
        <s v="2023-08-18"/>
        <s v="2025-11-24"/>
        <s v="2023-12-30"/>
        <s v="2023-12-28"/>
        <s v="2023-07-14"/>
        <s v="2022-12-13"/>
        <s v="2023-03-07"/>
        <s v="2022-02-24"/>
        <s v="2025-12-27"/>
        <s v="2022-12-15"/>
        <s v="2022-07-20"/>
        <s v="2022-10-19"/>
        <s v="2025-09-26"/>
        <s v="2024-03-02"/>
        <s v="2023-09-13"/>
        <s v="2023-10-18"/>
        <s v="2024-03-13"/>
        <s v="2022-09-05"/>
        <s v="2023-01-27"/>
        <s v="2023-03-22"/>
        <s v="2023-01-29"/>
        <s v="2025-06-29"/>
        <s v="2022-01-18"/>
        <s v="2023-05-03"/>
        <s v="2024-01-12"/>
        <s v="2023-08-02"/>
        <s v="2024-12-30"/>
        <s v="2024-06-17"/>
        <s v="2023-10-13"/>
        <s v="2022-09-30"/>
        <s v="2022-02-27"/>
        <s v="2024-12-01"/>
        <s v="2022-08-20"/>
        <s v="2022-05-19"/>
        <s v="2022-05-21"/>
        <s v="2025-04-21"/>
        <s v="2022-07-05"/>
        <s v="2024-02-07"/>
        <s v="2023-02-10"/>
        <s v="2025-08-27"/>
        <s v="2025-03-27"/>
        <s v="2022-01-21"/>
        <s v="2023-10-10"/>
        <s v="2023-06-09"/>
        <s v="2025-03-30"/>
        <s v="2023-06-19"/>
        <s v="2025-09-29"/>
        <s v="2024-10-03"/>
        <s v="2024-12-31"/>
        <s v="2025-05-03"/>
        <s v="2025-06-19"/>
        <s v="2025-05-06"/>
        <s v="2022-04-03"/>
        <s v="2023-07-03"/>
        <s v="2024-02-27"/>
        <s v="2022-08-18"/>
        <s v="2022-11-12"/>
        <s v="2022-03-22"/>
        <s v="2023-06-17"/>
        <s v="2024-10-01"/>
        <s v="2023-06-08"/>
        <s v="2022-06-18"/>
        <s v="2024-03-09"/>
        <s v="2022-07-08"/>
        <s v="2025-01-21"/>
        <s v="2023-10-29"/>
        <s v="2022-12-04"/>
        <s v="2023-10-17"/>
        <s v="2023-05-27"/>
        <s v="2022-01-09"/>
        <s v="2024-03-20"/>
        <s v="2023-05-29"/>
        <s v="2024-04-05"/>
        <s v="2022-05-05"/>
        <s v="2024-05-09"/>
        <s v="2022-04-17"/>
        <s v="2024-05-23"/>
        <s v="2023-01-16"/>
        <s v="2025-12-30"/>
        <s v="2024-03-10"/>
        <s v="2022-04-21"/>
        <s v="2022-09-16"/>
        <s v="2023-06-05"/>
        <s v="2022-01-19"/>
        <s v="2023-09-04"/>
        <s v="2022-09-22"/>
        <s v="2025-02-03"/>
        <s v="2025-01-24"/>
        <s v="2025-01-16"/>
        <s v="2023-03-29"/>
        <s v="2024-08-05"/>
        <s v="2022-09-23"/>
        <s v="2023-11-22"/>
        <s v="2023-05-30"/>
        <s v="2023-10-15"/>
        <s v="2025-07-18"/>
        <s v="2024-10-15"/>
        <s v="2022-06-09"/>
        <s v="2024-06-13"/>
        <s v="2024-03-18"/>
        <s v="2022-09-07"/>
        <s v="2024-08-10"/>
        <s v="2023-06-21"/>
        <s v="2025-02-21"/>
        <s v="2022-10-20"/>
        <s v="2022-03-28"/>
        <s v="2024-01-13"/>
        <s v="2024-04-30"/>
        <s v="2025-06-02"/>
        <s v="2022-11-02"/>
        <s v="2025-02-15"/>
        <s v="2022-06-06"/>
        <s v="2025-04-29"/>
        <s v="2024-12-09"/>
        <s v="2024-01-18"/>
        <s v="2022-12-29"/>
        <s v="2024-04-22"/>
        <s v="2023-11-25"/>
        <s v="2023-10-16"/>
        <s v="2024-09-19"/>
        <s v="2024-02-28"/>
        <s v="2022-03-20"/>
        <s v="2025-07-28"/>
        <s v="2022-08-24"/>
        <s v="2025-06-01"/>
        <s v="2025-11-25"/>
        <s v="2024-04-17"/>
        <s v="2024-10-09"/>
        <s v="2023-12-13"/>
        <s v="2022-03-15"/>
        <s v="2025-07-06"/>
        <s v="2024-11-07"/>
        <s v="2024-02-15"/>
        <s v="2024-03-24"/>
        <s v="2022-05-30"/>
        <s v="2023-04-26"/>
        <s v="2025-02-17"/>
        <s v="2022-05-03"/>
        <s v="2022-08-01"/>
        <s v="2025-10-25"/>
        <s v="2024-10-24"/>
        <s v="2024-11-24"/>
        <s v="2024-06-09"/>
        <s v="2023-11-02"/>
        <s v="2023-03-03"/>
        <s v="2025-09-25"/>
        <s v="2024-01-28"/>
        <s v="2022-05-04"/>
        <s v="2022-01-29"/>
        <s v="2024-04-06"/>
        <s v="2025-12-31"/>
        <s v="2025-12-19"/>
        <s v="2025-11-20"/>
        <s v="2025-08-02"/>
        <s v="2022-06-15"/>
        <s v="2025-05-18"/>
        <s v="2022-03-06"/>
        <s v="2023-04-05"/>
        <s v="2022-07-07"/>
        <s v="2024-07-10"/>
        <s v="2024-02-23"/>
        <s v="2022-11-09"/>
        <s v="2025-07-19"/>
        <s v="2023-09-14"/>
        <s v="2024-02-20"/>
        <s v="2025-09-03"/>
        <s v="2024-06-15"/>
        <s v="2023-04-01"/>
        <s v="2024-02-16"/>
        <s v="2022-03-01"/>
        <s v="2025-11-04"/>
        <s v="2025-03-02"/>
        <s v="2023-12-03"/>
        <s v="2022-05-07"/>
        <s v="2024-10-18"/>
        <s v="2025-05-15"/>
        <s v="2024-01-23"/>
        <s v="2023-08-21"/>
        <s v="2024-02-19"/>
        <s v="2023-11-16"/>
        <s v="2022-07-25"/>
        <s v="2024-07-27"/>
        <s v="2025-05-23"/>
        <s v="2025-10-11"/>
        <s v="2023-03-09"/>
        <s v="2023-03-28"/>
        <s v="2025-04-19"/>
        <s v="2025-08-05"/>
        <s v="2025-06-15"/>
        <s v="2025-07-08"/>
        <s v="2025-08-01"/>
        <s v="2024-11-15"/>
        <s v="2024-11-11"/>
        <s v="2024-05-29"/>
        <s v="2025-09-20"/>
        <s v="2022-12-19"/>
        <s v="2024-12-14"/>
        <s v="2024-10-31"/>
        <s v="2025-05-12"/>
        <s v="2022-01-25"/>
        <s v="2024-09-16"/>
        <s v="2023-04-02"/>
        <s v="2023-05-19"/>
        <s v="2025-05-26"/>
        <s v="2025-12-14"/>
        <s v="2022-02-01"/>
        <s v="2023-07-02"/>
        <s v="2022-11-10"/>
        <s v="2022-09-25"/>
        <s v="2025-04-24"/>
        <s v="2023-05-25"/>
        <s v="2023-11-26"/>
        <s v="2024-02-17"/>
        <s v="2025-10-15"/>
        <s v="2025-12-22"/>
        <s v="2022-09-01"/>
        <s v="2023-09-02"/>
        <s v="2023-12-23"/>
        <s v="2022-03-07"/>
        <s v="2024-11-05"/>
        <s v="2024-06-04"/>
        <s v="2025-09-18"/>
        <s v="2024-06-24"/>
        <s v="2024-08-07"/>
        <s v="2024-11-10"/>
        <s v="2025-09-06"/>
        <s v="2025-10-04"/>
        <s v="2024-12-12"/>
        <s v="2024-06-14"/>
        <s v="2023-02-21"/>
        <s v="2024-09-14"/>
        <s v="2024-02-09"/>
        <s v="2025-07-24"/>
        <s v="2024-05-10"/>
        <s v="2025-11-21"/>
        <s v="2023-08-12"/>
        <s v="2025-06-17"/>
        <s v="2022-10-18"/>
        <s v="2022-10-26"/>
        <s v="2025-01-29"/>
        <s v="2023-04-16"/>
        <s v="2023-10-19"/>
        <s v="2025-08-06"/>
        <s v="2024-06-02"/>
        <s v="2024-09-13"/>
        <s v="2022-08-23"/>
        <s v="2025-10-28"/>
        <s v="2025-09-27"/>
        <s v="2023-05-12"/>
        <s v="2023-12-19"/>
        <s v="2024-01-15"/>
        <s v="2024-11-16"/>
        <s v="2023-07-12"/>
        <s v="2023-04-24"/>
        <s v="2023-10-02"/>
        <s v="2024-10-28"/>
        <s v="2024-02-04"/>
        <s v="2022-07-18"/>
        <s v="2023-09-21"/>
        <s v="2023-01-11"/>
        <s v="2022-11-28"/>
        <s v="2022-11-11"/>
        <s v="2025-02-27"/>
        <s v="2022-10-29"/>
        <s v="2022-06-19"/>
        <s v="2022-06-29"/>
        <s v="2025-11-07"/>
        <s v="2023-04-29"/>
        <s v="2025-06-14"/>
        <s v="2023-03-20"/>
        <s v="2022-01-28"/>
        <s v="2023-07-06"/>
        <s v="2023-08-07"/>
        <s v="2024-05-11"/>
        <s v="2025-03-24"/>
        <s v="2024-11-30"/>
        <s v="2023-06-02"/>
        <s v="2023-07-13"/>
        <s v="2025-08-28"/>
        <s v="2025-12-13"/>
        <s v="2024-09-22"/>
        <s v="2025-08-22"/>
        <s v="2023-12-07"/>
        <s v="2022-04-23"/>
        <s v="2023-05-26"/>
        <s v="2023-09-03"/>
        <s v="2024-06-27"/>
        <s v="2023-10-21"/>
        <s v="2022-11-08"/>
        <s v="2024-07-08"/>
        <s v="2025-08-08"/>
        <s v="2022-07-19"/>
        <s v="2025-04-17"/>
        <s v="2023-11-28"/>
        <s v="2025-12-29"/>
        <s v="2025-01-04"/>
        <s v="2023-04-09"/>
        <s v="2024-12-24"/>
        <s v="2023-05-01"/>
        <s v="2023-02-20"/>
        <s v="2024-03-26"/>
        <s v="2022-09-02"/>
        <s v="2025-12-18"/>
        <s v="2024-07-23"/>
        <s v="2024-09-09"/>
        <s v="2025-05-20"/>
        <s v="2023-02-16"/>
        <s v="2024-12-05"/>
        <s v="2025-04-06"/>
        <s v="2023-10-22"/>
        <s v="2022-07-22"/>
        <s v="2024-04-19"/>
        <s v="2025-03-31"/>
        <s v="2022-03-29"/>
        <s v="2023-02-07"/>
        <s v="2023-08-09"/>
        <s v="2024-08-29"/>
        <s v="2023-09-29"/>
        <s v="2024-08-22"/>
        <s v="2023-12-01"/>
        <s v="2025-11-10"/>
        <s v="2025-07-07"/>
        <s v="2025-02-26"/>
        <s v="2023-03-11"/>
        <s v="2022-02-22"/>
        <s v="2025-03-08"/>
        <s v="2023-08-11"/>
        <s v="2025-01-10"/>
        <s v="2024-01-30"/>
        <s v="2022-04-30"/>
        <s v="2022-12-14"/>
        <s v="2023-06-06"/>
        <s v="2023-01-06"/>
        <s v="2023-06-28"/>
        <s v="2022-10-03"/>
        <s v="2022-05-18"/>
        <s v="2023-07-19"/>
        <s v="2022-01-05"/>
        <s v="2024-04-09"/>
        <s v="2023-04-14"/>
        <s v="2023-03-01"/>
        <s v="2025-02-12"/>
        <s v="2024-06-07"/>
        <s v="2025-03-09"/>
        <s v="2025-01-27"/>
        <s v="2024-12-28"/>
        <s v="2022-08-31"/>
        <s v="2023-06-03"/>
        <s v="2022-10-07"/>
        <s v="2023-09-23"/>
        <s v="2022-06-24"/>
        <s v="2022-05-26"/>
        <s v="2025-11-02"/>
        <s v="2025-03-05"/>
        <s v="2023-04-27"/>
        <s v="2025-06-08"/>
        <s v="2025-04-03"/>
        <s v="2022-01-11"/>
        <s v="2024-09-20"/>
        <s v="2025-07-13"/>
        <s v="2024-06-28"/>
        <s v="2023-04-03"/>
        <s v="2025-09-21"/>
        <s v="2022-11-30"/>
        <s v="2025-04-16"/>
        <s v="2023-01-26"/>
        <s v="2025-07-01"/>
        <s v="2022-11-03"/>
        <s v="2022-02-10"/>
        <s v="2023-11-09"/>
        <s v="2023-08-27"/>
        <s v="2024-07-05"/>
        <s v="2025-06-21"/>
        <s v="2024-07-03"/>
        <s v="2025-09-19"/>
        <s v="2022-04-14"/>
        <s v="2024-02-12"/>
        <s v="2023-09-24"/>
        <s v="2023-05-08"/>
        <s v="2024-09-29"/>
        <s v="2025-08-12"/>
        <s v="2024-05-05"/>
        <s v="2025-02-09"/>
        <s v="2024-06-10"/>
        <s v="2025-01-25"/>
        <s v="2022-04-22"/>
        <s v="2023-04-06"/>
        <s v="2025-04-02"/>
        <s v="2022-05-27"/>
        <s v="2024-03-31"/>
        <s v="2025-06-13"/>
        <s v="2023-03-14"/>
        <s v="2025-05-25"/>
        <s v="2024-02-06"/>
        <s v="2024-01-26"/>
        <s v="2024-02-25"/>
        <s v="2022-12-01"/>
        <s v="2025-06-11"/>
        <s v="2023-07-07"/>
        <s v="2024-03-17"/>
        <s v="2022-11-14"/>
        <s v="2023-05-13"/>
        <s v="2023-12-20"/>
        <s v="2023-08-23"/>
        <s v="2022-08-12"/>
        <s v="2023-12-26"/>
        <s v="2022-03-18"/>
        <s v="2024-02-24"/>
        <s v="2025-12-26"/>
        <s v="2023-03-04"/>
        <s v="2025-12-08"/>
        <s v="2024-05-22"/>
        <s v="2025-06-25"/>
        <s v="2024-05-06"/>
        <s v="2024-08-23"/>
        <s v="2022-02-13"/>
        <s v="2024-05-27"/>
        <s v="2023-03-25"/>
        <s v="2023-06-22"/>
        <s v="2025-05-04"/>
        <s v="2022-10-12"/>
        <s v="2025-04-15"/>
        <s v="2024-06-19"/>
        <s v="2024-02-02"/>
        <s v="2022-11-24"/>
        <s v="2022-02-04"/>
        <s v="2023-08-30"/>
        <s v="2022-08-05"/>
        <s v="2022-01-07"/>
        <s v="2023-01-21"/>
        <s v="2023-07-27"/>
        <s v="2022-08-29"/>
        <s v="2025-12-10"/>
        <s v="2023-11-23"/>
        <s v="2022-03-02"/>
        <s v="2022-08-26"/>
        <s v="2023-02-11"/>
        <s v="2022-01-06"/>
        <s v="2025-04-07"/>
        <s v="2023-11-27"/>
        <s v="2023-07-31"/>
        <s v="2023-10-24"/>
        <s v="2023-06-15"/>
        <s v="2022-10-08"/>
        <s v="2023-11-03"/>
        <s v="2023-09-08"/>
        <s v="2025-10-18"/>
        <s v="2025-03-28"/>
        <s v="2022-09-19"/>
        <s v="2024-01-17"/>
        <s v="2022-07-11"/>
        <s v="2022-06-23"/>
        <s v="2023-11-18"/>
        <s v="2022-08-27"/>
        <s v="2023-10-25"/>
        <s v="2025-07-27"/>
        <s v="2024-10-20"/>
        <s v="2024-03-29"/>
        <s v="2023-04-28"/>
        <s v="2024-05-14"/>
        <s v="2024-10-25"/>
        <s v="2025-08-04"/>
        <s v="2022-07-06"/>
        <s v="2024-04-16"/>
        <s v="2024-04-08"/>
        <s v="2025-08-11"/>
        <s v="2022-06-20"/>
        <s v="2023-10-09"/>
        <s v="2022-07-16"/>
        <s v="2024-11-04"/>
        <s v="2023-12-06"/>
        <s v="2022-09-13"/>
        <s v="2025-11-27"/>
        <s v="2022-09-28"/>
        <s v="2023-07-24"/>
        <s v="2022-04-07"/>
        <s v="2023-06-11"/>
        <s v="2024-01-05"/>
        <s v="2023-02-23"/>
        <s v="2025-01-20"/>
        <s v="2023-08-28"/>
        <s v="2024-04-02"/>
        <s v="2023-05-16"/>
        <s v="2022-05-14"/>
        <s v="2022-05-09"/>
        <s v="2025-08-14"/>
        <s v="2025-01-31"/>
        <s v="2023-03-06"/>
        <s v="2022-05-11"/>
        <s v="2022-01-15"/>
        <s v="2022-07-03"/>
        <s v="2024-11-14"/>
        <s v="2025-09-05"/>
        <s v="2022-03-12"/>
        <s v="2022-07-02"/>
        <s v="2024-10-11"/>
        <s v="2025-02-10"/>
        <s v="2022-12-16"/>
        <s v="2025-07-25"/>
        <s v="2023-08-10"/>
        <s v="2024-03-08"/>
        <s v="2025-08-13"/>
        <s v="2025-07-23"/>
        <s v="2022-06-22"/>
        <s v="2023-02-06"/>
        <s v="2023-04-18"/>
        <s v="2025-08-29"/>
        <s v="2022-11-01"/>
        <s v="2025-02-07"/>
        <s v="2025-07-12"/>
        <s v="2022-04-11"/>
        <s v="2024-08-25"/>
        <s v="2022-11-20"/>
        <s v="2022-02-06"/>
        <s v="2025-02-25"/>
        <s v="2025-06-18"/>
        <s v="2025-12-07"/>
        <s v="2023-12-18"/>
        <s v="2022-07-23"/>
        <s v="2022-02-05"/>
        <s v="2023-07-04"/>
        <s v="2023-08-03"/>
        <s v="2022-06-11"/>
        <s v="2022-09-08"/>
        <s v="2022-11-04"/>
        <s v="2023-06-29"/>
        <s v="2022-07-14"/>
        <s v="2024-08-01"/>
        <s v="2023-02-15"/>
        <s v="2024-10-17"/>
        <s v="2023-05-22"/>
        <s v="2023-12-29"/>
        <s v="2024-11-20"/>
        <s v="2025-12-24"/>
        <s v="2024-09-27"/>
        <s v="2024-06-18"/>
        <s v="2025-03-07"/>
        <s v="2025-03-29"/>
        <s v="2025-09-22"/>
        <s v="2022-12-25"/>
        <s v="2024-01-03"/>
        <s v="2025-02-19"/>
        <s v="2022-05-31"/>
        <s v="2025-04-23"/>
        <s v="2023-04-11"/>
        <s v="2023-03-27"/>
        <s v="2022-03-24"/>
        <s v="2025-06-09"/>
        <s v="2025-05-30"/>
        <s v="2023-10-03"/>
        <s v="2022-07-15"/>
        <s v="2024-11-13"/>
        <s v="2023-06-13"/>
        <s v="2022-08-15"/>
        <s v="2024-02-10"/>
        <s v="2024-01-25"/>
        <s v="2024-11-27"/>
        <s v="2024-11-02"/>
        <s v="2022-06-21"/>
        <s v="2025-02-01"/>
        <s v="2023-11-15"/>
        <s v="2024-07-20"/>
        <s v="2023-02-04"/>
        <s v="2025-09-11"/>
        <s v="2024-12-29"/>
        <s v="2022-02-16"/>
        <s v="2023-10-07"/>
        <s v="2023-08-25"/>
        <s v="2024-12-25"/>
        <s v="2025-10-20"/>
        <s v="2023-03-12"/>
        <s v="2025-08-31"/>
        <s v="2023-07-28"/>
        <s v="2023-09-09"/>
        <s v="2025-05-16"/>
        <s v="2025-04-26"/>
        <s v="2025-09-15"/>
        <s v="2023-12-11"/>
        <s v="2023-05-24"/>
        <s v="2024-02-22"/>
        <s v="2025-08-25"/>
        <s v="2023-01-08"/>
        <s v="2025-05-19"/>
        <s v="2025-01-22"/>
        <s v="2023-07-21"/>
        <s v="2022-02-25"/>
        <s v="2024-03-05"/>
        <s v="2023-02-13"/>
        <s v="2025-06-04"/>
        <s v="2022-11-22"/>
        <s v="2025-11-12"/>
        <s v="2022-07-21"/>
        <s v="2022-09-10"/>
        <s v="2025-07-15"/>
        <s v="2025-10-02"/>
        <s v="2022-09-21"/>
        <s v="2023-02-01"/>
        <s v="2024-10-16"/>
        <s v="2023-06-26"/>
        <s v="2024-05-15"/>
        <s v="2024-03-11"/>
        <s v="2024-10-07"/>
        <s v="2024-02-11"/>
        <s v="2025-04-28"/>
        <s v="2023-12-02"/>
        <s v="2022-12-17"/>
        <s v="2024-01-10"/>
        <s v="2023-03-05"/>
        <s v="2025-07-11"/>
        <s v="2024-07-07"/>
        <s v="2024-09-05"/>
        <s v="2022-11-26"/>
        <s v="2024-03-21"/>
        <s v="2023-09-16"/>
        <s v="2023-05-23"/>
        <s v="2024-01-27"/>
        <s v="2025-09-23"/>
        <s v="2023-02-12"/>
        <s v="2025-02-05"/>
        <s v="2023-11-13"/>
        <s v="2025-08-18"/>
        <s v="2024-07-17"/>
        <s v="2025-05-17"/>
        <s v="2025-08-07"/>
        <s v="2024-10-12"/>
        <s v="2024-01-16"/>
        <s v="2023-11-07"/>
        <s v="2023-02-19"/>
        <s v="2025-11-29"/>
        <s v="2024-05-12"/>
        <s v="2025-04-18"/>
        <s v="2023-07-01"/>
        <s v="2025-11-19"/>
        <s v="2025-05-22"/>
        <s v="2022-02-09"/>
        <s v="2025-11-13"/>
        <s v="2024-01-20"/>
        <s v="2023-06-04"/>
        <s v="2025-03-21"/>
        <s v="2025-07-03"/>
        <s v="2024-07-12"/>
        <s v="2025-08-09"/>
        <s v="2024-03-03"/>
        <s v="2023-01-28"/>
        <s v="2025-09-17"/>
        <s v="2022-12-06"/>
        <s v="2024-05-21"/>
        <s v="2023-08-16"/>
        <s v="2024-09-15"/>
        <s v="2023-01-14"/>
        <s v="2024-10-23"/>
        <s v="2023-04-25"/>
        <s v="2024-07-22"/>
        <s v="2022-08-16"/>
        <s v="2023-02-25"/>
        <s v="2023-01-24"/>
        <s v="2023-08-13"/>
        <s v="2025-10-16"/>
        <s v="2025-07-10"/>
        <s v="2023-12-27"/>
        <s v="2024-04-28"/>
        <s v="2023-05-06"/>
        <s v="2022-04-06"/>
        <s v="2025-05-29"/>
        <s v="2022-02-17"/>
        <s v="2024-10-19"/>
        <s v="2023-03-24"/>
        <s v="2022-09-04"/>
        <s v="2025-06-07"/>
        <s v="2022-01-31"/>
        <s v="2024-10-21"/>
        <s v="2025-09-16"/>
        <s v="2025-08-23"/>
        <s v="2025-05-21"/>
        <s v="2024-03-25"/>
        <s v="2023-09-06"/>
        <s v="2025-11-09"/>
        <s v="2023-01-12"/>
        <s v="2024-01-14"/>
        <s v="2025-07-04"/>
        <s v="2024-07-14"/>
        <s v="2024-08-30"/>
        <s v="2025-02-02"/>
        <s v="2024-03-23"/>
        <s v="2023-07-20"/>
        <s v="2023-08-14"/>
        <s v="2023-02-02"/>
        <s v="2025-06-23"/>
        <s v="2025-05-01"/>
        <s v="2023-05-11"/>
        <s v="2025-12-28"/>
        <s v="2025-01-11"/>
        <s v="2022-12-03"/>
        <s v="2023-04-21"/>
        <s v="2025-11-03"/>
        <s v="2024-06-30"/>
        <s v="2024-07-24"/>
        <s v="2024-12-26"/>
        <s v="2025-12-20"/>
        <s v="2025-01-17"/>
        <s v="2022-04-10"/>
        <s v="2024-07-25"/>
        <s v="2023-10-30"/>
        <s v="2022-08-22"/>
        <s v="2022-05-10"/>
        <s v="2025-11-26"/>
        <s v="2024-10-29"/>
        <s v="2022-09-24"/>
        <s v="2024-10-02"/>
        <s v="2023-05-09"/>
        <s v="2025-01-06"/>
        <s v="2025-05-10"/>
        <s v="2024-09-17"/>
        <s v="2024-08-15"/>
        <s v="2022-07-31"/>
        <s v="2024-01-06"/>
        <s v="2024-09-30"/>
        <s v="2022-10-01"/>
        <s v="2025-04-10"/>
        <s v="2025-03-03"/>
        <s v="2024-03-07"/>
        <s v="2023-05-28"/>
        <s v="2022-11-07"/>
        <s v="2025-10-23"/>
        <s v="2023-01-10"/>
        <s v="2024-04-11"/>
        <s v="2022-07-24"/>
        <s v="2025-10-31"/>
        <s v="2024-08-08"/>
        <s v="2024-06-23"/>
        <s v="2022-04-05"/>
        <s v="2024-12-21"/>
        <s v="2024-04-26"/>
        <s v="2025-01-26"/>
        <s v="2023-08-04"/>
        <s v="2025-01-28"/>
        <s v="2023-06-01"/>
        <s v="2022-06-27"/>
        <s v="2023-09-01"/>
        <s v="2023-10-11"/>
        <s v="2024-09-21"/>
        <s v="2022-10-06"/>
        <s v="2023-01-09"/>
        <s v="2022-03-17"/>
        <s v="2023-04-08"/>
        <s v="2024-01-19"/>
        <s v="2023-11-06"/>
        <s v="2022-10-25"/>
        <s v="2023-01-22"/>
        <s v="2025-07-26"/>
        <s v="2024-12-22"/>
        <s v="2024-07-29"/>
        <s v="2025-12-05"/>
        <s v="2024-08-17"/>
        <s v="2023-08-15"/>
        <s v="2023-09-07"/>
        <s v="2023-05-21"/>
        <s v="2025-10-07"/>
        <s v="2025-11-22"/>
        <s v="2022-08-17"/>
        <s v="2023-01-13"/>
        <s v="2024-04-03"/>
        <s v="2022-12-27"/>
        <s v="2024-03-19"/>
        <s v="2022-03-21"/>
        <s v="2023-08-17"/>
        <s v="2023-08-06"/>
        <s v="2022-08-30"/>
        <s v="2024-11-19"/>
        <s v="2025-06-28"/>
        <s v="2025-02-13"/>
        <s v="2025-09-12"/>
        <s v="2023-12-08"/>
        <s v="2023-11-24"/>
        <s v="2025-10-26"/>
        <s v="2025-07-30"/>
        <s v="2024-04-25"/>
        <s v="2022-12-02"/>
        <s v="2024-08-12"/>
        <s v="2024-04-20"/>
        <s v="2024-02-18"/>
        <s v="2022-03-19"/>
        <s v="2024-04-07"/>
        <s v="2023-11-29"/>
        <s v="2023-10-06"/>
        <s v="2023-01-17"/>
        <s v="2024-09-02"/>
        <s v="2025-02-08"/>
        <s v="2022-12-26"/>
        <s v="2025-05-05"/>
        <s v="2025-04-20"/>
        <s v="2024-10-30"/>
        <s v="2025-03-25"/>
        <s v="2023-11-17"/>
        <s v="2025-10-22"/>
        <s v="2024-11-08"/>
        <s v="2023-09-10"/>
        <s v="2025-01-12"/>
        <s v="2024-07-01"/>
        <s v="2023-10-26"/>
        <s v="2024-05-19"/>
        <s v="2024-05-28"/>
        <s v="2025-09-07"/>
        <s v="2022-07-10"/>
        <s v="2023-12-09"/>
        <s v="2022-01-10"/>
        <s v="2024-01-09"/>
        <s v="2022-01-22"/>
        <s v="2024-07-02"/>
        <s v="2023-12-14"/>
        <s v="2025-10-29"/>
        <s v="2022-10-10"/>
        <s v="2024-08-14"/>
        <s v="2024-12-11"/>
        <s v="2022-07-27"/>
        <s v="2025-08-21"/>
        <s v="2023-07-29"/>
        <s v="2024-10-13"/>
        <s v="2025-06-30"/>
        <s v="2023-11-14"/>
        <s v="2022-09-26"/>
        <s v="2022-06-12"/>
        <s v="2022-11-17"/>
        <s v="2025-04-11"/>
        <s v="2025-03-11"/>
        <s v="2024-11-01"/>
        <s v="2025-01-30"/>
        <s v="2022-04-04"/>
        <s v="2023-08-05"/>
        <s v="2025-05-24"/>
        <s v="2024-05-02"/>
        <s v="2022-12-10"/>
        <s v="2023-09-20"/>
        <s v="2024-09-28"/>
        <s v="2025-01-13"/>
        <s v="2024-02-01"/>
        <s v="2022-01-16"/>
        <s v="2023-12-05"/>
        <s v="2022-02-12"/>
        <s v="2025-01-14"/>
        <s v="2025-08-24"/>
        <s v="2025-04-05"/>
        <s v="2024-12-18"/>
        <s v="2023-04-19"/>
        <s v="2024-01-11"/>
        <s v="2022-05-25"/>
        <s v="2023-06-20"/>
        <s v="2025-11-23"/>
        <s v="2025-07-05"/>
        <s v="2023-07-17"/>
        <s v="2022-12-11"/>
        <s v="2023-06-24"/>
        <s v="2025-12-12"/>
        <s v="2023-12-15"/>
        <s v="2022-08-11"/>
        <s v="2022-02-07"/>
        <s v="2023-05-17"/>
        <s v="2025-04-25"/>
        <s v="2023-02-17"/>
        <s v="2024-07-13"/>
        <s v="2025-07-21"/>
        <s v="2023-12-16"/>
        <s v="2025-12-11"/>
        <s v="2022-09-11"/>
        <s v="2022-03-25"/>
        <s v="2022-12-24"/>
        <s v="2023-01-31"/>
        <s v="2023-04-12"/>
        <s v="2022-11-16"/>
        <s v="2025-11-11"/>
        <s v="2023-06-30"/>
        <s v="2024-03-04"/>
        <s v="2022-12-08"/>
        <s v="2024-02-05"/>
        <s v="2025-07-20"/>
        <s v="2023-05-05"/>
        <s v="2025-10-19"/>
        <s v="2023-11-12"/>
        <s v="2022-06-13"/>
        <s v="2024-07-26"/>
        <s v="2022-04-12"/>
        <s v="2025-03-10"/>
        <s v="2022-12-31"/>
        <s v="2025-10-10"/>
        <s v="2023-04-23"/>
        <s v="2023-06-10"/>
        <s v="2022-08-08"/>
        <s v="2025-03-17"/>
        <s v="2023-01-05"/>
        <s v="2023-06-25"/>
        <s v="2025-09-04"/>
        <s v="2025-05-27"/>
        <s v="2024-01-31"/>
        <s v="2022-07-01"/>
        <s v="2022-11-18"/>
        <s v="2023-09-26"/>
        <s v="2022-10-09"/>
        <s v="2025-09-13"/>
        <s v="2024-09-08"/>
        <s v="2024-11-12"/>
        <s v="2024-12-13"/>
        <s v="2025-10-17"/>
        <s v="2024-10-22"/>
        <s v="2023-10-27"/>
        <s v="2025-05-07"/>
        <s v="2024-03-28"/>
        <s v="2022-04-29"/>
        <s v="2022-05-23"/>
        <s v="2023-09-18"/>
        <s v="2025-07-29"/>
        <s v="2023-04-22"/>
        <s v="2025-10-03"/>
        <s v="2025-11-16"/>
        <s v="2024-03-14"/>
        <s v="2023-06-23"/>
        <s v="2023-05-10"/>
        <s v="2024-06-16"/>
        <s v="2022-05-13"/>
        <s v="2024-08-21"/>
        <s v="2025-01-09"/>
        <s v="2025-07-02"/>
        <s v="2025-06-22"/>
        <s v="2023-09-15"/>
        <s v="2022-01-01"/>
        <s v="2022-09-15"/>
        <s v="2024-11-25"/>
        <s v="2023-12-31"/>
        <s v="2025-06-10"/>
        <s v="2024-05-20"/>
        <s v="2022-12-05"/>
        <s v="2024-05-08"/>
        <s v="2024-12-27"/>
        <s v="2023-01-25"/>
        <s v="2023-08-31"/>
        <s v="2025-06-05"/>
        <s v="2022-04-01"/>
        <s v="2025-08-16"/>
        <s v="2025-08-15"/>
        <s v="2024-07-06"/>
        <s v="2025-04-30"/>
        <s v="2023-03-31"/>
        <s v="2022-03-14"/>
        <s v="2023-10-05"/>
        <s v="2025-07-16"/>
        <s v="2024-06-03"/>
        <s v="2025-12-23"/>
        <s v="2024-02-26"/>
        <s v="2025-10-13"/>
        <s v="2023-11-20"/>
        <s v="2022-10-02"/>
        <s v="2025-05-02"/>
        <s v="2023-04-15"/>
        <s v="2024-10-04"/>
        <s v="2022-09-29"/>
        <s v="2024-08-06"/>
        <s v="2025-11-28"/>
        <s v="2023-03-21"/>
        <s v="2022-10-16"/>
        <s v="2023-03-30"/>
        <s v="2024-05-31"/>
        <s v="2022-06-14"/>
        <s v="2024-11-23"/>
        <s v="2024-08-20"/>
        <s v="2024-04-13"/>
        <s v="2023-06-14"/>
        <s v="2023-01-19"/>
        <s v="2023-07-10"/>
        <s v="2023-11-08"/>
        <s v="2025-03-14"/>
        <s v="2022-08-10"/>
        <s v="2025-12-04"/>
        <s v="2022-06-04"/>
        <s v="2023-12-10"/>
        <s v="2023-07-08"/>
        <s v="2022-01-12"/>
        <s v="2025-01-08"/>
        <s v="2024-07-31"/>
        <s v="2024-11-29"/>
        <s v="2022-12-21"/>
        <s v="2024-10-10"/>
        <s v="2022-10-14"/>
        <s v="2022-12-07"/>
        <s v="2024-08-11"/>
        <s v="2022-06-25"/>
        <s v="2025-10-06"/>
        <s v="2025-07-14"/>
        <s v="2024-09-03"/>
        <s v="2023-05-14"/>
        <s v="2025-05-31"/>
        <s v="2025-12-03"/>
        <s v="2024-03-15"/>
        <s v="2022-03-23"/>
        <s v="2024-08-13"/>
        <s v="2022-02-21"/>
        <s v="2025-08-20"/>
        <s v="2024-03-27"/>
        <s v="2025-02-14"/>
        <s v="2024-05-25"/>
        <s v="2022-09-06"/>
        <s v="2022-04-24"/>
        <s v="2024-09-01"/>
        <s v="2024-05-16"/>
        <s v="2024-09-10"/>
        <s v="2023-01-04"/>
        <s v="2023-07-30"/>
        <s v="2022-11-19"/>
        <s v="2023-04-13"/>
        <s v="2025-02-04"/>
        <s v="2023-08-20"/>
        <s v="2025-10-09"/>
        <s v="2024-07-11"/>
        <s v="2022-03-30"/>
        <s v="2025-08-19"/>
        <s v="2024-12-08"/>
        <s v="2022-06-10"/>
        <s v="2025-08-30"/>
        <s v="2025-11-30"/>
        <s v="2024-01-21"/>
        <s v="2022-10-11"/>
        <s v="2022-08-19"/>
        <s v="2023-06-07"/>
        <s v="2022-05-22"/>
        <s v="2024-09-25"/>
        <s v="2023-03-10"/>
        <s v="2025-05-28"/>
        <s v="2024-03-01"/>
        <s v="2024-11-17"/>
        <s v="2023-05-07"/>
        <s v="2023-09-12"/>
        <s v="2024-04-10"/>
        <s v="2025-10-27"/>
        <s v="2023-09-25"/>
        <s v="2024-12-23"/>
        <s v="2023-05-15"/>
        <s v="2025-06-16"/>
        <s v="2022-03-10"/>
        <s v="2024-08-28"/>
        <s v="2023-06-18"/>
        <s v="2024-11-21"/>
        <s v="2025-09-08"/>
        <s v="2025-02-11"/>
        <s v="2025-07-22"/>
        <s v="2022-09-14"/>
        <s v="2023-09-17"/>
        <s v="2025-02-22"/>
        <s v="2025-04-13"/>
        <s v="2024-08-04"/>
        <s v="2022-04-20"/>
        <s v="2025-11-06"/>
        <s v="2024-12-17"/>
        <s v="2023-08-24"/>
        <s v="2025-08-10"/>
        <s v="2023-09-11"/>
        <s v="2023-10-12"/>
        <s v="2024-04-21"/>
        <s v="2023-03-13"/>
        <s v="2023-10-23"/>
        <s v="2024-11-06"/>
        <s v="2023-05-20"/>
        <s v="2025-10-05"/>
        <s v="2022-08-06"/>
      </sharedItems>
    </cacheField>
    <cacheField name="Approval_Status" numFmtId="0">
      <sharedItems/>
    </cacheField>
    <cacheField name="Default_Status" numFmtId="0">
      <sharedItems/>
    </cacheField>
    <cacheField name="Region" numFmtId="0">
      <sharedItems count="5">
        <s v="South"/>
        <s v="Central"/>
        <s v="West"/>
        <s v="East"/>
        <s v="North"/>
      </sharedItems>
    </cacheField>
    <cacheField name="Monthly_Installment" numFmtId="0">
      <sharedItems containsSemiMixedTypes="0" containsString="0" containsNumber="1" minValue="17.940000000000001" maxValue="10142.040000000001" count="1996">
        <n v="223.63"/>
        <n v="6426.77"/>
        <n v="30.64"/>
        <n v="1046.06"/>
        <n v="497.2"/>
        <n v="244.54"/>
        <n v="1594.05"/>
        <n v="492.47"/>
        <n v="894.78"/>
        <n v="121.24"/>
        <n v="1084.46"/>
        <n v="7259.74"/>
        <n v="544.08000000000004"/>
        <n v="1830.74"/>
        <n v="4763.82"/>
        <n v="2848.44"/>
        <n v="5392.59"/>
        <n v="21.81"/>
        <n v="114.74"/>
        <n v="7031.84"/>
        <n v="1747.02"/>
        <n v="603.08000000000004"/>
        <n v="2365.83"/>
        <n v="348.34"/>
        <n v="5572.63"/>
        <n v="952.53"/>
        <n v="223.29"/>
        <n v="240.43"/>
        <n v="1582.91"/>
        <n v="220.94"/>
        <n v="3276.58"/>
        <n v="307.45"/>
        <n v="1053.3499999999999"/>
        <n v="407.94"/>
        <n v="271.75"/>
        <n v="51.94"/>
        <n v="426.2"/>
        <n v="4623.1099999999997"/>
        <n v="94.35"/>
        <n v="419.44"/>
        <n v="1895.59"/>
        <n v="900.79"/>
        <n v="399.5"/>
        <n v="227.31"/>
        <n v="1539.52"/>
        <n v="5327.28"/>
        <n v="411.16"/>
        <n v="169.1"/>
        <n v="1645.22"/>
        <n v="602.94000000000005"/>
        <n v="1846.43"/>
        <n v="117.32"/>
        <n v="3881.73"/>
        <n v="591.52"/>
        <n v="2845.15"/>
        <n v="741.69"/>
        <n v="691.63"/>
        <n v="21.35"/>
        <n v="1239.53"/>
        <n v="189.89"/>
        <n v="239.62"/>
        <n v="606.76"/>
        <n v="1235.51"/>
        <n v="356.44"/>
        <n v="968.11"/>
        <n v="1603.94"/>
        <n v="2151.56"/>
        <n v="742.22"/>
        <n v="204.24"/>
        <n v="6333.71"/>
        <n v="6972.58"/>
        <n v="1772.93"/>
        <n v="197.79"/>
        <n v="724.77"/>
        <n v="229.75"/>
        <n v="5666.39"/>
        <n v="3131.1"/>
        <n v="3067.43"/>
        <n v="2551.19"/>
        <n v="3326.02"/>
        <n v="228.67"/>
        <n v="1873.49"/>
        <n v="719.72"/>
        <n v="166.52"/>
        <n v="282"/>
        <n v="2359.67"/>
        <n v="1677.45"/>
        <n v="1643.44"/>
        <n v="519.34"/>
        <n v="413.67"/>
        <n v="741.84"/>
        <n v="635.67999999999995"/>
        <n v="618.82000000000005"/>
        <n v="2924.87"/>
        <n v="451.1"/>
        <n v="212.25"/>
        <n v="108.32"/>
        <n v="939.86"/>
        <n v="730.31"/>
        <n v="235.36"/>
        <n v="4416.96"/>
        <n v="1678.09"/>
        <n v="186.53"/>
        <n v="489.97"/>
        <n v="375.29"/>
        <n v="257.97000000000003"/>
        <n v="2697.12"/>
        <n v="1628.14"/>
        <n v="444.7"/>
        <n v="2827.6"/>
        <n v="1221.54"/>
        <n v="1992.17"/>
        <n v="567.79"/>
        <n v="437.01"/>
        <n v="456.05"/>
        <n v="1153.05"/>
        <n v="2769.41"/>
        <n v="417.3"/>
        <n v="440.73"/>
        <n v="2842.2"/>
        <n v="1209.27"/>
        <n v="392.89"/>
        <n v="387.76"/>
        <n v="657.19"/>
        <n v="159.04"/>
        <n v="834.84"/>
        <n v="1957.65"/>
        <n v="195.62"/>
        <n v="906.77"/>
        <n v="330.81"/>
        <n v="244.26"/>
        <n v="180.63"/>
        <n v="1086.55"/>
        <n v="40.299999999999997"/>
        <n v="241.81"/>
        <n v="993.62"/>
        <n v="145.53"/>
        <n v="1604"/>
        <n v="262.55"/>
        <n v="933.13"/>
        <n v="1887.31"/>
        <n v="615.30999999999995"/>
        <n v="275.91000000000003"/>
        <n v="2182.4499999999998"/>
        <n v="5948.42"/>
        <n v="1418.33"/>
        <n v="465.57"/>
        <n v="3644.31"/>
        <n v="86.74"/>
        <n v="6468.09"/>
        <n v="549.16999999999996"/>
        <n v="599.11"/>
        <n v="394.68"/>
        <n v="1798.92"/>
        <n v="482.68"/>
        <n v="591.86"/>
        <n v="515.54"/>
        <n v="465.29"/>
        <n v="2897.7"/>
        <n v="1586.02"/>
        <n v="277.92"/>
        <n v="1119.57"/>
        <n v="513.6"/>
        <n v="1385.78"/>
        <n v="449.32"/>
        <n v="298.73"/>
        <n v="84"/>
        <n v="866.22"/>
        <n v="63.77"/>
        <n v="243.4"/>
        <n v="126.98"/>
        <n v="288.95"/>
        <n v="23.34"/>
        <n v="321.13"/>
        <n v="441.74"/>
        <n v="2147.39"/>
        <n v="918.95"/>
        <n v="150.26"/>
        <n v="604.82000000000005"/>
        <n v="299.52999999999997"/>
        <n v="1741.6"/>
        <n v="352.64"/>
        <n v="1948.81"/>
        <n v="1863.78"/>
        <n v="2445.21"/>
        <n v="467.94"/>
        <n v="91.1"/>
        <n v="6904.31"/>
        <n v="2022.95"/>
        <n v="183.37"/>
        <n v="294.36"/>
        <n v="4668.07"/>
        <n v="270.82"/>
        <n v="1619.88"/>
        <n v="226.03"/>
        <n v="2484.27"/>
        <n v="169.59"/>
        <n v="231.54"/>
        <n v="2263.04"/>
        <n v="347.64"/>
        <n v="1674.17"/>
        <n v="4061.39"/>
        <n v="43.38"/>
        <n v="69.739999999999995"/>
        <n v="126.02"/>
        <n v="1800.97"/>
        <n v="452.91"/>
        <n v="2314.0100000000002"/>
        <n v="1041.04"/>
        <n v="539.85"/>
        <n v="3440.46"/>
        <n v="166.82"/>
        <n v="650.91"/>
        <n v="136.16999999999999"/>
        <n v="158.96"/>
        <n v="639.19000000000005"/>
        <n v="1770.31"/>
        <n v="2133.29"/>
        <n v="1025.3"/>
        <n v="2592.65"/>
        <n v="110.68"/>
        <n v="2316.11"/>
        <n v="447.25"/>
        <n v="461.48"/>
        <n v="558.66999999999996"/>
        <n v="132.88"/>
        <n v="1057.3599999999999"/>
        <n v="1588.28"/>
        <n v="717.82"/>
        <n v="254.14"/>
        <n v="120.12"/>
        <n v="353.32"/>
        <n v="1339.78"/>
        <n v="628.63"/>
        <n v="1022.61"/>
        <n v="780.36"/>
        <n v="7021.14"/>
        <n v="1341.95"/>
        <n v="157.88999999999999"/>
        <n v="1779.73"/>
        <n v="1817.39"/>
        <n v="286.55"/>
        <n v="100.74"/>
        <n v="2300.7800000000002"/>
        <n v="4722.03"/>
        <n v="117.48"/>
        <n v="587.24"/>
        <n v="1637.31"/>
        <n v="3301.14"/>
        <n v="488.96"/>
        <n v="298.31"/>
        <n v="435.76"/>
        <n v="349.22"/>
        <n v="1601.75"/>
        <n v="860.44"/>
        <n v="94.77"/>
        <n v="181.15"/>
        <n v="588.49"/>
        <n v="235.76"/>
        <n v="203.84"/>
        <n v="262.44"/>
        <n v="437.42"/>
        <n v="230.17"/>
        <n v="1715.72"/>
        <n v="367.22"/>
        <n v="546.42999999999995"/>
        <n v="1647.82"/>
        <n v="164.57"/>
        <n v="547.01"/>
        <n v="145.51"/>
        <n v="5012.58"/>
        <n v="7735.28"/>
        <n v="1297.3499999999999"/>
        <n v="1112.72"/>
        <n v="226.97"/>
        <n v="1697.67"/>
        <n v="888.77"/>
        <n v="971.52"/>
        <n v="1103.3599999999999"/>
        <n v="2125.75"/>
        <n v="406.01"/>
        <n v="74.680000000000007"/>
        <n v="5795.34"/>
        <n v="88.09"/>
        <n v="7992.99"/>
        <n v="348.11"/>
        <n v="56.1"/>
        <n v="450.13"/>
        <n v="655.9"/>
        <n v="4537.47"/>
        <n v="867.47"/>
        <n v="501.03"/>
        <n v="379.94"/>
        <n v="935.52"/>
        <n v="2022.76"/>
        <n v="82.97"/>
        <n v="394.97"/>
        <n v="1551.95"/>
        <n v="210.83"/>
        <n v="3017.16"/>
        <n v="5894.43"/>
        <n v="709.36"/>
        <n v="2630.43"/>
        <n v="924.4"/>
        <n v="2901.41"/>
        <n v="4477.84"/>
        <n v="2047.21"/>
        <n v="938.9"/>
        <n v="584.37"/>
        <n v="4199.55"/>
        <n v="171.96"/>
        <n v="238.96"/>
        <n v="736.2"/>
        <n v="1942"/>
        <n v="610.22"/>
        <n v="502.49"/>
        <n v="576.12"/>
        <n v="1391.22"/>
        <n v="501.3"/>
        <n v="351.18"/>
        <n v="8186.03"/>
        <n v="148.74"/>
        <n v="1047.25"/>
        <n v="4449.3900000000003"/>
        <n v="24.16"/>
        <n v="435.79"/>
        <n v="174.49"/>
        <n v="149.31"/>
        <n v="435.07"/>
        <n v="402.66"/>
        <n v="281.05"/>
        <n v="258.5"/>
        <n v="193.42"/>
        <n v="2325.71"/>
        <n v="428.92"/>
        <n v="4209.25"/>
        <n v="722.51"/>
        <n v="1004.38"/>
        <n v="2724.05"/>
        <n v="1200.71"/>
        <n v="648.41999999999996"/>
        <n v="58.97"/>
        <n v="21.31"/>
        <n v="250.09"/>
        <n v="272.04000000000002"/>
        <n v="4680.26"/>
        <n v="1598.49"/>
        <n v="1850.86"/>
        <n v="551.69000000000005"/>
        <n v="179.39"/>
        <n v="207.53"/>
        <n v="168.26"/>
        <n v="2524.7800000000002"/>
        <n v="321.39"/>
        <n v="406.18"/>
        <n v="1729.73"/>
        <n v="3961.19"/>
        <n v="294.52"/>
        <n v="941.19"/>
        <n v="448.7"/>
        <n v="1548.71"/>
        <n v="419.13"/>
        <n v="1242.52"/>
        <n v="184.93"/>
        <n v="2344.65"/>
        <n v="510.96"/>
        <n v="3544.23"/>
        <n v="2308.7399999999998"/>
        <n v="2751.95"/>
        <n v="928.61"/>
        <n v="1349.63"/>
        <n v="806.58"/>
        <n v="1091.48"/>
        <n v="517.69000000000005"/>
        <n v="276"/>
        <n v="2360.92"/>
        <n v="436.64"/>
        <n v="610.23"/>
        <n v="303.42"/>
        <n v="235.34"/>
        <n v="659.24"/>
        <n v="2633.02"/>
        <n v="136.6"/>
        <n v="128.53"/>
        <n v="1550.39"/>
        <n v="2333.59"/>
        <n v="617.29"/>
        <n v="127.11"/>
        <n v="241.31"/>
        <n v="79.94"/>
        <n v="1968.56"/>
        <n v="725.01"/>
        <n v="189.43"/>
        <n v="1175.03"/>
        <n v="301.29000000000002"/>
        <n v="328.97"/>
        <n v="175.97"/>
        <n v="176.12"/>
        <n v="470.41"/>
        <n v="734.58"/>
        <n v="1000.01"/>
        <n v="1450.37"/>
        <n v="307.91000000000003"/>
        <n v="179.67"/>
        <n v="63.54"/>
        <n v="453.46"/>
        <n v="795.38"/>
        <n v="1767.23"/>
        <n v="5352.08"/>
        <n v="1543.17"/>
        <n v="663.64"/>
        <n v="2851.43"/>
        <n v="36.049999999999997"/>
        <n v="202.53"/>
        <n v="308.51"/>
        <n v="316.58"/>
        <n v="1511.99"/>
        <n v="782.77"/>
        <n v="4031.04"/>
        <n v="987.11"/>
        <n v="235.8"/>
        <n v="326.67"/>
        <n v="2088.7800000000002"/>
        <n v="4620.4799999999996"/>
        <n v="619.80999999999995"/>
        <n v="63.23"/>
        <n v="33.770000000000003"/>
        <n v="2078.15"/>
        <n v="176.4"/>
        <n v="626.13"/>
        <n v="597.87"/>
        <n v="427.65"/>
        <n v="2871.78"/>
        <n v="1545.45"/>
        <n v="244.2"/>
        <n v="2494.7199999999998"/>
        <n v="313.61"/>
        <n v="3236.52"/>
        <n v="298.76"/>
        <n v="58.7"/>
        <n v="599.95000000000005"/>
        <n v="6533.1"/>
        <n v="1487.71"/>
        <n v="1439.91"/>
        <n v="4413.82"/>
        <n v="4264.43"/>
        <n v="714.78"/>
        <n v="242.76"/>
        <n v="36.07"/>
        <n v="5521.21"/>
        <n v="725.91"/>
        <n v="1947.8"/>
        <n v="1883.92"/>
        <n v="4750.6099999999997"/>
        <n v="739.12"/>
        <n v="127.35"/>
        <n v="381.14"/>
        <n v="278.31"/>
        <n v="201.32"/>
        <n v="2204.34"/>
        <n v="435.45"/>
        <n v="813.57"/>
        <n v="1508.63"/>
        <n v="7528.38"/>
        <n v="68.52"/>
        <n v="552.84"/>
        <n v="250.64"/>
        <n v="1020.69"/>
        <n v="273.17"/>
        <n v="2991.36"/>
        <n v="1244"/>
        <n v="1176.42"/>
        <n v="251.43"/>
        <n v="293.81"/>
        <n v="616.63"/>
        <n v="192.65"/>
        <n v="4089.41"/>
        <n v="111.33"/>
        <n v="465.58"/>
        <n v="307.43"/>
        <n v="4434.3"/>
        <n v="3363.55"/>
        <n v="234.1"/>
        <n v="457.49"/>
        <n v="6464.78"/>
        <n v="1456.24"/>
        <n v="857.8"/>
        <n v="5747.14"/>
        <n v="46.31"/>
        <n v="789.37"/>
        <n v="1389.71"/>
        <n v="3088.41"/>
        <n v="5045.6000000000004"/>
        <n v="439.48"/>
        <n v="1857.85"/>
        <n v="1462.95"/>
        <n v="288.29000000000002"/>
        <n v="82.96"/>
        <n v="17.940000000000001"/>
        <n v="4437.04"/>
        <n v="3461.5"/>
        <n v="165.57"/>
        <n v="293.88"/>
        <n v="9308.49"/>
        <n v="169.04"/>
        <n v="413.74"/>
        <n v="127.93"/>
        <n v="557.07000000000005"/>
        <n v="705.41"/>
        <n v="5668.38"/>
        <n v="39.32"/>
        <n v="955.29"/>
        <n v="1786.81"/>
        <n v="278.07"/>
        <n v="144.59"/>
        <n v="169.15"/>
        <n v="8035.58"/>
        <n v="2358.7600000000002"/>
        <n v="67.489999999999995"/>
        <n v="1159.99"/>
        <n v="203.38"/>
        <n v="660.99"/>
        <n v="912.6"/>
        <n v="1664.55"/>
        <n v="7558.75"/>
        <n v="336.47"/>
        <n v="4354.16"/>
        <n v="5222.43"/>
        <n v="677.49"/>
        <n v="106.84"/>
        <n v="669.82"/>
        <n v="1153.71"/>
        <n v="186.79"/>
        <n v="350.23"/>
        <n v="181.27"/>
        <n v="204.2"/>
        <n v="380.11"/>
        <n v="7349.23"/>
        <n v="301.18"/>
        <n v="352.61"/>
        <n v="4696.3500000000004"/>
        <n v="81.599999999999994"/>
        <n v="1405.95"/>
        <n v="2547.44"/>
        <n v="1787.99"/>
        <n v="733.75"/>
        <n v="238.54"/>
        <n v="703.53"/>
        <n v="2725.98"/>
        <n v="1788.59"/>
        <n v="1574.43"/>
        <n v="385.78"/>
        <n v="200.55"/>
        <n v="470.07"/>
        <n v="798.97"/>
        <n v="1660.55"/>
        <n v="148.47999999999999"/>
        <n v="137.52000000000001"/>
        <n v="35.520000000000003"/>
        <n v="3939.54"/>
        <n v="440.88"/>
        <n v="235.29"/>
        <n v="8347.15"/>
        <n v="185.4"/>
        <n v="904.52"/>
        <n v="1109.3900000000001"/>
        <n v="1188.72"/>
        <n v="1189.6500000000001"/>
        <n v="1313.24"/>
        <n v="285.02"/>
        <n v="3996.75"/>
        <n v="3018.2"/>
        <n v="579.22"/>
        <n v="97.43"/>
        <n v="259.3"/>
        <n v="463.94"/>
        <n v="118.99"/>
        <n v="432.17"/>
        <n v="2027.42"/>
        <n v="297.89999999999998"/>
        <n v="83.33"/>
        <n v="303.95"/>
        <n v="833.1"/>
        <n v="148.55000000000001"/>
        <n v="381.22"/>
        <n v="7233.15"/>
        <n v="898.71"/>
        <n v="412.44"/>
        <n v="3067.49"/>
        <n v="670.9"/>
        <n v="7343.49"/>
        <n v="200.56"/>
        <n v="50.21"/>
        <n v="360.68"/>
        <n v="196.92"/>
        <n v="2527.96"/>
        <n v="456.06"/>
        <n v="176.74"/>
        <n v="317.45"/>
        <n v="237.48"/>
        <n v="598.97"/>
        <n v="577.79999999999995"/>
        <n v="2627.05"/>
        <n v="1415.24"/>
        <n v="3261.27"/>
        <n v="642.88"/>
        <n v="88.86"/>
        <n v="519.97"/>
        <n v="1096.49"/>
        <n v="502.65"/>
        <n v="513.5"/>
        <n v="1662.55"/>
        <n v="417.47"/>
        <n v="666.53"/>
        <n v="401.73"/>
        <n v="456.29"/>
        <n v="8258.01"/>
        <n v="1600.27"/>
        <n v="1222.93"/>
        <n v="345.26"/>
        <n v="3563.8"/>
        <n v="3172.94"/>
        <n v="424.59"/>
        <n v="885.01"/>
        <n v="64.19"/>
        <n v="593.01"/>
        <n v="2738.85"/>
        <n v="90.64"/>
        <n v="895.66"/>
        <n v="1941.63"/>
        <n v="1430.24"/>
        <n v="551.04999999999995"/>
        <n v="156.35"/>
        <n v="397.17"/>
        <n v="1740.38"/>
        <n v="4944.4399999999996"/>
        <n v="3761.15"/>
        <n v="398.33"/>
        <n v="209.24"/>
        <n v="281.94"/>
        <n v="286.75"/>
        <n v="667.29"/>
        <n v="902.5"/>
        <n v="499.6"/>
        <n v="530.29"/>
        <n v="868.93"/>
        <n v="276.72000000000003"/>
        <n v="1339"/>
        <n v="111.8"/>
        <n v="589.35"/>
        <n v="193.85"/>
        <n v="1920.72"/>
        <n v="3506.69"/>
        <n v="155.19"/>
        <n v="1908.78"/>
        <n v="524.33000000000004"/>
        <n v="240.51"/>
        <n v="6765.56"/>
        <n v="65.680000000000007"/>
        <n v="406.36"/>
        <n v="1121.77"/>
        <n v="120.28"/>
        <n v="135.77000000000001"/>
        <n v="138.43"/>
        <n v="207.62"/>
        <n v="686.61"/>
        <n v="66.98"/>
        <n v="2807.4"/>
        <n v="2995.43"/>
        <n v="395.3"/>
        <n v="535.92999999999995"/>
        <n v="495.32"/>
        <n v="299.29000000000002"/>
        <n v="2765.94"/>
        <n v="326.5"/>
        <n v="1715.44"/>
        <n v="245.09"/>
        <n v="4035.5"/>
        <n v="4495.66"/>
        <n v="478.25"/>
        <n v="743.67"/>
        <n v="458.93"/>
        <n v="308.66000000000003"/>
        <n v="1828.8"/>
        <n v="213.91"/>
        <n v="426.57"/>
        <n v="1178.97"/>
        <n v="18.12"/>
        <n v="2334.06"/>
        <n v="2092.38"/>
        <n v="477.92"/>
        <n v="1226.8699999999999"/>
        <n v="341.64"/>
        <n v="205.67"/>
        <n v="4840.43"/>
        <n v="4320.33"/>
        <n v="2771.9"/>
        <n v="710.08"/>
        <n v="208.54"/>
        <n v="1889.17"/>
        <n v="1387.26"/>
        <n v="1433.35"/>
        <n v="516.58000000000004"/>
        <n v="282.52"/>
        <n v="130.37"/>
        <n v="285.99"/>
        <n v="220.47"/>
        <n v="540.98"/>
        <n v="387.18"/>
        <n v="3281.89"/>
        <n v="192.21"/>
        <n v="9513.68"/>
        <n v="3881.03"/>
        <n v="8508.32"/>
        <n v="1919.93"/>
        <n v="194.24"/>
        <n v="1463.38"/>
        <n v="1213.98"/>
        <n v="221.55"/>
        <n v="2086.77"/>
        <n v="151.79"/>
        <n v="255.14"/>
        <n v="179.21"/>
        <n v="5999.15"/>
        <n v="1695.25"/>
        <n v="3253.82"/>
        <n v="8067.68"/>
        <n v="268.39"/>
        <n v="559.1"/>
        <n v="1672.59"/>
        <n v="1079.32"/>
        <n v="134.03"/>
        <n v="228.81"/>
        <n v="1855.96"/>
        <n v="2520.15"/>
        <n v="1940.66"/>
        <n v="2644.13"/>
        <n v="2082.31"/>
        <n v="86.25"/>
        <n v="36.549999999999997"/>
        <n v="2136.63"/>
        <n v="133.52000000000001"/>
        <n v="201.4"/>
        <n v="817.72"/>
        <n v="826.68"/>
        <n v="38.090000000000003"/>
        <n v="284.27999999999997"/>
        <n v="1586.05"/>
        <n v="292.42"/>
        <n v="140.56"/>
        <n v="68.430000000000007"/>
        <n v="705.59"/>
        <n v="343.73"/>
        <n v="67.5"/>
        <n v="3649.26"/>
        <n v="244.89"/>
        <n v="293.33999999999997"/>
        <n v="5372.61"/>
        <n v="4060.59"/>
        <n v="194.88"/>
        <n v="176.96"/>
        <n v="2592.1799999999998"/>
        <n v="151.66"/>
        <n v="231.14"/>
        <n v="310.01"/>
        <n v="5261.99"/>
        <n v="534.94000000000005"/>
        <n v="1093.33"/>
        <n v="1006.41"/>
        <n v="2612.73"/>
        <n v="803.02"/>
        <n v="478.67"/>
        <n v="2263.38"/>
        <n v="301.16000000000003"/>
        <n v="187.19"/>
        <n v="890.22"/>
        <n v="127.29"/>
        <n v="1295.05"/>
        <n v="187.16"/>
        <n v="5751.86"/>
        <n v="369.15"/>
        <n v="1134.8599999999999"/>
        <n v="628.05999999999995"/>
        <n v="259.91000000000003"/>
        <n v="207.6"/>
        <n v="753.27"/>
        <n v="1260.17"/>
        <n v="612.14"/>
        <n v="1822.53"/>
        <n v="846.16"/>
        <n v="1095.18"/>
        <n v="842.32"/>
        <n v="23.18"/>
        <n v="418.39"/>
        <n v="7823.65"/>
        <n v="325.27999999999997"/>
        <n v="620.59"/>
        <n v="4213.57"/>
        <n v="314.39999999999998"/>
        <n v="711.25"/>
        <n v="898.17"/>
        <n v="2843.19"/>
        <n v="245.58"/>
        <n v="4317.57"/>
        <n v="1851.59"/>
        <n v="132.78"/>
        <n v="99.86"/>
        <n v="2277.61"/>
        <n v="6036.82"/>
        <n v="1071.67"/>
        <n v="3818.86"/>
        <n v="789.87"/>
        <n v="402.03"/>
        <n v="1372.04"/>
        <n v="1490.11"/>
        <n v="1564.4"/>
        <n v="332.04"/>
        <n v="454.74"/>
        <n v="271.39999999999998"/>
        <n v="1887.51"/>
        <n v="1529.41"/>
        <n v="1689.59"/>
        <n v="4566.32"/>
        <n v="1152.27"/>
        <n v="41.44"/>
        <n v="236.13"/>
        <n v="51.88"/>
        <n v="1198.8499999999999"/>
        <n v="373.8"/>
        <n v="1228.68"/>
        <n v="207.86"/>
        <n v="1291.48"/>
        <n v="264.61"/>
        <n v="2215.7399999999998"/>
        <n v="7600.63"/>
        <n v="327.35000000000002"/>
        <n v="311.95"/>
        <n v="2824.32"/>
        <n v="120.32"/>
        <n v="4347.6499999999996"/>
        <n v="1354.72"/>
        <n v="6109.35"/>
        <n v="558.92999999999995"/>
        <n v="2584.34"/>
        <n v="395.06"/>
        <n v="1386.26"/>
        <n v="622.14"/>
        <n v="396.26"/>
        <n v="186.14"/>
        <n v="395.43"/>
        <n v="336.94"/>
        <n v="249.2"/>
        <n v="713.28"/>
        <n v="286.2"/>
        <n v="577.1"/>
        <n v="1004.35"/>
        <n v="436.2"/>
        <n v="4613.6400000000003"/>
        <n v="2778.8"/>
        <n v="92.08"/>
        <n v="354.69"/>
        <n v="1585.09"/>
        <n v="791.52"/>
        <n v="3588.54"/>
        <n v="2815.33"/>
        <n v="668.24"/>
        <n v="1102.3599999999999"/>
        <n v="397.77"/>
        <n v="203.17"/>
        <n v="278.18"/>
        <n v="371.19"/>
        <n v="291.35000000000002"/>
        <n v="703.18"/>
        <n v="2564.15"/>
        <n v="1036.08"/>
        <n v="5006.96"/>
        <n v="809.63"/>
        <n v="665.22"/>
        <n v="561.95000000000005"/>
        <n v="6175.85"/>
        <n v="1973.5"/>
        <n v="2194.25"/>
        <n v="678.97"/>
        <n v="4622.12"/>
        <n v="2951.81"/>
        <n v="1777.15"/>
        <n v="425.65"/>
        <n v="253.31"/>
        <n v="1209.19"/>
        <n v="171.56"/>
        <n v="4811.8599999999997"/>
        <n v="577.07000000000005"/>
        <n v="561.21"/>
        <n v="806.23"/>
        <n v="2658.89"/>
        <n v="316.26"/>
        <n v="4005.92"/>
        <n v="3132.62"/>
        <n v="488.54"/>
        <n v="743.56"/>
        <n v="26.02"/>
        <n v="144.54"/>
        <n v="119.93"/>
        <n v="254.58"/>
        <n v="467.34"/>
        <n v="2277.83"/>
        <n v="4256.6099999999997"/>
        <n v="1223.08"/>
        <n v="72.17"/>
        <n v="98.49"/>
        <n v="331.6"/>
        <n v="467.92"/>
        <n v="487.44"/>
        <n v="1190.02"/>
        <n v="296.64999999999998"/>
        <n v="616.26"/>
        <n v="78.209999999999994"/>
        <n v="3245.4"/>
        <n v="234.91"/>
        <n v="97.78"/>
        <n v="4357.68"/>
        <n v="941.8"/>
        <n v="537.99"/>
        <n v="1221.05"/>
        <n v="1910.75"/>
        <n v="1751.91"/>
        <n v="646.72"/>
        <n v="772.2"/>
        <n v="2382.7399999999998"/>
        <n v="3257.56"/>
        <n v="2345.6799999999998"/>
        <n v="245.26"/>
        <n v="37.47"/>
        <n v="2739.02"/>
        <n v="197.63"/>
        <n v="1480.81"/>
        <n v="582.91999999999996"/>
        <n v="1138"/>
        <n v="567.55999999999995"/>
        <n v="691.71"/>
        <n v="384.04"/>
        <n v="902.29"/>
        <n v="101.78"/>
        <n v="1513.38"/>
        <n v="2670.2"/>
        <n v="1917.47"/>
        <n v="521.23"/>
        <n v="463.22"/>
        <n v="650.74"/>
        <n v="4945.54"/>
        <n v="388.06"/>
        <n v="598.32000000000005"/>
        <n v="38.11"/>
        <n v="2959.02"/>
        <n v="3531.33"/>
        <n v="2938.65"/>
        <n v="1917.41"/>
        <n v="298.47000000000003"/>
        <n v="994"/>
        <n v="3629.32"/>
        <n v="2833.99"/>
        <n v="280.82"/>
        <n v="1000.22"/>
        <n v="210.63"/>
        <n v="193.41"/>
        <n v="707.95"/>
        <n v="1254.27"/>
        <n v="948.8"/>
        <n v="121.64"/>
        <n v="3970.42"/>
        <n v="940.13"/>
        <n v="572.82000000000005"/>
        <n v="2754.44"/>
        <n v="940.55"/>
        <n v="1631.64"/>
        <n v="207"/>
        <n v="2973.57"/>
        <n v="359.58"/>
        <n v="2583.1999999999998"/>
        <n v="299.8"/>
        <n v="552.67999999999995"/>
        <n v="556.29"/>
        <n v="1069.5899999999999"/>
        <n v="3291.89"/>
        <n v="1593.11"/>
        <n v="546.72"/>
        <n v="1652.57"/>
        <n v="902.7"/>
        <n v="2062.64"/>
        <n v="275.61"/>
        <n v="127.68"/>
        <n v="407.96"/>
        <n v="2005.57"/>
        <n v="1208.27"/>
        <n v="484.97"/>
        <n v="54.94"/>
        <n v="5592.68"/>
        <n v="624.49"/>
        <n v="4355.58"/>
        <n v="956.67"/>
        <n v="104.34"/>
        <n v="2989.93"/>
        <n v="282.36"/>
        <n v="133.16999999999999"/>
        <n v="2679.42"/>
        <n v="1725.87"/>
        <n v="385.6"/>
        <n v="637.23"/>
        <n v="857.19"/>
        <n v="1342.53"/>
        <n v="1251.42"/>
        <n v="2548.09"/>
        <n v="680.6"/>
        <n v="85.46"/>
        <n v="275.97000000000003"/>
        <n v="3732.9"/>
        <n v="1428.43"/>
        <n v="350.25"/>
        <n v="4860.3100000000004"/>
        <n v="55.01"/>
        <n v="224.82"/>
        <n v="3712.86"/>
        <n v="4359.79"/>
        <n v="657.72"/>
        <n v="3917.16"/>
        <n v="183.95"/>
        <n v="792.93"/>
        <n v="2214.1799999999998"/>
        <n v="1781.61"/>
        <n v="161.74"/>
        <n v="151.72999999999999"/>
        <n v="1234.8499999999999"/>
        <n v="43.53"/>
        <n v="753.21"/>
        <n v="1860.81"/>
        <n v="4344.83"/>
        <n v="2689.55"/>
        <n v="2827.15"/>
        <n v="743.82"/>
        <n v="251.05"/>
        <n v="2002.5"/>
        <n v="94.29"/>
        <n v="197.78"/>
        <n v="61.26"/>
        <n v="415.38"/>
        <n v="7399.19"/>
        <n v="506.44"/>
        <n v="1640.34"/>
        <n v="119.45"/>
        <n v="1205.3800000000001"/>
        <n v="2789.62"/>
        <n v="143.16"/>
        <n v="3301.17"/>
        <n v="1765.79"/>
        <n v="2338.7600000000002"/>
        <n v="756.14"/>
        <n v="158.47999999999999"/>
        <n v="51.55"/>
        <n v="111.98"/>
        <n v="1032.8900000000001"/>
        <n v="1858.83"/>
        <n v="1956.69"/>
        <n v="1627.34"/>
        <n v="264.79000000000002"/>
        <n v="646.74"/>
        <n v="330.49"/>
        <n v="163.66"/>
        <n v="393.71"/>
        <n v="244.65"/>
        <n v="4568.41"/>
        <n v="2317.04"/>
        <n v="529.1"/>
        <n v="597.85"/>
        <n v="1605.75"/>
        <n v="573.23"/>
        <n v="3329.31"/>
        <n v="1263.96"/>
        <n v="52.72"/>
        <n v="81.569999999999993"/>
        <n v="293.89999999999998"/>
        <n v="241.93"/>
        <n v="1682.38"/>
        <n v="2714.75"/>
        <n v="991.31"/>
        <n v="62.73"/>
        <n v="525.05999999999995"/>
        <n v="3319.91"/>
        <n v="270.61"/>
        <n v="371.98"/>
        <n v="524.20000000000005"/>
        <n v="3379.2"/>
        <n v="3525.53"/>
        <n v="30.26"/>
        <n v="166.74"/>
        <n v="236.28"/>
        <n v="176.15"/>
        <n v="779.65"/>
        <n v="2890.63"/>
        <n v="379.52"/>
        <n v="32.630000000000003"/>
        <n v="266.08"/>
        <n v="1936.31"/>
        <n v="132.66"/>
        <n v="6238.32"/>
        <n v="234.24"/>
        <n v="18.440000000000001"/>
        <n v="532.16999999999996"/>
        <n v="304.67"/>
        <n v="279.45"/>
        <n v="4115.71"/>
        <n v="2489.4899999999998"/>
        <n v="1651.37"/>
        <n v="1002.09"/>
        <n v="544.85"/>
        <n v="2818.28"/>
        <n v="1294.8599999999999"/>
        <n v="445.03"/>
        <n v="893.58"/>
        <n v="1403.75"/>
        <n v="193.32"/>
        <n v="1137.05"/>
        <n v="943.83"/>
        <n v="1160.0899999999999"/>
        <n v="127.22"/>
        <n v="26.51"/>
        <n v="337.9"/>
        <n v="70.17"/>
        <n v="1714.13"/>
        <n v="1872.85"/>
        <n v="220.01"/>
        <n v="56.08"/>
        <n v="431.36"/>
        <n v="658.91"/>
        <n v="3207.77"/>
        <n v="110.58"/>
        <n v="359.5"/>
        <n v="133.75"/>
        <n v="146"/>
        <n v="762.23"/>
        <n v="1335.48"/>
        <n v="1333.27"/>
        <n v="1045.44"/>
        <n v="5272.7"/>
        <n v="987.01"/>
        <n v="1031.83"/>
        <n v="530.88"/>
        <n v="821.05"/>
        <n v="3507.24"/>
        <n v="291.43"/>
        <n v="4349.5"/>
        <n v="3029.03"/>
        <n v="2884.65"/>
        <n v="847.63"/>
        <n v="78.06"/>
        <n v="56.67"/>
        <n v="261.69"/>
        <n v="82.68"/>
        <n v="263.29000000000002"/>
        <n v="358.32"/>
        <n v="1911.66"/>
        <n v="850.41"/>
        <n v="460.57"/>
        <n v="34"/>
        <n v="4044.32"/>
        <n v="1542.84"/>
        <n v="349.33"/>
        <n v="116.11"/>
        <n v="385.5"/>
        <n v="283.20999999999998"/>
        <n v="601.52"/>
        <n v="1059.3800000000001"/>
        <n v="439.47"/>
        <n v="1777.87"/>
        <n v="274.95999999999998"/>
        <n v="457.19"/>
        <n v="2787.78"/>
        <n v="239.87"/>
        <n v="261.77999999999997"/>
        <n v="445.69"/>
        <n v="768.91"/>
        <n v="252.35"/>
        <n v="1765.49"/>
        <n v="175.3"/>
        <n v="1550.53"/>
        <n v="2135.63"/>
        <n v="166.41"/>
        <n v="468.79"/>
        <n v="1958.54"/>
        <n v="301.20999999999998"/>
        <n v="163.76"/>
        <n v="171.28"/>
        <n v="1198.69"/>
        <n v="2048.84"/>
        <n v="1878.86"/>
        <n v="279.25"/>
        <n v="4734.96"/>
        <n v="5717.39"/>
        <n v="291.8"/>
        <n v="1665.25"/>
        <n v="424.9"/>
        <n v="448.98"/>
        <n v="2018.26"/>
        <n v="1759.28"/>
        <n v="189.66"/>
        <n v="3820.69"/>
        <n v="1212.1300000000001"/>
        <n v="457.46"/>
        <n v="182.06"/>
        <n v="420.91"/>
        <n v="535.04"/>
        <n v="323.75"/>
        <n v="349.17"/>
        <n v="214.36"/>
        <n v="2820.73"/>
        <n v="71.97"/>
        <n v="159.11000000000001"/>
        <n v="73.13"/>
        <n v="840.05"/>
        <n v="432.66"/>
        <n v="6954.12"/>
        <n v="394.06"/>
        <n v="139.65"/>
        <n v="1370.46"/>
        <n v="337.73"/>
        <n v="148.36000000000001"/>
        <n v="1472.8"/>
        <n v="113.08"/>
        <n v="655.79"/>
        <n v="591.39"/>
        <n v="645.46"/>
        <n v="409.47"/>
        <n v="960.55"/>
        <n v="6317.56"/>
        <n v="502.79"/>
        <n v="192.6"/>
        <n v="96.67"/>
        <n v="3788.2"/>
        <n v="90.48"/>
        <n v="227"/>
        <n v="1053.51"/>
        <n v="683.46"/>
        <n v="1656.77"/>
        <n v="255.38"/>
        <n v="290.26"/>
        <n v="2322.9299999999998"/>
        <n v="1684.82"/>
        <n v="221.66"/>
        <n v="229.45"/>
        <n v="1087.07"/>
        <n v="355.9"/>
        <n v="896.09"/>
        <n v="968.66"/>
        <n v="980.29"/>
        <n v="1772.56"/>
        <n v="2346.4"/>
        <n v="1400.64"/>
        <n v="2715.7"/>
        <n v="990.63"/>
        <n v="1291.04"/>
        <n v="840.94"/>
        <n v="530.29999999999995"/>
        <n v="510.83"/>
        <n v="1633.98"/>
        <n v="261.83999999999997"/>
        <n v="352.56"/>
        <n v="2139.46"/>
        <n v="232.96"/>
        <n v="2480.14"/>
        <n v="334.13"/>
        <n v="162.59"/>
        <n v="156.83000000000001"/>
        <n v="579.79"/>
        <n v="102.08"/>
        <n v="3600.81"/>
        <n v="146.78"/>
        <n v="3211.29"/>
        <n v="51.62"/>
        <n v="166.02"/>
        <n v="411.11"/>
        <n v="2896.17"/>
        <n v="1599.49"/>
        <n v="2265.9699999999998"/>
        <n v="83.17"/>
        <n v="78.680000000000007"/>
        <n v="387.73"/>
        <n v="310.87"/>
        <n v="1954.91"/>
        <n v="349.16"/>
        <n v="826.94"/>
        <n v="564.1"/>
        <n v="423.7"/>
        <n v="349.93"/>
        <n v="9214.6200000000008"/>
        <n v="640.28"/>
        <n v="3995.75"/>
        <n v="1316.96"/>
        <n v="743.4"/>
        <n v="987.13"/>
        <n v="5069.66"/>
        <n v="2526.79"/>
        <n v="8312.6299999999992"/>
        <n v="1119.08"/>
        <n v="618.02"/>
        <n v="1869.17"/>
        <n v="498.7"/>
        <n v="180.29"/>
        <n v="3477.56"/>
        <n v="2116.87"/>
        <n v="6226.31"/>
        <n v="577.98"/>
        <n v="363.6"/>
        <n v="1106.07"/>
        <n v="1683.07"/>
        <n v="570.70000000000005"/>
        <n v="90.3"/>
        <n v="1282.52"/>
        <n v="1992.03"/>
        <n v="170.04"/>
        <n v="104.18"/>
        <n v="164.52"/>
        <n v="863.9"/>
        <n v="9442.66"/>
        <n v="237.85"/>
        <n v="67.64"/>
        <n v="482.31"/>
        <n v="129.03"/>
        <n v="238.02"/>
        <n v="3755.86"/>
        <n v="42.09"/>
        <n v="105.6"/>
        <n v="113.55"/>
        <n v="861.55"/>
        <n v="377.06"/>
        <n v="117.14"/>
        <n v="2341.98"/>
        <n v="448.31"/>
        <n v="922.27"/>
        <n v="3915.65"/>
        <n v="3028.29"/>
        <n v="2321.88"/>
        <n v="184.4"/>
        <n v="1707.98"/>
        <n v="502.68"/>
        <n v="1857.23"/>
        <n v="370.46"/>
        <n v="216.21"/>
        <n v="167.55"/>
        <n v="799.62"/>
        <n v="2521.2800000000002"/>
        <n v="542.69000000000005"/>
        <n v="6418.88"/>
        <n v="334.5"/>
        <n v="1721.59"/>
        <n v="395.18"/>
        <n v="936.95"/>
        <n v="470.35"/>
        <n v="9147.49"/>
        <n v="366.91"/>
        <n v="231.94"/>
        <n v="7552.99"/>
        <n v="97.21"/>
        <n v="722.14"/>
        <n v="988.66"/>
        <n v="396.76"/>
        <n v="126.25"/>
        <n v="478.87"/>
        <n v="569.86"/>
        <n v="815.91"/>
        <n v="1386.66"/>
        <n v="977.44"/>
        <n v="878.99"/>
        <n v="53.73"/>
        <n v="67.87"/>
        <n v="950.65"/>
        <n v="966.1"/>
        <n v="4258.32"/>
        <n v="195.37"/>
        <n v="1627.18"/>
        <n v="303.37"/>
        <n v="1543.34"/>
        <n v="497.29"/>
        <n v="1623.66"/>
        <n v="193.04"/>
        <n v="406.98"/>
        <n v="334.9"/>
        <n v="84.53"/>
        <n v="130.75"/>
        <n v="100.55"/>
        <n v="818.21"/>
        <n v="437.89"/>
        <n v="2612.5500000000002"/>
        <n v="367.47"/>
        <n v="139.84"/>
        <n v="824.68"/>
        <n v="1380.31"/>
        <n v="171.51"/>
        <n v="2971.79"/>
        <n v="102.14"/>
        <n v="850.45"/>
        <n v="857.08"/>
        <n v="115.78"/>
        <n v="1933.1"/>
        <n v="1514.91"/>
        <n v="52.03"/>
        <n v="4471.3599999999997"/>
        <n v="949.11"/>
        <n v="7946.36"/>
        <n v="546.38"/>
        <n v="962.03"/>
        <n v="1981.66"/>
        <n v="743.75"/>
        <n v="618.4"/>
        <n v="643.28"/>
        <n v="2558.3200000000002"/>
        <n v="2449.33"/>
        <n v="379.19"/>
        <n v="3640.53"/>
        <n v="73.41"/>
        <n v="323.83999999999997"/>
        <n v="289.18"/>
        <n v="311.12"/>
        <n v="281.8"/>
        <n v="1453.61"/>
        <n v="275.64999999999998"/>
        <n v="950.36"/>
        <n v="267.08"/>
        <n v="80.33"/>
        <n v="1613.95"/>
        <n v="417.1"/>
        <n v="637.78"/>
        <n v="20.84"/>
        <n v="764.35"/>
        <n v="1440.05"/>
        <n v="103.76"/>
        <n v="3354.5"/>
        <n v="1732.86"/>
        <n v="1196.95"/>
        <n v="382.93"/>
        <n v="326.42"/>
        <n v="117.09"/>
        <n v="158.44"/>
        <n v="132.01"/>
        <n v="376.96"/>
        <n v="2979.59"/>
        <n v="2280.1"/>
        <n v="198.35"/>
        <n v="1068.22"/>
        <n v="1240.57"/>
        <n v="336.5"/>
        <n v="3773.73"/>
        <n v="2182.73"/>
        <n v="3457.38"/>
        <n v="536.23"/>
        <n v="187.8"/>
        <n v="252.32"/>
        <n v="2911.03"/>
        <n v="1156.8599999999999"/>
        <n v="740.59"/>
        <n v="310.3"/>
        <n v="6187.48"/>
        <n v="398.62"/>
        <n v="122.36"/>
        <n v="133.91999999999999"/>
        <n v="367.9"/>
        <n v="3231.35"/>
        <n v="129.94"/>
        <n v="1680.84"/>
        <n v="356.03"/>
        <n v="936.7"/>
        <n v="381.33"/>
        <n v="85.79"/>
        <n v="1042.8499999999999"/>
        <n v="366.36"/>
        <n v="166.71"/>
        <n v="1652.56"/>
        <n v="7764.84"/>
        <n v="337.81"/>
        <n v="3642.87"/>
        <n v="163.35"/>
        <n v="351.4"/>
        <n v="235.89"/>
        <n v="4227.0600000000004"/>
        <n v="2301.0100000000002"/>
        <n v="770.4"/>
        <n v="1850.09"/>
        <n v="116.47"/>
        <n v="28.06"/>
        <n v="724.93"/>
        <n v="448.06"/>
        <n v="2846.97"/>
        <n v="1679.27"/>
        <n v="1638.2"/>
        <n v="6229.54"/>
        <n v="47.27"/>
        <n v="481.26"/>
        <n v="869.52"/>
        <n v="364.14"/>
        <n v="1672.68"/>
        <n v="3997.53"/>
        <n v="361.61"/>
        <n v="275.99"/>
        <n v="725.07"/>
        <n v="126.15"/>
        <n v="3089.29"/>
        <n v="3046.92"/>
        <n v="570.38"/>
        <n v="657.57"/>
        <n v="510.95"/>
        <n v="274.86"/>
        <n v="561.16"/>
        <n v="316.04000000000002"/>
        <n v="8643.9599999999991"/>
        <n v="3147.12"/>
        <n v="828.71"/>
        <n v="1285.69"/>
        <n v="283.81"/>
        <n v="1154.53"/>
        <n v="106.21"/>
        <n v="2407.6999999999998"/>
        <n v="2336.9899999999998"/>
        <n v="86.8"/>
        <n v="4761.87"/>
        <n v="3725.74"/>
        <n v="4223.18"/>
        <n v="2747.64"/>
        <n v="6972.12"/>
        <n v="1673.84"/>
        <n v="897.26"/>
        <n v="114.22"/>
        <n v="78.64"/>
        <n v="849.25"/>
        <n v="1771.17"/>
        <n v="4588.5200000000004"/>
        <n v="2357.6"/>
        <n v="413.35"/>
        <n v="163.01"/>
        <n v="280.7"/>
        <n v="1443.02"/>
        <n v="1915.01"/>
        <n v="3068.97"/>
        <n v="318.5"/>
        <n v="2411.7199999999998"/>
        <n v="1724.21"/>
        <n v="141.16"/>
        <n v="140.54"/>
        <n v="303.01"/>
        <n v="563.02"/>
        <n v="4725.6899999999996"/>
        <n v="74.66"/>
        <n v="1106.76"/>
        <n v="1949.19"/>
        <n v="6305.71"/>
        <n v="310.33"/>
        <n v="194.79"/>
        <n v="127.39"/>
        <n v="184.17"/>
        <n v="261.73"/>
        <n v="225.99"/>
        <n v="233.6"/>
        <n v="52.57"/>
        <n v="1136.07"/>
        <n v="1104.52"/>
        <n v="72.06"/>
        <n v="230.93"/>
        <n v="807.89"/>
        <n v="37.880000000000003"/>
        <n v="6981.81"/>
        <n v="920.48"/>
        <n v="384.15"/>
        <n v="915.65"/>
        <n v="2194.46"/>
        <n v="738.56"/>
        <n v="144.22999999999999"/>
        <n v="620.15"/>
        <n v="628.69000000000005"/>
        <n v="1889.77"/>
        <n v="199.68"/>
        <n v="3962.23"/>
        <n v="3203.88"/>
        <n v="119.4"/>
        <n v="739.92"/>
        <n v="476.5"/>
        <n v="896.2"/>
        <n v="2562.06"/>
        <n v="44.13"/>
        <n v="2868.61"/>
        <n v="8761.9"/>
        <n v="250.36"/>
        <n v="150.87"/>
        <n v="200.29"/>
        <n v="73.02"/>
        <n v="484.67"/>
        <n v="2978.71"/>
        <n v="88.28"/>
        <n v="437"/>
        <n v="2000.96"/>
        <n v="20.87"/>
        <n v="2808.06"/>
        <n v="5249.41"/>
        <n v="4302.54"/>
        <n v="173.48"/>
        <n v="2646.38"/>
        <n v="559.12"/>
        <n v="364.05"/>
        <n v="629.04"/>
        <n v="1994.58"/>
        <n v="492.4"/>
        <n v="1489.74"/>
        <n v="558.91999999999996"/>
        <n v="336.28"/>
        <n v="7375.39"/>
        <n v="3637.37"/>
        <n v="604.04"/>
        <n v="296.05"/>
        <n v="875.07"/>
        <n v="974.04"/>
        <n v="36.159999999999997"/>
        <n v="1944.34"/>
        <n v="1889.26"/>
        <n v="705.88"/>
        <n v="5853.72"/>
        <n v="174.91"/>
        <n v="217.58"/>
        <n v="295.43"/>
        <n v="231.39"/>
        <n v="156.65"/>
        <n v="4260.88"/>
        <n v="480.47"/>
        <n v="1341.59"/>
        <n v="97.72"/>
        <n v="42.32"/>
        <n v="228.68"/>
        <n v="2081.9299999999998"/>
        <n v="2187.0500000000002"/>
        <n v="9186.09"/>
        <n v="919.34"/>
        <n v="714.17"/>
        <n v="465.49"/>
        <n v="307.92"/>
        <n v="275.05"/>
        <n v="261.64"/>
        <n v="2695.87"/>
        <n v="673.75"/>
        <n v="1202.53"/>
        <n v="174.07"/>
        <n v="1112.49"/>
        <n v="2164.2800000000002"/>
        <n v="135.31"/>
        <n v="2672.92"/>
        <n v="1578.01"/>
        <n v="551"/>
        <n v="965.64"/>
        <n v="457.13"/>
        <n v="4236.05"/>
        <n v="605.30999999999995"/>
        <n v="738.67"/>
        <n v="206.61"/>
        <n v="114.41"/>
        <n v="1359.85"/>
        <n v="810.37"/>
        <n v="1679.66"/>
        <n v="1418.8"/>
        <n v="211.78"/>
        <n v="361.64"/>
        <n v="1061.92"/>
        <n v="56.25"/>
        <n v="2570.4699999999998"/>
        <n v="456.39"/>
        <n v="1095.55"/>
        <n v="1247.71"/>
        <n v="675.65"/>
        <n v="22.42"/>
        <n v="630.15"/>
        <n v="114.86"/>
        <n v="1126.06"/>
        <n v="50.96"/>
        <n v="301.33999999999997"/>
        <n v="1980.73"/>
        <n v="1540.68"/>
        <n v="220.99"/>
        <n v="1750.79"/>
        <n v="1785.67"/>
        <n v="4316.93"/>
        <n v="1907.15"/>
        <n v="586.98"/>
        <n v="37.090000000000003"/>
        <n v="372.33"/>
        <n v="267.91000000000003"/>
        <n v="1540.89"/>
        <n v="302.79000000000002"/>
        <n v="1183.72"/>
        <n v="404.95"/>
        <n v="79.69"/>
        <n v="1085.49"/>
        <n v="292.69"/>
        <n v="2605.58"/>
        <n v="390.54"/>
        <n v="450.74"/>
        <n v="410.05"/>
        <n v="485.82"/>
        <n v="4348.01"/>
        <n v="2650.91"/>
        <n v="263.69"/>
        <n v="1619.35"/>
        <n v="263.52999999999997"/>
        <n v="1654.59"/>
        <n v="1354.78"/>
        <n v="587.39"/>
        <n v="201.61"/>
        <n v="460.55"/>
        <n v="372.77"/>
        <n v="3047.53"/>
        <n v="2324.63"/>
        <n v="205.9"/>
        <n v="607.4"/>
        <n v="227.85"/>
        <n v="53.89"/>
        <n v="1136.29"/>
        <n v="271.49"/>
        <n v="196.42"/>
        <n v="998.21"/>
        <n v="1381.48"/>
        <n v="159.82"/>
        <n v="1012.17"/>
        <n v="2403.5"/>
        <n v="579.35"/>
        <n v="4259.1899999999996"/>
        <n v="471.32"/>
        <n v="1896.24"/>
        <n v="954.31"/>
        <n v="154.69"/>
        <n v="229.38"/>
        <n v="2818.19"/>
        <n v="5931.85"/>
        <n v="2484.3000000000002"/>
        <n v="4119.6099999999997"/>
        <n v="819.92"/>
        <n v="164.31"/>
        <n v="269"/>
        <n v="1278.48"/>
        <n v="109.56"/>
        <n v="1277.9000000000001"/>
        <n v="1958.02"/>
        <n v="72.58"/>
        <n v="137.37"/>
        <n v="98.13"/>
        <n v="242.08"/>
        <n v="1122.71"/>
        <n v="5581.16"/>
        <n v="392.99"/>
        <n v="193.35"/>
        <n v="1532.3"/>
        <n v="154.9"/>
        <n v="1853.64"/>
        <n v="205.48"/>
        <n v="2342.85"/>
        <n v="10121.700000000001"/>
        <n v="1943.71"/>
        <n v="1933.66"/>
        <n v="2033.39"/>
        <n v="1728.13"/>
        <n v="178.04"/>
        <n v="208.26"/>
        <n v="37.049999999999997"/>
        <n v="331.36"/>
        <n v="726.17"/>
        <n v="2223.17"/>
        <n v="2838.82"/>
        <n v="803.22"/>
        <n v="78.33"/>
        <n v="1982.04"/>
        <n v="640.42999999999995"/>
        <n v="532.58000000000004"/>
        <n v="10142.040000000001"/>
        <n v="3523.66"/>
        <n v="187.22"/>
        <n v="183.13"/>
        <n v="2034.12"/>
        <n v="2202.0700000000002"/>
        <n v="1851.94"/>
        <n v="157.71"/>
        <n v="2058.04"/>
        <n v="3187.11"/>
        <n v="92.93"/>
        <n v="216.76"/>
        <n v="5165.3599999999997"/>
        <n v="869.3"/>
        <n v="168.12"/>
        <n v="8451.19"/>
        <n v="1585.48"/>
        <n v="472.16"/>
        <n v="445.32"/>
        <n v="648.34"/>
        <n v="374.27"/>
        <n v="786.68"/>
        <n v="3437.98"/>
        <n v="1171.9100000000001"/>
        <n v="672.38"/>
        <n v="1921.92"/>
        <n v="1599.77"/>
        <n v="745.61"/>
        <n v="349.67"/>
        <n v="1794.13"/>
        <n v="1257.03"/>
        <n v="728.09"/>
        <n v="1156.03"/>
        <n v="2715.04"/>
        <n v="335.94"/>
        <n v="902.74"/>
        <n v="722.7"/>
        <n v="634.45000000000005"/>
        <n v="2583.12"/>
        <n v="210.19"/>
        <n v="2745.47"/>
        <n v="161.05000000000001"/>
        <n v="2980.6"/>
        <n v="796.44"/>
        <n v="3325.7"/>
        <n v="553.19000000000005"/>
        <n v="482.59"/>
        <n v="152.31"/>
        <n v="530.91999999999996"/>
        <n v="293.48"/>
        <n v="275.95"/>
        <n v="46.85"/>
        <n v="3840.07"/>
        <n v="125.08"/>
        <n v="117.75"/>
        <n v="3190.32"/>
        <n v="2185.6799999999998"/>
        <n v="5004.03"/>
        <n v="551.30999999999995"/>
        <n v="424.11"/>
        <n v="710.45"/>
        <n v="958.39"/>
        <n v="431.9"/>
        <n v="1665.8"/>
        <n v="1547.88"/>
        <n v="4755.51"/>
        <n v="4641.63"/>
        <n v="936"/>
        <n v="2220.7600000000002"/>
        <n v="1284.71"/>
        <n v="2900.09"/>
        <n v="1866.47"/>
        <n v="204.58"/>
        <n v="51.31"/>
        <n v="947.82"/>
        <n v="602.12"/>
        <n v="2856.71"/>
        <n v="5206.16"/>
        <n v="511.9"/>
        <n v="2545.62"/>
        <n v="1830.68"/>
        <n v="275.89"/>
        <n v="58.89"/>
        <n v="241.33"/>
        <n v="191.93"/>
        <n v="2353.9899999999998"/>
        <n v="456.61"/>
        <n v="1804.31"/>
        <n v="316.82"/>
        <n v="260.67"/>
        <n v="138.88"/>
        <n v="3529.81"/>
        <n v="434.23"/>
        <n v="2725.44"/>
        <n v="141.77000000000001"/>
        <n v="111.39"/>
        <n v="39.97"/>
        <n v="36.700000000000003"/>
        <n v="244.06"/>
        <n v="529.76"/>
        <n v="128.83000000000001"/>
        <n v="8734.27"/>
        <n v="1802.93"/>
        <n v="1396.36"/>
        <n v="3488.64"/>
        <n v="1858.82"/>
        <n v="1341.1"/>
        <n v="75.45"/>
        <n v="2147.59"/>
        <n v="3955.89"/>
        <n v="212.05"/>
        <n v="153.35"/>
        <n v="238.66"/>
        <n v="646.42999999999995"/>
        <n v="2017.76"/>
        <n v="572.99"/>
        <n v="458.7"/>
        <n v="1941.59"/>
        <n v="295.47000000000003"/>
        <n v="1608.65"/>
        <n v="2390.3200000000002"/>
        <n v="846.3"/>
        <n v="326.13"/>
        <n v="2716.18"/>
        <n v="237.94"/>
        <n v="8946.76"/>
        <n v="118.23"/>
        <n v="7088.01"/>
        <n v="290.64"/>
        <n v="422.85"/>
        <n v="453.69"/>
        <n v="871.38"/>
        <n v="336.22"/>
        <n v="1868.72"/>
        <n v="935.14"/>
        <n v="102.37"/>
        <n v="456.96"/>
        <n v="4220.47"/>
        <n v="892.82"/>
        <n v="362.08"/>
        <n v="264.42"/>
        <n v="1849"/>
        <n v="444.35"/>
        <n v="229.51"/>
        <n v="57.33"/>
        <n v="1566.62"/>
        <n v="378.03"/>
        <n v="250.56"/>
        <n v="1533.51"/>
        <n v="1348.39"/>
        <n v="204.03"/>
        <n v="1636.14"/>
        <n v="3722.91"/>
        <n v="521.05999999999995"/>
        <n v="172.38"/>
        <n v="1963.92"/>
        <n v="304.60000000000002"/>
        <n v="84.69"/>
        <n v="1218.1600000000001"/>
        <n v="1330.44"/>
        <n v="76.349999999999994"/>
        <n v="168.35"/>
        <n v="2352.16"/>
        <n v="441.52"/>
        <n v="136.63"/>
        <n v="2726.49"/>
        <n v="803.28"/>
        <n v="211.98"/>
        <n v="2195.11"/>
        <n v="7623.52"/>
        <n v="61.23"/>
        <n v="192.54"/>
        <n v="3979.71"/>
        <n v="2651.26"/>
        <n v="3123.24"/>
        <n v="205.81"/>
        <n v="4389.8500000000004"/>
        <n v="2843.09"/>
        <n v="35.549999999999997"/>
        <n v="572.46"/>
        <n v="1461.56"/>
        <n v="291.25"/>
        <n v="1377"/>
        <n v="53.31"/>
        <n v="910.51"/>
        <n v="3273.7"/>
        <n v="1908.69"/>
        <n v="8828.3700000000008"/>
        <n v="1462.72"/>
        <n v="626.73"/>
        <n v="347.82"/>
        <n v="848.66"/>
        <n v="325.85000000000002"/>
        <n v="119.75"/>
        <n v="504.11"/>
        <n v="952.14"/>
        <n v="806.96"/>
        <n v="1525.33"/>
        <n v="1726.16"/>
        <n v="4545.29"/>
        <n v="64.27"/>
        <n v="536.83000000000004"/>
        <n v="49.53"/>
        <n v="565.45000000000005"/>
        <n v="1403.45"/>
        <n v="186.66"/>
        <n v="515.05999999999995"/>
        <n v="140.22"/>
        <n v="169.63"/>
        <n v="290.27999999999997"/>
        <n v="100.15"/>
        <n v="150.79"/>
        <n v="49.37"/>
        <n v="316.91000000000003"/>
        <n v="1419.15"/>
        <n v="2681.42"/>
        <n v="1889.79"/>
        <n v="331.41"/>
        <n v="267.63"/>
        <n v="4217.84"/>
        <n v="572.25"/>
        <n v="211.36"/>
        <n v="310.49"/>
      </sharedItems>
    </cacheField>
    <cacheField name="Total Loan Applications" numFmtId="0">
      <sharedItems containsSemiMixedTypes="0" containsString="0" containsNumber="1" containsInteger="1" minValue="1" maxValue="2000" count="2000"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n v="1951"/>
        <n v="1950"/>
        <n v="1949"/>
        <n v="1948"/>
        <n v="1947"/>
        <n v="1946"/>
        <n v="1945"/>
        <n v="1944"/>
        <n v="1943"/>
        <n v="1942"/>
        <n v="1941"/>
        <n v="1940"/>
        <n v="1939"/>
        <n v="1938"/>
        <n v="1937"/>
        <n v="1936"/>
        <n v="1935"/>
        <n v="1934"/>
        <n v="1933"/>
        <n v="1932"/>
        <n v="1931"/>
        <n v="1930"/>
        <n v="1929"/>
        <n v="1928"/>
        <n v="1927"/>
        <n v="1926"/>
        <n v="1925"/>
        <n v="1924"/>
        <n v="1923"/>
        <n v="1922"/>
        <n v="1921"/>
        <n v="1920"/>
        <n v="1919"/>
        <n v="1918"/>
        <n v="1917"/>
        <n v="1916"/>
        <n v="1915"/>
        <n v="1914"/>
        <n v="1913"/>
        <n v="1912"/>
        <n v="1911"/>
        <n v="1910"/>
        <n v="1909"/>
        <n v="1908"/>
        <n v="1907"/>
        <n v="1906"/>
        <n v="1905"/>
        <n v="1904"/>
        <n v="1903"/>
        <n v="1902"/>
        <n v="1901"/>
        <n v="1900"/>
        <n v="1899"/>
        <n v="1898"/>
        <n v="1897"/>
        <n v="1896"/>
        <n v="1895"/>
        <n v="1894"/>
        <n v="1893"/>
        <n v="1892"/>
        <n v="1891"/>
        <n v="1890"/>
        <n v="1889"/>
        <n v="1888"/>
        <n v="1887"/>
        <n v="1886"/>
        <n v="1885"/>
        <n v="1884"/>
        <n v="1883"/>
        <n v="1882"/>
        <n v="1881"/>
        <n v="1880"/>
        <n v="1879"/>
        <n v="1878"/>
        <n v="1877"/>
        <n v="1876"/>
        <n v="1875"/>
        <n v="1874"/>
        <n v="1873"/>
        <n v="1872"/>
        <n v="1871"/>
        <n v="1870"/>
        <n v="1869"/>
        <n v="1868"/>
        <n v="1867"/>
        <n v="1866"/>
        <n v="1865"/>
        <n v="1864"/>
        <n v="1863"/>
        <n v="1862"/>
        <n v="1861"/>
        <n v="1860"/>
        <n v="1859"/>
        <n v="1858"/>
        <n v="1857"/>
        <n v="1856"/>
        <n v="1855"/>
        <n v="1854"/>
        <n v="1853"/>
        <n v="1852"/>
        <n v="1851"/>
        <n v="1850"/>
        <n v="1849"/>
        <n v="1848"/>
        <n v="1847"/>
        <n v="1846"/>
        <n v="1845"/>
        <n v="1844"/>
        <n v="1843"/>
        <n v="1842"/>
        <n v="1841"/>
        <n v="1840"/>
        <n v="1839"/>
        <n v="1838"/>
        <n v="1837"/>
        <n v="1836"/>
        <n v="1835"/>
        <n v="1834"/>
        <n v="1833"/>
        <n v="1832"/>
        <n v="1831"/>
        <n v="1830"/>
        <n v="1829"/>
        <n v="1828"/>
        <n v="1827"/>
        <n v="1826"/>
        <n v="1825"/>
        <n v="1824"/>
        <n v="1823"/>
        <n v="1822"/>
        <n v="1821"/>
        <n v="1820"/>
        <n v="1819"/>
        <n v="1818"/>
        <n v="1817"/>
        <n v="1816"/>
        <n v="1815"/>
        <n v="1814"/>
        <n v="1813"/>
        <n v="1812"/>
        <n v="1811"/>
        <n v="1810"/>
        <n v="1809"/>
        <n v="1808"/>
        <n v="1807"/>
        <n v="1806"/>
        <n v="1805"/>
        <n v="1804"/>
        <n v="1803"/>
        <n v="1802"/>
        <n v="1801"/>
        <n v="1800"/>
        <n v="1799"/>
        <n v="1798"/>
        <n v="1797"/>
        <n v="1796"/>
        <n v="1795"/>
        <n v="1794"/>
        <n v="1793"/>
        <n v="1792"/>
        <n v="1791"/>
        <n v="1790"/>
        <n v="1789"/>
        <n v="1788"/>
        <n v="1787"/>
        <n v="1786"/>
        <n v="1785"/>
        <n v="1784"/>
        <n v="1783"/>
        <n v="1782"/>
        <n v="1781"/>
        <n v="1780"/>
        <n v="1779"/>
        <n v="1778"/>
        <n v="1777"/>
        <n v="1776"/>
        <n v="1775"/>
        <n v="1774"/>
        <n v="1773"/>
        <n v="1772"/>
        <n v="1771"/>
        <n v="1770"/>
        <n v="1769"/>
        <n v="1768"/>
        <n v="1767"/>
        <n v="1766"/>
        <n v="1765"/>
        <n v="1764"/>
        <n v="1763"/>
        <n v="1762"/>
        <n v="1761"/>
        <n v="1760"/>
        <n v="1759"/>
        <n v="1758"/>
        <n v="1757"/>
        <n v="1756"/>
        <n v="1755"/>
        <n v="1754"/>
        <n v="1753"/>
        <n v="1752"/>
        <n v="1751"/>
        <n v="1750"/>
        <n v="1749"/>
        <n v="1748"/>
        <n v="1747"/>
        <n v="1746"/>
        <n v="1745"/>
        <n v="1744"/>
        <n v="1743"/>
        <n v="1742"/>
        <n v="1741"/>
        <n v="1740"/>
        <n v="1739"/>
        <n v="1738"/>
        <n v="1737"/>
        <n v="1736"/>
        <n v="1735"/>
        <n v="1734"/>
        <n v="1733"/>
        <n v="1732"/>
        <n v="1731"/>
        <n v="1730"/>
        <n v="1729"/>
        <n v="1728"/>
        <n v="1727"/>
        <n v="1726"/>
        <n v="1725"/>
        <n v="1724"/>
        <n v="1723"/>
        <n v="1722"/>
        <n v="1721"/>
        <n v="1720"/>
        <n v="1719"/>
        <n v="1718"/>
        <n v="1717"/>
        <n v="1716"/>
        <n v="1715"/>
        <n v="1714"/>
        <n v="1713"/>
        <n v="1712"/>
        <n v="1711"/>
        <n v="1710"/>
        <n v="1709"/>
        <n v="1708"/>
        <n v="1707"/>
        <n v="1706"/>
        <n v="1705"/>
        <n v="1704"/>
        <n v="1703"/>
        <n v="1702"/>
        <n v="1701"/>
        <n v="1700"/>
        <n v="1699"/>
        <n v="1698"/>
        <n v="1697"/>
        <n v="1696"/>
        <n v="1695"/>
        <n v="1694"/>
        <n v="1693"/>
        <n v="1692"/>
        <n v="1691"/>
        <n v="1690"/>
        <n v="1689"/>
        <n v="1688"/>
        <n v="1687"/>
        <n v="1686"/>
        <n v="1685"/>
        <n v="1684"/>
        <n v="1683"/>
        <n v="1682"/>
        <n v="1681"/>
        <n v="1680"/>
        <n v="1679"/>
        <n v="1678"/>
        <n v="1677"/>
        <n v="1676"/>
        <n v="1675"/>
        <n v="1674"/>
        <n v="1673"/>
        <n v="1672"/>
        <n v="1671"/>
        <n v="1670"/>
        <n v="1669"/>
        <n v="1668"/>
        <n v="1667"/>
        <n v="1666"/>
        <n v="1665"/>
        <n v="1664"/>
        <n v="1663"/>
        <n v="1662"/>
        <n v="1661"/>
        <n v="1660"/>
        <n v="1659"/>
        <n v="1658"/>
        <n v="1657"/>
        <n v="1656"/>
        <n v="1655"/>
        <n v="1654"/>
        <n v="1653"/>
        <n v="1652"/>
        <n v="1651"/>
        <n v="1650"/>
        <n v="1649"/>
        <n v="1648"/>
        <n v="1647"/>
        <n v="1646"/>
        <n v="1645"/>
        <n v="1644"/>
        <n v="1643"/>
        <n v="1642"/>
        <n v="1641"/>
        <n v="1640"/>
        <n v="1639"/>
        <n v="1638"/>
        <n v="1637"/>
        <n v="1636"/>
        <n v="1635"/>
        <n v="1634"/>
        <n v="1633"/>
        <n v="1632"/>
        <n v="1631"/>
        <n v="1630"/>
        <n v="1629"/>
        <n v="1628"/>
        <n v="1627"/>
        <n v="1626"/>
        <n v="1625"/>
        <n v="1624"/>
        <n v="1623"/>
        <n v="1622"/>
        <n v="1621"/>
        <n v="1620"/>
        <n v="1619"/>
        <n v="1618"/>
        <n v="1617"/>
        <n v="1616"/>
        <n v="1615"/>
        <n v="1614"/>
        <n v="1613"/>
        <n v="1612"/>
        <n v="1611"/>
        <n v="1610"/>
        <n v="1609"/>
        <n v="1608"/>
        <n v="1607"/>
        <n v="1606"/>
        <n v="1605"/>
        <n v="1604"/>
        <n v="1603"/>
        <n v="1602"/>
        <n v="1601"/>
        <n v="1600"/>
        <n v="1599"/>
        <n v="1598"/>
        <n v="1597"/>
        <n v="1596"/>
        <n v="1595"/>
        <n v="1594"/>
        <n v="1593"/>
        <n v="1592"/>
        <n v="1591"/>
        <n v="1590"/>
        <n v="1589"/>
        <n v="1588"/>
        <n v="1587"/>
        <n v="1586"/>
        <n v="1585"/>
        <n v="1584"/>
        <n v="1583"/>
        <n v="1582"/>
        <n v="1581"/>
        <n v="1580"/>
        <n v="1579"/>
        <n v="1578"/>
        <n v="1577"/>
        <n v="1576"/>
        <n v="1575"/>
        <n v="1574"/>
        <n v="1573"/>
        <n v="1572"/>
        <n v="1571"/>
        <n v="1570"/>
        <n v="1569"/>
        <n v="1568"/>
        <n v="1567"/>
        <n v="1566"/>
        <n v="1565"/>
        <n v="1564"/>
        <n v="1563"/>
        <n v="1562"/>
        <n v="1561"/>
        <n v="1560"/>
        <n v="1559"/>
        <n v="1558"/>
        <n v="1557"/>
        <n v="1556"/>
        <n v="1555"/>
        <n v="1554"/>
        <n v="1553"/>
        <n v="1552"/>
        <n v="1551"/>
        <n v="1550"/>
        <n v="1549"/>
        <n v="1548"/>
        <n v="1547"/>
        <n v="1546"/>
        <n v="1545"/>
        <n v="1544"/>
        <n v="1543"/>
        <n v="1542"/>
        <n v="1541"/>
        <n v="1540"/>
        <n v="1539"/>
        <n v="1538"/>
        <n v="1537"/>
        <n v="1536"/>
        <n v="1535"/>
        <n v="1534"/>
        <n v="1533"/>
        <n v="1532"/>
        <n v="1531"/>
        <n v="1530"/>
        <n v="1529"/>
        <n v="1528"/>
        <n v="1527"/>
        <n v="1526"/>
        <n v="1525"/>
        <n v="1524"/>
        <n v="1523"/>
        <n v="1522"/>
        <n v="1521"/>
        <n v="1520"/>
        <n v="1519"/>
        <n v="1518"/>
        <n v="1517"/>
        <n v="1516"/>
        <n v="1515"/>
        <n v="1514"/>
        <n v="1513"/>
        <n v="1512"/>
        <n v="1511"/>
        <n v="1510"/>
        <n v="1509"/>
        <n v="1508"/>
        <n v="1507"/>
        <n v="1506"/>
        <n v="1505"/>
        <n v="1504"/>
        <n v="1503"/>
        <n v="1502"/>
        <n v="1501"/>
        <n v="1500"/>
        <n v="1499"/>
        <n v="1498"/>
        <n v="1497"/>
        <n v="1496"/>
        <n v="1495"/>
        <n v="1494"/>
        <n v="1493"/>
        <n v="1492"/>
        <n v="1491"/>
        <n v="1490"/>
        <n v="1489"/>
        <n v="1488"/>
        <n v="1487"/>
        <n v="1486"/>
        <n v="1485"/>
        <n v="1484"/>
        <n v="1483"/>
        <n v="1482"/>
        <n v="1481"/>
        <n v="1480"/>
        <n v="1479"/>
        <n v="1478"/>
        <n v="1477"/>
        <n v="1476"/>
        <n v="1475"/>
        <n v="1474"/>
        <n v="1473"/>
        <n v="1472"/>
        <n v="1471"/>
        <n v="1470"/>
        <n v="1469"/>
        <n v="1468"/>
        <n v="1467"/>
        <n v="1466"/>
        <n v="1465"/>
        <n v="1464"/>
        <n v="1463"/>
        <n v="1462"/>
        <n v="1461"/>
        <n v="1460"/>
        <n v="1459"/>
        <n v="1458"/>
        <n v="1457"/>
        <n v="1456"/>
        <n v="1455"/>
        <n v="1454"/>
        <n v="1453"/>
        <n v="1452"/>
        <n v="1451"/>
        <n v="1450"/>
        <n v="1449"/>
        <n v="1448"/>
        <n v="1447"/>
        <n v="1446"/>
        <n v="1445"/>
        <n v="1444"/>
        <n v="1443"/>
        <n v="1442"/>
        <n v="1441"/>
        <n v="1440"/>
        <n v="1439"/>
        <n v="1438"/>
        <n v="1437"/>
        <n v="1436"/>
        <n v="1435"/>
        <n v="1434"/>
        <n v="1433"/>
        <n v="1432"/>
        <n v="1431"/>
        <n v="1430"/>
        <n v="1429"/>
        <n v="1428"/>
        <n v="1427"/>
        <n v="1426"/>
        <n v="1425"/>
        <n v="1424"/>
        <n v="1423"/>
        <n v="1422"/>
        <n v="1421"/>
        <n v="1420"/>
        <n v="1419"/>
        <n v="1418"/>
        <n v="1417"/>
        <n v="1416"/>
        <n v="1415"/>
        <n v="1414"/>
        <n v="1413"/>
        <n v="1412"/>
        <n v="1411"/>
        <n v="1410"/>
        <n v="1409"/>
        <n v="1408"/>
        <n v="1407"/>
        <n v="1406"/>
        <n v="1405"/>
        <n v="1404"/>
        <n v="1403"/>
        <n v="1402"/>
        <n v="1401"/>
        <n v="1400"/>
        <n v="1399"/>
        <n v="1398"/>
        <n v="1397"/>
        <n v="1396"/>
        <n v="1395"/>
        <n v="1394"/>
        <n v="1393"/>
        <n v="1392"/>
        <n v="1391"/>
        <n v="1390"/>
        <n v="1389"/>
        <n v="1388"/>
        <n v="1387"/>
        <n v="1386"/>
        <n v="1385"/>
        <n v="1384"/>
        <n v="1383"/>
        <n v="1382"/>
        <n v="1381"/>
        <n v="1380"/>
        <n v="1379"/>
        <n v="1378"/>
        <n v="1377"/>
        <n v="1376"/>
        <n v="1375"/>
        <n v="1374"/>
        <n v="1373"/>
        <n v="1372"/>
        <n v="1371"/>
        <n v="1370"/>
        <n v="1369"/>
        <n v="1368"/>
        <n v="1367"/>
        <n v="1366"/>
        <n v="1365"/>
        <n v="1364"/>
        <n v="1363"/>
        <n v="1362"/>
        <n v="1361"/>
        <n v="1360"/>
        <n v="1359"/>
        <n v="1358"/>
        <n v="1357"/>
        <n v="1356"/>
        <n v="1355"/>
        <n v="1354"/>
        <n v="1353"/>
        <n v="1352"/>
        <n v="1351"/>
        <n v="1350"/>
        <n v="1349"/>
        <n v="1348"/>
        <n v="1347"/>
        <n v="1346"/>
        <n v="1345"/>
        <n v="1344"/>
        <n v="1343"/>
        <n v="1342"/>
        <n v="1341"/>
        <n v="1340"/>
        <n v="1339"/>
        <n v="1338"/>
        <n v="1337"/>
        <n v="1336"/>
        <n v="1335"/>
        <n v="1334"/>
        <n v="1333"/>
        <n v="1332"/>
        <n v="1331"/>
        <n v="1330"/>
        <n v="1329"/>
        <n v="1328"/>
        <n v="1327"/>
        <n v="1326"/>
        <n v="1325"/>
        <n v="1324"/>
        <n v="1323"/>
        <n v="1322"/>
        <n v="1321"/>
        <n v="1320"/>
        <n v="1319"/>
        <n v="1318"/>
        <n v="1317"/>
        <n v="1316"/>
        <n v="1315"/>
        <n v="1314"/>
        <n v="1313"/>
        <n v="1312"/>
        <n v="1311"/>
        <n v="1310"/>
        <n v="1309"/>
        <n v="1308"/>
        <n v="1307"/>
        <n v="1306"/>
        <n v="1305"/>
        <n v="1304"/>
        <n v="1303"/>
        <n v="1302"/>
        <n v="1301"/>
        <n v="1300"/>
        <n v="1299"/>
        <n v="1298"/>
        <n v="1297"/>
        <n v="1296"/>
        <n v="1295"/>
        <n v="1294"/>
        <n v="1293"/>
        <n v="1292"/>
        <n v="1291"/>
        <n v="1290"/>
        <n v="1289"/>
        <n v="1288"/>
        <n v="1287"/>
        <n v="1286"/>
        <n v="1285"/>
        <n v="1284"/>
        <n v="1283"/>
        <n v="1282"/>
        <n v="1281"/>
        <n v="1280"/>
        <n v="1279"/>
        <n v="1278"/>
        <n v="1277"/>
        <n v="1276"/>
        <n v="1275"/>
        <n v="1274"/>
        <n v="1273"/>
        <n v="1272"/>
        <n v="1271"/>
        <n v="1270"/>
        <n v="1269"/>
        <n v="1268"/>
        <n v="1267"/>
        <n v="1266"/>
        <n v="1265"/>
        <n v="1264"/>
        <n v="1263"/>
        <n v="1262"/>
        <n v="1261"/>
        <n v="1260"/>
        <n v="1259"/>
        <n v="1258"/>
        <n v="1257"/>
        <n v="1256"/>
        <n v="1255"/>
        <n v="1254"/>
        <n v="1253"/>
        <n v="1252"/>
        <n v="1251"/>
        <n v="1250"/>
        <n v="1249"/>
        <n v="1248"/>
        <n v="1247"/>
        <n v="1246"/>
        <n v="1245"/>
        <n v="1244"/>
        <n v="1243"/>
        <n v="1242"/>
        <n v="1241"/>
        <n v="1240"/>
        <n v="1239"/>
        <n v="1238"/>
        <n v="1237"/>
        <n v="1236"/>
        <n v="1235"/>
        <n v="1234"/>
        <n v="1233"/>
        <n v="1232"/>
        <n v="1231"/>
        <n v="1230"/>
        <n v="1229"/>
        <n v="1228"/>
        <n v="1227"/>
        <n v="1226"/>
        <n v="1225"/>
        <n v="1224"/>
        <n v="1223"/>
        <n v="1222"/>
        <n v="1221"/>
        <n v="1220"/>
        <n v="1219"/>
        <n v="1218"/>
        <n v="1217"/>
        <n v="1216"/>
        <n v="1215"/>
        <n v="1214"/>
        <n v="1213"/>
        <n v="1212"/>
        <n v="1211"/>
        <n v="1210"/>
        <n v="1209"/>
        <n v="1208"/>
        <n v="1207"/>
        <n v="1206"/>
        <n v="1205"/>
        <n v="1204"/>
        <n v="1203"/>
        <n v="1202"/>
        <n v="1201"/>
        <n v="1200"/>
        <n v="1199"/>
        <n v="1198"/>
        <n v="1197"/>
        <n v="1196"/>
        <n v="1195"/>
        <n v="1194"/>
        <n v="1193"/>
        <n v="1192"/>
        <n v="1191"/>
        <n v="1190"/>
        <n v="1189"/>
        <n v="1188"/>
        <n v="1187"/>
        <n v="1186"/>
        <n v="1185"/>
        <n v="1184"/>
        <n v="1183"/>
        <n v="1182"/>
        <n v="1181"/>
        <n v="1180"/>
        <n v="1179"/>
        <n v="1178"/>
        <n v="1177"/>
        <n v="1176"/>
        <n v="1175"/>
        <n v="1174"/>
        <n v="1173"/>
        <n v="1172"/>
        <n v="1171"/>
        <n v="1170"/>
        <n v="1169"/>
        <n v="1168"/>
        <n v="1167"/>
        <n v="1166"/>
        <n v="1165"/>
        <n v="1164"/>
        <n v="1163"/>
        <n v="1162"/>
        <n v="1161"/>
        <n v="1160"/>
        <n v="1159"/>
        <n v="1158"/>
        <n v="1157"/>
        <n v="1156"/>
        <n v="1155"/>
        <n v="1154"/>
        <n v="1153"/>
        <n v="1152"/>
        <n v="1151"/>
        <n v="1150"/>
        <n v="1149"/>
        <n v="1148"/>
        <n v="1147"/>
        <n v="1146"/>
        <n v="1145"/>
        <n v="1144"/>
        <n v="1143"/>
        <n v="1142"/>
        <n v="1141"/>
        <n v="1140"/>
        <n v="1139"/>
        <n v="1138"/>
        <n v="1137"/>
        <n v="1136"/>
        <n v="1135"/>
        <n v="1134"/>
        <n v="1133"/>
        <n v="1132"/>
        <n v="1131"/>
        <n v="1130"/>
        <n v="1129"/>
        <n v="1128"/>
        <n v="1127"/>
        <n v="1126"/>
        <n v="1125"/>
        <n v="1124"/>
        <n v="1123"/>
        <n v="1122"/>
        <n v="1121"/>
        <n v="1120"/>
        <n v="1119"/>
        <n v="1118"/>
        <n v="1117"/>
        <n v="1116"/>
        <n v="1115"/>
        <n v="1114"/>
        <n v="1113"/>
        <n v="1112"/>
        <n v="1111"/>
        <n v="1110"/>
        <n v="1109"/>
        <n v="1108"/>
        <n v="1107"/>
        <n v="1106"/>
        <n v="1105"/>
        <n v="1104"/>
        <n v="1103"/>
        <n v="1102"/>
        <n v="1101"/>
        <n v="1100"/>
        <n v="1099"/>
        <n v="1098"/>
        <n v="1097"/>
        <n v="1096"/>
        <n v="1095"/>
        <n v="1094"/>
        <n v="1093"/>
        <n v="1092"/>
        <n v="1091"/>
        <n v="1090"/>
        <n v="1089"/>
        <n v="1088"/>
        <n v="1087"/>
        <n v="1086"/>
        <n v="1085"/>
        <n v="1084"/>
        <n v="1083"/>
        <n v="1082"/>
        <n v="1081"/>
        <n v="1080"/>
        <n v="1079"/>
        <n v="1078"/>
        <n v="1077"/>
        <n v="1076"/>
        <n v="1075"/>
        <n v="1074"/>
        <n v="1073"/>
        <n v="1072"/>
        <n v="1071"/>
        <n v="1070"/>
        <n v="1069"/>
        <n v="1068"/>
        <n v="1067"/>
        <n v="1066"/>
        <n v="1065"/>
        <n v="1064"/>
        <n v="1063"/>
        <n v="1062"/>
        <n v="1061"/>
        <n v="1060"/>
        <n v="1059"/>
        <n v="1058"/>
        <n v="1057"/>
        <n v="1056"/>
        <n v="1055"/>
        <n v="1054"/>
        <n v="1053"/>
        <n v="1052"/>
        <n v="1051"/>
        <n v="1050"/>
        <n v="1049"/>
        <n v="1048"/>
        <n v="1047"/>
        <n v="1046"/>
        <n v="1045"/>
        <n v="1044"/>
        <n v="1043"/>
        <n v="1042"/>
        <n v="1041"/>
        <n v="1040"/>
        <n v="1039"/>
        <n v="1038"/>
        <n v="1037"/>
        <n v="1036"/>
        <n v="1035"/>
        <n v="1034"/>
        <n v="1033"/>
        <n v="1032"/>
        <n v="1031"/>
        <n v="1030"/>
        <n v="1029"/>
        <n v="1028"/>
        <n v="1027"/>
        <n v="1026"/>
        <n v="1025"/>
        <n v="1024"/>
        <n v="1023"/>
        <n v="1022"/>
        <n v="1021"/>
        <n v="1020"/>
        <n v="1019"/>
        <n v="1018"/>
        <n v="1017"/>
        <n v="1016"/>
        <n v="1015"/>
        <n v="1014"/>
        <n v="1013"/>
        <n v="1012"/>
        <n v="1011"/>
        <n v="1010"/>
        <n v="1009"/>
        <n v="1008"/>
        <n v="1007"/>
        <n v="1006"/>
        <n v="1005"/>
        <n v="1004"/>
        <n v="1003"/>
        <n v="1002"/>
        <n v="1001"/>
        <n v="1000"/>
        <n v="999"/>
        <n v="998"/>
        <n v="997"/>
        <n v="996"/>
        <n v="995"/>
        <n v="994"/>
        <n v="993"/>
        <n v="992"/>
        <n v="991"/>
        <n v="990"/>
        <n v="989"/>
        <n v="988"/>
        <n v="987"/>
        <n v="986"/>
        <n v="985"/>
        <n v="984"/>
        <n v="983"/>
        <n v="982"/>
        <n v="981"/>
        <n v="980"/>
        <n v="979"/>
        <n v="978"/>
        <n v="977"/>
        <n v="976"/>
        <n v="975"/>
        <n v="974"/>
        <n v="973"/>
        <n v="972"/>
        <n v="971"/>
        <n v="970"/>
        <n v="969"/>
        <n v="968"/>
        <n v="967"/>
        <n v="966"/>
        <n v="965"/>
        <n v="964"/>
        <n v="963"/>
        <n v="962"/>
        <n v="961"/>
        <n v="960"/>
        <n v="959"/>
        <n v="958"/>
        <n v="957"/>
        <n v="956"/>
        <n v="955"/>
        <n v="954"/>
        <n v="953"/>
        <n v="952"/>
        <n v="951"/>
        <n v="950"/>
        <n v="949"/>
        <n v="948"/>
        <n v="947"/>
        <n v="946"/>
        <n v="945"/>
        <n v="944"/>
        <n v="943"/>
        <n v="942"/>
        <n v="941"/>
        <n v="940"/>
        <n v="939"/>
        <n v="938"/>
        <n v="937"/>
        <n v="936"/>
        <n v="935"/>
        <n v="934"/>
        <n v="933"/>
        <n v="932"/>
        <n v="931"/>
        <n v="930"/>
        <n v="929"/>
        <n v="928"/>
        <n v="927"/>
        <n v="926"/>
        <n v="925"/>
        <n v="924"/>
        <n v="923"/>
        <n v="922"/>
        <n v="921"/>
        <n v="920"/>
        <n v="919"/>
        <n v="918"/>
        <n v="917"/>
        <n v="916"/>
        <n v="915"/>
        <n v="914"/>
        <n v="913"/>
        <n v="912"/>
        <n v="911"/>
        <n v="910"/>
        <n v="909"/>
        <n v="908"/>
        <n v="907"/>
        <n v="906"/>
        <n v="905"/>
        <n v="904"/>
        <n v="903"/>
        <n v="902"/>
        <n v="901"/>
        <n v="900"/>
        <n v="899"/>
        <n v="898"/>
        <n v="897"/>
        <n v="896"/>
        <n v="895"/>
        <n v="894"/>
        <n v="893"/>
        <n v="892"/>
        <n v="891"/>
        <n v="890"/>
        <n v="889"/>
        <n v="888"/>
        <n v="887"/>
        <n v="886"/>
        <n v="885"/>
        <n v="884"/>
        <n v="883"/>
        <n v="882"/>
        <n v="881"/>
        <n v="880"/>
        <n v="879"/>
        <n v="878"/>
        <n v="877"/>
        <n v="876"/>
        <n v="875"/>
        <n v="874"/>
        <n v="873"/>
        <n v="872"/>
        <n v="871"/>
        <n v="870"/>
        <n v="869"/>
        <n v="868"/>
        <n v="867"/>
        <n v="866"/>
        <n v="865"/>
        <n v="864"/>
        <n v="863"/>
        <n v="862"/>
        <n v="861"/>
        <n v="860"/>
        <n v="859"/>
        <n v="858"/>
        <n v="857"/>
        <n v="856"/>
        <n v="855"/>
        <n v="854"/>
        <n v="853"/>
        <n v="852"/>
        <n v="851"/>
        <n v="850"/>
        <n v="849"/>
        <n v="848"/>
        <n v="847"/>
        <n v="846"/>
        <n v="845"/>
        <n v="844"/>
        <n v="843"/>
        <n v="842"/>
        <n v="841"/>
        <n v="840"/>
        <n v="839"/>
        <n v="838"/>
        <n v="837"/>
        <n v="836"/>
        <n v="835"/>
        <n v="834"/>
        <n v="833"/>
        <n v="832"/>
        <n v="831"/>
        <n v="830"/>
        <n v="829"/>
        <n v="828"/>
        <n v="827"/>
        <n v="826"/>
        <n v="825"/>
        <n v="824"/>
        <n v="823"/>
        <n v="822"/>
        <n v="821"/>
        <n v="820"/>
        <n v="819"/>
        <n v="818"/>
        <n v="817"/>
        <n v="816"/>
        <n v="815"/>
        <n v="814"/>
        <n v="813"/>
        <n v="812"/>
        <n v="811"/>
        <n v="810"/>
        <n v="809"/>
        <n v="808"/>
        <n v="807"/>
        <n v="806"/>
        <n v="805"/>
        <n v="804"/>
        <n v="803"/>
        <n v="802"/>
        <n v="801"/>
        <n v="800"/>
        <n v="799"/>
        <n v="798"/>
        <n v="797"/>
        <n v="796"/>
        <n v="795"/>
        <n v="794"/>
        <n v="793"/>
        <n v="792"/>
        <n v="791"/>
        <n v="790"/>
        <n v="789"/>
        <n v="788"/>
        <n v="787"/>
        <n v="786"/>
        <n v="785"/>
        <n v="784"/>
        <n v="783"/>
        <n v="782"/>
        <n v="781"/>
        <n v="780"/>
        <n v="779"/>
        <n v="778"/>
        <n v="777"/>
        <n v="776"/>
        <n v="775"/>
        <n v="774"/>
        <n v="773"/>
        <n v="772"/>
        <n v="771"/>
        <n v="770"/>
        <n v="769"/>
        <n v="768"/>
        <n v="767"/>
        <n v="766"/>
        <n v="765"/>
        <n v="764"/>
        <n v="763"/>
        <n v="762"/>
        <n v="761"/>
        <n v="760"/>
        <n v="759"/>
        <n v="758"/>
        <n v="757"/>
        <n v="756"/>
        <n v="755"/>
        <n v="754"/>
        <n v="753"/>
        <n v="752"/>
        <n v="751"/>
        <n v="750"/>
        <n v="749"/>
        <n v="748"/>
        <n v="747"/>
        <n v="746"/>
        <n v="745"/>
        <n v="744"/>
        <n v="743"/>
        <n v="742"/>
        <n v="741"/>
        <n v="740"/>
        <n v="739"/>
        <n v="738"/>
        <n v="737"/>
        <n v="736"/>
        <n v="735"/>
        <n v="734"/>
        <n v="733"/>
        <n v="732"/>
        <n v="731"/>
        <n v="730"/>
        <n v="729"/>
        <n v="728"/>
        <n v="727"/>
        <n v="726"/>
        <n v="725"/>
        <n v="724"/>
        <n v="723"/>
        <n v="722"/>
        <n v="721"/>
        <n v="720"/>
        <n v="719"/>
        <n v="718"/>
        <n v="717"/>
        <n v="716"/>
        <n v="715"/>
        <n v="714"/>
        <n v="713"/>
        <n v="712"/>
        <n v="711"/>
        <n v="710"/>
        <n v="709"/>
        <n v="708"/>
        <n v="707"/>
        <n v="706"/>
        <n v="705"/>
        <n v="704"/>
        <n v="703"/>
        <n v="702"/>
        <n v="701"/>
        <n v="700"/>
        <n v="699"/>
        <n v="698"/>
        <n v="697"/>
        <n v="696"/>
        <n v="695"/>
        <n v="694"/>
        <n v="693"/>
        <n v="692"/>
        <n v="691"/>
        <n v="690"/>
        <n v="689"/>
        <n v="688"/>
        <n v="687"/>
        <n v="686"/>
        <n v="685"/>
        <n v="684"/>
        <n v="683"/>
        <n v="682"/>
        <n v="681"/>
        <n v="680"/>
        <n v="679"/>
        <n v="678"/>
        <n v="677"/>
        <n v="676"/>
        <n v="675"/>
        <n v="674"/>
        <n v="673"/>
        <n v="672"/>
        <n v="671"/>
        <n v="670"/>
        <n v="669"/>
        <n v="668"/>
        <n v="667"/>
        <n v="666"/>
        <n v="665"/>
        <n v="664"/>
        <n v="663"/>
        <n v="662"/>
        <n v="661"/>
        <n v="660"/>
        <n v="659"/>
        <n v="658"/>
        <n v="657"/>
        <n v="656"/>
        <n v="655"/>
        <n v="654"/>
        <n v="653"/>
        <n v="652"/>
        <n v="651"/>
        <n v="650"/>
        <n v="649"/>
        <n v="648"/>
        <n v="647"/>
        <n v="646"/>
        <n v="645"/>
        <n v="644"/>
        <n v="643"/>
        <n v="642"/>
        <n v="641"/>
        <n v="640"/>
        <n v="639"/>
        <n v="638"/>
        <n v="637"/>
        <n v="636"/>
        <n v="635"/>
        <n v="634"/>
        <n v="633"/>
        <n v="632"/>
        <n v="631"/>
        <n v="630"/>
        <n v="629"/>
        <n v="628"/>
        <n v="627"/>
        <n v="626"/>
        <n v="625"/>
        <n v="624"/>
        <n v="623"/>
        <n v="622"/>
        <n v="621"/>
        <n v="620"/>
        <n v="619"/>
        <n v="618"/>
        <n v="617"/>
        <n v="616"/>
        <n v="615"/>
        <n v="614"/>
        <n v="613"/>
        <n v="612"/>
        <n v="611"/>
        <n v="610"/>
        <n v="609"/>
        <n v="608"/>
        <n v="607"/>
        <n v="606"/>
        <n v="605"/>
        <n v="604"/>
        <n v="603"/>
        <n v="602"/>
        <n v="601"/>
        <n v="600"/>
        <n v="599"/>
        <n v="598"/>
        <n v="597"/>
        <n v="596"/>
        <n v="595"/>
        <n v="594"/>
        <n v="593"/>
        <n v="592"/>
        <n v="591"/>
        <n v="590"/>
        <n v="589"/>
        <n v="588"/>
        <n v="587"/>
        <n v="586"/>
        <n v="585"/>
        <n v="584"/>
        <n v="583"/>
        <n v="582"/>
        <n v="581"/>
        <n v="580"/>
        <n v="579"/>
        <n v="578"/>
        <n v="577"/>
        <n v="576"/>
        <n v="575"/>
        <n v="574"/>
        <n v="573"/>
        <n v="572"/>
        <n v="571"/>
        <n v="570"/>
        <n v="569"/>
        <n v="568"/>
        <n v="567"/>
        <n v="566"/>
        <n v="565"/>
        <n v="564"/>
        <n v="563"/>
        <n v="562"/>
        <n v="561"/>
        <n v="560"/>
        <n v="559"/>
        <n v="558"/>
        <n v="557"/>
        <n v="556"/>
        <n v="555"/>
        <n v="554"/>
        <n v="553"/>
        <n v="552"/>
        <n v="551"/>
        <n v="550"/>
        <n v="549"/>
        <n v="548"/>
        <n v="547"/>
        <n v="546"/>
        <n v="545"/>
        <n v="544"/>
        <n v="543"/>
        <n v="542"/>
        <n v="541"/>
        <n v="540"/>
        <n v="539"/>
        <n v="538"/>
        <n v="537"/>
        <n v="536"/>
        <n v="535"/>
        <n v="534"/>
        <n v="533"/>
        <n v="532"/>
        <n v="531"/>
        <n v="530"/>
        <n v="529"/>
        <n v="528"/>
        <n v="527"/>
        <n v="526"/>
        <n v="525"/>
        <n v="524"/>
        <n v="523"/>
        <n v="522"/>
        <n v="521"/>
        <n v="520"/>
        <n v="519"/>
        <n v="518"/>
        <n v="517"/>
        <n v="516"/>
        <n v="515"/>
        <n v="514"/>
        <n v="513"/>
        <n v="512"/>
        <n v="511"/>
        <n v="510"/>
        <n v="509"/>
        <n v="508"/>
        <n v="507"/>
        <n v="506"/>
        <n v="505"/>
        <n v="504"/>
        <n v="503"/>
        <n v="502"/>
        <n v="501"/>
        <n v="500"/>
        <n v="499"/>
        <n v="498"/>
        <n v="497"/>
        <n v="496"/>
        <n v="495"/>
        <n v="494"/>
        <n v="493"/>
        <n v="492"/>
        <n v="491"/>
        <n v="490"/>
        <n v="489"/>
        <n v="488"/>
        <n v="487"/>
        <n v="486"/>
        <n v="485"/>
        <n v="484"/>
        <n v="483"/>
        <n v="482"/>
        <n v="481"/>
        <n v="480"/>
        <n v="479"/>
        <n v="478"/>
        <n v="477"/>
        <n v="476"/>
        <n v="475"/>
        <n v="474"/>
        <n v="473"/>
        <n v="472"/>
        <n v="471"/>
        <n v="470"/>
        <n v="469"/>
        <n v="468"/>
        <n v="467"/>
        <n v="466"/>
        <n v="465"/>
        <n v="464"/>
        <n v="463"/>
        <n v="462"/>
        <n v="461"/>
        <n v="460"/>
        <n v="459"/>
        <n v="458"/>
        <n v="457"/>
        <n v="456"/>
        <n v="455"/>
        <n v="454"/>
        <n v="453"/>
        <n v="452"/>
        <n v="451"/>
        <n v="450"/>
        <n v="449"/>
        <n v="448"/>
        <n v="447"/>
        <n v="446"/>
        <n v="445"/>
        <n v="444"/>
        <n v="443"/>
        <n v="442"/>
        <n v="441"/>
        <n v="440"/>
        <n v="439"/>
        <n v="438"/>
        <n v="437"/>
        <n v="436"/>
        <n v="435"/>
        <n v="434"/>
        <n v="433"/>
        <n v="432"/>
        <n v="431"/>
        <n v="430"/>
        <n v="429"/>
        <n v="428"/>
        <n v="427"/>
        <n v="426"/>
        <n v="425"/>
        <n v="424"/>
        <n v="423"/>
        <n v="422"/>
        <n v="421"/>
        <n v="420"/>
        <n v="419"/>
        <n v="418"/>
        <n v="417"/>
        <n v="416"/>
        <n v="415"/>
        <n v="414"/>
        <n v="413"/>
        <n v="412"/>
        <n v="411"/>
        <n v="410"/>
        <n v="409"/>
        <n v="408"/>
        <n v="407"/>
        <n v="406"/>
        <n v="405"/>
        <n v="404"/>
        <n v="403"/>
        <n v="402"/>
        <n v="401"/>
        <n v="400"/>
        <n v="399"/>
        <n v="398"/>
        <n v="397"/>
        <n v="396"/>
        <n v="395"/>
        <n v="394"/>
        <n v="393"/>
        <n v="392"/>
        <n v="391"/>
        <n v="390"/>
        <n v="389"/>
        <n v="388"/>
        <n v="387"/>
        <n v="386"/>
        <n v="385"/>
        <n v="384"/>
        <n v="383"/>
        <n v="382"/>
        <n v="381"/>
        <n v="380"/>
        <n v="379"/>
        <n v="378"/>
        <n v="377"/>
        <n v="376"/>
        <n v="375"/>
        <n v="374"/>
        <n v="373"/>
        <n v="372"/>
        <n v="371"/>
        <n v="370"/>
        <n v="369"/>
        <n v="368"/>
        <n v="367"/>
        <n v="366"/>
        <n v="365"/>
        <n v="364"/>
        <n v="363"/>
        <n v="362"/>
        <n v="361"/>
        <n v="360"/>
        <n v="359"/>
        <n v="358"/>
        <n v="357"/>
        <n v="356"/>
        <n v="355"/>
        <n v="354"/>
        <n v="353"/>
        <n v="352"/>
        <n v="351"/>
        <n v="350"/>
        <n v="349"/>
        <n v="348"/>
        <n v="347"/>
        <n v="346"/>
        <n v="345"/>
        <n v="344"/>
        <n v="343"/>
        <n v="342"/>
        <n v="341"/>
        <n v="340"/>
        <n v="339"/>
        <n v="338"/>
        <n v="337"/>
        <n v="336"/>
        <n v="335"/>
        <n v="334"/>
        <n v="333"/>
        <n v="332"/>
        <n v="331"/>
        <n v="330"/>
        <n v="329"/>
        <n v="328"/>
        <n v="327"/>
        <n v="326"/>
        <n v="325"/>
        <n v="324"/>
        <n v="323"/>
        <n v="322"/>
        <n v="321"/>
        <n v="320"/>
        <n v="319"/>
        <n v="318"/>
        <n v="317"/>
        <n v="316"/>
        <n v="315"/>
        <n v="314"/>
        <n v="313"/>
        <n v="312"/>
        <n v="311"/>
        <n v="310"/>
        <n v="309"/>
        <n v="308"/>
        <n v="307"/>
        <n v="306"/>
        <n v="305"/>
        <n v="304"/>
        <n v="303"/>
        <n v="302"/>
        <n v="301"/>
        <n v="300"/>
        <n v="299"/>
        <n v="298"/>
        <n v="297"/>
        <n v="296"/>
        <n v="295"/>
        <n v="294"/>
        <n v="293"/>
        <n v="292"/>
        <n v="291"/>
        <n v="290"/>
        <n v="289"/>
        <n v="288"/>
        <n v="287"/>
        <n v="286"/>
        <n v="285"/>
        <n v="284"/>
        <n v="283"/>
        <n v="282"/>
        <n v="281"/>
        <n v="280"/>
        <n v="279"/>
        <n v="278"/>
        <n v="277"/>
        <n v="276"/>
        <n v="275"/>
        <n v="274"/>
        <n v="273"/>
        <n v="272"/>
        <n v="271"/>
        <n v="270"/>
        <n v="269"/>
        <n v="268"/>
        <n v="267"/>
        <n v="266"/>
        <n v="265"/>
        <n v="264"/>
        <n v="263"/>
        <n v="262"/>
        <n v="261"/>
        <n v="260"/>
        <n v="259"/>
        <n v="258"/>
        <n v="257"/>
        <n v="256"/>
        <n v="255"/>
        <n v="254"/>
        <n v="253"/>
        <n v="252"/>
        <n v="251"/>
        <n v="250"/>
        <n v="249"/>
        <n v="248"/>
        <n v="247"/>
        <n v="246"/>
        <n v="245"/>
        <n v="244"/>
        <n v="243"/>
        <n v="242"/>
        <n v="241"/>
        <n v="240"/>
        <n v="239"/>
        <n v="238"/>
        <n v="237"/>
        <n v="236"/>
        <n v="235"/>
        <n v="234"/>
        <n v="233"/>
        <n v="232"/>
        <n v="231"/>
        <n v="230"/>
        <n v="229"/>
        <n v="228"/>
        <n v="227"/>
        <n v="226"/>
        <n v="225"/>
        <n v="224"/>
        <n v="223"/>
        <n v="222"/>
        <n v="221"/>
        <n v="220"/>
        <n v="219"/>
        <n v="218"/>
        <n v="217"/>
        <n v="216"/>
        <n v="215"/>
        <n v="214"/>
        <n v="213"/>
        <n v="212"/>
        <n v="211"/>
        <n v="210"/>
        <n v="209"/>
        <n v="208"/>
        <n v="207"/>
        <n v="206"/>
        <n v="205"/>
        <n v="204"/>
        <n v="203"/>
        <n v="202"/>
        <n v="201"/>
        <n v="200"/>
        <n v="199"/>
        <n v="198"/>
        <n v="197"/>
        <n v="196"/>
        <n v="195"/>
        <n v="194"/>
        <n v="193"/>
        <n v="192"/>
        <n v="191"/>
        <n v="190"/>
        <n v="189"/>
        <n v="188"/>
        <n v="187"/>
        <n v="186"/>
        <n v="185"/>
        <n v="184"/>
        <n v="183"/>
        <n v="182"/>
        <n v="181"/>
        <n v="180"/>
        <n v="179"/>
        <n v="178"/>
        <n v="177"/>
        <n v="176"/>
        <n v="175"/>
        <n v="174"/>
        <n v="173"/>
        <n v="172"/>
        <n v="171"/>
        <n v="170"/>
        <n v="169"/>
        <n v="168"/>
        <n v="167"/>
        <n v="166"/>
        <n v="165"/>
        <n v="164"/>
        <n v="163"/>
        <n v="162"/>
        <n v="161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32"/>
        <n v="131"/>
        <n v="130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Approved Loans" numFmtId="0">
      <sharedItems containsSemiMixedTypes="0" containsString="0" containsNumber="1" containsInteger="1" minValue="0" maxValue="703"/>
    </cacheField>
    <cacheField name="Rejected Loans" numFmtId="0">
      <sharedItems containsSemiMixedTypes="0" containsString="0" containsNumber="1" containsInteger="1" minValue="1" maxValue="650"/>
    </cacheField>
    <cacheField name="Approval Rate" numFmtId="0">
      <sharedItems containsSemiMixedTypes="0" containsString="0" containsNumber="1" minValue="0.35149999999999998" maxValue="0.35149999999999998"/>
    </cacheField>
    <cacheField name="Total Funded Amount" numFmtId="1">
      <sharedItems containsSemiMixedTypes="0" containsString="0" containsNumber="1" containsInteger="1" minValue="61790" maxValue="103282064"/>
    </cacheField>
    <cacheField name="Average Loan Amount" numFmtId="0">
      <sharedItems containsSemiMixedTypes="0" containsString="0" containsNumber="1" minValue="46487" maxValue="66679.75"/>
    </cacheField>
    <cacheField name="Highest Loan Granted" numFmtId="0">
      <sharedItems containsSemiMixedTypes="0" containsString="0" containsNumber="1" containsInteger="1" minValue="61790" maxValue="99996"/>
    </cacheField>
    <cacheField name="Lowest Loan Grated" numFmtId="0">
      <sharedItems containsSemiMixedTypes="0" containsString="0" containsNumber="1" containsInteger="1" minValue="5002" maxValue="61790"/>
    </cacheField>
    <cacheField name="Total Amount Repaid" numFmtId="0">
      <sharedItems containsSemiMixedTypes="0" containsString="0" containsNumber="1" minValue="310.49" maxValue="2684925.790000001"/>
    </cacheField>
    <cacheField name="Average Repayment" numFmtId="0">
      <sharedItems containsSemiMixedTypes="0" containsString="0" containsNumber="1" minValue="260.92500000000001" maxValue="1434.0496296296294"/>
    </cacheField>
    <cacheField name="Repayment Rate" numFmtId="0">
      <sharedItems containsSemiMixedTypes="0" containsString="0" containsNumber="1" minValue="0.35149999999999998" maxValue="0.35149999999999998"/>
    </cacheField>
    <cacheField name="Received Amount" numFmtId="0">
      <sharedItems containsSemiMixedTypes="0" containsString="0" containsNumber="1" minValue="310.49" maxValue="2685655655.8500009"/>
    </cacheField>
    <cacheField name="Good and Bad Loans" numFmtId="0">
      <sharedItems count="2">
        <s v="Over Paid"/>
        <s v="Active"/>
      </sharedItems>
    </cacheField>
    <cacheField name="Yearly Payment" numFmtId="0">
      <sharedItems containsSemiMixedTypes="0" containsString="0" containsNumber="1" minValue="215.28000000000003" maxValue="121704.48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LN00001"/>
    <x v="0"/>
    <n v="54"/>
    <s v="Male"/>
    <s v="Single"/>
    <s v="Unemployed"/>
    <n v="114618"/>
    <n v="599"/>
    <n v="75715"/>
    <n v="6.33"/>
    <n v="360"/>
    <s v="Auto"/>
    <n v="45.06"/>
    <n v="62644"/>
    <n v="213104"/>
    <x v="0"/>
    <s v="Pending"/>
    <s v="No"/>
    <x v="0"/>
    <x v="0"/>
    <x v="0"/>
    <n v="703"/>
    <n v="650"/>
    <n v="0.35149999999999998"/>
    <n v="103282064"/>
    <n v="51641.031999999999"/>
    <n v="99996"/>
    <n v="5002"/>
    <n v="2684925.790000001"/>
    <n v="1342.4628950000006"/>
    <n v="0.35149999999999998"/>
    <n v="2685655655.8500009"/>
    <x v="0"/>
    <n v="2683.56"/>
  </r>
  <r>
    <s v="LN00002"/>
    <x v="1"/>
    <n v="34"/>
    <s v="Male"/>
    <s v="Married"/>
    <s v="Unemployed"/>
    <n v="118018"/>
    <n v="546"/>
    <n v="73772"/>
    <n v="4.54"/>
    <n v="12"/>
    <s v="Personal"/>
    <n v="46.81"/>
    <n v="74529"/>
    <n v="167541"/>
    <x v="1"/>
    <s v="Pending"/>
    <s v="No"/>
    <x v="1"/>
    <x v="1"/>
    <x v="1"/>
    <n v="703"/>
    <n v="650"/>
    <n v="0.35149999999999998"/>
    <n v="103206349"/>
    <n v="51628.988994497246"/>
    <n v="99996"/>
    <n v="5002"/>
    <n v="2684702.1600000011"/>
    <n v="1343.0225912956485"/>
    <n v="0.35149999999999998"/>
    <n v="2682970730.0600004"/>
    <x v="1"/>
    <n v="77121.240000000005"/>
  </r>
  <r>
    <s v="LN00003"/>
    <x v="2"/>
    <n v="39"/>
    <s v="Female"/>
    <s v="Divorced"/>
    <s v="Unemployed"/>
    <n v="159206"/>
    <n v="838"/>
    <n v="5099"/>
    <n v="8.17"/>
    <n v="180"/>
    <s v="Mortgage"/>
    <n v="42.61"/>
    <n v="2803"/>
    <n v="111732"/>
    <x v="2"/>
    <s v="Approved"/>
    <s v="No"/>
    <x v="2"/>
    <x v="2"/>
    <x v="2"/>
    <n v="703"/>
    <n v="650"/>
    <n v="0.35149999999999998"/>
    <n v="103132577"/>
    <n v="51617.906406406408"/>
    <n v="99996"/>
    <n v="5002"/>
    <n v="2678275.3900000015"/>
    <n v="1340.4781731731739"/>
    <n v="0.35149999999999998"/>
    <n v="2680286027.9000006"/>
    <x v="0"/>
    <n v="367.68"/>
  </r>
  <r>
    <s v="LN00004"/>
    <x v="3"/>
    <n v="24"/>
    <s v="Male"/>
    <s v="Single"/>
    <s v="Employed"/>
    <n v="166626"/>
    <n v="325"/>
    <n v="48317"/>
    <n v="3.92"/>
    <n v="48"/>
    <s v="Personal"/>
    <n v="8.1"/>
    <n v="60213"/>
    <n v="24464"/>
    <x v="3"/>
    <s v="Approved"/>
    <s v="Yes"/>
    <x v="3"/>
    <x v="3"/>
    <x v="3"/>
    <n v="702"/>
    <n v="650"/>
    <n v="0.35149999999999998"/>
    <n v="103127478"/>
    <n v="51641.200801201805"/>
    <n v="99996"/>
    <n v="5002"/>
    <n v="2678244.7500000014"/>
    <n v="1341.1340761141719"/>
    <n v="0.35149999999999998"/>
    <n v="2677607752.5100012"/>
    <x v="1"/>
    <n v="12552.72"/>
  </r>
  <r>
    <s v="LN00005"/>
    <x v="4"/>
    <n v="42"/>
    <s v="Male"/>
    <s v="Divorced"/>
    <s v="Unemployed"/>
    <n v="69289"/>
    <n v="629"/>
    <n v="48163"/>
    <n v="23.88"/>
    <n v="120"/>
    <s v="Education"/>
    <n v="10.029999999999999"/>
    <n v="18678"/>
    <n v="130179"/>
    <x v="4"/>
    <s v="Approved"/>
    <s v="Yes"/>
    <x v="2"/>
    <x v="4"/>
    <x v="4"/>
    <n v="701"/>
    <n v="650"/>
    <n v="0.35149999999999998"/>
    <n v="103079161"/>
    <n v="51642.866232464927"/>
    <n v="99996"/>
    <n v="5002"/>
    <n v="2677198.6900000018"/>
    <n v="1341.2819088176361"/>
    <n v="0.35149999999999998"/>
    <n v="2674929507.7600012"/>
    <x v="1"/>
    <n v="5966.4"/>
  </r>
  <r>
    <s v="LN00006"/>
    <x v="5"/>
    <n v="40"/>
    <s v="Male"/>
    <s v="Divorced"/>
    <s v="Employed"/>
    <n v="148842"/>
    <n v="375"/>
    <n v="84269"/>
    <n v="4.47"/>
    <n v="360"/>
    <s v="Personal"/>
    <n v="16.079999999999998"/>
    <n v="17443"/>
    <n v="123938"/>
    <x v="5"/>
    <s v="Pending"/>
    <s v="No"/>
    <x v="0"/>
    <x v="5"/>
    <x v="5"/>
    <n v="700"/>
    <n v="650"/>
    <n v="0.35149999999999998"/>
    <n v="103030998"/>
    <n v="51644.610526315788"/>
    <n v="99996"/>
    <n v="5002"/>
    <n v="2676701.4900000016"/>
    <n v="1341.7050075187979"/>
    <n v="0.35149999999999998"/>
    <n v="2672252309.0700011"/>
    <x v="1"/>
    <n v="2934.48"/>
  </r>
  <r>
    <s v="LN00007"/>
    <x v="6"/>
    <n v="32"/>
    <s v="Female"/>
    <s v="Married"/>
    <s v="Self-Employed"/>
    <n v="148284"/>
    <n v="397"/>
    <n v="71589"/>
    <n v="6.88"/>
    <n v="48"/>
    <s v="Mortgage"/>
    <n v="56.21"/>
    <n v="22653"/>
    <n v="205093"/>
    <x v="6"/>
    <s v="Rejected"/>
    <s v="Yes"/>
    <x v="3"/>
    <x v="6"/>
    <x v="6"/>
    <n v="700"/>
    <n v="650"/>
    <n v="0.35149999999999998"/>
    <n v="102946729"/>
    <n v="51628.249247743232"/>
    <n v="99996"/>
    <n v="5002"/>
    <n v="2676456.9500000016"/>
    <n v="1342.2552407221674"/>
    <n v="0.35149999999999998"/>
    <n v="2669575607.5800014"/>
    <x v="1"/>
    <n v="19128.599999999999"/>
  </r>
  <r>
    <s v="LN00008"/>
    <x v="7"/>
    <n v="56"/>
    <s v="Female"/>
    <s v="Married"/>
    <s v="Unemployed"/>
    <n v="68458"/>
    <n v="305"/>
    <n v="98740"/>
    <n v="19.7"/>
    <n v="240"/>
    <s v="Auto"/>
    <n v="7.92"/>
    <n v="36457"/>
    <n v="241507"/>
    <x v="7"/>
    <s v="Pending"/>
    <s v="No"/>
    <x v="1"/>
    <x v="7"/>
    <x v="7"/>
    <n v="700"/>
    <n v="649"/>
    <n v="0.35149999999999998"/>
    <n v="102875140"/>
    <n v="51618.233818364271"/>
    <n v="99996"/>
    <n v="5002"/>
    <n v="2674862.9000000013"/>
    <n v="1342.1289011540398"/>
    <n v="0.35149999999999998"/>
    <n v="2666899150.6300011"/>
    <x v="1"/>
    <n v="5909.64"/>
  </r>
  <r>
    <s v="LN00009"/>
    <x v="8"/>
    <n v="57"/>
    <s v="Female"/>
    <s v="Married"/>
    <s v="Unemployed"/>
    <n v="153852"/>
    <n v="829"/>
    <n v="46847"/>
    <n v="14.6"/>
    <n v="60"/>
    <s v="Mortgage"/>
    <n v="5.8"/>
    <n v="53990"/>
    <n v="53582"/>
    <x v="8"/>
    <s v="Approved"/>
    <s v="Yes"/>
    <x v="4"/>
    <x v="8"/>
    <x v="8"/>
    <n v="700"/>
    <n v="649"/>
    <n v="0.35149999999999998"/>
    <n v="102776400"/>
    <n v="51594.578313253012"/>
    <n v="99996"/>
    <n v="5002"/>
    <n v="2674370.4300000016"/>
    <n v="1342.5554367469888"/>
    <n v="0.35149999999999998"/>
    <n v="2664224287.730001"/>
    <x v="1"/>
    <n v="10737.36"/>
  </r>
  <r>
    <s v="LN00010"/>
    <x v="9"/>
    <n v="51"/>
    <s v="Female"/>
    <s v="Married"/>
    <s v="Unemployed"/>
    <n v="163365"/>
    <n v="588"/>
    <n v="26421"/>
    <n v="10.130000000000001"/>
    <n v="240"/>
    <s v="Mortgage"/>
    <n v="21.47"/>
    <n v="13547"/>
    <n v="34140"/>
    <x v="9"/>
    <s v="Pending"/>
    <s v="Yes"/>
    <x v="2"/>
    <x v="9"/>
    <x v="9"/>
    <n v="699"/>
    <n v="649"/>
    <n v="0.35149999999999998"/>
    <n v="102729553"/>
    <n v="51596.962832747362"/>
    <n v="99996"/>
    <n v="5002"/>
    <n v="2673475.6500000013"/>
    <n v="1342.780336514315"/>
    <n v="0.35149999999999998"/>
    <n v="2661549917.3000011"/>
    <x v="1"/>
    <n v="1454.8799999999999"/>
  </r>
  <r>
    <s v="LN00011"/>
    <x v="10"/>
    <n v="55"/>
    <s v="Female"/>
    <s v="Married"/>
    <s v="Employed"/>
    <n v="163760"/>
    <n v="597"/>
    <n v="34629"/>
    <n v="12.74"/>
    <n v="36"/>
    <s v="Mortgage"/>
    <n v="44.23"/>
    <n v="30847"/>
    <n v="86263"/>
    <x v="10"/>
    <s v="Approved"/>
    <s v="No"/>
    <x v="1"/>
    <x v="10"/>
    <x v="10"/>
    <n v="699"/>
    <n v="649"/>
    <n v="0.35149999999999998"/>
    <n v="102703132"/>
    <n v="51609.614070351759"/>
    <n v="99996"/>
    <n v="5002"/>
    <n v="2673354.4100000015"/>
    <n v="1343.3941758793978"/>
    <n v="0.35149999999999998"/>
    <n v="2658876441.650001"/>
    <x v="1"/>
    <n v="13013.52"/>
  </r>
  <r>
    <s v="LN00012"/>
    <x v="11"/>
    <n v="31"/>
    <s v="Female"/>
    <s v="Single"/>
    <s v="Unemployed"/>
    <n v="148471"/>
    <n v="647"/>
    <n v="82419"/>
    <n v="5.7"/>
    <n v="12"/>
    <s v="Personal"/>
    <n v="20.21"/>
    <n v="70789"/>
    <n v="33608"/>
    <x v="11"/>
    <s v="Pending"/>
    <s v="Yes"/>
    <x v="0"/>
    <x v="11"/>
    <x v="11"/>
    <n v="698"/>
    <n v="649"/>
    <n v="0.35149999999999998"/>
    <n v="102668503"/>
    <n v="51618.151332327805"/>
    <n v="99996"/>
    <n v="5002"/>
    <n v="2672269.9500000016"/>
    <n v="1343.5243589743598"/>
    <n v="0.35149999999999998"/>
    <n v="2656203087.2400012"/>
    <x v="1"/>
    <n v="87116.88"/>
  </r>
  <r>
    <s v="LN00013"/>
    <x v="12"/>
    <n v="41"/>
    <s v="Female"/>
    <s v="Divorced"/>
    <s v="Self-Employed"/>
    <n v="123983"/>
    <n v="514"/>
    <n v="88692"/>
    <n v="10.42"/>
    <n v="180"/>
    <s v="Personal"/>
    <n v="47.22"/>
    <n v="4093"/>
    <n v="130456"/>
    <x v="12"/>
    <s v="Rejected"/>
    <s v="Yes"/>
    <x v="2"/>
    <x v="12"/>
    <x v="12"/>
    <n v="698"/>
    <n v="649"/>
    <n v="0.35149999999999998"/>
    <n v="102586084"/>
    <n v="51602.657947686115"/>
    <n v="99996"/>
    <n v="5002"/>
    <n v="2665010.2100000014"/>
    <n v="1340.5483953722342"/>
    <n v="0.35149999999999998"/>
    <n v="2653530817.2900009"/>
    <x v="0"/>
    <n v="6528.9600000000009"/>
  </r>
  <r>
    <s v="LN00014"/>
    <x v="13"/>
    <n v="31"/>
    <s v="Female"/>
    <s v="Single"/>
    <s v="Employed"/>
    <n v="103993"/>
    <n v="564"/>
    <n v="61070"/>
    <n v="7.92"/>
    <n v="36"/>
    <s v="Auto"/>
    <n v="26.51"/>
    <n v="65632"/>
    <n v="84504"/>
    <x v="13"/>
    <s v="Approved"/>
    <s v="No"/>
    <x v="1"/>
    <x v="13"/>
    <x v="13"/>
    <n v="698"/>
    <n v="648"/>
    <n v="0.35149999999999998"/>
    <n v="102497392"/>
    <n v="51583.991947659786"/>
    <n v="99996"/>
    <n v="5002"/>
    <n v="2664466.1300000013"/>
    <n v="1340.9492350276805"/>
    <n v="0.35149999999999998"/>
    <n v="2650865807.0800004"/>
    <x v="1"/>
    <n v="21968.880000000001"/>
  </r>
  <r>
    <s v="LN00015"/>
    <x v="14"/>
    <n v="22"/>
    <s v="Male"/>
    <s v="Divorced"/>
    <s v="Employed"/>
    <n v="184469"/>
    <n v="489"/>
    <n v="54160"/>
    <n v="5.55"/>
    <n v="12"/>
    <s v="Business"/>
    <n v="23.23"/>
    <n v="4395"/>
    <n v="128240"/>
    <x v="14"/>
    <s v="Approved"/>
    <s v="Yes"/>
    <x v="1"/>
    <x v="14"/>
    <x v="14"/>
    <n v="697"/>
    <n v="648"/>
    <n v="0.35149999999999998"/>
    <n v="102436322"/>
    <n v="51579.215508559922"/>
    <n v="99996"/>
    <n v="5002"/>
    <n v="2662635.3900000015"/>
    <n v="1340.7026132930521"/>
    <n v="0.35149999999999998"/>
    <n v="2648201340.9499998"/>
    <x v="1"/>
    <n v="57165.84"/>
  </r>
  <r>
    <s v="LN00016"/>
    <x v="15"/>
    <n v="32"/>
    <s v="Male"/>
    <s v="Married"/>
    <s v="Unemployed"/>
    <n v="185066"/>
    <n v="336"/>
    <n v="31996"/>
    <n v="6.83"/>
    <n v="12"/>
    <s v="Mortgage"/>
    <n v="7.8"/>
    <n v="74100"/>
    <n v="176876"/>
    <x v="15"/>
    <s v="Rejected"/>
    <s v="No"/>
    <x v="2"/>
    <x v="15"/>
    <x v="15"/>
    <n v="696"/>
    <n v="648"/>
    <n v="0.35149999999999998"/>
    <n v="102382162"/>
    <n v="51577.915365239292"/>
    <n v="99996"/>
    <n v="5002"/>
    <n v="2657871.5700000022"/>
    <n v="1338.9781209068021"/>
    <n v="0.35149999999999998"/>
    <n v="2645538705.559999"/>
    <x v="0"/>
    <n v="34181.279999999999"/>
  </r>
  <r>
    <s v="LN00017"/>
    <x v="16"/>
    <n v="46"/>
    <s v="Female"/>
    <s v="Single"/>
    <s v="Employed"/>
    <n v="122019"/>
    <n v="356"/>
    <n v="60916"/>
    <n v="6.23"/>
    <n v="12"/>
    <s v="Auto"/>
    <n v="26.86"/>
    <n v="13106"/>
    <n v="130493"/>
    <x v="16"/>
    <s v="Approved"/>
    <s v="Yes"/>
    <x v="2"/>
    <x v="16"/>
    <x v="16"/>
    <n v="696"/>
    <n v="647"/>
    <n v="0.35149999999999998"/>
    <n v="102350166"/>
    <n v="51587.785282258068"/>
    <n v="99996"/>
    <n v="5002"/>
    <n v="2655023.1300000022"/>
    <n v="1338.2173034274206"/>
    <n v="0.35149999999999998"/>
    <n v="2642880833.9899993"/>
    <x v="0"/>
    <n v="64711.08"/>
  </r>
  <r>
    <s v="LN00018"/>
    <x v="17"/>
    <n v="56"/>
    <s v="Male"/>
    <s v="Married"/>
    <s v="Self-Employed"/>
    <n v="194769"/>
    <n v="560"/>
    <n v="6565"/>
    <n v="19.62"/>
    <n v="360"/>
    <s v="Mortgage"/>
    <n v="53.13"/>
    <n v="67648"/>
    <n v="211561"/>
    <x v="17"/>
    <s v="Pending"/>
    <s v="Yes"/>
    <x v="1"/>
    <x v="17"/>
    <x v="17"/>
    <n v="695"/>
    <n v="647"/>
    <n v="0.35149999999999998"/>
    <n v="102289250"/>
    <n v="51583.081190115983"/>
    <n v="99996"/>
    <n v="5002"/>
    <n v="2649630.5400000024"/>
    <n v="1336.1727382753415"/>
    <n v="0.35149999999999998"/>
    <n v="2640225810.8599992"/>
    <x v="0"/>
    <n v="261.71999999999997"/>
  </r>
  <r>
    <s v="LN00019"/>
    <x v="18"/>
    <n v="35"/>
    <s v="Female"/>
    <s v="Married"/>
    <s v="Employed"/>
    <n v="156370"/>
    <n v="373"/>
    <n v="17253"/>
    <n v="19.71"/>
    <n v="180"/>
    <s v="Education"/>
    <n v="5.91"/>
    <n v="71504"/>
    <n v="52972"/>
    <x v="18"/>
    <s v="Rejected"/>
    <s v="Yes"/>
    <x v="3"/>
    <x v="18"/>
    <x v="18"/>
    <n v="695"/>
    <n v="647"/>
    <n v="0.35149999999999998"/>
    <n v="102282685"/>
    <n v="51605.794651866803"/>
    <n v="99996"/>
    <n v="5002"/>
    <n v="2649608.7300000023"/>
    <n v="1336.8358879919285"/>
    <n v="0.35149999999999998"/>
    <n v="2637576180.3199992"/>
    <x v="1"/>
    <n v="1376.8799999999999"/>
  </r>
  <r>
    <s v="LN00020"/>
    <x v="19"/>
    <n v="26"/>
    <s v="Male"/>
    <s v="Married"/>
    <s v="Unemployed"/>
    <n v="169669"/>
    <n v="599"/>
    <n v="75395"/>
    <n v="11.92"/>
    <n v="12"/>
    <s v="Personal"/>
    <n v="41.77"/>
    <n v="14497"/>
    <n v="231609"/>
    <x v="19"/>
    <s v="Pending"/>
    <s v="No"/>
    <x v="0"/>
    <x v="19"/>
    <x v="19"/>
    <n v="695"/>
    <n v="646"/>
    <n v="0.35149999999999998"/>
    <n v="102265432"/>
    <n v="51623.13579000505"/>
    <n v="99996"/>
    <n v="5002"/>
    <n v="2649493.9900000026"/>
    <n v="1337.4527965673915"/>
    <n v="0.35149999999999998"/>
    <n v="2634926571.5899997"/>
    <x v="1"/>
    <n v="84382.080000000002"/>
  </r>
  <r>
    <s v="LN00021"/>
    <x v="20"/>
    <n v="29"/>
    <s v="Female"/>
    <s v="Married"/>
    <s v="Self-Employed"/>
    <n v="197868"/>
    <n v="487"/>
    <n v="56860"/>
    <n v="10.61"/>
    <n v="36"/>
    <s v="Business"/>
    <n v="27.23"/>
    <n v="1039"/>
    <n v="64623"/>
    <x v="20"/>
    <s v="Pending"/>
    <s v="No"/>
    <x v="1"/>
    <x v="20"/>
    <x v="20"/>
    <n v="695"/>
    <n v="646"/>
    <n v="0.35149999999999998"/>
    <n v="102190037"/>
    <n v="51611.129797979796"/>
    <n v="99996"/>
    <n v="5002"/>
    <n v="2642462.1500000022"/>
    <n v="1334.5768434343445"/>
    <n v="0.35149999999999998"/>
    <n v="2632277077.5999999"/>
    <x v="0"/>
    <n v="20964.239999999998"/>
  </r>
  <r>
    <s v="LN00022"/>
    <x v="21"/>
    <n v="28"/>
    <s v="Female"/>
    <s v="Divorced"/>
    <s v="Employed"/>
    <n v="146404"/>
    <n v="703"/>
    <n v="26417"/>
    <n v="9.58"/>
    <n v="48"/>
    <s v="Business"/>
    <n v="9.2899999999999991"/>
    <n v="10066"/>
    <n v="137042"/>
    <x v="21"/>
    <s v="Approved"/>
    <s v="Yes"/>
    <x v="1"/>
    <x v="21"/>
    <x v="21"/>
    <n v="695"/>
    <n v="646"/>
    <n v="0.35149999999999998"/>
    <n v="102133177"/>
    <n v="51608.477513895908"/>
    <n v="99996"/>
    <n v="5002"/>
    <n v="2640715.1300000022"/>
    <n v="1334.3684335523003"/>
    <n v="0.35149999999999998"/>
    <n v="2629634615.4500003"/>
    <x v="1"/>
    <n v="7236.9600000000009"/>
  </r>
  <r>
    <s v="LN00023"/>
    <x v="22"/>
    <n v="37"/>
    <s v="Male"/>
    <s v="Divorced"/>
    <s v="Self-Employed"/>
    <n v="109251"/>
    <n v="835"/>
    <n v="92340"/>
    <n v="22.98"/>
    <n v="48"/>
    <s v="Education"/>
    <n v="24.35"/>
    <n v="39291"/>
    <n v="203643"/>
    <x v="22"/>
    <s v="Rejected"/>
    <s v="No"/>
    <x v="4"/>
    <x v="22"/>
    <x v="22"/>
    <n v="694"/>
    <n v="646"/>
    <n v="0.35149999999999998"/>
    <n v="102106760"/>
    <n v="51621.213346814962"/>
    <n v="99996"/>
    <n v="5002"/>
    <n v="2640112.0500000021"/>
    <n v="1334.7381445904966"/>
    <n v="0.35149999999999998"/>
    <n v="2626993900.3200006"/>
    <x v="1"/>
    <n v="28389.96"/>
  </r>
  <r>
    <s v="LN00024"/>
    <x v="23"/>
    <n v="41"/>
    <s v="Female"/>
    <s v="Single"/>
    <s v="Unemployed"/>
    <n v="126621"/>
    <n v="381"/>
    <n v="51746"/>
    <n v="21.17"/>
    <n v="180"/>
    <s v="Education"/>
    <n v="17.61"/>
    <n v="43185"/>
    <n v="225744"/>
    <x v="23"/>
    <s v="Approved"/>
    <s v="No"/>
    <x v="0"/>
    <x v="23"/>
    <x v="23"/>
    <n v="694"/>
    <n v="645"/>
    <n v="0.35149999999999998"/>
    <n v="102014420"/>
    <n v="51600.617096611029"/>
    <n v="99996"/>
    <n v="5002"/>
    <n v="2637746.2200000021"/>
    <n v="1334.2166009104715"/>
    <n v="0.35149999999999998"/>
    <n v="2624353788.2700005"/>
    <x v="1"/>
    <n v="4180.08"/>
  </r>
  <r>
    <s v="LN00025"/>
    <x v="24"/>
    <n v="56"/>
    <s v="Male"/>
    <s v="Single"/>
    <s v="Self-Employed"/>
    <n v="119364"/>
    <n v="365"/>
    <n v="60682"/>
    <n v="10.199999999999999"/>
    <n v="12"/>
    <s v="Education"/>
    <n v="33.950000000000003"/>
    <n v="62441"/>
    <n v="243548"/>
    <x v="24"/>
    <s v="Approved"/>
    <s v="No"/>
    <x v="1"/>
    <x v="24"/>
    <x v="24"/>
    <n v="693"/>
    <n v="645"/>
    <n v="0.35149999999999998"/>
    <n v="101962674"/>
    <n v="51600.543522267209"/>
    <n v="99996"/>
    <n v="5002"/>
    <n v="2637397.8800000018"/>
    <n v="1334.7155263157904"/>
    <n v="0.35149999999999998"/>
    <n v="2621716042.0500007"/>
    <x v="1"/>
    <n v="66871.56"/>
  </r>
  <r>
    <s v="LN00026"/>
    <x v="25"/>
    <n v="50"/>
    <s v="Male"/>
    <s v="Single"/>
    <s v="Self-Employed"/>
    <n v="167857"/>
    <n v="392"/>
    <n v="43849"/>
    <n v="4.2699999999999996"/>
    <n v="48"/>
    <s v="Personal"/>
    <n v="42.73"/>
    <n v="73179"/>
    <n v="192058"/>
    <x v="25"/>
    <s v="Pending"/>
    <s v="Yes"/>
    <x v="4"/>
    <x v="25"/>
    <x v="25"/>
    <n v="692"/>
    <n v="645"/>
    <n v="0.35149999999999998"/>
    <n v="101901992"/>
    <n v="51595.945316455698"/>
    <n v="99996"/>
    <n v="5002"/>
    <n v="2631825.2500000019"/>
    <n v="1332.569746835444"/>
    <n v="0.35149999999999998"/>
    <n v="2619078644.1700006"/>
    <x v="0"/>
    <n v="11430.36"/>
  </r>
  <r>
    <s v="LN00027"/>
    <x v="26"/>
    <n v="44"/>
    <s v="Male"/>
    <s v="Divorced"/>
    <s v="Self-Employed"/>
    <n v="190087"/>
    <n v="351"/>
    <n v="33029"/>
    <n v="21.69"/>
    <n v="180"/>
    <s v="Personal"/>
    <n v="25.18"/>
    <n v="7729"/>
    <n v="157173"/>
    <x v="26"/>
    <s v="Pending"/>
    <s v="Yes"/>
    <x v="3"/>
    <x v="26"/>
    <x v="26"/>
    <n v="692"/>
    <n v="645"/>
    <n v="0.35149999999999998"/>
    <n v="101858143"/>
    <n v="51599.869807497467"/>
    <n v="99996"/>
    <n v="5002"/>
    <n v="2630872.7200000021"/>
    <n v="1332.7622695035473"/>
    <n v="0.35149999999999998"/>
    <n v="2616446818.9200001"/>
    <x v="1"/>
    <n v="2679.48"/>
  </r>
  <r>
    <s v="LN00028"/>
    <x v="27"/>
    <n v="44"/>
    <s v="Female"/>
    <s v="Married"/>
    <s v="Employed"/>
    <n v="148007"/>
    <n v="750"/>
    <n v="72032"/>
    <n v="20.16"/>
    <n v="360"/>
    <s v="Business"/>
    <n v="42.52"/>
    <n v="76030"/>
    <n v="104955"/>
    <x v="27"/>
    <s v="Pending"/>
    <s v="No"/>
    <x v="0"/>
    <x v="27"/>
    <x v="27"/>
    <n v="692"/>
    <n v="645"/>
    <n v="0.35149999999999998"/>
    <n v="101825114"/>
    <n v="51609.282311201219"/>
    <n v="99996"/>
    <n v="5002"/>
    <n v="2630649.430000002"/>
    <n v="1333.3245970603152"/>
    <n v="0.35149999999999998"/>
    <n v="2613815946.2000003"/>
    <x v="1"/>
    <n v="2885.16"/>
  </r>
  <r>
    <s v="LN00029"/>
    <x v="28"/>
    <n v="54"/>
    <s v="Female"/>
    <s v="Married"/>
    <s v="Unemployed"/>
    <n v="163217"/>
    <n v="428"/>
    <n v="33853"/>
    <n v="12.22"/>
    <n v="24"/>
    <s v="Mortgage"/>
    <n v="46.67"/>
    <n v="34536"/>
    <n v="237042"/>
    <x v="28"/>
    <s v="Pending"/>
    <s v="No"/>
    <x v="2"/>
    <x v="28"/>
    <x v="28"/>
    <n v="692"/>
    <n v="645"/>
    <n v="0.35149999999999998"/>
    <n v="101753082"/>
    <n v="51598.925963488844"/>
    <n v="99996"/>
    <n v="5002"/>
    <n v="2630409.0000000019"/>
    <n v="1333.878803245437"/>
    <n v="0.35149999999999998"/>
    <n v="2611185296.7700005"/>
    <x v="1"/>
    <n v="18994.920000000002"/>
  </r>
  <r>
    <s v="LN00030"/>
    <x v="29"/>
    <n v="30"/>
    <s v="Female"/>
    <s v="Single"/>
    <s v="Employed"/>
    <n v="42401"/>
    <n v="488"/>
    <n v="22758"/>
    <n v="16.5"/>
    <n v="120"/>
    <s v="Business"/>
    <n v="9.7100000000000009"/>
    <n v="20488"/>
    <n v="90881"/>
    <x v="29"/>
    <s v="Rejected"/>
    <s v="No"/>
    <x v="1"/>
    <x v="29"/>
    <x v="29"/>
    <n v="692"/>
    <n v="645"/>
    <n v="0.35149999999999998"/>
    <n v="101719229"/>
    <n v="51607.929477422629"/>
    <n v="99996"/>
    <n v="5002"/>
    <n v="2628826.0900000017"/>
    <n v="1333.7524556062922"/>
    <n v="0.35149999999999998"/>
    <n v="2608554887.77"/>
    <x v="1"/>
    <n v="2651.2799999999997"/>
  </r>
  <r>
    <s v="LN00031"/>
    <x v="30"/>
    <n v="39"/>
    <s v="Male"/>
    <s v="Divorced"/>
    <s v="Unemployed"/>
    <n v="179673"/>
    <n v="780"/>
    <n v="98191"/>
    <n v="20.13"/>
    <n v="36"/>
    <s v="Education"/>
    <n v="5.58"/>
    <n v="28714"/>
    <n v="99860"/>
    <x v="30"/>
    <s v="Rejected"/>
    <s v="No"/>
    <x v="1"/>
    <x v="30"/>
    <x v="30"/>
    <n v="692"/>
    <n v="644"/>
    <n v="0.35149999999999998"/>
    <n v="101696471"/>
    <n v="51622.574111675123"/>
    <n v="99996"/>
    <n v="5002"/>
    <n v="2628605.1500000018"/>
    <n v="1334.3173350253817"/>
    <n v="0.35149999999999998"/>
    <n v="2605926061.6799994"/>
    <x v="1"/>
    <n v="39318.959999999999"/>
  </r>
  <r>
    <s v="LN00032"/>
    <x v="31"/>
    <n v="22"/>
    <s v="Male"/>
    <s v="Married"/>
    <s v="Employed"/>
    <n v="47613"/>
    <n v="723"/>
    <n v="30081"/>
    <n v="22.65"/>
    <n v="120"/>
    <s v="Auto"/>
    <n v="36.659999999999997"/>
    <n v="23031"/>
    <n v="134587"/>
    <x v="31"/>
    <s v="Rejected"/>
    <s v="Yes"/>
    <x v="1"/>
    <x v="31"/>
    <x v="31"/>
    <n v="692"/>
    <n v="643"/>
    <n v="0.35149999999999998"/>
    <n v="101598280"/>
    <n v="51598.923311325547"/>
    <n v="99996"/>
    <n v="5002"/>
    <n v="2625328.5700000017"/>
    <n v="1333.3309141696302"/>
    <n v="0.35149999999999998"/>
    <n v="2603297456.5300002"/>
    <x v="1"/>
    <n v="3689.3999999999996"/>
  </r>
  <r>
    <s v="LN00033"/>
    <x v="32"/>
    <n v="57"/>
    <s v="Female"/>
    <s v="Married"/>
    <s v="Self-Employed"/>
    <n v="188473"/>
    <n v="671"/>
    <n v="33419"/>
    <n v="13.47"/>
    <n v="36"/>
    <s v="Business"/>
    <n v="12.1"/>
    <n v="28934"/>
    <n v="209725"/>
    <x v="32"/>
    <s v="Pending"/>
    <s v="Yes"/>
    <x v="3"/>
    <x v="32"/>
    <x v="32"/>
    <n v="692"/>
    <n v="642"/>
    <n v="0.35149999999999998"/>
    <n v="101568199"/>
    <n v="51609.857215447155"/>
    <n v="99996"/>
    <n v="5002"/>
    <n v="2625021.120000002"/>
    <n v="1333.8521951219523"/>
    <n v="0.35149999999999998"/>
    <n v="2600672127.9600005"/>
    <x v="1"/>
    <n v="12640.199999999999"/>
  </r>
  <r>
    <s v="LN00034"/>
    <x v="33"/>
    <n v="33"/>
    <s v="Female"/>
    <s v="Divorced"/>
    <s v="Self-Employed"/>
    <n v="77330"/>
    <n v="742"/>
    <n v="44571"/>
    <n v="9.83"/>
    <n v="120"/>
    <s v="Mortgage"/>
    <n v="27.36"/>
    <n v="61980"/>
    <n v="232451"/>
    <x v="33"/>
    <s v="Approved"/>
    <s v="No"/>
    <x v="3"/>
    <x v="33"/>
    <x v="33"/>
    <n v="692"/>
    <n v="642"/>
    <n v="0.35149999999999998"/>
    <n v="101534780"/>
    <n v="51619.10523640061"/>
    <n v="99996"/>
    <n v="5002"/>
    <n v="2623967.7700000019"/>
    <n v="1333.9947991865795"/>
    <n v="0.35149999999999998"/>
    <n v="2598047106.8400002"/>
    <x v="1"/>
    <n v="4895.28"/>
  </r>
  <r>
    <s v="LN00035"/>
    <x v="34"/>
    <n v="23"/>
    <s v="Female"/>
    <s v="Single"/>
    <s v="Employed"/>
    <n v="113733"/>
    <n v="365"/>
    <n v="88993"/>
    <n v="9.93"/>
    <n v="360"/>
    <s v="Auto"/>
    <n v="7.93"/>
    <n v="11491"/>
    <n v="58399"/>
    <x v="34"/>
    <s v="Rejected"/>
    <s v="No"/>
    <x v="3"/>
    <x v="34"/>
    <x v="34"/>
    <n v="691"/>
    <n v="642"/>
    <n v="0.35149999999999998"/>
    <n v="101490209"/>
    <n v="51622.690233977621"/>
    <n v="99996"/>
    <n v="5002"/>
    <n v="2623559.8300000015"/>
    <n v="1334.4658341810791"/>
    <n v="0.35149999999999998"/>
    <n v="2595423139.0700002"/>
    <x v="1"/>
    <n v="3261"/>
  </r>
  <r>
    <s v="LN00036"/>
    <x v="35"/>
    <n v="60"/>
    <s v="Female"/>
    <s v="Divorced"/>
    <s v="Employed"/>
    <n v="46577"/>
    <n v="768"/>
    <n v="17898"/>
    <n v="4.47"/>
    <n v="360"/>
    <s v="Auto"/>
    <n v="16.87"/>
    <n v="25490"/>
    <n v="233384"/>
    <x v="35"/>
    <s v="Approved"/>
    <s v="Yes"/>
    <x v="3"/>
    <x v="35"/>
    <x v="35"/>
    <n v="691"/>
    <n v="641"/>
    <n v="0.35149999999999998"/>
    <n v="101401216"/>
    <n v="51603.672264631045"/>
    <n v="99996"/>
    <n v="5002"/>
    <n v="2623288.0800000015"/>
    <n v="1335.0066564885503"/>
    <n v="0.35149999999999998"/>
    <n v="2592799579.2400002"/>
    <x v="1"/>
    <n v="623.28"/>
  </r>
  <r>
    <s v="LN00037"/>
    <x v="36"/>
    <n v="45"/>
    <s v="Female"/>
    <s v="Married"/>
    <s v="Employed"/>
    <n v="174963"/>
    <n v="690"/>
    <n v="65402"/>
    <n v="17.3"/>
    <n v="180"/>
    <s v="Education"/>
    <n v="52.9"/>
    <n v="36491"/>
    <n v="127772"/>
    <x v="36"/>
    <s v="Approved"/>
    <s v="No"/>
    <x v="3"/>
    <x v="36"/>
    <x v="36"/>
    <n v="690"/>
    <n v="641"/>
    <n v="0.35149999999999998"/>
    <n v="101383318"/>
    <n v="51620.834012219959"/>
    <n v="99996"/>
    <n v="5002"/>
    <n v="2623236.1400000015"/>
    <n v="1335.6599490835038"/>
    <n v="0.35149999999999998"/>
    <n v="2590176291.1600003"/>
    <x v="1"/>
    <n v="5114.3999999999996"/>
  </r>
  <r>
    <s v="LN00038"/>
    <x v="37"/>
    <n v="59"/>
    <s v="Male"/>
    <s v="Married"/>
    <s v="Unemployed"/>
    <n v="105747"/>
    <n v="764"/>
    <n v="52650"/>
    <n v="5.37"/>
    <n v="12"/>
    <s v="Auto"/>
    <n v="54.44"/>
    <n v="56221"/>
    <n v="36264"/>
    <x v="37"/>
    <s v="Pending"/>
    <s v="No"/>
    <x v="0"/>
    <x v="37"/>
    <x v="37"/>
    <n v="689"/>
    <n v="641"/>
    <n v="0.35149999999999998"/>
    <n v="101317916"/>
    <n v="51613.813550687722"/>
    <n v="99996"/>
    <n v="5002"/>
    <n v="2622809.9400000018"/>
    <n v="1336.1232501273571"/>
    <n v="0.35149999999999998"/>
    <n v="2587553055.0199995"/>
    <x v="1"/>
    <n v="55477.319999999992"/>
  </r>
  <r>
    <s v="LN00039"/>
    <x v="38"/>
    <n v="35"/>
    <s v="Female"/>
    <s v="Married"/>
    <s v="Employed"/>
    <n v="124031"/>
    <n v="371"/>
    <n v="27486"/>
    <n v="23.57"/>
    <n v="360"/>
    <s v="Mortgage"/>
    <n v="13.54"/>
    <n v="34099"/>
    <n v="86710"/>
    <x v="38"/>
    <s v="Rejected"/>
    <s v="Yes"/>
    <x v="0"/>
    <x v="38"/>
    <x v="38"/>
    <n v="689"/>
    <n v="641"/>
    <n v="0.35149999999999998"/>
    <n v="101265266"/>
    <n v="51613.28542303772"/>
    <n v="99996"/>
    <n v="5002"/>
    <n v="2618186.8300000015"/>
    <n v="1334.4479255861374"/>
    <n v="0.35149999999999998"/>
    <n v="2584930245.0799994"/>
    <x v="0"/>
    <n v="1132.1999999999998"/>
  </r>
  <r>
    <s v="LN00040"/>
    <x v="39"/>
    <n v="22"/>
    <s v="Male"/>
    <s v="Married"/>
    <s v="Self-Employed"/>
    <n v="93215"/>
    <n v="391"/>
    <n v="62649"/>
    <n v="20.51"/>
    <n v="180"/>
    <s v="Education"/>
    <n v="30.6"/>
    <n v="8442"/>
    <n v="243841"/>
    <x v="39"/>
    <s v="Approved"/>
    <s v="Yes"/>
    <x v="2"/>
    <x v="39"/>
    <x v="39"/>
    <n v="689"/>
    <n v="640"/>
    <n v="0.35149999999999998"/>
    <n v="101237780"/>
    <n v="51625.588985211623"/>
    <n v="99996"/>
    <n v="5002"/>
    <n v="2618092.4800000014"/>
    <n v="1335.0803059663444"/>
    <n v="0.35149999999999998"/>
    <n v="2582312058.2499995"/>
    <x v="1"/>
    <n v="5033.28"/>
  </r>
  <r>
    <s v="LN00041"/>
    <x v="40"/>
    <n v="59"/>
    <s v="Female"/>
    <s v="Single"/>
    <s v="Employed"/>
    <n v="131691"/>
    <n v="396"/>
    <n v="20730"/>
    <n v="9.73"/>
    <n v="12"/>
    <s v="Mortgage"/>
    <n v="40.79"/>
    <n v="8451"/>
    <n v="44459"/>
    <x v="40"/>
    <s v="Rejected"/>
    <s v="Yes"/>
    <x v="0"/>
    <x v="40"/>
    <x v="40"/>
    <n v="688"/>
    <n v="640"/>
    <n v="0.35149999999999998"/>
    <n v="101175131"/>
    <n v="51619.964795918364"/>
    <n v="99996"/>
    <n v="5002"/>
    <n v="2617673.0400000014"/>
    <n v="1335.5474693877559"/>
    <n v="0.35149999999999998"/>
    <n v="2579693965.769999"/>
    <x v="1"/>
    <n v="22747.079999999998"/>
  </r>
  <r>
    <s v="LN00042"/>
    <x v="41"/>
    <n v="65"/>
    <s v="Female"/>
    <s v="Single"/>
    <s v="Unemployed"/>
    <n v="20963"/>
    <n v="485"/>
    <n v="45422"/>
    <n v="18.989999999999998"/>
    <n v="60"/>
    <s v="Personal"/>
    <n v="54.7"/>
    <n v="63348"/>
    <n v="83422"/>
    <x v="41"/>
    <s v="Rejected"/>
    <s v="Yes"/>
    <x v="4"/>
    <x v="41"/>
    <x v="41"/>
    <n v="688"/>
    <n v="639"/>
    <n v="0.35149999999999998"/>
    <n v="101154401"/>
    <n v="51635.733027054623"/>
    <n v="99996"/>
    <n v="5002"/>
    <n v="2615777.4500000016"/>
    <n v="1335.2615875446666"/>
    <n v="0.35149999999999998"/>
    <n v="2577076292.7299991"/>
    <x v="0"/>
    <n v="10809.48"/>
  </r>
  <r>
    <s v="LN00043"/>
    <x v="42"/>
    <n v="60"/>
    <s v="Male"/>
    <s v="Divorced"/>
    <s v="Employed"/>
    <n v="167815"/>
    <n v="359"/>
    <n v="67074"/>
    <n v="7.21"/>
    <n v="180"/>
    <s v="Mortgage"/>
    <n v="39.340000000000003"/>
    <n v="63072"/>
    <n v="162097"/>
    <x v="42"/>
    <s v="Rejected"/>
    <s v="Yes"/>
    <x v="1"/>
    <x v="42"/>
    <x v="42"/>
    <n v="688"/>
    <n v="638"/>
    <n v="0.35149999999999998"/>
    <n v="101108979"/>
    <n v="51638.906537282943"/>
    <n v="99996"/>
    <n v="5002"/>
    <n v="2614876.6600000015"/>
    <n v="1335.4834831460682"/>
    <n v="0.35149999999999998"/>
    <n v="2574460515.2799988"/>
    <x v="1"/>
    <n v="4794"/>
  </r>
  <r>
    <s v="LN00044"/>
    <x v="43"/>
    <n v="32"/>
    <s v="Female"/>
    <s v="Single"/>
    <s v="Employed"/>
    <n v="117142"/>
    <n v="469"/>
    <n v="47050"/>
    <n v="15.95"/>
    <n v="240"/>
    <s v="Personal"/>
    <n v="20.28"/>
    <n v="58969"/>
    <n v="248858"/>
    <x v="43"/>
    <s v="Approved"/>
    <s v="Yes"/>
    <x v="1"/>
    <x v="43"/>
    <x v="43"/>
    <n v="688"/>
    <n v="637"/>
    <n v="0.35149999999999998"/>
    <n v="101041905"/>
    <n v="51631.019417475727"/>
    <n v="99996"/>
    <n v="5002"/>
    <n v="2614477.1600000015"/>
    <n v="1335.9617577925403"/>
    <n v="0.35149999999999998"/>
    <n v="2571845638.6199989"/>
    <x v="1"/>
    <n v="2727.7200000000003"/>
  </r>
  <r>
    <s v="LN00045"/>
    <x v="44"/>
    <n v="53"/>
    <s v="Male"/>
    <s v="Single"/>
    <s v="Unemployed"/>
    <n v="167140"/>
    <n v="745"/>
    <n v="79899"/>
    <n v="15.61"/>
    <n v="60"/>
    <s v="Education"/>
    <n v="56.9"/>
    <n v="33749"/>
    <n v="32868"/>
    <x v="44"/>
    <s v="Approved"/>
    <s v="Yes"/>
    <x v="2"/>
    <x v="44"/>
    <x v="44"/>
    <n v="687"/>
    <n v="637"/>
    <n v="0.35149999999999998"/>
    <n v="100994855"/>
    <n v="51633.361451942743"/>
    <n v="99996"/>
    <n v="5002"/>
    <n v="2614249.8500000015"/>
    <n v="1336.528553169735"/>
    <n v="0.35149999999999998"/>
    <n v="2569231161.4599991"/>
    <x v="1"/>
    <n v="18474.239999999998"/>
  </r>
  <r>
    <s v="LN00046"/>
    <x v="45"/>
    <n v="52"/>
    <s v="Female"/>
    <s v="Married"/>
    <s v="Self-Employed"/>
    <n v="77400"/>
    <n v="701"/>
    <n v="57764"/>
    <n v="10.67"/>
    <n v="12"/>
    <s v="Education"/>
    <n v="23.67"/>
    <n v="61644"/>
    <n v="140886"/>
    <x v="45"/>
    <s v="Approved"/>
    <s v="Yes"/>
    <x v="0"/>
    <x v="45"/>
    <x v="45"/>
    <n v="686"/>
    <n v="637"/>
    <n v="0.35149999999999998"/>
    <n v="100914956"/>
    <n v="51618.903324808183"/>
    <n v="99996"/>
    <n v="5002"/>
    <n v="2612710.3300000015"/>
    <n v="1336.4247212276223"/>
    <n v="0.35149999999999998"/>
    <n v="2566616911.6099992"/>
    <x v="1"/>
    <n v="63927.360000000001"/>
  </r>
  <r>
    <s v="LN00047"/>
    <x v="46"/>
    <n v="22"/>
    <s v="Female"/>
    <s v="Divorced"/>
    <s v="Employed"/>
    <n v="80826"/>
    <n v="349"/>
    <n v="17247"/>
    <n v="14.43"/>
    <n v="48"/>
    <s v="Auto"/>
    <n v="56.27"/>
    <n v="19524"/>
    <n v="227399"/>
    <x v="18"/>
    <s v="Pending"/>
    <s v="Yes"/>
    <x v="1"/>
    <x v="46"/>
    <x v="46"/>
    <n v="685"/>
    <n v="637"/>
    <n v="0.35149999999999998"/>
    <n v="100857192"/>
    <n v="51615.75844421699"/>
    <n v="99996"/>
    <n v="5002"/>
    <n v="2607383.0500000021"/>
    <n v="1334.3823183213931"/>
    <n v="0.35149999999999998"/>
    <n v="2564004201.2799993"/>
    <x v="0"/>
    <n v="4933.92"/>
  </r>
  <r>
    <s v="LN00048"/>
    <x v="47"/>
    <n v="46"/>
    <s v="Male"/>
    <s v="Married"/>
    <s v="Self-Employed"/>
    <n v="131047"/>
    <n v="709"/>
    <n v="49325"/>
    <n v="23.42"/>
    <n v="360"/>
    <s v="Personal"/>
    <n v="6.02"/>
    <n v="4517"/>
    <n v="113523"/>
    <x v="46"/>
    <s v="Pending"/>
    <s v="No"/>
    <x v="2"/>
    <x v="47"/>
    <x v="47"/>
    <n v="685"/>
    <n v="637"/>
    <n v="0.35149999999999998"/>
    <n v="100839945"/>
    <n v="51633.356374807991"/>
    <n v="99996"/>
    <n v="5002"/>
    <n v="2606971.890000002"/>
    <n v="1334.8550384024588"/>
    <n v="0.35149999999999998"/>
    <n v="2561396818.2299995"/>
    <x v="1"/>
    <n v="2029.1999999999998"/>
  </r>
  <r>
    <s v="LN00049"/>
    <x v="48"/>
    <n v="57"/>
    <s v="Male"/>
    <s v="Single"/>
    <s v="Unemployed"/>
    <n v="39726"/>
    <n v="523"/>
    <n v="84212"/>
    <n v="17.22"/>
    <n v="60"/>
    <s v="Business"/>
    <n v="42.97"/>
    <n v="63356"/>
    <n v="200977"/>
    <x v="47"/>
    <s v="Rejected"/>
    <s v="No"/>
    <x v="1"/>
    <x v="48"/>
    <x v="48"/>
    <n v="685"/>
    <n v="637"/>
    <n v="0.35149999999999998"/>
    <n v="100790620"/>
    <n v="51634.538934426229"/>
    <n v="99996"/>
    <n v="5002"/>
    <n v="2606802.7900000024"/>
    <n v="1335.4522489754111"/>
    <n v="0.35149999999999998"/>
    <n v="2558789846.3399997"/>
    <x v="1"/>
    <n v="19742.64"/>
  </r>
  <r>
    <s v="LN00050"/>
    <x v="49"/>
    <n v="64"/>
    <s v="Male"/>
    <s v="Single"/>
    <s v="Self-Employed"/>
    <n v="101921"/>
    <n v="770"/>
    <n v="66287"/>
    <n v="9.15"/>
    <n v="120"/>
    <s v="Mortgage"/>
    <n v="56.44"/>
    <n v="60311"/>
    <n v="109107"/>
    <x v="48"/>
    <s v="Rejected"/>
    <s v="Yes"/>
    <x v="4"/>
    <x v="49"/>
    <x v="49"/>
    <n v="685"/>
    <n v="636"/>
    <n v="0.35149999999999998"/>
    <n v="100706408"/>
    <n v="51617.84110712455"/>
    <n v="99996"/>
    <n v="5002"/>
    <n v="2605157.5700000022"/>
    <n v="1335.2934751409546"/>
    <n v="0.35149999999999998"/>
    <n v="2556183043.5499997"/>
    <x v="1"/>
    <n v="7235.2800000000007"/>
  </r>
  <r>
    <s v="LN00051"/>
    <x v="50"/>
    <n v="60"/>
    <s v="Male"/>
    <s v="Divorced"/>
    <s v="Employed"/>
    <n v="30885"/>
    <n v="848"/>
    <n v="40348"/>
    <n v="9.83"/>
    <n v="24"/>
    <s v="Auto"/>
    <n v="57.84"/>
    <n v="26582"/>
    <n v="26745"/>
    <x v="49"/>
    <s v="Pending"/>
    <s v="No"/>
    <x v="0"/>
    <x v="50"/>
    <x v="50"/>
    <n v="685"/>
    <n v="635"/>
    <n v="0.35149999999999998"/>
    <n v="100640121"/>
    <n v="51610.31846153846"/>
    <n v="99996"/>
    <n v="5002"/>
    <n v="2604554.6300000027"/>
    <n v="1335.6690410256424"/>
    <n v="0.35149999999999998"/>
    <n v="2553577885.98"/>
    <x v="1"/>
    <n v="22157.16"/>
  </r>
  <r>
    <s v="LN00052"/>
    <x v="51"/>
    <n v="53"/>
    <s v="Female"/>
    <s v="Single"/>
    <s v="Self-Employed"/>
    <n v="166335"/>
    <n v="805"/>
    <n v="25772"/>
    <n v="9.25"/>
    <n v="240"/>
    <s v="Personal"/>
    <n v="30.3"/>
    <n v="34592"/>
    <n v="51730"/>
    <x v="50"/>
    <s v="Rejected"/>
    <s v="Yes"/>
    <x v="4"/>
    <x v="51"/>
    <x v="51"/>
    <n v="685"/>
    <n v="635"/>
    <n v="0.35149999999999998"/>
    <n v="100599773"/>
    <n v="51616.096972806568"/>
    <n v="99996"/>
    <n v="5002"/>
    <n v="2602708.200000002"/>
    <n v="1335.4069779374049"/>
    <n v="0.35149999999999998"/>
    <n v="2550973331.3499994"/>
    <x v="1"/>
    <n v="1407.84"/>
  </r>
  <r>
    <s v="LN00053"/>
    <x v="52"/>
    <n v="44"/>
    <s v="Male"/>
    <s v="Single"/>
    <s v="Self-Employed"/>
    <n v="179743"/>
    <n v="744"/>
    <n v="85438"/>
    <n v="9.0399999999999991"/>
    <n v="24"/>
    <s v="Business"/>
    <n v="29.25"/>
    <n v="18322"/>
    <n v="127316"/>
    <x v="51"/>
    <s v="Pending"/>
    <s v="Yes"/>
    <x v="4"/>
    <x v="52"/>
    <x v="52"/>
    <n v="685"/>
    <n v="634"/>
    <n v="0.35149999999999998"/>
    <n v="100574001"/>
    <n v="51629.363963039017"/>
    <n v="99996"/>
    <n v="5002"/>
    <n v="2602590.8800000022"/>
    <n v="1336.0322792607815"/>
    <n v="0.35149999999999998"/>
    <n v="2548370623.1499991"/>
    <x v="1"/>
    <n v="46580.76"/>
  </r>
  <r>
    <s v="LN00054"/>
    <x v="53"/>
    <n v="33"/>
    <s v="Male"/>
    <s v="Married"/>
    <s v="Unemployed"/>
    <n v="50601"/>
    <n v="558"/>
    <n v="13473"/>
    <n v="5.37"/>
    <n v="24"/>
    <s v="Education"/>
    <n v="59.16"/>
    <n v="59941"/>
    <n v="116169"/>
    <x v="52"/>
    <s v="Approved"/>
    <s v="Yes"/>
    <x v="0"/>
    <x v="53"/>
    <x v="53"/>
    <n v="685"/>
    <n v="634"/>
    <n v="0.35149999999999998"/>
    <n v="100488563"/>
    <n v="51611.999486389315"/>
    <n v="99996"/>
    <n v="5002"/>
    <n v="2598709.1500000022"/>
    <n v="1334.7247817154607"/>
    <n v="0.35149999999999998"/>
    <n v="2545768032.269999"/>
    <x v="1"/>
    <n v="7098.24"/>
  </r>
  <r>
    <s v="LN00055"/>
    <x v="54"/>
    <n v="46"/>
    <s v="Male"/>
    <s v="Divorced"/>
    <s v="Employed"/>
    <n v="32454"/>
    <n v="568"/>
    <n v="55416"/>
    <n v="23.22"/>
    <n v="24"/>
    <s v="Auto"/>
    <n v="32.229999999999997"/>
    <n v="60386"/>
    <n v="13312"/>
    <x v="53"/>
    <s v="Rejected"/>
    <s v="No"/>
    <x v="3"/>
    <x v="54"/>
    <x v="54"/>
    <n v="684"/>
    <n v="634"/>
    <n v="0.35149999999999998"/>
    <n v="100475090"/>
    <n v="51631.598150051388"/>
    <n v="99996"/>
    <n v="5002"/>
    <n v="2598117.6300000022"/>
    <n v="1335.1066957862292"/>
    <n v="0.35149999999999998"/>
    <n v="2543169323.1199994"/>
    <x v="1"/>
    <n v="34141.800000000003"/>
  </r>
  <r>
    <s v="LN00056"/>
    <x v="55"/>
    <n v="52"/>
    <s v="Male"/>
    <s v="Divorced"/>
    <s v="Unemployed"/>
    <n v="176941"/>
    <n v="315"/>
    <n v="81676"/>
    <n v="8.9700000000000006"/>
    <n v="120"/>
    <s v="Business"/>
    <n v="38.130000000000003"/>
    <n v="45706"/>
    <n v="231091"/>
    <x v="54"/>
    <s v="Approved"/>
    <s v="No"/>
    <x v="3"/>
    <x v="55"/>
    <x v="55"/>
    <n v="684"/>
    <n v="633"/>
    <n v="0.35149999999999998"/>
    <n v="100419674"/>
    <n v="51629.652442159386"/>
    <n v="99996"/>
    <n v="5002"/>
    <n v="2595272.4800000014"/>
    <n v="1334.3303239074557"/>
    <n v="0.35149999999999998"/>
    <n v="2540571205.4899998"/>
    <x v="1"/>
    <n v="8900.2800000000007"/>
  </r>
  <r>
    <s v="LN00057"/>
    <x v="56"/>
    <n v="44"/>
    <s v="Male"/>
    <s v="Married"/>
    <s v="Self-Employed"/>
    <n v="159903"/>
    <n v="454"/>
    <n v="29012"/>
    <n v="14.43"/>
    <n v="48"/>
    <s v="Auto"/>
    <n v="22.27"/>
    <n v="1972"/>
    <n v="119918"/>
    <x v="55"/>
    <s v="Pending"/>
    <s v="Yes"/>
    <x v="3"/>
    <x v="56"/>
    <x v="56"/>
    <n v="683"/>
    <n v="633"/>
    <n v="0.35149999999999998"/>
    <n v="100337998"/>
    <n v="51614.19650205761"/>
    <n v="99996"/>
    <n v="5002"/>
    <n v="2594530.7900000014"/>
    <n v="1334.635180041153"/>
    <n v="0.35149999999999998"/>
    <n v="2537975933.0099998"/>
    <x v="1"/>
    <n v="8299.56"/>
  </r>
  <r>
    <s v="LN00058"/>
    <x v="57"/>
    <n v="32"/>
    <s v="Male"/>
    <s v="Single"/>
    <s v="Self-Employed"/>
    <n v="191748"/>
    <n v="821"/>
    <n v="7322"/>
    <n v="4.99"/>
    <n v="360"/>
    <s v="Business"/>
    <n v="41.3"/>
    <n v="20846"/>
    <n v="99749"/>
    <x v="56"/>
    <s v="Pending"/>
    <s v="No"/>
    <x v="2"/>
    <x v="57"/>
    <x v="57"/>
    <n v="683"/>
    <n v="633"/>
    <n v="0.35149999999999998"/>
    <n v="100308986"/>
    <n v="51625.829130211016"/>
    <n v="99996"/>
    <n v="5002"/>
    <n v="2593839.1600000015"/>
    <n v="1334.9661142563054"/>
    <n v="0.35149999999999998"/>
    <n v="2535381402.2199998"/>
    <x v="1"/>
    <n v="256.20000000000005"/>
  </r>
  <r>
    <s v="LN00059"/>
    <x v="58"/>
    <n v="44"/>
    <s v="Female"/>
    <s v="Single"/>
    <s v="Self-Employed"/>
    <n v="28962"/>
    <n v="750"/>
    <n v="37813"/>
    <n v="18.010000000000002"/>
    <n v="36"/>
    <s v="Business"/>
    <n v="8.83"/>
    <n v="72411"/>
    <n v="189146"/>
    <x v="57"/>
    <s v="Rejected"/>
    <s v="No"/>
    <x v="0"/>
    <x v="58"/>
    <x v="58"/>
    <n v="683"/>
    <n v="633"/>
    <n v="0.35149999999999998"/>
    <n v="100301664"/>
    <n v="51648.642636457262"/>
    <n v="99996"/>
    <n v="5002"/>
    <n v="2593817.8100000015"/>
    <n v="1335.6425386199801"/>
    <n v="0.35149999999999998"/>
    <n v="2532787563.0599999"/>
    <x v="1"/>
    <n v="14874.36"/>
  </r>
  <r>
    <s v="LN00060"/>
    <x v="59"/>
    <n v="42"/>
    <s v="Male"/>
    <s v="Single"/>
    <s v="Self-Employed"/>
    <n v="32498"/>
    <n v="661"/>
    <n v="30179"/>
    <n v="13.26"/>
    <n v="180"/>
    <s v="Auto"/>
    <n v="25.79"/>
    <n v="17051"/>
    <n v="235273"/>
    <x v="58"/>
    <s v="Pending"/>
    <s v="Yes"/>
    <x v="2"/>
    <x v="59"/>
    <x v="59"/>
    <n v="683"/>
    <n v="632"/>
    <n v="0.35149999999999998"/>
    <n v="100263851"/>
    <n v="51655.770736733641"/>
    <n v="99996"/>
    <n v="5002"/>
    <n v="2592578.2800000012"/>
    <n v="1335.6920556414225"/>
    <n v="0.35149999999999998"/>
    <n v="2530193745.25"/>
    <x v="1"/>
    <n v="2278.6799999999998"/>
  </r>
  <r>
    <s v="LN00061"/>
    <x v="60"/>
    <n v="52"/>
    <s v="Male"/>
    <s v="Divorced"/>
    <s v="Unemployed"/>
    <n v="101785"/>
    <n v="712"/>
    <n v="23245"/>
    <n v="23.7"/>
    <n v="120"/>
    <s v="Business"/>
    <n v="38.42"/>
    <n v="2150"/>
    <n v="149365"/>
    <x v="59"/>
    <s v="Approved"/>
    <s v="Yes"/>
    <x v="4"/>
    <x v="60"/>
    <x v="60"/>
    <n v="683"/>
    <n v="632"/>
    <n v="0.35149999999999998"/>
    <n v="100233672"/>
    <n v="51666.841237113404"/>
    <n v="99996"/>
    <n v="5002"/>
    <n v="2592388.3900000011"/>
    <n v="1336.2826752577325"/>
    <n v="0.35149999999999998"/>
    <n v="2527601166.9700003"/>
    <x v="1"/>
    <n v="2875.44"/>
  </r>
  <r>
    <s v="LN00062"/>
    <x v="61"/>
    <n v="45"/>
    <s v="Male"/>
    <s v="Married"/>
    <s v="Self-Employed"/>
    <n v="141094"/>
    <n v="348"/>
    <n v="94593"/>
    <n v="15.46"/>
    <n v="180"/>
    <s v="Personal"/>
    <n v="51"/>
    <n v="57096"/>
    <n v="243080"/>
    <x v="60"/>
    <s v="Rejected"/>
    <s v="No"/>
    <x v="3"/>
    <x v="61"/>
    <x v="61"/>
    <n v="682"/>
    <n v="632"/>
    <n v="0.35149999999999998"/>
    <n v="100210427"/>
    <n v="51681.499226405365"/>
    <n v="99996"/>
    <n v="5002"/>
    <n v="2592148.7700000014"/>
    <n v="1336.84825683342"/>
    <n v="0.35149999999999998"/>
    <n v="2525008778.5800004"/>
    <x v="1"/>
    <n v="7281.12"/>
  </r>
  <r>
    <s v="LN00063"/>
    <x v="62"/>
    <n v="49"/>
    <s v="Male"/>
    <s v="Married"/>
    <s v="Employed"/>
    <n v="161876"/>
    <n v="627"/>
    <n v="53107"/>
    <n v="11.67"/>
    <n v="48"/>
    <s v="Personal"/>
    <n v="54.22"/>
    <n v="13715"/>
    <n v="75576"/>
    <x v="61"/>
    <s v="Approved"/>
    <s v="No"/>
    <x v="1"/>
    <x v="62"/>
    <x v="62"/>
    <n v="682"/>
    <n v="631"/>
    <n v="0.35149999999999998"/>
    <n v="100115834"/>
    <n v="51659.357069143443"/>
    <n v="99996"/>
    <n v="5002"/>
    <n v="2591542.0100000012"/>
    <n v="1337.2249793601657"/>
    <n v="0.35149999999999998"/>
    <n v="2522416629.8100004"/>
    <x v="1"/>
    <n v="14826.119999999999"/>
  </r>
  <r>
    <s v="LN00064"/>
    <x v="63"/>
    <n v="46"/>
    <s v="Male"/>
    <s v="Single"/>
    <s v="Employed"/>
    <n v="42599"/>
    <n v="595"/>
    <n v="38221"/>
    <n v="11.91"/>
    <n v="120"/>
    <s v="Education"/>
    <n v="35.24"/>
    <n v="54991"/>
    <n v="191824"/>
    <x v="62"/>
    <s v="Approved"/>
    <s v="Yes"/>
    <x v="0"/>
    <x v="63"/>
    <x v="63"/>
    <n v="681"/>
    <n v="631"/>
    <n v="0.35149999999999998"/>
    <n v="100062727"/>
    <n v="51658.609705730509"/>
    <n v="99996"/>
    <n v="5002"/>
    <n v="2590306.5000000009"/>
    <n v="1337.2774909654108"/>
    <n v="0.35149999999999998"/>
    <n v="2519825087.8000002"/>
    <x v="1"/>
    <n v="4277.28"/>
  </r>
  <r>
    <s v="LN00065"/>
    <x v="64"/>
    <n v="23"/>
    <s v="Female"/>
    <s v="Married"/>
    <s v="Unemployed"/>
    <n v="174621"/>
    <n v="355"/>
    <n v="32642"/>
    <n v="6.77"/>
    <n v="36"/>
    <s v="Business"/>
    <n v="48.07"/>
    <n v="41216"/>
    <n v="83527"/>
    <x v="63"/>
    <s v="Approved"/>
    <s v="No"/>
    <x v="2"/>
    <x v="64"/>
    <x v="64"/>
    <n v="680"/>
    <n v="631"/>
    <n v="0.35149999999999998"/>
    <n v="100024506"/>
    <n v="51665.550619834714"/>
    <n v="99996"/>
    <n v="5002"/>
    <n v="2589950.060000001"/>
    <n v="1337.7841219008269"/>
    <n v="0.35149999999999998"/>
    <n v="2517234781.2999997"/>
    <x v="1"/>
    <n v="11617.32"/>
  </r>
  <r>
    <s v="LN00066"/>
    <x v="65"/>
    <n v="59"/>
    <s v="Male"/>
    <s v="Single"/>
    <s v="Self-Employed"/>
    <n v="98191"/>
    <n v="687"/>
    <n v="78695"/>
    <n v="22.29"/>
    <n v="60"/>
    <s v="Business"/>
    <n v="54.28"/>
    <n v="74258"/>
    <n v="249729"/>
    <x v="64"/>
    <s v="Pending"/>
    <s v="Yes"/>
    <x v="1"/>
    <x v="65"/>
    <x v="65"/>
    <n v="679"/>
    <n v="631"/>
    <n v="0.35149999999999998"/>
    <n v="99991864"/>
    <n v="51675.381912144701"/>
    <n v="99996"/>
    <n v="5002"/>
    <n v="2588981.9500000007"/>
    <n v="1337.9751679586566"/>
    <n v="0.35149999999999998"/>
    <n v="2514644831.2399998"/>
    <x v="1"/>
    <n v="19247.28"/>
  </r>
  <r>
    <s v="LN00067"/>
    <x v="66"/>
    <n v="24"/>
    <s v="Female"/>
    <s v="Single"/>
    <s v="Employed"/>
    <n v="83740"/>
    <n v="640"/>
    <n v="97063"/>
    <n v="6.4"/>
    <n v="48"/>
    <s v="Education"/>
    <n v="11.03"/>
    <n v="70156"/>
    <n v="46298"/>
    <x v="65"/>
    <s v="Rejected"/>
    <s v="No"/>
    <x v="0"/>
    <x v="66"/>
    <x v="66"/>
    <n v="679"/>
    <n v="631"/>
    <n v="0.35149999999999998"/>
    <n v="99913169"/>
    <n v="51661.41106514995"/>
    <n v="99996"/>
    <n v="5002"/>
    <n v="2587378.0100000007"/>
    <n v="1337.8376473629787"/>
    <n v="0.35149999999999998"/>
    <n v="2512055849.2899995"/>
    <x v="1"/>
    <n v="25818.720000000001"/>
  </r>
  <r>
    <s v="LN00068"/>
    <x v="67"/>
    <n v="51"/>
    <s v="Female"/>
    <s v="Single"/>
    <s v="Self-Employed"/>
    <n v="103529"/>
    <n v="619"/>
    <n v="22121"/>
    <n v="20.79"/>
    <n v="36"/>
    <s v="Business"/>
    <n v="59.51"/>
    <n v="11240"/>
    <n v="93545"/>
    <x v="66"/>
    <s v="Pending"/>
    <s v="Yes"/>
    <x v="3"/>
    <x v="67"/>
    <x v="67"/>
    <n v="679"/>
    <n v="630"/>
    <n v="0.35149999999999998"/>
    <n v="99816106"/>
    <n v="51637.923435075012"/>
    <n v="99996"/>
    <n v="5002"/>
    <n v="2585226.4500000011"/>
    <n v="1337.4166839110196"/>
    <n v="0.35149999999999998"/>
    <n v="2509468471.2799997"/>
    <x v="1"/>
    <n v="8906.64"/>
  </r>
  <r>
    <s v="LN00069"/>
    <x v="68"/>
    <n v="49"/>
    <s v="Male"/>
    <s v="Divorced"/>
    <s v="Self-Employed"/>
    <n v="31289"/>
    <n v="543"/>
    <n v="70650"/>
    <n v="4.07"/>
    <n v="360"/>
    <s v="Auto"/>
    <n v="44"/>
    <n v="36914"/>
    <n v="9933"/>
    <x v="67"/>
    <s v="Rejected"/>
    <s v="No"/>
    <x v="0"/>
    <x v="68"/>
    <x v="68"/>
    <n v="679"/>
    <n v="630"/>
    <n v="0.35149999999999998"/>
    <n v="99793985"/>
    <n v="51653.201345755697"/>
    <n v="99996"/>
    <n v="5002"/>
    <n v="2584484.2300000009"/>
    <n v="1337.7247567287789"/>
    <n v="0.35149999999999998"/>
    <n v="2506883244.8299994"/>
    <x v="1"/>
    <n v="2450.88"/>
  </r>
  <r>
    <s v="LN00070"/>
    <x v="69"/>
    <n v="43"/>
    <s v="Male"/>
    <s v="Married"/>
    <s v="Employed"/>
    <n v="197614"/>
    <n v="704"/>
    <n v="70492"/>
    <n v="7.82"/>
    <n v="12"/>
    <s v="Personal"/>
    <n v="33.32"/>
    <n v="68655"/>
    <n v="80059"/>
    <x v="68"/>
    <s v="Pending"/>
    <s v="No"/>
    <x v="0"/>
    <x v="69"/>
    <x v="69"/>
    <n v="679"/>
    <n v="629"/>
    <n v="0.35149999999999998"/>
    <n v="99723335"/>
    <n v="51643.363542206112"/>
    <n v="99996"/>
    <n v="5002"/>
    <n v="2584279.9900000012"/>
    <n v="1338.3117503884005"/>
    <n v="0.35149999999999998"/>
    <n v="2504298760.5999999"/>
    <x v="1"/>
    <n v="76004.52"/>
  </r>
  <r>
    <s v="LN00071"/>
    <x v="70"/>
    <n v="30"/>
    <s v="Female"/>
    <s v="Married"/>
    <s v="Unemployed"/>
    <n v="71125"/>
    <n v="428"/>
    <n v="77038"/>
    <n v="8.61"/>
    <n v="12"/>
    <s v="Education"/>
    <n v="18.05"/>
    <n v="68604"/>
    <n v="177200"/>
    <x v="69"/>
    <s v="Approved"/>
    <s v="No"/>
    <x v="4"/>
    <x v="70"/>
    <x v="70"/>
    <n v="679"/>
    <n v="629"/>
    <n v="0.35149999999999998"/>
    <n v="99652843"/>
    <n v="51633.597409326423"/>
    <n v="99996"/>
    <n v="5002"/>
    <n v="2577946.2800000007"/>
    <n v="1335.7234611398967"/>
    <n v="0.35149999999999998"/>
    <n v="2501714480.6100006"/>
    <x v="0"/>
    <n v="83670.959999999992"/>
  </r>
  <r>
    <s v="LN00072"/>
    <x v="71"/>
    <n v="34"/>
    <s v="Male"/>
    <s v="Single"/>
    <s v="Self-Employed"/>
    <n v="153475"/>
    <n v="803"/>
    <n v="38542"/>
    <n v="10.4"/>
    <n v="24"/>
    <s v="Auto"/>
    <n v="41.15"/>
    <n v="19608"/>
    <n v="196516"/>
    <x v="70"/>
    <s v="Approved"/>
    <s v="Yes"/>
    <x v="4"/>
    <x v="71"/>
    <x v="71"/>
    <n v="678"/>
    <n v="629"/>
    <n v="0.35149999999999998"/>
    <n v="99575805"/>
    <n v="51620.427682737172"/>
    <n v="99996"/>
    <n v="5002"/>
    <n v="2570973.7000000011"/>
    <n v="1332.8012960082951"/>
    <n v="0.35149999999999998"/>
    <n v="2499136534.3300004"/>
    <x v="0"/>
    <n v="21275.16"/>
  </r>
  <r>
    <s v="LN00073"/>
    <x v="72"/>
    <n v="46"/>
    <s v="Female"/>
    <s v="Single"/>
    <s v="Employed"/>
    <n v="138734"/>
    <n v="512"/>
    <n v="39322"/>
    <n v="20.72"/>
    <n v="240"/>
    <s v="Personal"/>
    <n v="6.4"/>
    <n v="39724"/>
    <n v="158424"/>
    <x v="71"/>
    <s v="Pending"/>
    <s v="Yes"/>
    <x v="0"/>
    <x v="72"/>
    <x v="72"/>
    <n v="677"/>
    <n v="629"/>
    <n v="0.35149999999999998"/>
    <n v="99537263"/>
    <n v="51627.21109958506"/>
    <n v="99996"/>
    <n v="5002"/>
    <n v="2569200.7700000014"/>
    <n v="1332.573013485478"/>
    <n v="0.35149999999999998"/>
    <n v="2496565560.6300001"/>
    <x v="1"/>
    <n v="2373.48"/>
  </r>
  <r>
    <s v="LN00074"/>
    <x v="73"/>
    <n v="30"/>
    <s v="Female"/>
    <s v="Divorced"/>
    <s v="Self-Employed"/>
    <n v="65732"/>
    <n v="639"/>
    <n v="16631"/>
    <n v="4.59"/>
    <n v="24"/>
    <s v="Personal"/>
    <n v="11.99"/>
    <n v="24385"/>
    <n v="160124"/>
    <x v="72"/>
    <s v="Pending"/>
    <s v="No"/>
    <x v="0"/>
    <x v="73"/>
    <x v="73"/>
    <n v="677"/>
    <n v="629"/>
    <n v="0.35149999999999998"/>
    <n v="99497941"/>
    <n v="51633.596782563567"/>
    <n v="99996"/>
    <n v="5002"/>
    <n v="2569002.9800000014"/>
    <n v="1333.1618993253769"/>
    <n v="0.35149999999999998"/>
    <n v="2493996359.8600006"/>
    <x v="1"/>
    <n v="8697.24"/>
  </r>
  <r>
    <s v="LN00075"/>
    <x v="74"/>
    <n v="43"/>
    <s v="Female"/>
    <s v="Single"/>
    <s v="Employed"/>
    <n v="149471"/>
    <n v="501"/>
    <n v="34056"/>
    <n v="21.43"/>
    <n v="180"/>
    <s v="Business"/>
    <n v="30.61"/>
    <n v="17516"/>
    <n v="50194"/>
    <x v="73"/>
    <s v="Pending"/>
    <s v="No"/>
    <x v="4"/>
    <x v="74"/>
    <x v="74"/>
    <n v="677"/>
    <n v="629"/>
    <n v="0.35149999999999998"/>
    <n v="99481310"/>
    <n v="51651.770508826587"/>
    <n v="99996"/>
    <n v="5002"/>
    <n v="2568278.2100000014"/>
    <n v="1333.4777829698864"/>
    <n v="0.35149999999999998"/>
    <n v="2491427356.8800006"/>
    <x v="1"/>
    <n v="2757"/>
  </r>
  <r>
    <s v="LN00076"/>
    <x v="75"/>
    <n v="21"/>
    <s v="Female"/>
    <s v="Divorced"/>
    <s v="Unemployed"/>
    <n v="187869"/>
    <n v="629"/>
    <n v="61703"/>
    <n v="10.199999999999999"/>
    <n v="12"/>
    <s v="Auto"/>
    <n v="33.51"/>
    <n v="30511"/>
    <n v="52618"/>
    <x v="74"/>
    <s v="Rejected"/>
    <s v="Yes"/>
    <x v="0"/>
    <x v="75"/>
    <x v="75"/>
    <n v="677"/>
    <n v="629"/>
    <n v="0.35149999999999998"/>
    <n v="99447254"/>
    <n v="51660.911168831168"/>
    <n v="99996"/>
    <n v="5002"/>
    <n v="2568048.4600000014"/>
    <n v="1334.0511480519488"/>
    <n v="0.35149999999999998"/>
    <n v="2488859078.6699996"/>
    <x v="1"/>
    <n v="67996.680000000008"/>
  </r>
  <r>
    <s v="LN00077"/>
    <x v="76"/>
    <n v="50"/>
    <s v="Female"/>
    <s v="Married"/>
    <s v="Self-Employed"/>
    <n v="67314"/>
    <n v="732"/>
    <n v="62942"/>
    <n v="19.39"/>
    <n v="24"/>
    <s v="Personal"/>
    <n v="19.489999999999998"/>
    <n v="6576"/>
    <n v="20855"/>
    <x v="75"/>
    <s v="Rejected"/>
    <s v="Yes"/>
    <x v="2"/>
    <x v="76"/>
    <x v="76"/>
    <n v="677"/>
    <n v="628"/>
    <n v="0.35149999999999998"/>
    <n v="99385551"/>
    <n v="51655.691787941789"/>
    <n v="99996"/>
    <n v="5002"/>
    <n v="2562382.0700000017"/>
    <n v="1331.7994126819135"/>
    <n v="0.35149999999999998"/>
    <n v="2486291030.2099996"/>
    <x v="0"/>
    <n v="37573.199999999997"/>
  </r>
  <r>
    <s v="LN00078"/>
    <x v="77"/>
    <n v="28"/>
    <s v="Male"/>
    <s v="Divorced"/>
    <s v="Unemployed"/>
    <n v="159117"/>
    <n v="668"/>
    <n v="91142"/>
    <n v="21.16"/>
    <n v="36"/>
    <s v="Education"/>
    <n v="28.56"/>
    <n v="28870"/>
    <n v="1462"/>
    <x v="76"/>
    <s v="Rejected"/>
    <s v="No"/>
    <x v="1"/>
    <x v="77"/>
    <x v="77"/>
    <n v="677"/>
    <n v="627"/>
    <n v="0.35149999999999998"/>
    <n v="99322609"/>
    <n v="51649.822672906914"/>
    <n v="99996"/>
    <n v="5002"/>
    <n v="2559250.9700000016"/>
    <n v="1330.8637389495589"/>
    <n v="0.35149999999999998"/>
    <n v="2483728648.1399989"/>
    <x v="1"/>
    <n v="36809.159999999996"/>
  </r>
  <r>
    <s v="LN00079"/>
    <x v="78"/>
    <n v="63"/>
    <s v="Male"/>
    <s v="Single"/>
    <s v="Employed"/>
    <n v="109522"/>
    <n v="442"/>
    <n v="49755"/>
    <n v="23.06"/>
    <n v="24"/>
    <s v="Mortgage"/>
    <n v="12.56"/>
    <n v="5481"/>
    <n v="4660"/>
    <x v="77"/>
    <s v="Rejected"/>
    <s v="Yes"/>
    <x v="3"/>
    <x v="78"/>
    <x v="78"/>
    <n v="677"/>
    <n v="626"/>
    <n v="0.35149999999999998"/>
    <n v="99231467"/>
    <n v="51629.275234131113"/>
    <n v="99996"/>
    <n v="5002"/>
    <n v="2556183.5400000014"/>
    <n v="1329.9602185223732"/>
    <n v="0.35149999999999998"/>
    <n v="2481169397.1699991"/>
    <x v="1"/>
    <n v="30614.28"/>
  </r>
  <r>
    <s v="LN00080"/>
    <x v="79"/>
    <n v="31"/>
    <s v="Male"/>
    <s v="Married"/>
    <s v="Employed"/>
    <n v="193055"/>
    <n v="779"/>
    <n v="37508"/>
    <n v="6.41"/>
    <n v="12"/>
    <s v="Personal"/>
    <n v="24.54"/>
    <n v="30122"/>
    <n v="9499"/>
    <x v="78"/>
    <s v="Rejected"/>
    <s v="Yes"/>
    <x v="0"/>
    <x v="79"/>
    <x v="79"/>
    <n v="677"/>
    <n v="625"/>
    <n v="0.35149999999999998"/>
    <n v="99181712"/>
    <n v="51630.250910983865"/>
    <n v="99996"/>
    <n v="5002"/>
    <n v="2553632.3500000015"/>
    <n v="1329.3244924518488"/>
    <n v="0.35149999999999998"/>
    <n v="2478613213.6299996"/>
    <x v="1"/>
    <n v="39912.239999999998"/>
  </r>
  <r>
    <s v="LN00081"/>
    <x v="80"/>
    <n v="55"/>
    <s v="Male"/>
    <s v="Divorced"/>
    <s v="Employed"/>
    <n v="148900"/>
    <n v="717"/>
    <n v="37897"/>
    <n v="8.61"/>
    <n v="180"/>
    <s v="Business"/>
    <n v="44.44"/>
    <n v="37134"/>
    <n v="123561"/>
    <x v="79"/>
    <s v="Approved"/>
    <s v="Yes"/>
    <x v="0"/>
    <x v="80"/>
    <x v="80"/>
    <n v="677"/>
    <n v="624"/>
    <n v="0.35149999999999998"/>
    <n v="99144204"/>
    <n v="51637.606249999997"/>
    <n v="99996"/>
    <n v="5002"/>
    <n v="2550306.3300000015"/>
    <n v="1328.2845468750008"/>
    <n v="0.35149999999999998"/>
    <n v="2476059581.2799997"/>
    <x v="0"/>
    <n v="2744.04"/>
  </r>
  <r>
    <s v="LN00082"/>
    <x v="81"/>
    <n v="30"/>
    <s v="Male"/>
    <s v="Divorced"/>
    <s v="Unemployed"/>
    <n v="186919"/>
    <n v="685"/>
    <n v="73905"/>
    <n v="21.68"/>
    <n v="48"/>
    <s v="Business"/>
    <n v="18.43"/>
    <n v="49614"/>
    <n v="136993"/>
    <x v="80"/>
    <s v="Approved"/>
    <s v="Yes"/>
    <x v="0"/>
    <x v="81"/>
    <x v="81"/>
    <n v="676"/>
    <n v="624"/>
    <n v="0.35149999999999998"/>
    <n v="99106307"/>
    <n v="51644.766545075559"/>
    <n v="99996"/>
    <n v="5002"/>
    <n v="2550077.6600000011"/>
    <n v="1328.8575612298077"/>
    <n v="0.35149999999999998"/>
    <n v="2473509274.9500003"/>
    <x v="1"/>
    <n v="22481.88"/>
  </r>
  <r>
    <s v="LN00083"/>
    <x v="82"/>
    <n v="53"/>
    <s v="Female"/>
    <s v="Single"/>
    <s v="Employed"/>
    <n v="195338"/>
    <n v="513"/>
    <n v="69785"/>
    <n v="23.76"/>
    <n v="120"/>
    <s v="Education"/>
    <n v="22.27"/>
    <n v="75857"/>
    <n v="86604"/>
    <x v="81"/>
    <s v="Rejected"/>
    <s v="No"/>
    <x v="0"/>
    <x v="82"/>
    <x v="82"/>
    <n v="675"/>
    <n v="624"/>
    <n v="0.35149999999999998"/>
    <n v="99032402"/>
    <n v="51633.160583941608"/>
    <n v="99996"/>
    <n v="5002"/>
    <n v="2548204.1700000018"/>
    <n v="1328.5736027111584"/>
    <n v="0.35149999999999998"/>
    <n v="2470959197.2900004"/>
    <x v="1"/>
    <n v="8636.64"/>
  </r>
  <r>
    <s v="LN00084"/>
    <x v="83"/>
    <n v="35"/>
    <s v="Female"/>
    <s v="Single"/>
    <s v="Unemployed"/>
    <n v="27254"/>
    <n v="810"/>
    <n v="55676"/>
    <n v="7.67"/>
    <n v="360"/>
    <s v="Education"/>
    <n v="56.05"/>
    <n v="44"/>
    <n v="48290"/>
    <x v="82"/>
    <s v="Rejected"/>
    <s v="No"/>
    <x v="2"/>
    <x v="83"/>
    <x v="83"/>
    <n v="675"/>
    <n v="623"/>
    <n v="0.35149999999999998"/>
    <n v="98962617"/>
    <n v="51623.691705790297"/>
    <n v="99996"/>
    <n v="5002"/>
    <n v="2547484.4500000016"/>
    <n v="1328.8912102243096"/>
    <n v="0.35149999999999998"/>
    <n v="2468410993.1200004"/>
    <x v="1"/>
    <n v="1998.2400000000002"/>
  </r>
  <r>
    <s v="LN00085"/>
    <x v="84"/>
    <n v="22"/>
    <s v="Female"/>
    <s v="Divorced"/>
    <s v="Employed"/>
    <n v="139604"/>
    <n v="453"/>
    <n v="31819"/>
    <n v="6.35"/>
    <n v="120"/>
    <s v="Auto"/>
    <n v="19.45"/>
    <n v="71827"/>
    <n v="139370"/>
    <x v="83"/>
    <s v="Rejected"/>
    <s v="No"/>
    <x v="3"/>
    <x v="84"/>
    <x v="84"/>
    <n v="675"/>
    <n v="622"/>
    <n v="0.35149999999999998"/>
    <n v="98906941"/>
    <n v="51621.576722338206"/>
    <n v="99996"/>
    <n v="5002"/>
    <n v="2547317.9300000016"/>
    <n v="1329.4978757828819"/>
    <n v="0.35149999999999998"/>
    <n v="2465863508.6700006"/>
    <x v="1"/>
    <n v="3384"/>
  </r>
  <r>
    <s v="LN00086"/>
    <x v="85"/>
    <n v="28"/>
    <s v="Male"/>
    <s v="Married"/>
    <s v="Employed"/>
    <n v="125539"/>
    <n v="650"/>
    <n v="81220"/>
    <n v="4.59"/>
    <n v="36"/>
    <s v="Mortgage"/>
    <n v="48.62"/>
    <n v="14292"/>
    <n v="101682"/>
    <x v="84"/>
    <s v="Pending"/>
    <s v="No"/>
    <x v="2"/>
    <x v="85"/>
    <x v="85"/>
    <n v="675"/>
    <n v="621"/>
    <n v="0.35149999999999998"/>
    <n v="98875122"/>
    <n v="51631.917493472582"/>
    <n v="99996"/>
    <n v="5002"/>
    <n v="2547035.9300000016"/>
    <n v="1330.0448720626639"/>
    <n v="0.35149999999999998"/>
    <n v="2463316190.7400007"/>
    <x v="1"/>
    <n v="28316.04"/>
  </r>
  <r>
    <s v="LN00087"/>
    <x v="86"/>
    <n v="65"/>
    <s v="Female"/>
    <s v="Single"/>
    <s v="Unemployed"/>
    <n v="42266"/>
    <n v="595"/>
    <n v="75960"/>
    <n v="6"/>
    <n v="48"/>
    <s v="Personal"/>
    <n v="47.09"/>
    <n v="53714"/>
    <n v="151568"/>
    <x v="85"/>
    <s v="Rejected"/>
    <s v="Yes"/>
    <x v="2"/>
    <x v="86"/>
    <x v="86"/>
    <n v="675"/>
    <n v="621"/>
    <n v="0.35149999999999998"/>
    <n v="98793902"/>
    <n v="51616.458725182863"/>
    <n v="99996"/>
    <n v="5002"/>
    <n v="2544676.2600000016"/>
    <n v="1329.5069278996873"/>
    <n v="0.35149999999999998"/>
    <n v="2460769154.8100004"/>
    <x v="1"/>
    <n v="20129.400000000001"/>
  </r>
  <r>
    <s v="LN00088"/>
    <x v="87"/>
    <n v="21"/>
    <s v="Female"/>
    <s v="Married"/>
    <s v="Employed"/>
    <n v="125337"/>
    <n v="437"/>
    <n v="79869"/>
    <n v="23.46"/>
    <n v="60"/>
    <s v="Mortgage"/>
    <n v="19.87"/>
    <n v="19188"/>
    <n v="218338"/>
    <x v="16"/>
    <s v="Rejected"/>
    <s v="Yes"/>
    <x v="1"/>
    <x v="87"/>
    <x v="87"/>
    <n v="675"/>
    <n v="620"/>
    <n v="0.35149999999999998"/>
    <n v="98717942"/>
    <n v="51603.733403031889"/>
    <n v="99996"/>
    <n v="5002"/>
    <n v="2542998.8100000015"/>
    <n v="1329.3250444328287"/>
    <n v="0.35149999999999998"/>
    <n v="2458224478.5500007"/>
    <x v="1"/>
    <n v="19721.28"/>
  </r>
  <r>
    <s v="LN00089"/>
    <x v="88"/>
    <n v="21"/>
    <s v="Male"/>
    <s v="Married"/>
    <s v="Unemployed"/>
    <n v="37167"/>
    <n v="623"/>
    <n v="55156"/>
    <n v="12.99"/>
    <n v="120"/>
    <s v="Education"/>
    <n v="18.88"/>
    <n v="33683"/>
    <n v="222262"/>
    <x v="86"/>
    <s v="Rejected"/>
    <s v="No"/>
    <x v="0"/>
    <x v="88"/>
    <x v="88"/>
    <n v="675"/>
    <n v="619"/>
    <n v="0.35149999999999998"/>
    <n v="98638073"/>
    <n v="51588.950313807531"/>
    <n v="99996"/>
    <n v="5002"/>
    <n v="2541355.3700000015"/>
    <n v="1329.1607583682016"/>
    <n v="0.35149999999999998"/>
    <n v="2455681479.7400007"/>
    <x v="1"/>
    <n v="6232.08"/>
  </r>
  <r>
    <s v="LN00090"/>
    <x v="89"/>
    <n v="47"/>
    <s v="Male"/>
    <s v="Single"/>
    <s v="Unemployed"/>
    <n v="105285"/>
    <n v="333"/>
    <n v="68887"/>
    <n v="8.09"/>
    <n v="180"/>
    <s v="Personal"/>
    <n v="22.52"/>
    <n v="21156"/>
    <n v="124965"/>
    <x v="87"/>
    <s v="Approved"/>
    <s v="Yes"/>
    <x v="4"/>
    <x v="89"/>
    <x v="89"/>
    <n v="675"/>
    <n v="618"/>
    <n v="0.35149999999999998"/>
    <n v="98582917"/>
    <n v="51587.083725798009"/>
    <n v="99996"/>
    <n v="5002"/>
    <n v="2540836.0300000017"/>
    <n v="1329.5845264259558"/>
    <n v="0.35149999999999998"/>
    <n v="2453140124.3700004"/>
    <x v="1"/>
    <n v="4964.04"/>
  </r>
  <r>
    <s v="LN00091"/>
    <x v="90"/>
    <n v="43"/>
    <s v="Male"/>
    <s v="Single"/>
    <s v="Employed"/>
    <n v="112625"/>
    <n v="663"/>
    <n v="37679"/>
    <n v="18.13"/>
    <n v="60"/>
    <s v="Personal"/>
    <n v="34.32"/>
    <n v="58140"/>
    <n v="243693"/>
    <x v="88"/>
    <s v="Rejected"/>
    <s v="Yes"/>
    <x v="4"/>
    <x v="90"/>
    <x v="90"/>
    <n v="674"/>
    <n v="618"/>
    <n v="0.35149999999999998"/>
    <n v="98514030"/>
    <n v="51578.02617801047"/>
    <n v="99996"/>
    <n v="5002"/>
    <n v="2540422.3600000013"/>
    <n v="1330.0640628272258"/>
    <n v="0.35149999999999998"/>
    <n v="2450599288.3400006"/>
    <x v="1"/>
    <n v="8902.08"/>
  </r>
  <r>
    <s v="LN00092"/>
    <x v="91"/>
    <n v="30"/>
    <s v="Female"/>
    <s v="Married"/>
    <s v="Employed"/>
    <n v="161419"/>
    <n v="350"/>
    <n v="31034"/>
    <n v="22.9"/>
    <n v="60"/>
    <s v="Education"/>
    <n v="50.86"/>
    <n v="22902"/>
    <n v="112614"/>
    <x v="89"/>
    <s v="Pending"/>
    <s v="Yes"/>
    <x v="2"/>
    <x v="91"/>
    <x v="91"/>
    <n v="674"/>
    <n v="617"/>
    <n v="0.35149999999999998"/>
    <n v="98476351"/>
    <n v="51585.306966998425"/>
    <n v="99996"/>
    <n v="5002"/>
    <n v="2539680.5200000014"/>
    <n v="1330.3721948664229"/>
    <n v="0.35149999999999998"/>
    <n v="2448058865.9800005"/>
    <x v="1"/>
    <n v="7628.16"/>
  </r>
  <r>
    <s v="LN00093"/>
    <x v="92"/>
    <n v="64"/>
    <s v="Male"/>
    <s v="Single"/>
    <s v="Unemployed"/>
    <n v="161617"/>
    <n v="451"/>
    <n v="13940"/>
    <n v="6.54"/>
    <n v="24"/>
    <s v="Mortgage"/>
    <n v="8.82"/>
    <n v="63763"/>
    <n v="140649"/>
    <x v="90"/>
    <s v="Rejected"/>
    <s v="Yes"/>
    <x v="4"/>
    <x v="92"/>
    <x v="92"/>
    <n v="674"/>
    <n v="617"/>
    <n v="0.35149999999999998"/>
    <n v="98445317"/>
    <n v="51596.078092243188"/>
    <n v="99996"/>
    <n v="5002"/>
    <n v="2539044.8400000017"/>
    <n v="1330.736289308177"/>
    <n v="0.35149999999999998"/>
    <n v="2445519185.460001"/>
    <x v="1"/>
    <n v="7425.84"/>
  </r>
  <r>
    <s v="LN00094"/>
    <x v="93"/>
    <n v="56"/>
    <s v="Male"/>
    <s v="Single"/>
    <s v="Self-Employed"/>
    <n v="43365"/>
    <n v="770"/>
    <n v="56647"/>
    <n v="23.92"/>
    <n v="24"/>
    <s v="Education"/>
    <n v="24.98"/>
    <n v="38072"/>
    <n v="120510"/>
    <x v="91"/>
    <s v="Pending"/>
    <s v="No"/>
    <x v="1"/>
    <x v="93"/>
    <x v="93"/>
    <n v="674"/>
    <n v="616"/>
    <n v="0.35149999999999998"/>
    <n v="98431377"/>
    <n v="51615.824331410593"/>
    <n v="99996"/>
    <n v="5002"/>
    <n v="2538426.0200000019"/>
    <n v="1331.1096067121143"/>
    <n v="0.35149999999999998"/>
    <n v="2442980140.6200008"/>
    <x v="1"/>
    <n v="35098.44"/>
  </r>
  <r>
    <s v="LN00095"/>
    <x v="94"/>
    <n v="62"/>
    <s v="Male"/>
    <s v="Married"/>
    <s v="Unemployed"/>
    <n v="127165"/>
    <n v="575"/>
    <n v="51925"/>
    <n v="4.25"/>
    <n v="120"/>
    <s v="Auto"/>
    <n v="56.43"/>
    <n v="49750"/>
    <n v="120613"/>
    <x v="92"/>
    <s v="Approved"/>
    <s v="Yes"/>
    <x v="4"/>
    <x v="94"/>
    <x v="94"/>
    <n v="674"/>
    <n v="616"/>
    <n v="0.35149999999999998"/>
    <n v="98374730"/>
    <n v="51613.184679958031"/>
    <n v="99996"/>
    <n v="5002"/>
    <n v="2535501.1500000018"/>
    <n v="1330.2734260230859"/>
    <n v="0.35149999999999998"/>
    <n v="2440441714.6000004"/>
    <x v="1"/>
    <n v="5413.2000000000007"/>
  </r>
  <r>
    <s v="LN00096"/>
    <x v="95"/>
    <n v="26"/>
    <s v="Male"/>
    <s v="Single"/>
    <s v="Unemployed"/>
    <n v="37625"/>
    <n v="372"/>
    <n v="68023"/>
    <n v="12.33"/>
    <n v="360"/>
    <s v="Mortgage"/>
    <n v="38.83"/>
    <n v="72202"/>
    <n v="8897"/>
    <x v="93"/>
    <s v="Pending"/>
    <s v="No"/>
    <x v="3"/>
    <x v="95"/>
    <x v="95"/>
    <n v="673"/>
    <n v="616"/>
    <n v="0.35149999999999998"/>
    <n v="98322805"/>
    <n v="51613.02099737533"/>
    <n v="99996"/>
    <n v="5002"/>
    <n v="2535050.0500000012"/>
    <n v="1330.7349343832027"/>
    <n v="0.35149999999999998"/>
    <n v="2437906213.4500008"/>
    <x v="1"/>
    <n v="2547"/>
  </r>
  <r>
    <s v="LN00097"/>
    <x v="96"/>
    <n v="61"/>
    <s v="Male"/>
    <s v="Married"/>
    <s v="Unemployed"/>
    <n v="51575"/>
    <n v="397"/>
    <n v="22481"/>
    <n v="15.64"/>
    <n v="240"/>
    <s v="Business"/>
    <n v="22.72"/>
    <n v="21303"/>
    <n v="150979"/>
    <x v="94"/>
    <s v="Rejected"/>
    <s v="No"/>
    <x v="0"/>
    <x v="96"/>
    <x v="96"/>
    <n v="673"/>
    <n v="616"/>
    <n v="0.35149999999999998"/>
    <n v="98254782"/>
    <n v="51604.402310924372"/>
    <n v="99996"/>
    <n v="5002"/>
    <n v="2534837.8000000012"/>
    <n v="1331.3223739495804"/>
    <n v="0.35149999999999998"/>
    <n v="2435371163.4000001"/>
    <x v="1"/>
    <n v="1299.8399999999999"/>
  </r>
  <r>
    <s v="LN00098"/>
    <x v="97"/>
    <n v="45"/>
    <s v="Male"/>
    <s v="Single"/>
    <s v="Unemployed"/>
    <n v="83877"/>
    <n v="695"/>
    <n v="31378"/>
    <n v="7.83"/>
    <n v="36"/>
    <s v="Mortgage"/>
    <n v="6.89"/>
    <n v="17785"/>
    <n v="215513"/>
    <x v="95"/>
    <s v="Rejected"/>
    <s v="Yes"/>
    <x v="3"/>
    <x v="97"/>
    <x v="97"/>
    <n v="673"/>
    <n v="615"/>
    <n v="0.35149999999999998"/>
    <n v="98232301"/>
    <n v="51619.70625328429"/>
    <n v="99996"/>
    <n v="5002"/>
    <n v="2534729.4800000014"/>
    <n v="1331.965044666317"/>
    <n v="0.35149999999999998"/>
    <n v="2432836325.6000004"/>
    <x v="1"/>
    <n v="11278.32"/>
  </r>
  <r>
    <s v="LN00099"/>
    <x v="98"/>
    <n v="53"/>
    <s v="Female"/>
    <s v="Divorced"/>
    <s v="Self-Employed"/>
    <n v="79495"/>
    <n v="483"/>
    <n v="22554"/>
    <n v="16.57"/>
    <n v="36"/>
    <s v="Education"/>
    <n v="47.48"/>
    <n v="25680"/>
    <n v="208917"/>
    <x v="96"/>
    <s v="Approved"/>
    <s v="Yes"/>
    <x v="2"/>
    <x v="98"/>
    <x v="98"/>
    <n v="673"/>
    <n v="614"/>
    <n v="0.35149999999999998"/>
    <n v="98200923"/>
    <n v="51630.348580441641"/>
    <n v="99996"/>
    <n v="5002"/>
    <n v="2533789.620000001"/>
    <n v="1332.1711987381709"/>
    <n v="0.35149999999999998"/>
    <n v="2430301596.1199999"/>
    <x v="1"/>
    <n v="8763.7199999999993"/>
  </r>
  <r>
    <s v="LN00100"/>
    <x v="99"/>
    <n v="26"/>
    <s v="Male"/>
    <s v="Married"/>
    <s v="Employed"/>
    <n v="130165"/>
    <n v="314"/>
    <n v="5002"/>
    <n v="12.93"/>
    <n v="24"/>
    <s v="Mortgage"/>
    <n v="29.76"/>
    <n v="7283"/>
    <n v="225613"/>
    <x v="97"/>
    <s v="Approved"/>
    <s v="No"/>
    <x v="3"/>
    <x v="99"/>
    <x v="99"/>
    <n v="672"/>
    <n v="614"/>
    <n v="0.35149999999999998"/>
    <n v="98178369"/>
    <n v="51645.643871646505"/>
    <n v="99996"/>
    <n v="5002"/>
    <n v="2533059.3100000015"/>
    <n v="1332.4878011572864"/>
    <n v="0.35149999999999998"/>
    <n v="2427767806.5"/>
    <x v="1"/>
    <n v="2824.32"/>
  </r>
  <r>
    <s v="LN00101"/>
    <x v="100"/>
    <n v="41"/>
    <s v="Female"/>
    <s v="Divorced"/>
    <s v="Employed"/>
    <n v="180286"/>
    <n v="501"/>
    <n v="86487"/>
    <n v="22.57"/>
    <n v="24"/>
    <s v="Education"/>
    <n v="54.07"/>
    <n v="14102"/>
    <n v="84673"/>
    <x v="98"/>
    <s v="Rejected"/>
    <s v="Yes"/>
    <x v="3"/>
    <x v="100"/>
    <x v="100"/>
    <n v="671"/>
    <n v="614"/>
    <n v="0.35149999999999998"/>
    <n v="98173367"/>
    <n v="51670.193157894733"/>
    <n v="99996"/>
    <n v="5091"/>
    <n v="2532823.9500000016"/>
    <n v="1333.0652368421061"/>
    <n v="0.35149999999999998"/>
    <n v="2425234747.1900001"/>
    <x v="1"/>
    <n v="53003.520000000004"/>
  </r>
  <r>
    <s v="LN00102"/>
    <x v="101"/>
    <n v="48"/>
    <s v="Male"/>
    <s v="Divorced"/>
    <s v="Unemployed"/>
    <n v="74565"/>
    <n v="442"/>
    <n v="32858"/>
    <n v="22.57"/>
    <n v="24"/>
    <s v="Business"/>
    <n v="18.440000000000001"/>
    <n v="67546"/>
    <n v="81210"/>
    <x v="99"/>
    <s v="Pending"/>
    <s v="Yes"/>
    <x v="0"/>
    <x v="101"/>
    <x v="101"/>
    <n v="671"/>
    <n v="613"/>
    <n v="0.35149999999999998"/>
    <n v="98086880"/>
    <n v="51651.8588730911"/>
    <n v="99996"/>
    <n v="5091"/>
    <n v="2528406.9900000007"/>
    <n v="1331.4412796208535"/>
    <n v="0.35149999999999998"/>
    <n v="2422701923.2400002"/>
    <x v="1"/>
    <n v="20137.079999999998"/>
  </r>
  <r>
    <s v="LN00103"/>
    <x v="102"/>
    <n v="44"/>
    <s v="Male"/>
    <s v="Single"/>
    <s v="Employed"/>
    <n v="28809"/>
    <n v="496"/>
    <n v="39736"/>
    <n v="12.66"/>
    <n v="240"/>
    <s v="Personal"/>
    <n v="34.049999999999997"/>
    <n v="10587"/>
    <n v="5924"/>
    <x v="100"/>
    <s v="Rejected"/>
    <s v="Yes"/>
    <x v="3"/>
    <x v="102"/>
    <x v="102"/>
    <n v="671"/>
    <n v="613"/>
    <n v="0.35149999999999998"/>
    <n v="98054022"/>
    <n v="51661.760800842996"/>
    <n v="99996"/>
    <n v="5091"/>
    <n v="2526728.9000000008"/>
    <n v="1331.2586406743944"/>
    <n v="0.35149999999999998"/>
    <n v="2420173516.2499995"/>
    <x v="1"/>
    <n v="2238.36"/>
  </r>
  <r>
    <s v="LN00104"/>
    <x v="103"/>
    <n v="61"/>
    <s v="Male"/>
    <s v="Divorced"/>
    <s v="Self-Employed"/>
    <n v="121040"/>
    <n v="369"/>
    <n v="73093"/>
    <n v="20.66"/>
    <n v="180"/>
    <s v="Education"/>
    <n v="39.200000000000003"/>
    <n v="60595"/>
    <n v="195313"/>
    <x v="101"/>
    <s v="Approved"/>
    <s v="No"/>
    <x v="1"/>
    <x v="103"/>
    <x v="103"/>
    <n v="671"/>
    <n v="612"/>
    <n v="0.35149999999999998"/>
    <n v="98014286"/>
    <n v="51668.047443331576"/>
    <n v="99996"/>
    <n v="5091"/>
    <n v="2526542.370000001"/>
    <n v="1331.8620822351086"/>
    <n v="0.35149999999999998"/>
    <n v="2417646787.3499999"/>
    <x v="1"/>
    <n v="5879.64"/>
  </r>
  <r>
    <s v="LN00105"/>
    <x v="104"/>
    <n v="38"/>
    <s v="Female"/>
    <s v="Single"/>
    <s v="Self-Employed"/>
    <n v="128730"/>
    <n v="569"/>
    <n v="18682"/>
    <n v="20.53"/>
    <n v="60"/>
    <s v="Personal"/>
    <n v="28.9"/>
    <n v="34334"/>
    <n v="64006"/>
    <x v="102"/>
    <s v="Approved"/>
    <s v="No"/>
    <x v="2"/>
    <x v="104"/>
    <x v="104"/>
    <n v="670"/>
    <n v="612"/>
    <n v="0.35149999999999998"/>
    <n v="97941193"/>
    <n v="51656.747362869195"/>
    <n v="99996"/>
    <n v="5091"/>
    <n v="2526052.4000000008"/>
    <n v="1332.3061181434603"/>
    <n v="0.35149999999999998"/>
    <n v="2415120244.98"/>
    <x v="1"/>
    <n v="4503.4800000000005"/>
  </r>
  <r>
    <s v="LN00106"/>
    <x v="105"/>
    <n v="43"/>
    <s v="Male"/>
    <s v="Single"/>
    <s v="Unemployed"/>
    <n v="110740"/>
    <n v="579"/>
    <n v="53084"/>
    <n v="16.63"/>
    <n v="240"/>
    <s v="Auto"/>
    <n v="34.229999999999997"/>
    <n v="75083"/>
    <n v="135092"/>
    <x v="103"/>
    <s v="Rejected"/>
    <s v="No"/>
    <x v="1"/>
    <x v="105"/>
    <x v="105"/>
    <n v="669"/>
    <n v="612"/>
    <n v="0.35149999999999998"/>
    <n v="97922511"/>
    <n v="51674.148284960422"/>
    <n v="99996"/>
    <n v="5091"/>
    <n v="2525677.1100000013"/>
    <n v="1332.8111398416893"/>
    <n v="0.35149999999999998"/>
    <n v="2412594192.5799994"/>
    <x v="1"/>
    <n v="3095.6400000000003"/>
  </r>
  <r>
    <s v="LN00107"/>
    <x v="106"/>
    <n v="63"/>
    <s v="Female"/>
    <s v="Married"/>
    <s v="Unemployed"/>
    <n v="172564"/>
    <n v="652"/>
    <n v="52367"/>
    <n v="23.61"/>
    <n v="24"/>
    <s v="Auto"/>
    <n v="12.46"/>
    <n v="36402"/>
    <n v="34965"/>
    <x v="104"/>
    <s v="Rejected"/>
    <s v="Yes"/>
    <x v="0"/>
    <x v="106"/>
    <x v="106"/>
    <n v="669"/>
    <n v="611"/>
    <n v="0.35149999999999998"/>
    <n v="97869427"/>
    <n v="51673.403907074971"/>
    <n v="99996"/>
    <n v="5091"/>
    <n v="2525419.1400000011"/>
    <n v="1333.3786378035909"/>
    <n v="0.35149999999999998"/>
    <n v="2410068515.4699993"/>
    <x v="1"/>
    <n v="32365.439999999999"/>
  </r>
  <r>
    <s v="LN00108"/>
    <x v="107"/>
    <n v="47"/>
    <s v="Female"/>
    <s v="Single"/>
    <s v="Unemployed"/>
    <n v="189611"/>
    <n v="438"/>
    <n v="86626"/>
    <n v="12.77"/>
    <n v="60"/>
    <s v="Education"/>
    <n v="30.25"/>
    <n v="55694"/>
    <n v="185803"/>
    <x v="105"/>
    <s v="Rejected"/>
    <s v="Yes"/>
    <x v="0"/>
    <x v="107"/>
    <x v="107"/>
    <n v="669"/>
    <n v="610"/>
    <n v="0.35149999999999998"/>
    <n v="97817060"/>
    <n v="51673.037506603272"/>
    <n v="99996"/>
    <n v="5091"/>
    <n v="2522722.0200000009"/>
    <n v="1332.6582250396202"/>
    <n v="0.35149999999999998"/>
    <n v="2407543096.3299999"/>
    <x v="1"/>
    <n v="19537.68"/>
  </r>
  <r>
    <s v="LN00109"/>
    <x v="108"/>
    <n v="25"/>
    <s v="Male"/>
    <s v="Divorced"/>
    <s v="Employed"/>
    <n v="122799"/>
    <n v="551"/>
    <n v="75196"/>
    <n v="6.45"/>
    <n v="180"/>
    <s v="Auto"/>
    <n v="17.46"/>
    <n v="22471"/>
    <n v="210978"/>
    <x v="106"/>
    <s v="Pending"/>
    <s v="Yes"/>
    <x v="3"/>
    <x v="108"/>
    <x v="108"/>
    <n v="669"/>
    <n v="609"/>
    <n v="0.35149999999999998"/>
    <n v="97730434"/>
    <n v="51654.563424947148"/>
    <n v="99996"/>
    <n v="5091"/>
    <n v="2521093.8800000004"/>
    <n v="1332.5020507399579"/>
    <n v="0.35149999999999998"/>
    <n v="2405020374.3099995"/>
    <x v="1"/>
    <n v="5336.4"/>
  </r>
  <r>
    <s v="LN00110"/>
    <x v="109"/>
    <n v="57"/>
    <s v="Female"/>
    <s v="Married"/>
    <s v="Unemployed"/>
    <n v="128359"/>
    <n v="522"/>
    <n v="57152"/>
    <n v="18.739999999999998"/>
    <n v="24"/>
    <s v="Mortgage"/>
    <n v="12.29"/>
    <n v="3214"/>
    <n v="47686"/>
    <x v="107"/>
    <s v="Pending"/>
    <s v="Yes"/>
    <x v="1"/>
    <x v="109"/>
    <x v="109"/>
    <n v="669"/>
    <n v="609"/>
    <n v="0.35149999999999998"/>
    <n v="97655238"/>
    <n v="51642.114225277634"/>
    <n v="99996"/>
    <n v="5091"/>
    <n v="2520649.1800000002"/>
    <n v="1332.9715388683237"/>
    <n v="0.35149999999999998"/>
    <n v="2402499280.4299998"/>
    <x v="1"/>
    <n v="33931.199999999997"/>
  </r>
  <r>
    <s v="LN00111"/>
    <x v="110"/>
    <n v="29"/>
    <s v="Male"/>
    <s v="Divorced"/>
    <s v="Self-Employed"/>
    <n v="62864"/>
    <n v="516"/>
    <n v="12653"/>
    <n v="15.85"/>
    <n v="12"/>
    <s v="Mortgage"/>
    <n v="39.409999999999997"/>
    <n v="72706"/>
    <n v="172819"/>
    <x v="108"/>
    <s v="Approved"/>
    <s v="Yes"/>
    <x v="3"/>
    <x v="110"/>
    <x v="110"/>
    <n v="669"/>
    <n v="609"/>
    <n v="0.35149999999999998"/>
    <n v="97598086"/>
    <n v="51639.198941798939"/>
    <n v="99996"/>
    <n v="5091"/>
    <n v="2517821.5799999996"/>
    <n v="1332.1807301587301"/>
    <n v="0.35149999999999998"/>
    <n v="2399978631.249999"/>
    <x v="1"/>
    <n v="14658.48"/>
  </r>
  <r>
    <s v="LN00112"/>
    <x v="111"/>
    <n v="29"/>
    <s v="Female"/>
    <s v="Single"/>
    <s v="Employed"/>
    <n v="84981"/>
    <n v="345"/>
    <n v="21894"/>
    <n v="9.19"/>
    <n v="12"/>
    <s v="Personal"/>
    <n v="21.15"/>
    <n v="9827"/>
    <n v="43914"/>
    <x v="109"/>
    <s v="Approved"/>
    <s v="Yes"/>
    <x v="0"/>
    <x v="111"/>
    <x v="111"/>
    <n v="668"/>
    <n v="609"/>
    <n v="0.35149999999999998"/>
    <n v="97585433"/>
    <n v="51659.837480148228"/>
    <n v="99996"/>
    <n v="5091"/>
    <n v="2516600.04"/>
    <n v="1332.2393012175755"/>
    <n v="0.35149999999999998"/>
    <n v="2397460809.6699996"/>
    <x v="0"/>
    <n v="23906.04"/>
  </r>
  <r>
    <s v="LN00113"/>
    <x v="112"/>
    <n v="58"/>
    <s v="Male"/>
    <s v="Single"/>
    <s v="Employed"/>
    <n v="42054"/>
    <n v="595"/>
    <n v="94396"/>
    <n v="8.27"/>
    <n v="180"/>
    <s v="Mortgage"/>
    <n v="11.85"/>
    <n v="57965"/>
    <n v="249226"/>
    <x v="110"/>
    <s v="Pending"/>
    <s v="Yes"/>
    <x v="3"/>
    <x v="112"/>
    <x v="112"/>
    <n v="667"/>
    <n v="609"/>
    <n v="0.35149999999999998"/>
    <n v="97563539"/>
    <n v="51675.603283898308"/>
    <n v="99996"/>
    <n v="5091"/>
    <n v="2514607.8700000006"/>
    <n v="1331.8897616525426"/>
    <n v="0.35149999999999998"/>
    <n v="2394944209.6299992"/>
    <x v="0"/>
    <n v="6813.48"/>
  </r>
  <r>
    <s v="LN00114"/>
    <x v="113"/>
    <n v="33"/>
    <s v="Male"/>
    <s v="Married"/>
    <s v="Unemployed"/>
    <n v="160492"/>
    <n v="319"/>
    <n v="70975"/>
    <n v="10.83"/>
    <n v="180"/>
    <s v="Personal"/>
    <n v="36"/>
    <n v="10791"/>
    <n v="248352"/>
    <x v="111"/>
    <s v="Pending"/>
    <s v="No"/>
    <x v="1"/>
    <x v="113"/>
    <x v="113"/>
    <n v="667"/>
    <n v="609"/>
    <n v="0.35149999999999998"/>
    <n v="97469143"/>
    <n v="51652.963963963964"/>
    <n v="99996"/>
    <n v="5091"/>
    <n v="2514040.0800000005"/>
    <n v="1332.294689984102"/>
    <n v="0.35149999999999998"/>
    <n v="2392429601.7599988"/>
    <x v="1"/>
    <n v="5244.12"/>
  </r>
  <r>
    <s v="LN00115"/>
    <x v="114"/>
    <n v="26"/>
    <s v="Female"/>
    <s v="Single"/>
    <s v="Unemployed"/>
    <n v="70549"/>
    <n v="502"/>
    <n v="98631"/>
    <n v="10.97"/>
    <n v="240"/>
    <s v="Auto"/>
    <n v="31.51"/>
    <n v="72417"/>
    <n v="179484"/>
    <x v="112"/>
    <s v="Pending"/>
    <s v="No"/>
    <x v="4"/>
    <x v="114"/>
    <x v="114"/>
    <n v="667"/>
    <n v="609"/>
    <n v="0.35149999999999998"/>
    <n v="97398168"/>
    <n v="51642.71898197243"/>
    <n v="99996"/>
    <n v="5091"/>
    <n v="2513603.0700000003"/>
    <n v="1332.7693902439025"/>
    <n v="0.35149999999999998"/>
    <n v="2389915561.6799989"/>
    <x v="1"/>
    <n v="5472.6"/>
  </r>
  <r>
    <s v="LN00116"/>
    <x v="115"/>
    <n v="50"/>
    <s v="Female"/>
    <s v="Married"/>
    <s v="Unemployed"/>
    <n v="106550"/>
    <n v="567"/>
    <n v="35059"/>
    <n v="18.399999999999999"/>
    <n v="36"/>
    <s v="Auto"/>
    <n v="8.91"/>
    <n v="72456"/>
    <n v="91486"/>
    <x v="113"/>
    <s v="Approved"/>
    <s v="Yes"/>
    <x v="0"/>
    <x v="115"/>
    <x v="115"/>
    <n v="667"/>
    <n v="609"/>
    <n v="0.35149999999999998"/>
    <n v="97299537"/>
    <n v="51617.791511936339"/>
    <n v="99996"/>
    <n v="5091"/>
    <n v="2513147.0200000005"/>
    <n v="1333.2344933687004"/>
    <n v="0.35149999999999998"/>
    <n v="2387401958.6099982"/>
    <x v="1"/>
    <n v="13836.599999999999"/>
  </r>
  <r>
    <s v="LN00117"/>
    <x v="116"/>
    <n v="36"/>
    <s v="Female"/>
    <s v="Married"/>
    <s v="Unemployed"/>
    <n v="189687"/>
    <n v="781"/>
    <n v="83395"/>
    <n v="19.55"/>
    <n v="36"/>
    <s v="Auto"/>
    <n v="47.73"/>
    <n v="16398"/>
    <n v="115086"/>
    <x v="114"/>
    <s v="Rejected"/>
    <s v="No"/>
    <x v="4"/>
    <x v="116"/>
    <x v="116"/>
    <n v="666"/>
    <n v="609"/>
    <n v="0.35149999999999998"/>
    <n v="97264478"/>
    <n v="51626.580679405517"/>
    <n v="99996"/>
    <n v="5091"/>
    <n v="2511993.9700000002"/>
    <n v="1333.3301326963908"/>
    <n v="0.35149999999999998"/>
    <n v="2384888811.5899982"/>
    <x v="1"/>
    <n v="33232.92"/>
  </r>
  <r>
    <s v="LN00118"/>
    <x v="117"/>
    <n v="40"/>
    <s v="Male"/>
    <s v="Single"/>
    <s v="Employed"/>
    <n v="120771"/>
    <n v="483"/>
    <n v="81397"/>
    <n v="23.04"/>
    <n v="240"/>
    <s v="Personal"/>
    <n v="39.619999999999997"/>
    <n v="36691"/>
    <n v="27383"/>
    <x v="115"/>
    <s v="Pending"/>
    <s v="No"/>
    <x v="0"/>
    <x v="117"/>
    <x v="117"/>
    <n v="666"/>
    <n v="608"/>
    <n v="0.35149999999999998"/>
    <n v="97181083"/>
    <n v="51609.709506107276"/>
    <n v="99996"/>
    <n v="5091"/>
    <n v="2509224.5600000005"/>
    <n v="1332.5674774296338"/>
    <n v="0.35149999999999998"/>
    <n v="2382376817.619998"/>
    <x v="1"/>
    <n v="5007.6000000000004"/>
  </r>
  <r>
    <s v="LN00119"/>
    <x v="118"/>
    <n v="42"/>
    <s v="Female"/>
    <s v="Married"/>
    <s v="Employed"/>
    <n v="63791"/>
    <n v="808"/>
    <n v="73591"/>
    <n v="7.8"/>
    <n v="180"/>
    <s v="Mortgage"/>
    <n v="47.4"/>
    <n v="54290"/>
    <n v="135199"/>
    <x v="116"/>
    <s v="Pending"/>
    <s v="Yes"/>
    <x v="2"/>
    <x v="118"/>
    <x v="118"/>
    <n v="666"/>
    <n v="608"/>
    <n v="0.35149999999999998"/>
    <n v="97099686"/>
    <n v="51593.882040382574"/>
    <n v="99996"/>
    <n v="5091"/>
    <n v="2508807.2600000002"/>
    <n v="1333.053804463337"/>
    <n v="0.35149999999999998"/>
    <n v="2379867593.059998"/>
    <x v="1"/>
    <n v="5288.76"/>
  </r>
  <r>
    <s v="LN00120"/>
    <x v="119"/>
    <n v="27"/>
    <s v="Male"/>
    <s v="Single"/>
    <s v="Unemployed"/>
    <n v="75941"/>
    <n v="804"/>
    <n v="55126"/>
    <n v="23.74"/>
    <n v="24"/>
    <s v="Personal"/>
    <n v="25.68"/>
    <n v="10849"/>
    <n v="60718"/>
    <x v="117"/>
    <s v="Rejected"/>
    <s v="Yes"/>
    <x v="2"/>
    <x v="119"/>
    <x v="119"/>
    <n v="666"/>
    <n v="608"/>
    <n v="0.35149999999999998"/>
    <n v="97026095"/>
    <n v="51582.187666135032"/>
    <n v="99996"/>
    <n v="5091"/>
    <n v="2508366.5300000003"/>
    <n v="1333.5281924508242"/>
    <n v="0.35149999999999998"/>
    <n v="2377358785.7999973"/>
    <x v="1"/>
    <n v="34106.399999999994"/>
  </r>
  <r>
    <s v="LN00121"/>
    <x v="120"/>
    <n v="37"/>
    <s v="Female"/>
    <s v="Single"/>
    <s v="Employed"/>
    <n v="111451"/>
    <n v="563"/>
    <n v="67101"/>
    <n v="8.1300000000000008"/>
    <n v="60"/>
    <s v="Mortgage"/>
    <n v="19.22"/>
    <n v="1033"/>
    <n v="12768"/>
    <x v="118"/>
    <s v="Approved"/>
    <s v="Yes"/>
    <x v="2"/>
    <x v="120"/>
    <x v="120"/>
    <n v="666"/>
    <n v="607"/>
    <n v="0.35149999999999998"/>
    <n v="96970969"/>
    <n v="51580.302659574467"/>
    <n v="99996"/>
    <n v="5091"/>
    <n v="2505524.3300000005"/>
    <n v="1332.7257074468089"/>
    <n v="0.35149999999999998"/>
    <n v="2374850419.2699971"/>
    <x v="1"/>
    <n v="14511.24"/>
  </r>
  <r>
    <s v="LN00122"/>
    <x v="121"/>
    <n v="57"/>
    <s v="Female"/>
    <s v="Single"/>
    <s v="Employed"/>
    <n v="101651"/>
    <n v="582"/>
    <n v="43586"/>
    <n v="8.17"/>
    <n v="120"/>
    <s v="Auto"/>
    <n v="10.31"/>
    <n v="51854"/>
    <n v="78487"/>
    <x v="119"/>
    <s v="Approved"/>
    <s v="No"/>
    <x v="4"/>
    <x v="121"/>
    <x v="121"/>
    <n v="665"/>
    <n v="607"/>
    <n v="0.35149999999999998"/>
    <n v="96903868"/>
    <n v="51572.042575838212"/>
    <n v="99996"/>
    <n v="5091"/>
    <n v="2504315.0600000005"/>
    <n v="1332.791410324641"/>
    <n v="0.35149999999999998"/>
    <n v="2372344894.9399967"/>
    <x v="1"/>
    <n v="4714.68"/>
  </r>
  <r>
    <s v="LN00123"/>
    <x v="122"/>
    <n v="26"/>
    <s v="Male"/>
    <s v="Single"/>
    <s v="Employed"/>
    <n v="64277"/>
    <n v="597"/>
    <n v="39598"/>
    <n v="17.510000000000002"/>
    <n v="120"/>
    <s v="Education"/>
    <n v="16.71"/>
    <n v="19626"/>
    <n v="360"/>
    <x v="120"/>
    <s v="Rejected"/>
    <s v="Yes"/>
    <x v="1"/>
    <x v="122"/>
    <x v="122"/>
    <n v="664"/>
    <n v="607"/>
    <n v="0.35149999999999998"/>
    <n v="96860282"/>
    <n v="51576.294994675183"/>
    <n v="99996"/>
    <n v="5091"/>
    <n v="2503922.1700000009"/>
    <n v="1333.2918903088396"/>
    <n v="0.35149999999999998"/>
    <n v="2369840579.8799963"/>
    <x v="1"/>
    <n v="4653.12"/>
  </r>
  <r>
    <s v="LN00124"/>
    <x v="123"/>
    <n v="34"/>
    <s v="Male"/>
    <s v="Divorced"/>
    <s v="Unemployed"/>
    <n v="94925"/>
    <n v="590"/>
    <n v="34954"/>
    <n v="12.81"/>
    <n v="60"/>
    <s v="Personal"/>
    <n v="58.92"/>
    <n v="52075"/>
    <n v="116180"/>
    <x v="121"/>
    <s v="Approved"/>
    <s v="Yes"/>
    <x v="3"/>
    <x v="123"/>
    <x v="123"/>
    <n v="664"/>
    <n v="606"/>
    <n v="0.35149999999999998"/>
    <n v="96820684"/>
    <n v="51582.676611614275"/>
    <n v="99996"/>
    <n v="5091"/>
    <n v="2503534.4100000011"/>
    <n v="1333.795636654236"/>
    <n v="0.35149999999999998"/>
    <n v="2367336657.7099967"/>
    <x v="1"/>
    <n v="7886.2800000000007"/>
  </r>
  <r>
    <s v="LN00125"/>
    <x v="124"/>
    <n v="41"/>
    <s v="Female"/>
    <s v="Divorced"/>
    <s v="Employed"/>
    <n v="28771"/>
    <n v="705"/>
    <n v="36339"/>
    <n v="5.04"/>
    <n v="240"/>
    <s v="Personal"/>
    <n v="13.67"/>
    <n v="57594"/>
    <n v="124772"/>
    <x v="122"/>
    <s v="Approved"/>
    <s v="No"/>
    <x v="0"/>
    <x v="124"/>
    <x v="124"/>
    <n v="663"/>
    <n v="606"/>
    <n v="0.35149999999999998"/>
    <n v="96785730"/>
    <n v="51591.540511727078"/>
    <n v="99996"/>
    <n v="5091"/>
    <n v="2502877.2200000007"/>
    <n v="1334.1563006396591"/>
    <n v="0.35149999999999998"/>
    <n v="2364833123.2999964"/>
    <x v="1"/>
    <n v="1908.48"/>
  </r>
  <r>
    <s v="LN00126"/>
    <x v="125"/>
    <n v="41"/>
    <s v="Male"/>
    <s v="Divorced"/>
    <s v="Employed"/>
    <n v="162561"/>
    <n v="815"/>
    <n v="90261"/>
    <n v="10.99"/>
    <n v="120"/>
    <s v="Business"/>
    <n v="53.57"/>
    <n v="59348"/>
    <n v="17313"/>
    <x v="123"/>
    <s v="Pending"/>
    <s v="No"/>
    <x v="3"/>
    <x v="125"/>
    <x v="125"/>
    <n v="662"/>
    <n v="606"/>
    <n v="0.35149999999999998"/>
    <n v="96749391"/>
    <n v="51599.675199999998"/>
    <n v="99996"/>
    <n v="5091"/>
    <n v="2502718.1800000011"/>
    <n v="1334.7830293333338"/>
    <n v="0.35149999999999998"/>
    <n v="2362330246.0799966"/>
    <x v="1"/>
    <n v="10018.08"/>
  </r>
  <r>
    <s v="LN00127"/>
    <x v="126"/>
    <n v="55"/>
    <s v="Female"/>
    <s v="Married"/>
    <s v="Self-Employed"/>
    <n v="120819"/>
    <n v="307"/>
    <n v="44913"/>
    <n v="4.6100000000000003"/>
    <n v="24"/>
    <s v="Personal"/>
    <n v="41.37"/>
    <n v="44459"/>
    <n v="110635"/>
    <x v="124"/>
    <s v="Rejected"/>
    <s v="Yes"/>
    <x v="0"/>
    <x v="126"/>
    <x v="126"/>
    <n v="662"/>
    <n v="606"/>
    <n v="0.35149999999999998"/>
    <n v="96659130"/>
    <n v="51579.044823906086"/>
    <n v="99996"/>
    <n v="5091"/>
    <n v="2501883.3400000008"/>
    <n v="1335.0498078975459"/>
    <n v="0.35149999999999998"/>
    <n v="2359827527.8999963"/>
    <x v="1"/>
    <n v="23491.800000000003"/>
  </r>
  <r>
    <s v="LN00128"/>
    <x v="127"/>
    <n v="54"/>
    <s v="Male"/>
    <s v="Married"/>
    <s v="Employed"/>
    <n v="88177"/>
    <n v="743"/>
    <n v="20739"/>
    <n v="13.19"/>
    <n v="120"/>
    <s v="Education"/>
    <n v="34.47"/>
    <n v="11730"/>
    <n v="13183"/>
    <x v="125"/>
    <s v="Approved"/>
    <s v="Yes"/>
    <x v="2"/>
    <x v="127"/>
    <x v="127"/>
    <n v="662"/>
    <n v="605"/>
    <n v="0.35149999999999998"/>
    <n v="96614217"/>
    <n v="51582.603844100377"/>
    <n v="99996"/>
    <n v="5091"/>
    <n v="2499925.6900000013"/>
    <n v="1334.7173998932201"/>
    <n v="0.35149999999999998"/>
    <n v="2357325644.5599966"/>
    <x v="1"/>
    <n v="2347.44"/>
  </r>
  <r>
    <s v="LN00129"/>
    <x v="128"/>
    <n v="48"/>
    <s v="Male"/>
    <s v="Divorced"/>
    <s v="Unemployed"/>
    <n v="45756"/>
    <n v="780"/>
    <n v="49214"/>
    <n v="10.55"/>
    <n v="60"/>
    <s v="Education"/>
    <n v="55.94"/>
    <n v="22539"/>
    <n v="189649"/>
    <x v="126"/>
    <s v="Rejected"/>
    <s v="Yes"/>
    <x v="3"/>
    <x v="128"/>
    <x v="128"/>
    <n v="661"/>
    <n v="605"/>
    <n v="0.35149999999999998"/>
    <n v="96593478"/>
    <n v="51599.080128205125"/>
    <n v="99996"/>
    <n v="5091"/>
    <n v="2499730.0700000012"/>
    <n v="1335.3258920940177"/>
    <n v="0.35149999999999998"/>
    <n v="2354825718.8699965"/>
    <x v="1"/>
    <n v="10881.24"/>
  </r>
  <r>
    <s v="LN00130"/>
    <x v="129"/>
    <n v="23"/>
    <s v="Female"/>
    <s v="Married"/>
    <s v="Employed"/>
    <n v="172736"/>
    <n v="425"/>
    <n v="64345"/>
    <n v="23.39"/>
    <n v="240"/>
    <s v="Mortgage"/>
    <n v="26.05"/>
    <n v="24792"/>
    <n v="7750"/>
    <x v="127"/>
    <s v="Rejected"/>
    <s v="Yes"/>
    <x v="4"/>
    <x v="129"/>
    <x v="129"/>
    <n v="661"/>
    <n v="604"/>
    <n v="0.35149999999999998"/>
    <n v="96544264"/>
    <n v="51600.354890432922"/>
    <n v="99996"/>
    <n v="5091"/>
    <n v="2498823.3000000012"/>
    <n v="1335.5549438802786"/>
    <n v="0.35149999999999998"/>
    <n v="2352325988.7999959"/>
    <x v="1"/>
    <n v="3969.7200000000003"/>
  </r>
  <r>
    <s v="LN00131"/>
    <x v="130"/>
    <n v="43"/>
    <s v="Female"/>
    <s v="Divorced"/>
    <s v="Unemployed"/>
    <n v="88650"/>
    <n v="597"/>
    <n v="79970"/>
    <n v="9.9600000000000009"/>
    <n v="360"/>
    <s v="Business"/>
    <n v="36.549999999999997"/>
    <n v="65904"/>
    <n v="1514"/>
    <x v="128"/>
    <s v="Approved"/>
    <s v="No"/>
    <x v="3"/>
    <x v="130"/>
    <x v="130"/>
    <n v="661"/>
    <n v="603"/>
    <n v="0.35149999999999998"/>
    <n v="96479919"/>
    <n v="51593.539572192516"/>
    <n v="99996"/>
    <n v="5091"/>
    <n v="2498492.4900000012"/>
    <n v="1336.0922406417119"/>
    <n v="0.35149999999999998"/>
    <n v="2349827165.4999962"/>
    <x v="1"/>
    <n v="2931.12"/>
  </r>
  <r>
    <s v="LN00132"/>
    <x v="131"/>
    <n v="57"/>
    <s v="Male"/>
    <s v="Divorced"/>
    <s v="Self-Employed"/>
    <n v="173917"/>
    <n v="777"/>
    <n v="54769"/>
    <n v="18.73"/>
    <n v="360"/>
    <s v="Mortgage"/>
    <n v="9.8800000000000008"/>
    <n v="60571"/>
    <n v="3178"/>
    <x v="129"/>
    <s v="Approved"/>
    <s v="No"/>
    <x v="3"/>
    <x v="131"/>
    <x v="131"/>
    <n v="660"/>
    <n v="603"/>
    <n v="0.35149999999999998"/>
    <n v="96399949"/>
    <n v="51578.356875334401"/>
    <n v="99996"/>
    <n v="5091"/>
    <n v="2498248.2300000014"/>
    <n v="1336.6764205457471"/>
    <n v="0.35149999999999998"/>
    <n v="2347328673.0099964"/>
    <x v="1"/>
    <n v="2167.56"/>
  </r>
  <r>
    <s v="LN00133"/>
    <x v="132"/>
    <n v="32"/>
    <s v="Male"/>
    <s v="Single"/>
    <s v="Unemployed"/>
    <n v="176269"/>
    <n v="647"/>
    <n v="52835"/>
    <n v="23.39"/>
    <n v="60"/>
    <s v="Education"/>
    <n v="44.76"/>
    <n v="76666"/>
    <n v="162135"/>
    <x v="127"/>
    <s v="Rejected"/>
    <s v="No"/>
    <x v="2"/>
    <x v="132"/>
    <x v="132"/>
    <n v="659"/>
    <n v="603"/>
    <n v="0.35149999999999998"/>
    <n v="96345180"/>
    <n v="51576.64882226981"/>
    <n v="99996"/>
    <n v="5091"/>
    <n v="2498067.6000000015"/>
    <n v="1337.2952890792299"/>
    <n v="0.35149999999999998"/>
    <n v="2344830424.7799964"/>
    <x v="1"/>
    <n v="13038.599999999999"/>
  </r>
  <r>
    <s v="LN00134"/>
    <x v="133"/>
    <n v="60"/>
    <s v="Male"/>
    <s v="Divorced"/>
    <s v="Unemployed"/>
    <n v="175034"/>
    <n v="597"/>
    <n v="12337"/>
    <n v="17.61"/>
    <n v="360"/>
    <s v="Auto"/>
    <n v="11.38"/>
    <n v="4207"/>
    <n v="171324"/>
    <x v="63"/>
    <s v="Pending"/>
    <s v="No"/>
    <x v="1"/>
    <x v="133"/>
    <x v="133"/>
    <n v="659"/>
    <n v="602"/>
    <n v="0.35149999999999998"/>
    <n v="96292345"/>
    <n v="51575.974825923942"/>
    <n v="99996"/>
    <n v="5091"/>
    <n v="2496981.0500000017"/>
    <n v="1337.4295929298348"/>
    <n v="0.35149999999999998"/>
    <n v="2342332357.1799965"/>
    <x v="1"/>
    <n v="483.59999999999997"/>
  </r>
  <r>
    <s v="LN00135"/>
    <x v="134"/>
    <n v="52"/>
    <s v="Male"/>
    <s v="Married"/>
    <s v="Unemployed"/>
    <n v="183765"/>
    <n v="439"/>
    <n v="83534"/>
    <n v="4.21"/>
    <n v="360"/>
    <s v="Business"/>
    <n v="17.95"/>
    <n v="74324"/>
    <n v="198657"/>
    <x v="130"/>
    <s v="Pending"/>
    <s v="No"/>
    <x v="3"/>
    <x v="134"/>
    <x v="134"/>
    <n v="659"/>
    <n v="602"/>
    <n v="0.35149999999999998"/>
    <n v="96280008"/>
    <n v="51597.003215434081"/>
    <n v="99996"/>
    <n v="5091"/>
    <n v="2496940.7500000014"/>
    <n v="1338.1247320471605"/>
    <n v="0.35149999999999998"/>
    <n v="2339835376.1299958"/>
    <x v="1"/>
    <n v="2901.7200000000003"/>
  </r>
  <r>
    <s v="LN00136"/>
    <x v="135"/>
    <n v="41"/>
    <s v="Male"/>
    <s v="Single"/>
    <s v="Self-Employed"/>
    <n v="151499"/>
    <n v="704"/>
    <n v="54485"/>
    <n v="9.42"/>
    <n v="60"/>
    <s v="Mortgage"/>
    <n v="39.869999999999997"/>
    <n v="16880"/>
    <n v="60482"/>
    <x v="131"/>
    <s v="Pending"/>
    <s v="Yes"/>
    <x v="1"/>
    <x v="135"/>
    <x v="135"/>
    <n v="659"/>
    <n v="602"/>
    <n v="0.35149999999999998"/>
    <n v="96196474"/>
    <n v="51579.878820375336"/>
    <n v="99996"/>
    <n v="5091"/>
    <n v="2496698.9400000013"/>
    <n v="1338.712568364612"/>
    <n v="0.35149999999999998"/>
    <n v="2337338435.3799958"/>
    <x v="1"/>
    <n v="11923.44"/>
  </r>
  <r>
    <s v="LN00137"/>
    <x v="136"/>
    <n v="28"/>
    <s v="Male"/>
    <s v="Divorced"/>
    <s v="Employed"/>
    <n v="41727"/>
    <n v="380"/>
    <n v="25278"/>
    <n v="3.63"/>
    <n v="180"/>
    <s v="Personal"/>
    <n v="50.13"/>
    <n v="50300"/>
    <n v="218494"/>
    <x v="132"/>
    <s v="Pending"/>
    <s v="Yes"/>
    <x v="3"/>
    <x v="136"/>
    <x v="136"/>
    <n v="659"/>
    <n v="602"/>
    <n v="0.35149999999999998"/>
    <n v="96141989"/>
    <n v="51578.320278969957"/>
    <n v="99996"/>
    <n v="5091"/>
    <n v="2495705.3200000017"/>
    <n v="1338.897703862662"/>
    <n v="0.35149999999999998"/>
    <n v="2334841736.4399958"/>
    <x v="1"/>
    <n v="1746.3600000000001"/>
  </r>
  <r>
    <s v="LN00138"/>
    <x v="137"/>
    <n v="64"/>
    <s v="Female"/>
    <s v="Married"/>
    <s v="Employed"/>
    <n v="127829"/>
    <n v="561"/>
    <n v="92672"/>
    <n v="3.85"/>
    <n v="60"/>
    <s v="Mortgage"/>
    <n v="58.12"/>
    <n v="50263"/>
    <n v="33634"/>
    <x v="79"/>
    <s v="Rejected"/>
    <s v="No"/>
    <x v="3"/>
    <x v="137"/>
    <x v="137"/>
    <n v="659"/>
    <n v="602"/>
    <n v="0.35149999999999998"/>
    <n v="96116711"/>
    <n v="51592.437466451956"/>
    <n v="99996"/>
    <n v="5091"/>
    <n v="2495559.7900000014"/>
    <n v="1339.5382662372524"/>
    <n v="0.35149999999999998"/>
    <n v="2332346031.1199961"/>
    <x v="1"/>
    <n v="19248"/>
  </r>
  <r>
    <s v="LN00139"/>
    <x v="138"/>
    <n v="62"/>
    <s v="Female"/>
    <s v="Single"/>
    <s v="Unemployed"/>
    <n v="145071"/>
    <n v="836"/>
    <n v="59608"/>
    <n v="5.71"/>
    <n v="240"/>
    <s v="Business"/>
    <n v="19.93"/>
    <n v="44786"/>
    <n v="163497"/>
    <x v="133"/>
    <s v="Rejected"/>
    <s v="No"/>
    <x v="4"/>
    <x v="138"/>
    <x v="138"/>
    <n v="659"/>
    <n v="601"/>
    <n v="0.35149999999999998"/>
    <n v="96024039"/>
    <n v="51570.375402792699"/>
    <n v="99996"/>
    <n v="5091"/>
    <n v="2493955.790000001"/>
    <n v="1339.396235230935"/>
    <n v="0.35149999999999998"/>
    <n v="2329850471.3299956"/>
    <x v="1"/>
    <n v="3150.6000000000004"/>
  </r>
  <r>
    <s v="LN00140"/>
    <x v="139"/>
    <n v="64"/>
    <s v="Male"/>
    <s v="Single"/>
    <s v="Unemployed"/>
    <n v="176399"/>
    <n v="727"/>
    <n v="27269"/>
    <n v="23.19"/>
    <n v="36"/>
    <s v="Education"/>
    <n v="21.3"/>
    <n v="47603"/>
    <n v="129774"/>
    <x v="73"/>
    <s v="Approved"/>
    <s v="No"/>
    <x v="2"/>
    <x v="139"/>
    <x v="139"/>
    <n v="659"/>
    <n v="600"/>
    <n v="0.35149999999999998"/>
    <n v="95964431"/>
    <n v="51566.056421278881"/>
    <n v="99996"/>
    <n v="5091"/>
    <n v="2493693.2400000007"/>
    <n v="1339.9748737238049"/>
    <n v="0.35149999999999998"/>
    <n v="2327356515.5399961"/>
    <x v="1"/>
    <n v="11197.56"/>
  </r>
  <r>
    <s v="LN00141"/>
    <x v="140"/>
    <n v="34"/>
    <s v="Male"/>
    <s v="Married"/>
    <s v="Employed"/>
    <n v="168775"/>
    <n v="489"/>
    <n v="84208"/>
    <n v="7.58"/>
    <n v="48"/>
    <s v="Education"/>
    <n v="14.17"/>
    <n v="64514"/>
    <n v="207258"/>
    <x v="134"/>
    <s v="Pending"/>
    <s v="No"/>
    <x v="4"/>
    <x v="140"/>
    <x v="140"/>
    <n v="658"/>
    <n v="600"/>
    <n v="0.35149999999999998"/>
    <n v="95937162"/>
    <n v="51579.119354838709"/>
    <n v="99996"/>
    <n v="5091"/>
    <n v="2492760.1100000008"/>
    <n v="1340.1936075268823"/>
    <n v="0.35149999999999998"/>
    <n v="2324862822.2999964"/>
    <x v="1"/>
    <n v="22647.72"/>
  </r>
  <r>
    <s v="LN00142"/>
    <x v="141"/>
    <n v="50"/>
    <s v="Female"/>
    <s v="Single"/>
    <s v="Employed"/>
    <n v="167950"/>
    <n v="741"/>
    <n v="6779"/>
    <n v="8.92"/>
    <n v="12"/>
    <s v="Auto"/>
    <n v="41.13"/>
    <n v="5378"/>
    <n v="117367"/>
    <x v="135"/>
    <s v="Pending"/>
    <s v="No"/>
    <x v="4"/>
    <x v="141"/>
    <x v="141"/>
    <n v="658"/>
    <n v="600"/>
    <n v="0.35149999999999998"/>
    <n v="95852954"/>
    <n v="51561.56750941366"/>
    <n v="99996"/>
    <n v="5091"/>
    <n v="2490872.8000000007"/>
    <n v="1339.8993006993012"/>
    <n v="0.35149999999999998"/>
    <n v="2322370062.1899967"/>
    <x v="1"/>
    <n v="7383.7199999999993"/>
  </r>
  <r>
    <s v="LN00143"/>
    <x v="142"/>
    <n v="53"/>
    <s v="Female"/>
    <s v="Married"/>
    <s v="Unemployed"/>
    <n v="84647"/>
    <n v="308"/>
    <n v="83498"/>
    <n v="18.96"/>
    <n v="360"/>
    <s v="Business"/>
    <n v="10.37"/>
    <n v="65300"/>
    <n v="247892"/>
    <x v="136"/>
    <s v="Approved"/>
    <s v="Yes"/>
    <x v="4"/>
    <x v="142"/>
    <x v="142"/>
    <n v="658"/>
    <n v="600"/>
    <n v="0.35149999999999998"/>
    <n v="95846175"/>
    <n v="51585.670075349837"/>
    <n v="99996"/>
    <n v="5091"/>
    <n v="2490257.4900000012"/>
    <n v="1340.2892841765345"/>
    <n v="0.35149999999999998"/>
    <n v="2319879189.389998"/>
    <x v="0"/>
    <n v="3310.92"/>
  </r>
  <r>
    <s v="LN00144"/>
    <x v="143"/>
    <n v="22"/>
    <s v="Female"/>
    <s v="Married"/>
    <s v="Self-Employed"/>
    <n v="105151"/>
    <n v="386"/>
    <n v="22544"/>
    <n v="16.170000000000002"/>
    <n v="12"/>
    <s v="Education"/>
    <n v="56.63"/>
    <n v="35922"/>
    <n v="117918"/>
    <x v="137"/>
    <s v="Rejected"/>
    <s v="No"/>
    <x v="3"/>
    <x v="143"/>
    <x v="143"/>
    <n v="657"/>
    <n v="600"/>
    <n v="0.35149999999999998"/>
    <n v="95762677"/>
    <n v="51568.485191168555"/>
    <n v="99996"/>
    <n v="5091"/>
    <n v="2489981.580000001"/>
    <n v="1340.8624555735062"/>
    <n v="0.35149999999999998"/>
    <n v="2317388931.8999977"/>
    <x v="1"/>
    <n v="26189.399999999998"/>
  </r>
  <r>
    <s v="LN00145"/>
    <x v="144"/>
    <n v="59"/>
    <s v="Male"/>
    <s v="Married"/>
    <s v="Employed"/>
    <n v="64497"/>
    <n v="725"/>
    <n v="66469"/>
    <n v="7.39"/>
    <n v="12"/>
    <s v="Business"/>
    <n v="20.100000000000001"/>
    <n v="70940"/>
    <n v="62806"/>
    <x v="138"/>
    <s v="Approved"/>
    <s v="Yes"/>
    <x v="1"/>
    <x v="144"/>
    <x v="144"/>
    <n v="657"/>
    <n v="599"/>
    <n v="0.35149999999999998"/>
    <n v="95740133"/>
    <n v="51584.123383620688"/>
    <n v="99996"/>
    <n v="5091"/>
    <n v="2487799.1300000008"/>
    <n v="1340.4090140086212"/>
    <n v="0.35149999999999998"/>
    <n v="2314898950.3199978"/>
    <x v="0"/>
    <n v="71381.040000000008"/>
  </r>
  <r>
    <s v="LN00146"/>
    <x v="145"/>
    <n v="56"/>
    <s v="Male"/>
    <s v="Divorced"/>
    <s v="Self-Employed"/>
    <n v="127701"/>
    <n v="790"/>
    <n v="13816"/>
    <n v="23.19"/>
    <n v="12"/>
    <s v="Business"/>
    <n v="6.46"/>
    <n v="222"/>
    <n v="131253"/>
    <x v="139"/>
    <s v="Rejected"/>
    <s v="No"/>
    <x v="4"/>
    <x v="145"/>
    <x v="145"/>
    <n v="656"/>
    <n v="599"/>
    <n v="0.35149999999999998"/>
    <n v="95673664"/>
    <n v="51576.099191374662"/>
    <n v="99996"/>
    <n v="5091"/>
    <n v="2481850.7100000014"/>
    <n v="1337.9249110512137"/>
    <n v="0.35149999999999998"/>
    <n v="2312411151.1899977"/>
    <x v="0"/>
    <n v="17019.96"/>
  </r>
  <r>
    <s v="LN00147"/>
    <x v="146"/>
    <n v="54"/>
    <s v="Female"/>
    <s v="Married"/>
    <s v="Unemployed"/>
    <n v="151226"/>
    <n v="705"/>
    <n v="79819"/>
    <n v="4.99"/>
    <n v="180"/>
    <s v="Personal"/>
    <n v="31.84"/>
    <n v="77745"/>
    <n v="205987"/>
    <x v="140"/>
    <s v="Approved"/>
    <s v="Yes"/>
    <x v="1"/>
    <x v="146"/>
    <x v="146"/>
    <n v="656"/>
    <n v="598"/>
    <n v="0.35149999999999998"/>
    <n v="95659848"/>
    <n v="51596.466019417472"/>
    <n v="99996"/>
    <n v="5091"/>
    <n v="2480432.3800000013"/>
    <n v="1337.8815426105725"/>
    <n v="0.35149999999999998"/>
    <n v="2309929300.4799981"/>
    <x v="0"/>
    <n v="5586.84"/>
  </r>
  <r>
    <s v="LN00148"/>
    <x v="147"/>
    <n v="65"/>
    <s v="Female"/>
    <s v="Single"/>
    <s v="Unemployed"/>
    <n v="148357"/>
    <n v="810"/>
    <n v="35416"/>
    <n v="23.48"/>
    <n v="12"/>
    <s v="Business"/>
    <n v="48.33"/>
    <n v="40142"/>
    <n v="117014"/>
    <x v="141"/>
    <s v="Approved"/>
    <s v="Yes"/>
    <x v="2"/>
    <x v="147"/>
    <x v="147"/>
    <n v="655"/>
    <n v="598"/>
    <n v="0.35149999999999998"/>
    <n v="95580029"/>
    <n v="51581.23529411765"/>
    <n v="99996"/>
    <n v="5091"/>
    <n v="2479966.8100000015"/>
    <n v="1338.3522989746366"/>
    <n v="0.35149999999999998"/>
    <n v="2307448868.0999985"/>
    <x v="1"/>
    <n v="43731.72"/>
  </r>
  <r>
    <s v="LN00149"/>
    <x v="148"/>
    <n v="37"/>
    <s v="Female"/>
    <s v="Married"/>
    <s v="Employed"/>
    <n v="22799"/>
    <n v="709"/>
    <n v="29372"/>
    <n v="6.31"/>
    <n v="360"/>
    <s v="Mortgage"/>
    <n v="5.12"/>
    <n v="7850"/>
    <n v="64938"/>
    <x v="142"/>
    <s v="Rejected"/>
    <s v="Yes"/>
    <x v="3"/>
    <x v="148"/>
    <x v="148"/>
    <n v="654"/>
    <n v="598"/>
    <n v="0.35149999999999998"/>
    <n v="95544613"/>
    <n v="51589.963822894169"/>
    <n v="99996"/>
    <n v="5091"/>
    <n v="2476322.5000000014"/>
    <n v="1337.1071814254867"/>
    <n v="0.35149999999999998"/>
    <n v="2304968901.2899981"/>
    <x v="0"/>
    <n v="1040.8799999999999"/>
  </r>
  <r>
    <s v="LN00150"/>
    <x v="149"/>
    <n v="27"/>
    <s v="Male"/>
    <s v="Single"/>
    <s v="Unemployed"/>
    <n v="42839"/>
    <n v="343"/>
    <n v="64104"/>
    <n v="21.08"/>
    <n v="12"/>
    <s v="Business"/>
    <n v="17.32"/>
    <n v="37150"/>
    <n v="22721"/>
    <x v="143"/>
    <s v="Pending"/>
    <s v="Yes"/>
    <x v="3"/>
    <x v="149"/>
    <x v="149"/>
    <n v="654"/>
    <n v="597"/>
    <n v="0.35149999999999998"/>
    <n v="95515241"/>
    <n v="51601.967044840625"/>
    <n v="99996"/>
    <n v="5091"/>
    <n v="2476235.7600000012"/>
    <n v="1337.782690437602"/>
    <n v="0.35149999999999998"/>
    <n v="2302492578.7899985"/>
    <x v="1"/>
    <n v="77617.08"/>
  </r>
  <r>
    <s v="LN00151"/>
    <x v="150"/>
    <n v="34"/>
    <s v="Female"/>
    <s v="Single"/>
    <s v="Employed"/>
    <n v="101426"/>
    <n v="574"/>
    <n v="16827"/>
    <n v="17.489999999999998"/>
    <n v="36"/>
    <s v="Auto"/>
    <n v="35.42"/>
    <n v="14554"/>
    <n v="223427"/>
    <x v="144"/>
    <s v="Pending"/>
    <s v="No"/>
    <x v="3"/>
    <x v="150"/>
    <x v="150"/>
    <n v="654"/>
    <n v="597"/>
    <n v="0.35149999999999998"/>
    <n v="95451137"/>
    <n v="51595.209189189191"/>
    <n v="99996"/>
    <n v="5091"/>
    <n v="2469767.6700000013"/>
    <n v="1335.009551351352"/>
    <n v="0.35149999999999998"/>
    <n v="2300016343.0299983"/>
    <x v="0"/>
    <n v="6590.0399999999991"/>
  </r>
  <r>
    <s v="LN00152"/>
    <x v="151"/>
    <n v="50"/>
    <s v="Male"/>
    <s v="Divorced"/>
    <s v="Unemployed"/>
    <n v="193181"/>
    <n v="843"/>
    <n v="26524"/>
    <n v="8.42"/>
    <n v="48"/>
    <s v="Personal"/>
    <n v="23.18"/>
    <n v="38506"/>
    <n v="107290"/>
    <x v="145"/>
    <s v="Rejected"/>
    <s v="No"/>
    <x v="3"/>
    <x v="151"/>
    <x v="151"/>
    <n v="654"/>
    <n v="597"/>
    <n v="0.35149999999999998"/>
    <n v="95434310"/>
    <n v="51614.01297998918"/>
    <n v="99996"/>
    <n v="5091"/>
    <n v="2469218.5000000014"/>
    <n v="1335.4345592212014"/>
    <n v="0.35149999999999998"/>
    <n v="2297546575.3599982"/>
    <x v="1"/>
    <n v="7189.32"/>
  </r>
  <r>
    <s v="LN00153"/>
    <x v="152"/>
    <n v="35"/>
    <s v="Female"/>
    <s v="Single"/>
    <s v="Employed"/>
    <n v="192395"/>
    <n v="782"/>
    <n v="80726"/>
    <n v="17.34"/>
    <n v="240"/>
    <s v="Business"/>
    <n v="52.2"/>
    <n v="37334"/>
    <n v="40514"/>
    <x v="146"/>
    <s v="Rejected"/>
    <s v="Yes"/>
    <x v="1"/>
    <x v="152"/>
    <x v="152"/>
    <n v="654"/>
    <n v="596"/>
    <n v="0.35149999999999998"/>
    <n v="95407786"/>
    <n v="51627.589826839823"/>
    <n v="99996"/>
    <n v="5091"/>
    <n v="2468619.3900000015"/>
    <n v="1335.8330032467541"/>
    <n v="0.35149999999999998"/>
    <n v="2295077356.8599977"/>
    <x v="1"/>
    <n v="4736.16"/>
  </r>
  <r>
    <s v="LN00154"/>
    <x v="153"/>
    <n v="24"/>
    <s v="Male"/>
    <s v="Divorced"/>
    <s v="Employed"/>
    <n v="190377"/>
    <n v="555"/>
    <n v="18996"/>
    <n v="13.64"/>
    <n v="12"/>
    <s v="Education"/>
    <n v="45.34"/>
    <n v="18722"/>
    <n v="141503"/>
    <x v="147"/>
    <s v="Rejected"/>
    <s v="No"/>
    <x v="3"/>
    <x v="153"/>
    <x v="153"/>
    <n v="654"/>
    <n v="595"/>
    <n v="0.35149999999999998"/>
    <n v="95327060"/>
    <n v="51611.835408770981"/>
    <n v="99996"/>
    <n v="5091"/>
    <n v="2468224.7100000014"/>
    <n v="1336.3425609095839"/>
    <n v="0.35149999999999998"/>
    <n v="2292608737.4699974"/>
    <x v="1"/>
    <n v="21587.040000000001"/>
  </r>
  <r>
    <s v="LN00155"/>
    <x v="154"/>
    <n v="27"/>
    <s v="Male"/>
    <s v="Married"/>
    <s v="Self-Employed"/>
    <n v="27796"/>
    <n v="741"/>
    <n v="97167"/>
    <n v="19.22"/>
    <n v="240"/>
    <s v="Mortgage"/>
    <n v="42.71"/>
    <n v="42767"/>
    <n v="240994"/>
    <x v="148"/>
    <s v="Pending"/>
    <s v="Yes"/>
    <x v="2"/>
    <x v="154"/>
    <x v="154"/>
    <n v="654"/>
    <n v="594"/>
    <n v="0.35149999999999998"/>
    <n v="95308064"/>
    <n v="51629.503791982665"/>
    <n v="99996"/>
    <n v="5091"/>
    <n v="2466425.7900000019"/>
    <n v="1336.091977248105"/>
    <n v="0.35149999999999998"/>
    <n v="2290140512.7599974"/>
    <x v="0"/>
    <n v="5792.16"/>
  </r>
  <r>
    <s v="LN00156"/>
    <x v="155"/>
    <n v="24"/>
    <s v="Male"/>
    <s v="Divorced"/>
    <s v="Self-Employed"/>
    <n v="124578"/>
    <n v="587"/>
    <n v="19902"/>
    <n v="7.06"/>
    <n v="36"/>
    <s v="Mortgage"/>
    <n v="39.61"/>
    <n v="3195"/>
    <n v="198971"/>
    <x v="77"/>
    <s v="Rejected"/>
    <s v="Yes"/>
    <x v="2"/>
    <x v="155"/>
    <x v="155"/>
    <n v="654"/>
    <n v="594"/>
    <n v="0.35149999999999998"/>
    <n v="95210897"/>
    <n v="51604.822222222225"/>
    <n v="99996"/>
    <n v="5091"/>
    <n v="2465943.1100000017"/>
    <n v="1336.5545311653125"/>
    <n v="0.35149999999999998"/>
    <n v="2287674086.9699979"/>
    <x v="1"/>
    <n v="7102.32"/>
  </r>
  <r>
    <s v="LN00157"/>
    <x v="156"/>
    <n v="65"/>
    <s v="Female"/>
    <s v="Single"/>
    <s v="Employed"/>
    <n v="186712"/>
    <n v="699"/>
    <n v="53665"/>
    <n v="15.28"/>
    <n v="120"/>
    <s v="Auto"/>
    <n v="51.44"/>
    <n v="15051"/>
    <n v="130759"/>
    <x v="149"/>
    <s v="Approved"/>
    <s v="Yes"/>
    <x v="1"/>
    <x v="156"/>
    <x v="156"/>
    <n v="654"/>
    <n v="593"/>
    <n v="0.35149999999999998"/>
    <n v="95190995"/>
    <n v="51622.014642082431"/>
    <n v="99996"/>
    <n v="5091"/>
    <n v="2465351.2500000019"/>
    <n v="1336.9583785249467"/>
    <n v="0.35149999999999998"/>
    <n v="2285208143.8599977"/>
    <x v="1"/>
    <n v="6186.48"/>
  </r>
  <r>
    <s v="LN00158"/>
    <x v="157"/>
    <n v="54"/>
    <s v="Male"/>
    <s v="Divorced"/>
    <s v="Self-Employed"/>
    <n v="119864"/>
    <n v="786"/>
    <n v="73583"/>
    <n v="13.82"/>
    <n v="180"/>
    <s v="Education"/>
    <n v="19.04"/>
    <n v="34328"/>
    <n v="132082"/>
    <x v="61"/>
    <s v="Rejected"/>
    <s v="Yes"/>
    <x v="1"/>
    <x v="157"/>
    <x v="157"/>
    <n v="653"/>
    <n v="593"/>
    <n v="0.35149999999999998"/>
    <n v="95137330"/>
    <n v="51620.906131307653"/>
    <n v="99996"/>
    <n v="5091"/>
    <n v="2464835.7100000018"/>
    <n v="1337.4040748779175"/>
    <n v="0.35149999999999998"/>
    <n v="2282742792.6099982"/>
    <x v="1"/>
    <n v="5583.4800000000005"/>
  </r>
  <r>
    <s v="LN00159"/>
    <x v="158"/>
    <n v="59"/>
    <s v="Female"/>
    <s v="Single"/>
    <s v="Employed"/>
    <n v="117622"/>
    <n v="404"/>
    <n v="85590"/>
    <n v="21.88"/>
    <n v="36"/>
    <s v="Personal"/>
    <n v="37.799999999999997"/>
    <n v="1538"/>
    <n v="140256"/>
    <x v="37"/>
    <s v="Pending"/>
    <s v="No"/>
    <x v="4"/>
    <x v="158"/>
    <x v="158"/>
    <n v="653"/>
    <n v="592"/>
    <n v="0.35149999999999998"/>
    <n v="95063747"/>
    <n v="51608.983170466883"/>
    <n v="99996"/>
    <n v="5091"/>
    <n v="2464370.4200000018"/>
    <n v="1337.8775352877317"/>
    <n v="0.35149999999999998"/>
    <n v="2280277956.8999987"/>
    <x v="1"/>
    <n v="34772.399999999994"/>
  </r>
  <r>
    <s v="LN00160"/>
    <x v="159"/>
    <n v="62"/>
    <s v="Female"/>
    <s v="Single"/>
    <s v="Self-Employed"/>
    <n v="33977"/>
    <n v="302"/>
    <n v="67815"/>
    <n v="12.26"/>
    <n v="48"/>
    <s v="Personal"/>
    <n v="58.44"/>
    <n v="22933"/>
    <n v="214162"/>
    <x v="150"/>
    <s v="Pending"/>
    <s v="Yes"/>
    <x v="3"/>
    <x v="159"/>
    <x v="159"/>
    <n v="653"/>
    <n v="592"/>
    <n v="0.35149999999999998"/>
    <n v="94978157"/>
    <n v="51590.525258011949"/>
    <n v="99996"/>
    <n v="5091"/>
    <n v="2461472.7200000021"/>
    <n v="1337.030266159697"/>
    <n v="0.35149999999999998"/>
    <n v="2277813586.4799986"/>
    <x v="1"/>
    <n v="19032.239999999998"/>
  </r>
  <r>
    <s v="LN00161"/>
    <x v="160"/>
    <n v="29"/>
    <s v="Male"/>
    <s v="Single"/>
    <s v="Self-Employed"/>
    <n v="198503"/>
    <n v="721"/>
    <n v="63640"/>
    <n v="4.8099999999999996"/>
    <n v="240"/>
    <s v="Mortgage"/>
    <n v="13.86"/>
    <n v="60867"/>
    <n v="40544"/>
    <x v="151"/>
    <s v="Pending"/>
    <s v="No"/>
    <x v="1"/>
    <x v="160"/>
    <x v="160"/>
    <n v="653"/>
    <n v="592"/>
    <n v="0.35149999999999998"/>
    <n v="94910342"/>
    <n v="51581.707608695651"/>
    <n v="99996"/>
    <n v="5091"/>
    <n v="2459886.700000002"/>
    <n v="1336.894945652175"/>
    <n v="0.35149999999999998"/>
    <n v="2275352113.7599993"/>
    <x v="1"/>
    <n v="3335.04"/>
  </r>
  <r>
    <s v="LN00162"/>
    <x v="161"/>
    <n v="51"/>
    <s v="Female"/>
    <s v="Single"/>
    <s v="Unemployed"/>
    <n v="194013"/>
    <n v="408"/>
    <n v="49525"/>
    <n v="8.51"/>
    <n v="48"/>
    <s v="Auto"/>
    <n v="27.81"/>
    <n v="45243"/>
    <n v="220029"/>
    <x v="152"/>
    <s v="Rejected"/>
    <s v="Yes"/>
    <x v="1"/>
    <x v="161"/>
    <x v="161"/>
    <n v="653"/>
    <n v="592"/>
    <n v="0.35149999999999998"/>
    <n v="94846702"/>
    <n v="51575.150625339862"/>
    <n v="99996"/>
    <n v="5091"/>
    <n v="2459608.7800000021"/>
    <n v="1337.4707884719969"/>
    <n v="0.35149999999999998"/>
    <n v="2272892227.0599985"/>
    <x v="1"/>
    <n v="13434.84"/>
  </r>
  <r>
    <s v="LN00163"/>
    <x v="162"/>
    <n v="26"/>
    <s v="Female"/>
    <s v="Single"/>
    <s v="Self-Employed"/>
    <n v="157715"/>
    <n v="330"/>
    <n v="85490"/>
    <n v="8.14"/>
    <n v="180"/>
    <s v="Education"/>
    <n v="25.2"/>
    <n v="70480"/>
    <n v="50088"/>
    <x v="50"/>
    <s v="Pending"/>
    <s v="Yes"/>
    <x v="3"/>
    <x v="162"/>
    <x v="162"/>
    <n v="653"/>
    <n v="591"/>
    <n v="0.35149999999999998"/>
    <n v="94797177"/>
    <n v="51576.266050054408"/>
    <n v="99996"/>
    <n v="5091"/>
    <n v="2458489.2100000018"/>
    <n v="1337.5893416757356"/>
    <n v="0.35149999999999998"/>
    <n v="2270432618.2799978"/>
    <x v="1"/>
    <n v="6163.2000000000007"/>
  </r>
  <r>
    <s v="LN00164"/>
    <x v="163"/>
    <n v="36"/>
    <s v="Female"/>
    <s v="Married"/>
    <s v="Unemployed"/>
    <n v="56104"/>
    <n v="592"/>
    <n v="76881"/>
    <n v="8.15"/>
    <n v="60"/>
    <s v="Auto"/>
    <n v="58.4"/>
    <n v="24299"/>
    <n v="133041"/>
    <x v="114"/>
    <s v="Pending"/>
    <s v="No"/>
    <x v="4"/>
    <x v="163"/>
    <x v="163"/>
    <n v="653"/>
    <n v="591"/>
    <n v="0.35149999999999998"/>
    <n v="94711687"/>
    <n v="51557.804572672838"/>
    <n v="99996"/>
    <n v="5091"/>
    <n v="2457975.6100000017"/>
    <n v="1338.0378933043014"/>
    <n v="0.35149999999999998"/>
    <n v="2267974129.0699983"/>
    <x v="1"/>
    <n v="16629.36"/>
  </r>
  <r>
    <s v="LN00165"/>
    <x v="164"/>
    <n v="61"/>
    <s v="Male"/>
    <s v="Single"/>
    <s v="Self-Employed"/>
    <n v="143668"/>
    <n v="611"/>
    <n v="69873"/>
    <n v="15.75"/>
    <n v="180"/>
    <s v="Personal"/>
    <n v="27.33"/>
    <n v="69899"/>
    <n v="201551"/>
    <x v="153"/>
    <s v="Approved"/>
    <s v="No"/>
    <x v="0"/>
    <x v="164"/>
    <x v="164"/>
    <n v="653"/>
    <n v="591"/>
    <n v="0.35149999999999998"/>
    <n v="94634806"/>
    <n v="51544.011982570803"/>
    <n v="99996"/>
    <n v="5091"/>
    <n v="2456589.8300000019"/>
    <n v="1338.0118899782146"/>
    <n v="0.35149999999999998"/>
    <n v="2265516153.4599986"/>
    <x v="1"/>
    <n v="5391.84"/>
  </r>
  <r>
    <s v="LN00166"/>
    <x v="165"/>
    <n v="55"/>
    <s v="Male"/>
    <s v="Single"/>
    <s v="Employed"/>
    <n v="185734"/>
    <n v="671"/>
    <n v="63946"/>
    <n v="12.12"/>
    <n v="240"/>
    <s v="Auto"/>
    <n v="7.29"/>
    <n v="61197"/>
    <n v="80859"/>
    <x v="154"/>
    <s v="Pending"/>
    <s v="Yes"/>
    <x v="4"/>
    <x v="165"/>
    <x v="165"/>
    <n v="652"/>
    <n v="591"/>
    <n v="0.35149999999999998"/>
    <n v="94564933"/>
    <n v="51534.02343324251"/>
    <n v="99996"/>
    <n v="5091"/>
    <n v="2456140.5100000021"/>
    <n v="1338.496190735696"/>
    <n v="0.35149999999999998"/>
    <n v="2263059563.6299982"/>
    <x v="1"/>
    <n v="3584.76"/>
  </r>
  <r>
    <s v="LN00167"/>
    <x v="166"/>
    <n v="42"/>
    <s v="Male"/>
    <s v="Married"/>
    <s v="Unemployed"/>
    <n v="133534"/>
    <n v="818"/>
    <n v="24896"/>
    <n v="21.47"/>
    <n v="360"/>
    <s v="Education"/>
    <n v="9.93"/>
    <n v="23899"/>
    <n v="76960"/>
    <x v="155"/>
    <s v="Rejected"/>
    <s v="Yes"/>
    <x v="3"/>
    <x v="166"/>
    <x v="166"/>
    <n v="652"/>
    <n v="591"/>
    <n v="0.35149999999999998"/>
    <n v="94500987"/>
    <n v="51527.255725190837"/>
    <n v="99996"/>
    <n v="5091"/>
    <n v="2455841.7800000021"/>
    <n v="1339.0631297709936"/>
    <n v="0.35149999999999998"/>
    <n v="2260603423.119998"/>
    <x v="1"/>
    <n v="1008"/>
  </r>
  <r>
    <s v="LN00168"/>
    <x v="167"/>
    <n v="39"/>
    <s v="Male"/>
    <s v="Divorced"/>
    <s v="Unemployed"/>
    <n v="134573"/>
    <n v="579"/>
    <n v="35278"/>
    <n v="17.86"/>
    <n v="48"/>
    <s v="Education"/>
    <n v="22.4"/>
    <n v="69196"/>
    <n v="142"/>
    <x v="156"/>
    <s v="Rejected"/>
    <s v="Yes"/>
    <x v="1"/>
    <x v="167"/>
    <x v="167"/>
    <n v="652"/>
    <n v="590"/>
    <n v="0.35149999999999998"/>
    <n v="94476091"/>
    <n v="51541.784506273871"/>
    <n v="99996"/>
    <n v="5091"/>
    <n v="2455757.7800000021"/>
    <n v="1339.7478341516651"/>
    <n v="0.35149999999999998"/>
    <n v="2258147581.3399973"/>
    <x v="1"/>
    <n v="10394.64"/>
  </r>
  <r>
    <s v="LN00169"/>
    <x v="168"/>
    <n v="59"/>
    <s v="Male"/>
    <s v="Divorced"/>
    <s v="Employed"/>
    <n v="71272"/>
    <n v="788"/>
    <n v="6646"/>
    <n v="15.14"/>
    <n v="120"/>
    <s v="Mortgage"/>
    <n v="39.380000000000003"/>
    <n v="26567"/>
    <n v="181271"/>
    <x v="157"/>
    <s v="Pending"/>
    <s v="No"/>
    <x v="0"/>
    <x v="168"/>
    <x v="168"/>
    <n v="652"/>
    <n v="589"/>
    <n v="0.35149999999999998"/>
    <n v="94440813"/>
    <n v="51550.662117903928"/>
    <n v="99996"/>
    <n v="5091"/>
    <n v="2454891.5600000019"/>
    <n v="1340.0063100436691"/>
    <n v="0.35149999999999998"/>
    <n v="2255691823.559998"/>
    <x v="1"/>
    <n v="765.24"/>
  </r>
  <r>
    <s v="LN00170"/>
    <x v="169"/>
    <n v="64"/>
    <s v="Female"/>
    <s v="Single"/>
    <s v="Employed"/>
    <n v="99115"/>
    <n v="714"/>
    <n v="7804"/>
    <n v="12.28"/>
    <n v="36"/>
    <s v="Education"/>
    <n v="14.98"/>
    <n v="22139"/>
    <n v="221838"/>
    <x v="158"/>
    <s v="Rejected"/>
    <s v="No"/>
    <x v="1"/>
    <x v="169"/>
    <x v="169"/>
    <n v="652"/>
    <n v="589"/>
    <n v="0.35149999999999998"/>
    <n v="94434167"/>
    <n v="51575.186783178593"/>
    <n v="99996"/>
    <n v="5091"/>
    <n v="2454827.7900000019"/>
    <n v="1340.7033260513392"/>
    <n v="0.35149999999999998"/>
    <n v="2253236931.9999971"/>
    <x v="1"/>
    <n v="2920.8"/>
  </r>
  <r>
    <s v="LN00171"/>
    <x v="170"/>
    <n v="33"/>
    <s v="Male"/>
    <s v="Divorced"/>
    <s v="Unemployed"/>
    <n v="155533"/>
    <n v="786"/>
    <n v="5769"/>
    <n v="5.65"/>
    <n v="48"/>
    <s v="Auto"/>
    <n v="24.68"/>
    <n v="70790"/>
    <n v="208222"/>
    <x v="159"/>
    <s v="Rejected"/>
    <s v="No"/>
    <x v="2"/>
    <x v="170"/>
    <x v="170"/>
    <n v="652"/>
    <n v="588"/>
    <n v="0.35149999999999998"/>
    <n v="94426363"/>
    <n v="51599.105464480876"/>
    <n v="99996"/>
    <n v="5091"/>
    <n v="2454584.390000002"/>
    <n v="1341.3029453551924"/>
    <n v="0.35149999999999998"/>
    <n v="2250782104.2099972"/>
    <x v="1"/>
    <n v="1523.76"/>
  </r>
  <r>
    <s v="LN00172"/>
    <x v="171"/>
    <n v="61"/>
    <s v="Female"/>
    <s v="Single"/>
    <s v="Self-Employed"/>
    <n v="70920"/>
    <n v="612"/>
    <n v="44926"/>
    <n v="15.77"/>
    <n v="180"/>
    <s v="Education"/>
    <n v="38.5"/>
    <n v="76485"/>
    <n v="230235"/>
    <x v="160"/>
    <s v="Rejected"/>
    <s v="No"/>
    <x v="4"/>
    <x v="171"/>
    <x v="171"/>
    <n v="652"/>
    <n v="587"/>
    <n v="0.35149999999999998"/>
    <n v="94420594"/>
    <n v="51624.16293056315"/>
    <n v="99996"/>
    <n v="5091"/>
    <n v="2454457.410000002"/>
    <n v="1341.9668726079835"/>
    <n v="0.35149999999999998"/>
    <n v="2248327519.8199964"/>
    <x v="1"/>
    <n v="3467.3999999999996"/>
  </r>
  <r>
    <s v="LN00173"/>
    <x v="172"/>
    <n v="34"/>
    <s v="Male"/>
    <s v="Divorced"/>
    <s v="Employed"/>
    <n v="31428"/>
    <n v="741"/>
    <n v="7459"/>
    <n v="12.64"/>
    <n v="360"/>
    <s v="Auto"/>
    <n v="43.86"/>
    <n v="79072"/>
    <n v="33116"/>
    <x v="161"/>
    <s v="Pending"/>
    <s v="No"/>
    <x v="1"/>
    <x v="172"/>
    <x v="172"/>
    <n v="652"/>
    <n v="586"/>
    <n v="0.35149999999999998"/>
    <n v="94375668"/>
    <n v="51627.827133479215"/>
    <n v="99996"/>
    <n v="5091"/>
    <n v="2454168.4600000023"/>
    <n v="1342.5429212253841"/>
    <n v="0.35149999999999998"/>
    <n v="2245873062.4099965"/>
    <x v="1"/>
    <n v="280.08"/>
  </r>
  <r>
    <s v="LN00174"/>
    <x v="173"/>
    <n v="33"/>
    <s v="Female"/>
    <s v="Divorced"/>
    <s v="Employed"/>
    <n v="76330"/>
    <n v="839"/>
    <n v="94767"/>
    <n v="21.99"/>
    <n v="360"/>
    <s v="Mortgage"/>
    <n v="23.06"/>
    <n v="51390"/>
    <n v="73291"/>
    <x v="162"/>
    <s v="Pending"/>
    <s v="No"/>
    <x v="3"/>
    <x v="173"/>
    <x v="173"/>
    <n v="652"/>
    <n v="586"/>
    <n v="0.35149999999999998"/>
    <n v="94368209"/>
    <n v="51652.002736726878"/>
    <n v="99996"/>
    <n v="5091"/>
    <n v="2454145.120000002"/>
    <n v="1343.264980842913"/>
    <n v="0.35149999999999998"/>
    <n v="2243418893.949996"/>
    <x v="1"/>
    <n v="3853.56"/>
  </r>
  <r>
    <s v="LN00175"/>
    <x v="174"/>
    <n v="24"/>
    <s v="Female"/>
    <s v="Married"/>
    <s v="Self-Employed"/>
    <n v="151205"/>
    <n v="496"/>
    <n v="67717"/>
    <n v="17.420000000000002"/>
    <n v="180"/>
    <s v="Mortgage"/>
    <n v="45.93"/>
    <n v="73068"/>
    <n v="236286"/>
    <x v="163"/>
    <s v="Rejected"/>
    <s v="No"/>
    <x v="1"/>
    <x v="174"/>
    <x v="174"/>
    <n v="652"/>
    <n v="586"/>
    <n v="0.35149999999999998"/>
    <n v="94273442"/>
    <n v="51628.391018619935"/>
    <n v="99996"/>
    <n v="5091"/>
    <n v="2453823.9900000021"/>
    <n v="1343.8247480832431"/>
    <n v="0.35149999999999998"/>
    <n v="2240964748.8299956"/>
    <x v="1"/>
    <n v="5300.88"/>
  </r>
  <r>
    <s v="LN00176"/>
    <x v="175"/>
    <n v="22"/>
    <s v="Male"/>
    <s v="Divorced"/>
    <s v="Self-Employed"/>
    <n v="92158"/>
    <n v="647"/>
    <n v="89134"/>
    <n v="15.64"/>
    <n v="48"/>
    <s v="Education"/>
    <n v="51.53"/>
    <n v="47103"/>
    <n v="226733"/>
    <x v="164"/>
    <s v="Pending"/>
    <s v="No"/>
    <x v="4"/>
    <x v="175"/>
    <x v="175"/>
    <n v="652"/>
    <n v="585"/>
    <n v="0.35149999999999998"/>
    <n v="94205725"/>
    <n v="51619.575342465752"/>
    <n v="99996"/>
    <n v="5091"/>
    <n v="2453382.2500000023"/>
    <n v="1344.3190410958916"/>
    <n v="0.35149999999999998"/>
    <n v="2238510924.8399959"/>
    <x v="1"/>
    <n v="25768.68"/>
  </r>
  <r>
    <s v="LN00177"/>
    <x v="176"/>
    <n v="51"/>
    <s v="Male"/>
    <s v="Married"/>
    <s v="Self-Employed"/>
    <n v="32279"/>
    <n v="481"/>
    <n v="52803"/>
    <n v="4.42"/>
    <n v="60"/>
    <s v="Education"/>
    <n v="22.62"/>
    <n v="12016"/>
    <n v="123947"/>
    <x v="165"/>
    <s v="Rejected"/>
    <s v="Yes"/>
    <x v="3"/>
    <x v="176"/>
    <x v="176"/>
    <n v="652"/>
    <n v="585"/>
    <n v="0.35149999999999998"/>
    <n v="94116591"/>
    <n v="51599.008223684214"/>
    <n v="99996"/>
    <n v="5091"/>
    <n v="2451234.8600000017"/>
    <n v="1343.8787609649132"/>
    <n v="0.35149999999999998"/>
    <n v="2236057542.5899959"/>
    <x v="1"/>
    <n v="11027.400000000001"/>
  </r>
  <r>
    <s v="LN00178"/>
    <x v="177"/>
    <n v="47"/>
    <s v="Male"/>
    <s v="Single"/>
    <s v="Unemployed"/>
    <n v="185642"/>
    <n v="638"/>
    <n v="51423"/>
    <n v="5.19"/>
    <n v="360"/>
    <s v="Auto"/>
    <n v="8.93"/>
    <n v="54102"/>
    <n v="6870"/>
    <x v="166"/>
    <s v="Pending"/>
    <s v="No"/>
    <x v="4"/>
    <x v="177"/>
    <x v="177"/>
    <n v="652"/>
    <n v="584"/>
    <n v="0.35149999999999998"/>
    <n v="94063788"/>
    <n v="51598.347778387273"/>
    <n v="99996"/>
    <n v="5091"/>
    <n v="2450315.910000002"/>
    <n v="1344.1118540866714"/>
    <n v="0.35149999999999998"/>
    <n v="2233606307.7299957"/>
    <x v="1"/>
    <n v="1803.12"/>
  </r>
  <r>
    <s v="LN00179"/>
    <x v="178"/>
    <n v="28"/>
    <s v="Male"/>
    <s v="Married"/>
    <s v="Self-Employed"/>
    <n v="161992"/>
    <n v="821"/>
    <n v="33852"/>
    <n v="7.2"/>
    <n v="60"/>
    <s v="Personal"/>
    <n v="29.46"/>
    <n v="52142"/>
    <n v="153056"/>
    <x v="54"/>
    <s v="Rejected"/>
    <s v="No"/>
    <x v="0"/>
    <x v="178"/>
    <x v="178"/>
    <n v="652"/>
    <n v="584"/>
    <n v="0.35149999999999998"/>
    <n v="94012365"/>
    <n v="51598.444017563117"/>
    <n v="99996"/>
    <n v="5091"/>
    <n v="2450165.6500000022"/>
    <n v="1344.7670965971472"/>
    <n v="0.35149999999999998"/>
    <n v="2231155991.8199954"/>
    <x v="1"/>
    <n v="7257.84"/>
  </r>
  <r>
    <s v="LN00180"/>
    <x v="179"/>
    <n v="22"/>
    <s v="Male"/>
    <s v="Married"/>
    <s v="Self-Employed"/>
    <n v="80413"/>
    <n v="445"/>
    <n v="31599"/>
    <n v="13.75"/>
    <n v="120"/>
    <s v="Business"/>
    <n v="47.94"/>
    <n v="69125"/>
    <n v="43987"/>
    <x v="167"/>
    <s v="Approved"/>
    <s v="Yes"/>
    <x v="4"/>
    <x v="179"/>
    <x v="179"/>
    <n v="652"/>
    <n v="583"/>
    <n v="0.35149999999999998"/>
    <n v="93978513"/>
    <n v="51608.189456342669"/>
    <n v="99996"/>
    <n v="5091"/>
    <n v="2449560.8300000015"/>
    <n v="1345.1734376716099"/>
    <n v="0.35149999999999998"/>
    <n v="2228705826.1699958"/>
    <x v="1"/>
    <n v="3594.3599999999997"/>
  </r>
  <r>
    <s v="LN00181"/>
    <x v="180"/>
    <n v="33"/>
    <s v="Female"/>
    <s v="Single"/>
    <s v="Employed"/>
    <n v="186475"/>
    <n v="335"/>
    <n v="51531"/>
    <n v="21.67"/>
    <n v="36"/>
    <s v="Mortgage"/>
    <n v="17.27"/>
    <n v="3542"/>
    <n v="39057"/>
    <x v="168"/>
    <s v="Approved"/>
    <s v="Yes"/>
    <x v="3"/>
    <x v="180"/>
    <x v="180"/>
    <n v="651"/>
    <n v="583"/>
    <n v="0.35149999999999998"/>
    <n v="93946914"/>
    <n v="51619.183516483514"/>
    <n v="99996"/>
    <n v="5091"/>
    <n v="2449261.3000000017"/>
    <n v="1345.7479670329681"/>
    <n v="0.35149999999999998"/>
    <n v="2226256265.3399963"/>
    <x v="1"/>
    <n v="20899.199999999997"/>
  </r>
  <r>
    <s v="LN00182"/>
    <x v="181"/>
    <n v="39"/>
    <s v="Female"/>
    <s v="Married"/>
    <s v="Self-Employed"/>
    <n v="118855"/>
    <n v="462"/>
    <n v="53489"/>
    <n v="18.670000000000002"/>
    <n v="180"/>
    <s v="Education"/>
    <n v="9.65"/>
    <n v="38351"/>
    <n v="41888"/>
    <x v="169"/>
    <s v="Approved"/>
    <s v="No"/>
    <x v="1"/>
    <x v="181"/>
    <x v="181"/>
    <n v="650"/>
    <n v="583"/>
    <n v="0.35149999999999998"/>
    <n v="93895383"/>
    <n v="51619.231995601978"/>
    <n v="99996"/>
    <n v="5091"/>
    <n v="2447519.700000002"/>
    <n v="1345.5303463441462"/>
    <n v="0.35149999999999998"/>
    <n v="2223807004.0399961"/>
    <x v="1"/>
    <n v="4231.68"/>
  </r>
  <r>
    <s v="LN00183"/>
    <x v="182"/>
    <n v="58"/>
    <s v="Female"/>
    <s v="Divorced"/>
    <s v="Employed"/>
    <n v="195823"/>
    <n v="663"/>
    <n v="40282"/>
    <n v="16.11"/>
    <n v="24"/>
    <s v="Education"/>
    <n v="37.130000000000003"/>
    <n v="73988"/>
    <n v="247560"/>
    <x v="170"/>
    <s v="Pending"/>
    <s v="Yes"/>
    <x v="4"/>
    <x v="182"/>
    <x v="182"/>
    <n v="649"/>
    <n v="583"/>
    <n v="0.35149999999999998"/>
    <n v="93841894"/>
    <n v="51618.203520352035"/>
    <n v="99996"/>
    <n v="5091"/>
    <n v="2447167.0600000019"/>
    <n v="1346.076490649066"/>
    <n v="0.35149999999999998"/>
    <n v="2221359484.3399968"/>
    <x v="1"/>
    <n v="23385.72"/>
  </r>
  <r>
    <s v="LN00184"/>
    <x v="183"/>
    <n v="60"/>
    <s v="Female"/>
    <s v="Single"/>
    <s v="Unemployed"/>
    <n v="155851"/>
    <n v="363"/>
    <n v="64696"/>
    <n v="3.71"/>
    <n v="36"/>
    <s v="Personal"/>
    <n v="31.59"/>
    <n v="16517"/>
    <n v="138597"/>
    <x v="171"/>
    <s v="Pending"/>
    <s v="No"/>
    <x v="4"/>
    <x v="183"/>
    <x v="183"/>
    <n v="649"/>
    <n v="583"/>
    <n v="0.35149999999999998"/>
    <n v="93801612"/>
    <n v="51624.442487616951"/>
    <n v="99996"/>
    <n v="5091"/>
    <n v="2445218.2500000019"/>
    <n v="1345.744771601542"/>
    <n v="0.35149999999999998"/>
    <n v="2218912317.2799969"/>
    <x v="1"/>
    <n v="22365.360000000001"/>
  </r>
  <r>
    <s v="LN00185"/>
    <x v="184"/>
    <n v="40"/>
    <s v="Female"/>
    <s v="Married"/>
    <s v="Self-Employed"/>
    <n v="163632"/>
    <n v="472"/>
    <n v="49340"/>
    <n v="18.940000000000001"/>
    <n v="24"/>
    <s v="Auto"/>
    <n v="52.56"/>
    <n v="45455"/>
    <n v="173288"/>
    <x v="172"/>
    <s v="Rejected"/>
    <s v="No"/>
    <x v="3"/>
    <x v="184"/>
    <x v="184"/>
    <n v="649"/>
    <n v="583"/>
    <n v="0.35149999999999998"/>
    <n v="93736916"/>
    <n v="51617.244493392071"/>
    <n v="99996"/>
    <n v="5091"/>
    <n v="2443354.4700000016"/>
    <n v="1345.4595099118951"/>
    <n v="0.35149999999999998"/>
    <n v="2216467099.0299964"/>
    <x v="1"/>
    <n v="29342.52"/>
  </r>
  <r>
    <s v="LN00186"/>
    <x v="185"/>
    <n v="51"/>
    <s v="Female"/>
    <s v="Divorced"/>
    <s v="Unemployed"/>
    <n v="179416"/>
    <n v="432"/>
    <n v="91626"/>
    <n v="22.57"/>
    <n v="240"/>
    <s v="Education"/>
    <n v="33.06"/>
    <n v="16638"/>
    <n v="213302"/>
    <x v="76"/>
    <s v="Pending"/>
    <s v="No"/>
    <x v="1"/>
    <x v="185"/>
    <x v="185"/>
    <n v="649"/>
    <n v="582"/>
    <n v="0.35149999999999998"/>
    <n v="93687576"/>
    <n v="51618.499173553719"/>
    <n v="99996"/>
    <n v="5091"/>
    <n v="2440909.2600000016"/>
    <n v="1344.8535867768603"/>
    <n v="0.35149999999999998"/>
    <n v="2214023744.5599976"/>
    <x v="1"/>
    <n v="5615.28"/>
  </r>
  <r>
    <s v="LN00187"/>
    <x v="186"/>
    <n v="52"/>
    <s v="Female"/>
    <s v="Single"/>
    <s v="Self-Employed"/>
    <n v="141943"/>
    <n v="643"/>
    <n v="30652"/>
    <n v="6.99"/>
    <n v="360"/>
    <s v="Business"/>
    <n v="23.89"/>
    <n v="76677"/>
    <n v="174723"/>
    <x v="173"/>
    <s v="Pending"/>
    <s v="Yes"/>
    <x v="4"/>
    <x v="186"/>
    <x v="186"/>
    <n v="649"/>
    <n v="582"/>
    <n v="0.35149999999999998"/>
    <n v="93595950"/>
    <n v="51596.444321940464"/>
    <n v="99996"/>
    <n v="5091"/>
    <n v="2440441.3200000017"/>
    <n v="1345.3370011025368"/>
    <n v="0.35149999999999998"/>
    <n v="2211582835.2999978"/>
    <x v="1"/>
    <n v="1093.1999999999998"/>
  </r>
  <r>
    <s v="LN00188"/>
    <x v="187"/>
    <n v="26"/>
    <s v="Male"/>
    <s v="Divorced"/>
    <s v="Employed"/>
    <n v="30264"/>
    <n v="708"/>
    <n v="75816"/>
    <n v="9.2799999999999994"/>
    <n v="12"/>
    <s v="Auto"/>
    <n v="46.18"/>
    <n v="32707"/>
    <n v="61325"/>
    <x v="13"/>
    <s v="Rejected"/>
    <s v="No"/>
    <x v="1"/>
    <x v="187"/>
    <x v="187"/>
    <n v="649"/>
    <n v="582"/>
    <n v="0.35149999999999998"/>
    <n v="93565298"/>
    <n v="51607.996690568121"/>
    <n v="99996"/>
    <n v="5091"/>
    <n v="2440350.2200000016"/>
    <n v="1346.0288030888039"/>
    <n v="0.35149999999999998"/>
    <n v="2209142393.9799976"/>
    <x v="1"/>
    <n v="82851.72"/>
  </r>
  <r>
    <s v="LN00189"/>
    <x v="188"/>
    <n v="37"/>
    <s v="Female"/>
    <s v="Divorced"/>
    <s v="Self-Employed"/>
    <n v="141776"/>
    <n v="443"/>
    <n v="78746"/>
    <n v="23.31"/>
    <n v="48"/>
    <s v="Business"/>
    <n v="36.729999999999997"/>
    <n v="10856"/>
    <n v="86046"/>
    <x v="174"/>
    <s v="Rejected"/>
    <s v="Yes"/>
    <x v="3"/>
    <x v="188"/>
    <x v="188"/>
    <n v="649"/>
    <n v="581"/>
    <n v="0.35149999999999998"/>
    <n v="93489482"/>
    <n v="51594.636865342167"/>
    <n v="99996"/>
    <n v="5091"/>
    <n v="2433445.9100000015"/>
    <n v="1342.9613189845484"/>
    <n v="0.35149999999999998"/>
    <n v="2206702043.7599978"/>
    <x v="0"/>
    <n v="24275.4"/>
  </r>
  <r>
    <s v="LN00190"/>
    <x v="189"/>
    <n v="55"/>
    <s v="Male"/>
    <s v="Married"/>
    <s v="Unemployed"/>
    <n v="163342"/>
    <n v="555"/>
    <n v="18591"/>
    <n v="18.36"/>
    <n v="120"/>
    <s v="Education"/>
    <n v="43.4"/>
    <n v="45029"/>
    <n v="247044"/>
    <x v="175"/>
    <s v="Approved"/>
    <s v="No"/>
    <x v="0"/>
    <x v="189"/>
    <x v="189"/>
    <n v="649"/>
    <n v="580"/>
    <n v="0.35149999999999998"/>
    <n v="93410736"/>
    <n v="51579.644395361676"/>
    <n v="99996"/>
    <n v="5091"/>
    <n v="2431422.9600000014"/>
    <n v="1342.5858420762017"/>
    <n v="0.35149999999999998"/>
    <n v="2204268597.849998"/>
    <x v="1"/>
    <n v="2200.44"/>
  </r>
  <r>
    <s v="LN00191"/>
    <x v="190"/>
    <n v="45"/>
    <s v="Male"/>
    <s v="Divorced"/>
    <s v="Employed"/>
    <n v="135830"/>
    <n v="534"/>
    <n v="62321"/>
    <n v="13.36"/>
    <n v="240"/>
    <s v="Business"/>
    <n v="32.020000000000003"/>
    <n v="18016"/>
    <n v="61947"/>
    <x v="176"/>
    <s v="Pending"/>
    <s v="No"/>
    <x v="4"/>
    <x v="190"/>
    <x v="190"/>
    <n v="648"/>
    <n v="580"/>
    <n v="0.35149999999999998"/>
    <n v="93392145"/>
    <n v="51597.870165745859"/>
    <n v="99996"/>
    <n v="5091"/>
    <n v="2431239.5900000012"/>
    <n v="1343.2262928176804"/>
    <n v="0.35149999999999998"/>
    <n v="2201837174.8899984"/>
    <x v="1"/>
    <n v="3532.32"/>
  </r>
  <r>
    <s v="LN00192"/>
    <x v="191"/>
    <n v="54"/>
    <s v="Female"/>
    <s v="Single"/>
    <s v="Self-Employed"/>
    <n v="96214"/>
    <n v="419"/>
    <n v="94607"/>
    <n v="18.420000000000002"/>
    <n v="24"/>
    <s v="Personal"/>
    <n v="17.61"/>
    <n v="73633"/>
    <n v="195575"/>
    <x v="177"/>
    <s v="Approved"/>
    <s v="No"/>
    <x v="1"/>
    <x v="191"/>
    <x v="191"/>
    <n v="648"/>
    <n v="580"/>
    <n v="0.35149999999999998"/>
    <n v="93329824"/>
    <n v="51591.942509673856"/>
    <n v="99996"/>
    <n v="5091"/>
    <n v="2430945.2300000014"/>
    <n v="1343.806097291322"/>
    <n v="0.35149999999999998"/>
    <n v="2199405935.2999992"/>
    <x v="1"/>
    <n v="56016.84"/>
  </r>
  <r>
    <s v="LN00193"/>
    <x v="192"/>
    <n v="22"/>
    <s v="Female"/>
    <s v="Divorced"/>
    <s v="Unemployed"/>
    <n v="142277"/>
    <n v="449"/>
    <n v="59844"/>
    <n v="8.61"/>
    <n v="240"/>
    <s v="Education"/>
    <n v="47.71"/>
    <n v="751"/>
    <n v="115703"/>
    <x v="178"/>
    <s v="Approved"/>
    <s v="No"/>
    <x v="4"/>
    <x v="192"/>
    <x v="192"/>
    <n v="647"/>
    <n v="580"/>
    <n v="0.35149999999999998"/>
    <n v="93235217"/>
    <n v="51568.150995575219"/>
    <n v="99996"/>
    <n v="5091"/>
    <n v="2426277.1600000011"/>
    <n v="1341.967455752213"/>
    <n v="0.35149999999999998"/>
    <n v="2196974990.0699987"/>
    <x v="1"/>
    <n v="3249.84"/>
  </r>
  <r>
    <s v="LN00194"/>
    <x v="193"/>
    <n v="59"/>
    <s v="Male"/>
    <s v="Married"/>
    <s v="Self-Employed"/>
    <n v="65459"/>
    <n v="469"/>
    <n v="64233"/>
    <n v="21.05"/>
    <n v="48"/>
    <s v="Business"/>
    <n v="48.43"/>
    <n v="59804"/>
    <n v="140959"/>
    <x v="179"/>
    <s v="Rejected"/>
    <s v="Yes"/>
    <x v="0"/>
    <x v="193"/>
    <x v="193"/>
    <n v="646"/>
    <n v="580"/>
    <n v="0.35149999999999998"/>
    <n v="93175373"/>
    <n v="51563.571112340898"/>
    <n v="99996"/>
    <n v="5091"/>
    <n v="2426006.3400000012"/>
    <n v="1342.5602324294418"/>
    <n v="0.35149999999999998"/>
    <n v="2194548712.9099989"/>
    <x v="1"/>
    <n v="19438.560000000001"/>
  </r>
  <r>
    <s v="LN00195"/>
    <x v="194"/>
    <n v="60"/>
    <s v="Male"/>
    <s v="Married"/>
    <s v="Self-Employed"/>
    <n v="80898"/>
    <n v="756"/>
    <n v="12877"/>
    <n v="5.32"/>
    <n v="60"/>
    <s v="Auto"/>
    <n v="18.86"/>
    <n v="53914"/>
    <n v="47438"/>
    <x v="59"/>
    <s v="Pending"/>
    <s v="Yes"/>
    <x v="4"/>
    <x v="194"/>
    <x v="194"/>
    <n v="646"/>
    <n v="579"/>
    <n v="0.35149999999999998"/>
    <n v="93111140"/>
    <n v="51556.555924695458"/>
    <n v="99996"/>
    <n v="5091"/>
    <n v="2424386.4600000018"/>
    <n v="1342.4066777408648"/>
    <n v="0.35149999999999998"/>
    <n v="2192122706.5699987"/>
    <x v="1"/>
    <n v="2712.36"/>
  </r>
  <r>
    <s v="LN00196"/>
    <x v="195"/>
    <n v="44"/>
    <s v="Male"/>
    <s v="Divorced"/>
    <s v="Employed"/>
    <n v="30041"/>
    <n v="593"/>
    <n v="98322"/>
    <n v="21.28"/>
    <n v="48"/>
    <s v="Business"/>
    <n v="46.84"/>
    <n v="32096"/>
    <n v="53926"/>
    <x v="180"/>
    <s v="Rejected"/>
    <s v="Yes"/>
    <x v="4"/>
    <x v="195"/>
    <x v="195"/>
    <n v="646"/>
    <n v="579"/>
    <n v="0.35149999999999998"/>
    <n v="93098263"/>
    <n v="51577.985041551248"/>
    <n v="99996"/>
    <n v="5091"/>
    <n v="2424160.4300000016"/>
    <n v="1343.0251689750701"/>
    <n v="0.35149999999999998"/>
    <n v="2189698320.1099982"/>
    <x v="1"/>
    <n v="29811.239999999998"/>
  </r>
  <r>
    <s v="LN00197"/>
    <x v="196"/>
    <n v="23"/>
    <s v="Male"/>
    <s v="Divorced"/>
    <s v="Self-Employed"/>
    <n v="179609"/>
    <n v="369"/>
    <n v="33382"/>
    <n v="21.93"/>
    <n v="240"/>
    <s v="Business"/>
    <n v="42.4"/>
    <n v="56206"/>
    <n v="135465"/>
    <x v="181"/>
    <s v="Rejected"/>
    <s v="Yes"/>
    <x v="2"/>
    <x v="196"/>
    <x v="196"/>
    <n v="646"/>
    <n v="578"/>
    <n v="0.35149999999999998"/>
    <n v="92999941"/>
    <n v="51552.07372505543"/>
    <n v="99996"/>
    <n v="5091"/>
    <n v="2421676.160000002"/>
    <n v="1342.3925498891363"/>
    <n v="0.35149999999999998"/>
    <n v="2187274159.6799984"/>
    <x v="1"/>
    <n v="2035.08"/>
  </r>
  <r>
    <s v="LN00198"/>
    <x v="197"/>
    <n v="23"/>
    <s v="Female"/>
    <s v="Divorced"/>
    <s v="Unemployed"/>
    <n v="134679"/>
    <n v="457"/>
    <n v="45567"/>
    <n v="21.95"/>
    <n v="240"/>
    <s v="Education"/>
    <n v="42.64"/>
    <n v="46892"/>
    <n v="175423"/>
    <x v="164"/>
    <s v="Pending"/>
    <s v="No"/>
    <x v="4"/>
    <x v="197"/>
    <x v="197"/>
    <n v="646"/>
    <n v="577"/>
    <n v="0.35149999999999998"/>
    <n v="92966559"/>
    <n v="51562.151414309483"/>
    <n v="99996"/>
    <n v="5091"/>
    <n v="2421506.5700000017"/>
    <n v="1343.043022739879"/>
    <n v="0.35149999999999998"/>
    <n v="2184852483.5199981"/>
    <x v="1"/>
    <n v="2778.48"/>
  </r>
  <r>
    <s v="LN00199"/>
    <x v="198"/>
    <n v="23"/>
    <s v="Male"/>
    <s v="Divorced"/>
    <s v="Self-Employed"/>
    <n v="182757"/>
    <n v="459"/>
    <n v="46457"/>
    <n v="16.91"/>
    <n v="24"/>
    <s v="Personal"/>
    <n v="54.58"/>
    <n v="8280"/>
    <n v="124608"/>
    <x v="182"/>
    <s v="Pending"/>
    <s v="No"/>
    <x v="1"/>
    <x v="198"/>
    <x v="198"/>
    <n v="646"/>
    <n v="577"/>
    <n v="0.35149999999999998"/>
    <n v="92920992"/>
    <n v="51565.478357380685"/>
    <n v="99996"/>
    <n v="5091"/>
    <n v="2421275.0300000017"/>
    <n v="1343.6598390677034"/>
    <n v="0.35149999999999998"/>
    <n v="2182430976.9499989"/>
    <x v="1"/>
    <n v="27156.48"/>
  </r>
  <r>
    <s v="LN00200"/>
    <x v="199"/>
    <n v="21"/>
    <s v="Female"/>
    <s v="Married"/>
    <s v="Self-Employed"/>
    <n v="112888"/>
    <n v="586"/>
    <n v="17044"/>
    <n v="22.38"/>
    <n v="60"/>
    <s v="Auto"/>
    <n v="37.96"/>
    <n v="40044"/>
    <n v="93059"/>
    <x v="183"/>
    <s v="Approved"/>
    <s v="Yes"/>
    <x v="0"/>
    <x v="199"/>
    <x v="199"/>
    <n v="646"/>
    <n v="577"/>
    <n v="0.35149999999999998"/>
    <n v="92874535"/>
    <n v="51568.314825097172"/>
    <n v="99996"/>
    <n v="5091"/>
    <n v="2419011.9900000016"/>
    <n v="1343.1493559133824"/>
    <n v="0.35149999999999998"/>
    <n v="2180009701.9199986"/>
    <x v="1"/>
    <n v="4171.68"/>
  </r>
  <r>
    <s v="LN00201"/>
    <x v="200"/>
    <n v="41"/>
    <s v="Male"/>
    <s v="Married"/>
    <s v="Self-Employed"/>
    <n v="145782"/>
    <n v="447"/>
    <n v="76142"/>
    <n v="5.54"/>
    <n v="48"/>
    <s v="Mortgage"/>
    <n v="48.22"/>
    <n v="74360"/>
    <n v="11447"/>
    <x v="184"/>
    <s v="Rejected"/>
    <s v="No"/>
    <x v="0"/>
    <x v="200"/>
    <x v="200"/>
    <n v="645"/>
    <n v="577"/>
    <n v="0.35149999999999998"/>
    <n v="92857491"/>
    <n v="51587.495000000003"/>
    <n v="99996"/>
    <n v="5091"/>
    <n v="2418664.350000002"/>
    <n v="1343.7024166666677"/>
    <n v="0.35149999999999998"/>
    <n v="2177590689.9299994"/>
    <x v="1"/>
    <n v="20090.04"/>
  </r>
  <r>
    <s v="LN00202"/>
    <x v="201"/>
    <n v="28"/>
    <s v="Female"/>
    <s v="Divorced"/>
    <s v="Employed"/>
    <n v="148301"/>
    <n v="693"/>
    <n v="92576"/>
    <n v="5.29"/>
    <n v="24"/>
    <s v="Auto"/>
    <n v="43.18"/>
    <n v="42623"/>
    <n v="48823"/>
    <x v="185"/>
    <s v="Approved"/>
    <s v="No"/>
    <x v="1"/>
    <x v="201"/>
    <x v="201"/>
    <n v="645"/>
    <n v="576"/>
    <n v="0.35149999999999998"/>
    <n v="92781349"/>
    <n v="51573.846025569765"/>
    <n v="99996"/>
    <n v="5091"/>
    <n v="2416990.1800000016"/>
    <n v="1343.518721511952"/>
    <n v="0.35149999999999998"/>
    <n v="2175172025.5799999"/>
    <x v="1"/>
    <n v="48736.68"/>
  </r>
  <r>
    <s v="LN00203"/>
    <x v="202"/>
    <n v="43"/>
    <s v="Male"/>
    <s v="Single"/>
    <s v="Self-Employed"/>
    <n v="148372"/>
    <n v="610"/>
    <n v="12813"/>
    <n v="21.89"/>
    <n v="360"/>
    <s v="Personal"/>
    <n v="16.850000000000001"/>
    <n v="23197"/>
    <n v="217075"/>
    <x v="126"/>
    <s v="Pending"/>
    <s v="Yes"/>
    <x v="1"/>
    <x v="202"/>
    <x v="202"/>
    <n v="644"/>
    <n v="576"/>
    <n v="0.35149999999999998"/>
    <n v="92688773"/>
    <n v="51551.041713014463"/>
    <n v="99996"/>
    <n v="5091"/>
    <n v="2412928.7900000014"/>
    <n v="1342.0071134594002"/>
    <n v="0.35149999999999998"/>
    <n v="2172755035.4000006"/>
    <x v="1"/>
    <n v="520.56000000000006"/>
  </r>
  <r>
    <s v="LN00204"/>
    <x v="203"/>
    <n v="63"/>
    <s v="Female"/>
    <s v="Single"/>
    <s v="Employed"/>
    <n v="182330"/>
    <n v="386"/>
    <n v="15748"/>
    <n v="6.28"/>
    <n v="240"/>
    <s v="Auto"/>
    <n v="44.83"/>
    <n v="31832"/>
    <n v="70575"/>
    <x v="186"/>
    <s v="Approved"/>
    <s v="Yes"/>
    <x v="1"/>
    <x v="203"/>
    <x v="203"/>
    <n v="644"/>
    <n v="576"/>
    <n v="0.35149999999999998"/>
    <n v="92675960"/>
    <n v="51572.598775737337"/>
    <n v="99996"/>
    <n v="5091"/>
    <n v="2412885.4100000015"/>
    <n v="1342.7297774067899"/>
    <n v="0.35149999999999998"/>
    <n v="2170342106.6100011"/>
    <x v="1"/>
    <n v="836.87999999999988"/>
  </r>
  <r>
    <s v="LN00205"/>
    <x v="204"/>
    <n v="33"/>
    <s v="Female"/>
    <s v="Married"/>
    <s v="Employed"/>
    <n v="154159"/>
    <n v="363"/>
    <n v="43786"/>
    <n v="3.61"/>
    <n v="360"/>
    <s v="Education"/>
    <n v="14.69"/>
    <n v="36352"/>
    <n v="105039"/>
    <x v="187"/>
    <s v="Approved"/>
    <s v="No"/>
    <x v="0"/>
    <x v="204"/>
    <x v="204"/>
    <n v="643"/>
    <n v="576"/>
    <n v="0.35149999999999998"/>
    <n v="92660212"/>
    <n v="51592.545657015587"/>
    <n v="99996"/>
    <n v="5091"/>
    <n v="2412815.6700000013"/>
    <n v="1343.4385690423169"/>
    <n v="0.35149999999999998"/>
    <n v="2167929221.2000008"/>
    <x v="1"/>
    <n v="1512.24"/>
  </r>
  <r>
    <s v="LN00206"/>
    <x v="205"/>
    <n v="57"/>
    <s v="Male"/>
    <s v="Single"/>
    <s v="Unemployed"/>
    <n v="196324"/>
    <n v="374"/>
    <n v="39466"/>
    <n v="9.52"/>
    <n v="24"/>
    <s v="Education"/>
    <n v="56.8"/>
    <n v="62906"/>
    <n v="19613"/>
    <x v="126"/>
    <s v="Rejected"/>
    <s v="No"/>
    <x v="0"/>
    <x v="205"/>
    <x v="205"/>
    <n v="642"/>
    <n v="576"/>
    <n v="0.35149999999999998"/>
    <n v="92616426"/>
    <n v="51596.894707520893"/>
    <n v="99996"/>
    <n v="5091"/>
    <n v="2412689.6500000013"/>
    <n v="1344.1167966573823"/>
    <n v="0.35149999999999998"/>
    <n v="2165516405.5300002"/>
    <x v="1"/>
    <n v="21611.64"/>
  </r>
  <r>
    <s v="LN00207"/>
    <x v="206"/>
    <n v="38"/>
    <s v="Female"/>
    <s v="Single"/>
    <s v="Self-Employed"/>
    <n v="126519"/>
    <n v="665"/>
    <n v="9332"/>
    <n v="16.48"/>
    <n v="24"/>
    <s v="Mortgage"/>
    <n v="31.84"/>
    <n v="3636"/>
    <n v="246725"/>
    <x v="188"/>
    <s v="Approved"/>
    <s v="Yes"/>
    <x v="4"/>
    <x v="206"/>
    <x v="206"/>
    <n v="642"/>
    <n v="575"/>
    <n v="0.35149999999999998"/>
    <n v="92576960"/>
    <n v="51603.65663322185"/>
    <n v="99996"/>
    <n v="5091"/>
    <n v="2410888.6800000016"/>
    <n v="1343.8621404682283"/>
    <n v="0.35149999999999998"/>
    <n v="2163103715.8800001"/>
    <x v="1"/>
    <n v="5434.92"/>
  </r>
  <r>
    <s v="LN00208"/>
    <x v="207"/>
    <n v="49"/>
    <s v="Male"/>
    <s v="Divorced"/>
    <s v="Employed"/>
    <n v="189785"/>
    <n v="381"/>
    <n v="92684"/>
    <n v="19.84"/>
    <n v="48"/>
    <s v="Auto"/>
    <n v="41.01"/>
    <n v="49780"/>
    <n v="88350"/>
    <x v="189"/>
    <s v="Rejected"/>
    <s v="No"/>
    <x v="3"/>
    <x v="207"/>
    <x v="207"/>
    <n v="641"/>
    <n v="575"/>
    <n v="0.35149999999999998"/>
    <n v="92567628"/>
    <n v="51627.232571109875"/>
    <n v="99996"/>
    <n v="5091"/>
    <n v="2410435.7700000014"/>
    <n v="1344.3590462911329"/>
    <n v="0.35149999999999998"/>
    <n v="2160692827.2000003"/>
    <x v="1"/>
    <n v="27768.120000000003"/>
  </r>
  <r>
    <s v="LN00209"/>
    <x v="208"/>
    <n v="59"/>
    <s v="Male"/>
    <s v="Divorced"/>
    <s v="Unemployed"/>
    <n v="150043"/>
    <n v="661"/>
    <n v="54686"/>
    <n v="14.22"/>
    <n v="60"/>
    <s v="Business"/>
    <n v="6.53"/>
    <n v="29091"/>
    <n v="65117"/>
    <x v="190"/>
    <s v="Pending"/>
    <s v="Yes"/>
    <x v="2"/>
    <x v="208"/>
    <x v="208"/>
    <n v="641"/>
    <n v="574"/>
    <n v="0.35149999999999998"/>
    <n v="92474944"/>
    <n v="51604.321428571428"/>
    <n v="99996"/>
    <n v="5091"/>
    <n v="2408121.7600000016"/>
    <n v="1343.8179464285724"/>
    <n v="0.35149999999999998"/>
    <n v="2158282391.4300008"/>
    <x v="1"/>
    <n v="12492.48"/>
  </r>
  <r>
    <s v="LN00210"/>
    <x v="209"/>
    <n v="31"/>
    <s v="Female"/>
    <s v="Single"/>
    <s v="Unemployed"/>
    <n v="27593"/>
    <n v="461"/>
    <n v="58775"/>
    <n v="10.220000000000001"/>
    <n v="120"/>
    <s v="Mortgage"/>
    <n v="16.010000000000002"/>
    <n v="31203"/>
    <n v="161876"/>
    <x v="191"/>
    <s v="Pending"/>
    <s v="No"/>
    <x v="3"/>
    <x v="209"/>
    <x v="209"/>
    <n v="641"/>
    <n v="574"/>
    <n v="0.35149999999999998"/>
    <n v="92420258"/>
    <n v="51602.600781686211"/>
    <n v="99996"/>
    <n v="5091"/>
    <n v="2407080.7200000016"/>
    <n v="1343.9870016750428"/>
    <n v="0.35149999999999998"/>
    <n v="2155874269.6700015"/>
    <x v="1"/>
    <n v="6478.2000000000007"/>
  </r>
  <r>
    <s v="LN00211"/>
    <x v="210"/>
    <n v="41"/>
    <s v="Female"/>
    <s v="Married"/>
    <s v="Unemployed"/>
    <n v="71761"/>
    <n v="792"/>
    <n v="77227"/>
    <n v="6.92"/>
    <n v="24"/>
    <s v="Personal"/>
    <n v="36.409999999999997"/>
    <n v="74897"/>
    <n v="19129"/>
    <x v="192"/>
    <s v="Approved"/>
    <s v="Yes"/>
    <x v="0"/>
    <x v="210"/>
    <x v="210"/>
    <n v="641"/>
    <n v="574"/>
    <n v="0.35149999999999998"/>
    <n v="92361483"/>
    <n v="51598.5938547486"/>
    <n v="99996"/>
    <n v="5091"/>
    <n v="2406540.870000002"/>
    <n v="1344.4362402234649"/>
    <n v="0.35149999999999998"/>
    <n v="2153467188.9500003"/>
    <x v="1"/>
    <n v="41285.520000000004"/>
  </r>
  <r>
    <s v="LN00212"/>
    <x v="211"/>
    <n v="65"/>
    <s v="Male"/>
    <s v="Married"/>
    <s v="Self-Employed"/>
    <n v="133948"/>
    <n v="592"/>
    <n v="27343"/>
    <n v="9.82"/>
    <n v="180"/>
    <s v="Business"/>
    <n v="15.35"/>
    <n v="41393"/>
    <n v="181325"/>
    <x v="193"/>
    <s v="Rejected"/>
    <s v="Yes"/>
    <x v="3"/>
    <x v="211"/>
    <x v="211"/>
    <n v="640"/>
    <n v="574"/>
    <n v="0.35149999999999998"/>
    <n v="92284256"/>
    <n v="51584.268306316379"/>
    <n v="99996"/>
    <n v="5091"/>
    <n v="2403100.4100000015"/>
    <n v="1343.2646226942434"/>
    <n v="0.35149999999999998"/>
    <n v="2151060648.0800004"/>
    <x v="1"/>
    <n v="2001.84"/>
  </r>
  <r>
    <s v="LN00213"/>
    <x v="212"/>
    <n v="29"/>
    <s v="Male"/>
    <s v="Divorced"/>
    <s v="Self-Employed"/>
    <n v="131753"/>
    <n v="819"/>
    <n v="74975"/>
    <n v="4.18"/>
    <n v="120"/>
    <s v="Mortgage"/>
    <n v="49.03"/>
    <n v="34171"/>
    <n v="71710"/>
    <x v="194"/>
    <s v="Approved"/>
    <s v="No"/>
    <x v="2"/>
    <x v="212"/>
    <x v="212"/>
    <n v="640"/>
    <n v="573"/>
    <n v="0.35149999999999998"/>
    <n v="92256913"/>
    <n v="51597.826062639819"/>
    <n v="99996"/>
    <n v="5091"/>
    <n v="2402933.5900000017"/>
    <n v="1343.9225894854596"/>
    <n v="0.35149999999999998"/>
    <n v="2148657547.6700006"/>
    <x v="1"/>
    <n v="7810.92"/>
  </r>
  <r>
    <s v="LN00214"/>
    <x v="213"/>
    <n v="51"/>
    <s v="Male"/>
    <s v="Divorced"/>
    <s v="Unemployed"/>
    <n v="162568"/>
    <n v="420"/>
    <n v="47040"/>
    <n v="4.21"/>
    <n v="360"/>
    <s v="Business"/>
    <n v="26.4"/>
    <n v="13477"/>
    <n v="65398"/>
    <x v="195"/>
    <s v="Approved"/>
    <s v="Yes"/>
    <x v="3"/>
    <x v="213"/>
    <x v="213"/>
    <n v="639"/>
    <n v="573"/>
    <n v="0.35149999999999998"/>
    <n v="92181938"/>
    <n v="51584.744264129826"/>
    <n v="99996"/>
    <n v="5091"/>
    <n v="2402282.6800000016"/>
    <n v="1344.3103973139348"/>
    <n v="0.35149999999999998"/>
    <n v="2146254614.0800006"/>
    <x v="1"/>
    <n v="1634.04"/>
  </r>
  <r>
    <s v="LN00215"/>
    <x v="214"/>
    <n v="63"/>
    <s v="Male"/>
    <s v="Married"/>
    <s v="Unemployed"/>
    <n v="110525"/>
    <n v="327"/>
    <n v="17989"/>
    <n v="6.04"/>
    <n v="120"/>
    <s v="Auto"/>
    <n v="5.15"/>
    <n v="67529"/>
    <n v="206595"/>
    <x v="196"/>
    <s v="Approved"/>
    <s v="Yes"/>
    <x v="2"/>
    <x v="214"/>
    <x v="214"/>
    <n v="638"/>
    <n v="573"/>
    <n v="0.35149999999999998"/>
    <n v="92134898"/>
    <n v="51587.288913773795"/>
    <n v="99996"/>
    <n v="5091"/>
    <n v="2402146.5100000016"/>
    <n v="1344.9868477043683"/>
    <n v="0.35149999999999998"/>
    <n v="2143852331.4000008"/>
    <x v="1"/>
    <n v="1907.52"/>
  </r>
  <r>
    <s v="LN00216"/>
    <x v="215"/>
    <n v="43"/>
    <s v="Female"/>
    <s v="Married"/>
    <s v="Employed"/>
    <n v="23385"/>
    <n v="753"/>
    <n v="61972"/>
    <n v="23.77"/>
    <n v="120"/>
    <s v="Personal"/>
    <n v="42.43"/>
    <n v="79547"/>
    <n v="36431"/>
    <x v="197"/>
    <s v="Pending"/>
    <s v="No"/>
    <x v="0"/>
    <x v="215"/>
    <x v="215"/>
    <n v="637"/>
    <n v="573"/>
    <n v="0.35149999999999998"/>
    <n v="92116909"/>
    <n v="51606.111484593835"/>
    <n v="99996"/>
    <n v="5091"/>
    <n v="2401987.5500000017"/>
    <n v="1345.651288515407"/>
    <n v="0.35149999999999998"/>
    <n v="2141450184.8900006"/>
    <x v="1"/>
    <n v="7670.2800000000007"/>
  </r>
  <r>
    <s v="LN00217"/>
    <x v="216"/>
    <n v="28"/>
    <s v="Female"/>
    <s v="Single"/>
    <s v="Unemployed"/>
    <n v="150194"/>
    <n v="837"/>
    <n v="20407"/>
    <n v="4.0999999999999996"/>
    <n v="12"/>
    <s v="Business"/>
    <n v="59.25"/>
    <n v="25241"/>
    <n v="65036"/>
    <x v="198"/>
    <s v="Approved"/>
    <s v="No"/>
    <x v="1"/>
    <x v="216"/>
    <x v="216"/>
    <n v="637"/>
    <n v="573"/>
    <n v="0.35149999999999998"/>
    <n v="92054937"/>
    <n v="51600.301008968607"/>
    <n v="99996"/>
    <n v="5091"/>
    <n v="2401348.3600000017"/>
    <n v="1346.0472869955167"/>
    <n v="0.35149999999999998"/>
    <n v="2139048197.3400006"/>
    <x v="1"/>
    <n v="21243.72"/>
  </r>
  <r>
    <s v="LN00218"/>
    <x v="217"/>
    <n v="54"/>
    <s v="Female"/>
    <s v="Divorced"/>
    <s v="Unemployed"/>
    <n v="101287"/>
    <n v="470"/>
    <n v="95995"/>
    <n v="6.67"/>
    <n v="48"/>
    <s v="Education"/>
    <n v="30.47"/>
    <n v="77931"/>
    <n v="188482"/>
    <x v="199"/>
    <s v="Pending"/>
    <s v="Yes"/>
    <x v="1"/>
    <x v="217"/>
    <x v="217"/>
    <n v="636"/>
    <n v="573"/>
    <n v="0.35149999999999998"/>
    <n v="92034530"/>
    <n v="51617.795849691531"/>
    <n v="99996"/>
    <n v="5091"/>
    <n v="2399578.0500000012"/>
    <n v="1345.8093381940557"/>
    <n v="0.35149999999999998"/>
    <n v="2136646848.9800005"/>
    <x v="0"/>
    <n v="25599.48"/>
  </r>
  <r>
    <s v="LN00219"/>
    <x v="218"/>
    <n v="63"/>
    <s v="Female"/>
    <s v="Divorced"/>
    <s v="Self-Employed"/>
    <n v="172228"/>
    <n v="466"/>
    <n v="40596"/>
    <n v="21.23"/>
    <n v="48"/>
    <s v="Auto"/>
    <n v="27.83"/>
    <n v="12762"/>
    <n v="85832"/>
    <x v="200"/>
    <s v="Approved"/>
    <s v="No"/>
    <x v="0"/>
    <x v="218"/>
    <x v="218"/>
    <n v="636"/>
    <n v="573"/>
    <n v="0.35149999999999998"/>
    <n v="91938535"/>
    <n v="51592.892817059481"/>
    <n v="99996"/>
    <n v="5091"/>
    <n v="2397444.7600000012"/>
    <n v="1345.3674298540973"/>
    <n v="0.35149999999999998"/>
    <n v="2134247270.9300005"/>
    <x v="1"/>
    <n v="12303.599999999999"/>
  </r>
  <r>
    <s v="LN00220"/>
    <x v="219"/>
    <n v="51"/>
    <s v="Male"/>
    <s v="Divorced"/>
    <s v="Unemployed"/>
    <n v="54488"/>
    <n v="640"/>
    <n v="29898"/>
    <n v="4.0599999999999996"/>
    <n v="12"/>
    <s v="Education"/>
    <n v="7.6"/>
    <n v="61019"/>
    <n v="147812"/>
    <x v="201"/>
    <s v="Approved"/>
    <s v="No"/>
    <x v="4"/>
    <x v="219"/>
    <x v="219"/>
    <n v="635"/>
    <n v="573"/>
    <n v="0.35149999999999998"/>
    <n v="91897939"/>
    <n v="51599.067377877596"/>
    <n v="99996"/>
    <n v="5091"/>
    <n v="2396419.4600000014"/>
    <n v="1345.5471420550261"/>
    <n v="0.35149999999999998"/>
    <n v="2131849826.1700008"/>
    <x v="1"/>
    <n v="31111.800000000003"/>
  </r>
  <r>
    <s v="LN00221"/>
    <x v="220"/>
    <n v="36"/>
    <s v="Female"/>
    <s v="Divorced"/>
    <s v="Unemployed"/>
    <n v="55929"/>
    <n v="565"/>
    <n v="34668"/>
    <n v="14.93"/>
    <n v="360"/>
    <s v="Mortgage"/>
    <n v="24.37"/>
    <n v="11915"/>
    <n v="19652"/>
    <x v="202"/>
    <s v="Approved"/>
    <s v="Yes"/>
    <x v="0"/>
    <x v="220"/>
    <x v="220"/>
    <n v="634"/>
    <n v="573"/>
    <n v="0.35149999999999998"/>
    <n v="91868041"/>
    <n v="51611.258988764042"/>
    <n v="99996"/>
    <n v="5091"/>
    <n v="2393826.810000001"/>
    <n v="1344.8465224719107"/>
    <n v="0.35149999999999998"/>
    <n v="2129453406.7100008"/>
    <x v="0"/>
    <n v="1328.16"/>
  </r>
  <r>
    <s v="LN00222"/>
    <x v="221"/>
    <n v="31"/>
    <s v="Female"/>
    <s v="Divorced"/>
    <s v="Unemployed"/>
    <n v="54034"/>
    <n v="761"/>
    <n v="95142"/>
    <n v="16.850000000000001"/>
    <n v="48"/>
    <s v="Auto"/>
    <n v="6.91"/>
    <n v="36080"/>
    <n v="121199"/>
    <x v="203"/>
    <s v="Approved"/>
    <s v="Yes"/>
    <x v="3"/>
    <x v="221"/>
    <x v="221"/>
    <n v="633"/>
    <n v="573"/>
    <n v="0.35149999999999998"/>
    <n v="91833373"/>
    <n v="51620.78302417088"/>
    <n v="99996"/>
    <n v="5091"/>
    <n v="2393716.1300000013"/>
    <n v="1345.5402641933679"/>
    <n v="0.35149999999999998"/>
    <n v="2127059579.9000008"/>
    <x v="1"/>
    <n v="27793.32"/>
  </r>
  <r>
    <s v="LN00223"/>
    <x v="222"/>
    <n v="42"/>
    <s v="Male"/>
    <s v="Married"/>
    <s v="Employed"/>
    <n v="30361"/>
    <n v="839"/>
    <n v="50646"/>
    <n v="5.97"/>
    <n v="120"/>
    <s v="Auto"/>
    <n v="13.84"/>
    <n v="19869"/>
    <n v="118421"/>
    <x v="204"/>
    <s v="Rejected"/>
    <s v="No"/>
    <x v="4"/>
    <x v="222"/>
    <x v="222"/>
    <n v="632"/>
    <n v="573"/>
    <n v="0.35149999999999998"/>
    <n v="91738231"/>
    <n v="51596.305399325087"/>
    <n v="99996"/>
    <n v="5091"/>
    <n v="2391400.0200000014"/>
    <n v="1344.9943869516319"/>
    <n v="0.35149999999999998"/>
    <n v="2124665863.7700009"/>
    <x v="1"/>
    <n v="5367"/>
  </r>
  <r>
    <s v="LN00224"/>
    <x v="223"/>
    <n v="62"/>
    <s v="Male"/>
    <s v="Divorced"/>
    <s v="Employed"/>
    <n v="60527"/>
    <n v="604"/>
    <n v="91807"/>
    <n v="20.64"/>
    <n v="240"/>
    <s v="Auto"/>
    <n v="57.71"/>
    <n v="70370"/>
    <n v="84228"/>
    <x v="205"/>
    <s v="Approved"/>
    <s v="Yes"/>
    <x v="0"/>
    <x v="223"/>
    <x v="223"/>
    <n v="632"/>
    <n v="572"/>
    <n v="0.35149999999999998"/>
    <n v="91687585"/>
    <n v="51596.840180078783"/>
    <n v="99996"/>
    <n v="5091"/>
    <n v="2390952.7700000014"/>
    <n v="1345.4995891952738"/>
    <n v="0.35149999999999998"/>
    <n v="2122274463.7500007"/>
    <x v="1"/>
    <n v="5537.76"/>
  </r>
  <r>
    <s v="LN00225"/>
    <x v="224"/>
    <n v="31"/>
    <s v="Female"/>
    <s v="Divorced"/>
    <s v="Unemployed"/>
    <n v="52595"/>
    <n v="549"/>
    <n v="11874"/>
    <n v="12.92"/>
    <n v="24"/>
    <s v="Personal"/>
    <n v="11.35"/>
    <n v="60544"/>
    <n v="150247"/>
    <x v="206"/>
    <s v="Pending"/>
    <s v="Yes"/>
    <x v="0"/>
    <x v="224"/>
    <x v="224"/>
    <n v="631"/>
    <n v="572"/>
    <n v="0.35149999999999998"/>
    <n v="91595778"/>
    <n v="51574.199324324327"/>
    <n v="99996"/>
    <n v="5091"/>
    <n v="2390491.2900000014"/>
    <n v="1345.9973479729738"/>
    <n v="0.35149999999999998"/>
    <n v="2119883510.980001"/>
    <x v="1"/>
    <n v="6704.0399999999991"/>
  </r>
  <r>
    <s v="LN00226"/>
    <x v="225"/>
    <n v="47"/>
    <s v="Male"/>
    <s v="Divorced"/>
    <s v="Employed"/>
    <n v="78834"/>
    <n v="819"/>
    <n v="30433"/>
    <n v="4.79"/>
    <n v="240"/>
    <s v="Personal"/>
    <n v="58.38"/>
    <n v="60787"/>
    <n v="107295"/>
    <x v="207"/>
    <s v="Rejected"/>
    <s v="Yes"/>
    <x v="4"/>
    <x v="225"/>
    <x v="225"/>
    <n v="631"/>
    <n v="572"/>
    <n v="0.35149999999999998"/>
    <n v="91583904"/>
    <n v="51596.56563380282"/>
    <n v="99996"/>
    <n v="5091"/>
    <n v="2389932.6200000015"/>
    <n v="1346.4409126760572"/>
    <n v="0.35149999999999998"/>
    <n v="2117493019.690001"/>
    <x v="1"/>
    <n v="1594.56"/>
  </r>
  <r>
    <s v="LN00227"/>
    <x v="226"/>
    <n v="45"/>
    <s v="Male"/>
    <s v="Divorced"/>
    <s v="Employed"/>
    <n v="154041"/>
    <n v="444"/>
    <n v="46060"/>
    <n v="10.19"/>
    <n v="48"/>
    <s v="Personal"/>
    <n v="33.44"/>
    <n v="63085"/>
    <n v="75318"/>
    <x v="208"/>
    <s v="Rejected"/>
    <s v="Yes"/>
    <x v="3"/>
    <x v="226"/>
    <x v="226"/>
    <n v="631"/>
    <n v="571"/>
    <n v="0.35149999999999998"/>
    <n v="91553471"/>
    <n v="51608.495490417139"/>
    <n v="99996"/>
    <n v="5091"/>
    <n v="2389799.7400000012"/>
    <n v="1347.1249943630221"/>
    <n v="0.35149999999999998"/>
    <n v="2115103087.0700011"/>
    <x v="1"/>
    <n v="12688.32"/>
  </r>
  <r>
    <s v="LN00228"/>
    <x v="227"/>
    <n v="64"/>
    <s v="Female"/>
    <s v="Single"/>
    <s v="Unemployed"/>
    <n v="189014"/>
    <n v="715"/>
    <n v="85330"/>
    <n v="11.68"/>
    <n v="60"/>
    <s v="Auto"/>
    <n v="52.64"/>
    <n v="9693"/>
    <n v="135947"/>
    <x v="31"/>
    <s v="Rejected"/>
    <s v="Yes"/>
    <x v="2"/>
    <x v="227"/>
    <x v="227"/>
    <n v="631"/>
    <n v="570"/>
    <n v="0.35149999999999998"/>
    <n v="91507411"/>
    <n v="51611.624929498023"/>
    <n v="99996"/>
    <n v="5091"/>
    <n v="2388742.3800000018"/>
    <n v="1347.2884263959402"/>
    <n v="0.35149999999999998"/>
    <n v="2112713287.3300011"/>
    <x v="1"/>
    <n v="19059.36"/>
  </r>
  <r>
    <s v="LN00229"/>
    <x v="228"/>
    <n v="44"/>
    <s v="Female"/>
    <s v="Single"/>
    <s v="Employed"/>
    <n v="112145"/>
    <n v="439"/>
    <n v="21274"/>
    <n v="21.47"/>
    <n v="36"/>
    <s v="Personal"/>
    <n v="46.38"/>
    <n v="52060"/>
    <n v="182896"/>
    <x v="209"/>
    <s v="Approved"/>
    <s v="No"/>
    <x v="4"/>
    <x v="228"/>
    <x v="228"/>
    <n v="631"/>
    <n v="569"/>
    <n v="0.35149999999999998"/>
    <n v="91422081"/>
    <n v="51592.596501128668"/>
    <n v="99996"/>
    <n v="5091"/>
    <n v="2387154.1000000015"/>
    <n v="1347.1524266365698"/>
    <n v="0.35149999999999998"/>
    <n v="2110324544.9500012"/>
    <x v="1"/>
    <n v="8613.84"/>
  </r>
  <r>
    <s v="LN00230"/>
    <x v="229"/>
    <n v="28"/>
    <s v="Male"/>
    <s v="Married"/>
    <s v="Unemployed"/>
    <n v="191480"/>
    <n v="523"/>
    <n v="5740"/>
    <n v="6.26"/>
    <n v="24"/>
    <s v="Personal"/>
    <n v="24.99"/>
    <n v="24222"/>
    <n v="83278"/>
    <x v="210"/>
    <s v="Pending"/>
    <s v="No"/>
    <x v="0"/>
    <x v="229"/>
    <x v="229"/>
    <n v="630"/>
    <n v="569"/>
    <n v="0.35149999999999998"/>
    <n v="91400807"/>
    <n v="51609.715979672503"/>
    <n v="99996"/>
    <n v="5091"/>
    <n v="2386436.2800000017"/>
    <n v="1347.5077809147383"/>
    <n v="0.35149999999999998"/>
    <n v="2107937390.8500011"/>
    <x v="1"/>
    <n v="3049.68"/>
  </r>
  <r>
    <s v="LN00231"/>
    <x v="230"/>
    <n v="25"/>
    <s v="Male"/>
    <s v="Single"/>
    <s v="Unemployed"/>
    <n v="70513"/>
    <n v="335"/>
    <n v="5431"/>
    <n v="6.16"/>
    <n v="48"/>
    <s v="Mortgage"/>
    <n v="54.4"/>
    <n v="15684"/>
    <n v="10357"/>
    <x v="211"/>
    <s v="Pending"/>
    <s v="Yes"/>
    <x v="3"/>
    <x v="230"/>
    <x v="230"/>
    <n v="630"/>
    <n v="569"/>
    <n v="0.35149999999999998"/>
    <n v="91395067"/>
    <n v="51635.631073446326"/>
    <n v="99996"/>
    <n v="5091"/>
    <n v="2386182.1400000015"/>
    <n v="1348.1255028248597"/>
    <n v="0.35149999999999998"/>
    <n v="2105550954.5700011"/>
    <x v="1"/>
    <n v="1441.44"/>
  </r>
  <r>
    <s v="LN00232"/>
    <x v="231"/>
    <n v="39"/>
    <s v="Female"/>
    <s v="Married"/>
    <s v="Employed"/>
    <n v="31668"/>
    <n v="826"/>
    <n v="7925"/>
    <n v="7"/>
    <n v="24"/>
    <s v="Mortgage"/>
    <n v="17.28"/>
    <n v="10065"/>
    <n v="238675"/>
    <x v="212"/>
    <s v="Approved"/>
    <s v="Yes"/>
    <x v="2"/>
    <x v="231"/>
    <x v="231"/>
    <n v="630"/>
    <n v="569"/>
    <n v="0.35149999999999998"/>
    <n v="91389636"/>
    <n v="51661.75014132278"/>
    <n v="99996"/>
    <n v="5091"/>
    <n v="2386062.0200000014"/>
    <n v="1348.8196834369708"/>
    <n v="0.35149999999999998"/>
    <n v="2103164772.430001"/>
    <x v="1"/>
    <n v="4239.84"/>
  </r>
  <r>
    <s v="LN00233"/>
    <x v="232"/>
    <n v="49"/>
    <s v="Female"/>
    <s v="Single"/>
    <s v="Unemployed"/>
    <n v="41860"/>
    <n v="826"/>
    <n v="44680"/>
    <n v="7.95"/>
    <n v="36"/>
    <s v="Mortgage"/>
    <n v="28.11"/>
    <n v="31532"/>
    <n v="7834"/>
    <x v="213"/>
    <s v="Pending"/>
    <s v="No"/>
    <x v="0"/>
    <x v="232"/>
    <x v="232"/>
    <n v="629"/>
    <n v="569"/>
    <n v="0.35149999999999998"/>
    <n v="91381711"/>
    <n v="51686.488122171948"/>
    <n v="99996"/>
    <n v="5091"/>
    <n v="2385708.7000000016"/>
    <n v="1349.3827488687791"/>
    <n v="0.35149999999999998"/>
    <n v="2100778710.410001"/>
    <x v="1"/>
    <n v="16077.36"/>
  </r>
  <r>
    <s v="LN00234"/>
    <x v="233"/>
    <n v="30"/>
    <s v="Male"/>
    <s v="Single"/>
    <s v="Employed"/>
    <n v="30373"/>
    <n v="402"/>
    <n v="61475"/>
    <n v="22.71"/>
    <n v="120"/>
    <s v="Business"/>
    <n v="48.1"/>
    <n v="60518"/>
    <n v="156986"/>
    <x v="214"/>
    <s v="Pending"/>
    <s v="No"/>
    <x v="4"/>
    <x v="233"/>
    <x v="233"/>
    <n v="629"/>
    <n v="569"/>
    <n v="0.35149999999999998"/>
    <n v="91337031"/>
    <n v="51690.453310696095"/>
    <n v="99996"/>
    <n v="5091"/>
    <n v="2384368.9200000013"/>
    <n v="1349.3881833616306"/>
    <n v="0.35149999999999998"/>
    <n v="2098393001.710001"/>
    <x v="1"/>
    <n v="7543.5599999999995"/>
  </r>
  <r>
    <s v="LN00235"/>
    <x v="234"/>
    <n v="22"/>
    <s v="Male"/>
    <s v="Single"/>
    <s v="Self-Employed"/>
    <n v="29553"/>
    <n v="728"/>
    <n v="51647"/>
    <n v="18.8"/>
    <n v="60"/>
    <s v="Business"/>
    <n v="59.03"/>
    <n v="72600"/>
    <n v="82439"/>
    <x v="215"/>
    <s v="Approved"/>
    <s v="No"/>
    <x v="1"/>
    <x v="234"/>
    <x v="234"/>
    <n v="629"/>
    <n v="569"/>
    <n v="0.35149999999999998"/>
    <n v="91275556"/>
    <n v="51684.912797281992"/>
    <n v="99996"/>
    <n v="5091"/>
    <n v="2383740.2900000019"/>
    <n v="1349.7963137032853"/>
    <n v="0.35149999999999998"/>
    <n v="2096008632.7900012"/>
    <x v="1"/>
    <n v="12271.32"/>
  </r>
  <r>
    <s v="LN00236"/>
    <x v="235"/>
    <n v="52"/>
    <s v="Female"/>
    <s v="Divorced"/>
    <s v="Self-Employed"/>
    <n v="47438"/>
    <n v="460"/>
    <n v="78363"/>
    <n v="19.5"/>
    <n v="120"/>
    <s v="Mortgage"/>
    <n v="19.8"/>
    <n v="6829"/>
    <n v="100653"/>
    <x v="216"/>
    <s v="Rejected"/>
    <s v="Yes"/>
    <x v="3"/>
    <x v="235"/>
    <x v="235"/>
    <n v="628"/>
    <n v="569"/>
    <n v="0.35149999999999998"/>
    <n v="91223909"/>
    <n v="51684.934277620399"/>
    <n v="99996"/>
    <n v="5091"/>
    <n v="2382717.680000002"/>
    <n v="1349.9816883852702"/>
    <n v="0.35149999999999998"/>
    <n v="2093624892.5000012"/>
    <x v="1"/>
    <n v="9364.32"/>
  </r>
  <r>
    <s v="LN00237"/>
    <x v="236"/>
    <n v="50"/>
    <s v="Male"/>
    <s v="Married"/>
    <s v="Unemployed"/>
    <n v="42500"/>
    <n v="850"/>
    <n v="72358"/>
    <n v="16.440000000000001"/>
    <n v="12"/>
    <s v="Business"/>
    <n v="12.8"/>
    <n v="57227"/>
    <n v="245986"/>
    <x v="217"/>
    <s v="Rejected"/>
    <s v="No"/>
    <x v="4"/>
    <x v="236"/>
    <x v="236"/>
    <n v="628"/>
    <n v="568"/>
    <n v="0.35149999999999998"/>
    <n v="91145546"/>
    <n v="51669.810657596368"/>
    <n v="99996"/>
    <n v="5091"/>
    <n v="2381937.3200000022"/>
    <n v="1350.3046031746044"/>
    <n v="0.35149999999999998"/>
    <n v="2091242174.8200009"/>
    <x v="1"/>
    <n v="84253.680000000008"/>
  </r>
  <r>
    <s v="LN00238"/>
    <x v="237"/>
    <n v="56"/>
    <s v="Male"/>
    <s v="Married"/>
    <s v="Unemployed"/>
    <n v="113241"/>
    <n v="397"/>
    <n v="68759"/>
    <n v="17.100000000000001"/>
    <n v="60"/>
    <s v="Personal"/>
    <n v="27.73"/>
    <n v="39443"/>
    <n v="90982"/>
    <x v="218"/>
    <s v="Pending"/>
    <s v="Yes"/>
    <x v="2"/>
    <x v="237"/>
    <x v="237"/>
    <n v="628"/>
    <n v="567"/>
    <n v="0.35149999999999998"/>
    <n v="91073188"/>
    <n v="51658.076006806579"/>
    <n v="99996"/>
    <n v="5091"/>
    <n v="2374916.180000002"/>
    <n v="1347.0880204197401"/>
    <n v="0.35149999999999998"/>
    <n v="2088860237.5000012"/>
    <x v="0"/>
    <n v="16103.400000000001"/>
  </r>
  <r>
    <s v="LN00239"/>
    <x v="238"/>
    <n v="34"/>
    <s v="Male"/>
    <s v="Married"/>
    <s v="Self-Employed"/>
    <n v="186448"/>
    <n v="848"/>
    <n v="8363"/>
    <n v="13.28"/>
    <n v="60"/>
    <s v="Personal"/>
    <n v="15.59"/>
    <n v="72169"/>
    <n v="87723"/>
    <x v="219"/>
    <s v="Rejected"/>
    <s v="Yes"/>
    <x v="4"/>
    <x v="238"/>
    <x v="238"/>
    <n v="628"/>
    <n v="567"/>
    <n v="0.35149999999999998"/>
    <n v="91004429"/>
    <n v="51648.3706015891"/>
    <n v="99996"/>
    <n v="5091"/>
    <n v="2373574.2300000018"/>
    <n v="1347.0909364358695"/>
    <n v="0.35149999999999998"/>
    <n v="2086485321.3200014"/>
    <x v="1"/>
    <n v="1894.6799999999998"/>
  </r>
  <r>
    <s v="LN00240"/>
    <x v="239"/>
    <n v="51"/>
    <s v="Male"/>
    <s v="Married"/>
    <s v="Employed"/>
    <n v="144159"/>
    <n v="409"/>
    <n v="96567"/>
    <n v="10.58"/>
    <n v="60"/>
    <s v="Auto"/>
    <n v="9.07"/>
    <n v="76799"/>
    <n v="221606"/>
    <x v="220"/>
    <s v="Approved"/>
    <s v="No"/>
    <x v="1"/>
    <x v="239"/>
    <x v="239"/>
    <n v="628"/>
    <n v="566"/>
    <n v="0.35149999999999998"/>
    <n v="90996066"/>
    <n v="51672.950596252129"/>
    <n v="99996"/>
    <n v="5091"/>
    <n v="2373416.3400000022"/>
    <n v="1347.766235093698"/>
    <n v="0.35149999999999998"/>
    <n v="2084111747.0900013"/>
    <x v="1"/>
    <n v="21356.760000000002"/>
  </r>
  <r>
    <s v="LN00241"/>
    <x v="240"/>
    <n v="59"/>
    <s v="Male"/>
    <s v="Divorced"/>
    <s v="Employed"/>
    <n v="75998"/>
    <n v="517"/>
    <n v="79572"/>
    <n v="9.6300000000000008"/>
    <n v="48"/>
    <s v="Business"/>
    <n v="17.87"/>
    <n v="74532"/>
    <n v="71258"/>
    <x v="42"/>
    <s v="Approved"/>
    <s v="No"/>
    <x v="1"/>
    <x v="240"/>
    <x v="240"/>
    <n v="627"/>
    <n v="566"/>
    <n v="0.35149999999999998"/>
    <n v="90899499"/>
    <n v="51647.442613636362"/>
    <n v="99996"/>
    <n v="5091"/>
    <n v="2371636.6100000017"/>
    <n v="1347.5208011363645"/>
    <n v="0.35149999999999998"/>
    <n v="2081738330.7500014"/>
    <x v="1"/>
    <n v="21808.68"/>
  </r>
  <r>
    <s v="LN00242"/>
    <x v="241"/>
    <n v="57"/>
    <s v="Male"/>
    <s v="Single"/>
    <s v="Employed"/>
    <n v="73871"/>
    <n v="731"/>
    <n v="87023"/>
    <n v="18.54"/>
    <n v="360"/>
    <s v="Mortgage"/>
    <n v="59.03"/>
    <n v="19123"/>
    <n v="162002"/>
    <x v="201"/>
    <s v="Pending"/>
    <s v="No"/>
    <x v="3"/>
    <x v="241"/>
    <x v="241"/>
    <n v="626"/>
    <n v="566"/>
    <n v="0.35149999999999998"/>
    <n v="90819927"/>
    <n v="51631.567367822623"/>
    <n v="99996"/>
    <n v="5091"/>
    <n v="2369819.2200000016"/>
    <n v="1347.2536782262659"/>
    <n v="0.35149999999999998"/>
    <n v="2079366694.1400015"/>
    <x v="1"/>
    <n v="3438.6000000000004"/>
  </r>
  <r>
    <s v="LN00243"/>
    <x v="242"/>
    <n v="39"/>
    <s v="Female"/>
    <s v="Married"/>
    <s v="Employed"/>
    <n v="46383"/>
    <n v="479"/>
    <n v="19773"/>
    <n v="22.28"/>
    <n v="240"/>
    <s v="Mortgage"/>
    <n v="18.86"/>
    <n v="49134"/>
    <n v="168238"/>
    <x v="221"/>
    <s v="Approved"/>
    <s v="No"/>
    <x v="1"/>
    <x v="242"/>
    <x v="242"/>
    <n v="626"/>
    <n v="566"/>
    <n v="0.35149999999999998"/>
    <n v="90732904"/>
    <n v="51611.435722411828"/>
    <n v="99996"/>
    <n v="5091"/>
    <n v="2369532.6700000018"/>
    <n v="1347.8570364050067"/>
    <n v="0.35149999999999998"/>
    <n v="2076996874.9200013"/>
    <x v="1"/>
    <n v="1208.8799999999999"/>
  </r>
  <r>
    <s v="LN00244"/>
    <x v="243"/>
    <n v="21"/>
    <s v="Female"/>
    <s v="Single"/>
    <s v="Unemployed"/>
    <n v="139864"/>
    <n v="667"/>
    <n v="98036"/>
    <n v="12.65"/>
    <n v="48"/>
    <s v="Business"/>
    <n v="23.61"/>
    <n v="47589"/>
    <n v="229411"/>
    <x v="222"/>
    <s v="Rejected"/>
    <s v="No"/>
    <x v="2"/>
    <x v="243"/>
    <x v="243"/>
    <n v="625"/>
    <n v="566"/>
    <n v="0.35149999999999998"/>
    <n v="90713131"/>
    <n v="51629.556630620376"/>
    <n v="99996"/>
    <n v="5091"/>
    <n v="2369431.930000002"/>
    <n v="1348.5668355150838"/>
    <n v="0.35149999999999998"/>
    <n v="2074627342.2500014"/>
    <x v="1"/>
    <n v="27609.360000000001"/>
  </r>
  <r>
    <s v="LN00245"/>
    <x v="244"/>
    <n v="43"/>
    <s v="Female"/>
    <s v="Married"/>
    <s v="Self-Employed"/>
    <n v="107529"/>
    <n v="705"/>
    <n v="50181"/>
    <n v="12.92"/>
    <n v="12"/>
    <s v="Personal"/>
    <n v="36.07"/>
    <n v="42960"/>
    <n v="154691"/>
    <x v="223"/>
    <s v="Approved"/>
    <s v="No"/>
    <x v="2"/>
    <x v="244"/>
    <x v="244"/>
    <n v="625"/>
    <n v="565"/>
    <n v="0.35149999999999998"/>
    <n v="90615095"/>
    <n v="51603.129271070618"/>
    <n v="99996"/>
    <n v="5091"/>
    <n v="2367131.1500000018"/>
    <n v="1348.0245728929394"/>
    <n v="0.35149999999999998"/>
    <n v="2072257910.3200014"/>
    <x v="1"/>
    <n v="56664.36"/>
  </r>
  <r>
    <s v="LN00246"/>
    <x v="245"/>
    <n v="41"/>
    <s v="Female"/>
    <s v="Married"/>
    <s v="Employed"/>
    <n v="47235"/>
    <n v="435"/>
    <n v="12707"/>
    <n v="10.94"/>
    <n v="120"/>
    <s v="Auto"/>
    <n v="11.74"/>
    <n v="19538"/>
    <n v="83596"/>
    <x v="224"/>
    <s v="Rejected"/>
    <s v="No"/>
    <x v="3"/>
    <x v="245"/>
    <x v="245"/>
    <n v="624"/>
    <n v="565"/>
    <n v="0.35149999999999998"/>
    <n v="90564914"/>
    <n v="51603.939601139602"/>
    <n v="99996"/>
    <n v="5091"/>
    <n v="2362409.1200000015"/>
    <n v="1346.1020626780635"/>
    <n v="0.35149999999999998"/>
    <n v="2069890779.1700015"/>
    <x v="0"/>
    <n v="1409.76"/>
  </r>
  <r>
    <s v="LN00247"/>
    <x v="246"/>
    <n v="54"/>
    <s v="Female"/>
    <s v="Divorced"/>
    <s v="Employed"/>
    <n v="174433"/>
    <n v="831"/>
    <n v="93311"/>
    <n v="13.28"/>
    <n v="180"/>
    <s v="Education"/>
    <n v="52.85"/>
    <n v="10904"/>
    <n v="239766"/>
    <x v="225"/>
    <s v="Rejected"/>
    <s v="Yes"/>
    <x v="3"/>
    <x v="246"/>
    <x v="246"/>
    <n v="624"/>
    <n v="564"/>
    <n v="0.35149999999999998"/>
    <n v="90552207"/>
    <n v="51626.115735461804"/>
    <n v="99996"/>
    <n v="5091"/>
    <n v="2362291.6400000015"/>
    <n v="1346.8025313568994"/>
    <n v="0.35149999999999998"/>
    <n v="2067528370.0500016"/>
    <x v="1"/>
    <n v="7046.88"/>
  </r>
  <r>
    <s v="LN00248"/>
    <x v="247"/>
    <n v="40"/>
    <s v="Male"/>
    <s v="Divorced"/>
    <s v="Employed"/>
    <n v="132065"/>
    <n v="704"/>
    <n v="71904"/>
    <n v="9.3000000000000007"/>
    <n v="48"/>
    <s v="Mortgage"/>
    <n v="39.04"/>
    <n v="55241"/>
    <n v="151705"/>
    <x v="226"/>
    <s v="Rejected"/>
    <s v="No"/>
    <x v="2"/>
    <x v="247"/>
    <x v="247"/>
    <n v="624"/>
    <n v="563"/>
    <n v="0.35149999999999998"/>
    <n v="90458896"/>
    <n v="51602.336565887053"/>
    <n v="99996"/>
    <n v="5091"/>
    <n v="2361704.4000000013"/>
    <n v="1347.2358243011986"/>
    <n v="0.35149999999999998"/>
    <n v="2065166078.4100018"/>
    <x v="1"/>
    <n v="19647.72"/>
  </r>
  <r>
    <s v="LN00249"/>
    <x v="248"/>
    <n v="23"/>
    <s v="Male"/>
    <s v="Married"/>
    <s v="Self-Employed"/>
    <n v="149266"/>
    <n v="824"/>
    <n v="36744"/>
    <n v="7.81"/>
    <n v="12"/>
    <s v="Mortgage"/>
    <n v="59.85"/>
    <n v="1932"/>
    <n v="219088"/>
    <x v="227"/>
    <s v="Rejected"/>
    <s v="Yes"/>
    <x v="2"/>
    <x v="248"/>
    <x v="248"/>
    <n v="624"/>
    <n v="562"/>
    <n v="0.35149999999999998"/>
    <n v="90386992"/>
    <n v="51590.748858447485"/>
    <n v="99996"/>
    <n v="5091"/>
    <n v="2360067.0900000022"/>
    <n v="1347.0702568493164"/>
    <n v="0.35149999999999998"/>
    <n v="2062804374.0100019"/>
    <x v="1"/>
    <n v="39613.68"/>
  </r>
  <r>
    <s v="LN00250"/>
    <x v="249"/>
    <n v="42"/>
    <s v="Female"/>
    <s v="Married"/>
    <s v="Employed"/>
    <n v="167650"/>
    <n v="438"/>
    <n v="23692"/>
    <n v="23.83"/>
    <n v="60"/>
    <s v="Personal"/>
    <n v="35.659999999999997"/>
    <n v="38460"/>
    <n v="57700"/>
    <x v="228"/>
    <s v="Approved"/>
    <s v="Yes"/>
    <x v="2"/>
    <x v="249"/>
    <x v="249"/>
    <n v="624"/>
    <n v="561"/>
    <n v="0.35149999999999998"/>
    <n v="90350248"/>
    <n v="51599.227869788694"/>
    <n v="99996"/>
    <n v="5091"/>
    <n v="2356765.950000002"/>
    <n v="1345.9542832667059"/>
    <n v="0.35149999999999998"/>
    <n v="2060444306.9200015"/>
    <x v="0"/>
    <n v="5867.5199999999995"/>
  </r>
  <r>
    <s v="LN00251"/>
    <x v="250"/>
    <n v="53"/>
    <s v="Female"/>
    <s v="Divorced"/>
    <s v="Employed"/>
    <n v="117381"/>
    <n v="655"/>
    <n v="95535"/>
    <n v="12.41"/>
    <n v="360"/>
    <s v="Auto"/>
    <n v="6.38"/>
    <n v="14658"/>
    <n v="240267"/>
    <x v="229"/>
    <s v="Rejected"/>
    <s v="No"/>
    <x v="4"/>
    <x v="250"/>
    <x v="250"/>
    <n v="623"/>
    <n v="561"/>
    <n v="0.35149999999999998"/>
    <n v="90326556"/>
    <n v="51615.174857142854"/>
    <n v="99996"/>
    <n v="5091"/>
    <n v="2356276.9900000021"/>
    <n v="1346.4439942857155"/>
    <n v="0.35149999999999998"/>
    <n v="2058087540.9700017"/>
    <x v="1"/>
    <n v="3579.7200000000003"/>
  </r>
  <r>
    <s v="LN00252"/>
    <x v="251"/>
    <n v="37"/>
    <s v="Female"/>
    <s v="Divorced"/>
    <s v="Unemployed"/>
    <n v="187738"/>
    <n v="658"/>
    <n v="69198"/>
    <n v="13.35"/>
    <n v="180"/>
    <s v="Business"/>
    <n v="23.19"/>
    <n v="61304"/>
    <n v="219120"/>
    <x v="230"/>
    <s v="Rejected"/>
    <s v="Yes"/>
    <x v="0"/>
    <x v="251"/>
    <x v="251"/>
    <n v="623"/>
    <n v="560"/>
    <n v="0.35149999999999998"/>
    <n v="90231021"/>
    <n v="51590.063464837047"/>
    <n v="99996"/>
    <n v="5091"/>
    <n v="2355978.6800000025"/>
    <n v="1347.0432704402531"/>
    <n v="0.35149999999999998"/>
    <n v="2055731263.9800017"/>
    <x v="1"/>
    <n v="5229.12"/>
  </r>
  <r>
    <s v="LN00253"/>
    <x v="252"/>
    <n v="46"/>
    <s v="Female"/>
    <s v="Single"/>
    <s v="Self-Employed"/>
    <n v="124219"/>
    <n v="368"/>
    <n v="51449"/>
    <n v="22.18"/>
    <n v="180"/>
    <s v="Auto"/>
    <n v="5.16"/>
    <n v="18956"/>
    <n v="45459"/>
    <x v="202"/>
    <s v="Rejected"/>
    <s v="No"/>
    <x v="4"/>
    <x v="252"/>
    <x v="252"/>
    <n v="623"/>
    <n v="559"/>
    <n v="0.35149999999999998"/>
    <n v="90161823"/>
    <n v="51579.990274599542"/>
    <n v="99996"/>
    <n v="5091"/>
    <n v="2355542.9200000023"/>
    <n v="1347.5645995423354"/>
    <n v="0.35149999999999998"/>
    <n v="2053375285.3000016"/>
    <x v="1"/>
    <n v="4190.6400000000003"/>
  </r>
  <r>
    <s v="LN00254"/>
    <x v="253"/>
    <n v="30"/>
    <s v="Male"/>
    <s v="Single"/>
    <s v="Unemployed"/>
    <n v="196747"/>
    <n v="601"/>
    <n v="53283"/>
    <n v="8.2200000000000006"/>
    <n v="36"/>
    <s v="Business"/>
    <n v="18.48"/>
    <n v="3785"/>
    <n v="44469"/>
    <x v="231"/>
    <s v="Approved"/>
    <s v="Yes"/>
    <x v="3"/>
    <x v="253"/>
    <x v="253"/>
    <n v="623"/>
    <n v="558"/>
    <n v="0.35149999999999998"/>
    <n v="90110374"/>
    <n v="51580.06525472238"/>
    <n v="99996"/>
    <n v="5091"/>
    <n v="2355193.7000000025"/>
    <n v="1348.1360618202648"/>
    <n v="0.35149999999999998"/>
    <n v="2051019742.3800018"/>
    <x v="1"/>
    <n v="19221"/>
  </r>
  <r>
    <s v="LN00255"/>
    <x v="254"/>
    <n v="65"/>
    <s v="Female"/>
    <s v="Divorced"/>
    <s v="Self-Employed"/>
    <n v="102202"/>
    <n v="474"/>
    <n v="48608"/>
    <n v="6.21"/>
    <n v="60"/>
    <s v="Business"/>
    <n v="9.1"/>
    <n v="77068"/>
    <n v="144611"/>
    <x v="232"/>
    <s v="Approved"/>
    <s v="No"/>
    <x v="3"/>
    <x v="254"/>
    <x v="254"/>
    <n v="622"/>
    <n v="558"/>
    <n v="0.35149999999999998"/>
    <n v="90057091"/>
    <n v="51579.089919816724"/>
    <n v="99996"/>
    <n v="5091"/>
    <n v="2353591.9500000025"/>
    <n v="1347.9908075601388"/>
    <n v="0.35149999999999998"/>
    <n v="2048664548.6800017"/>
    <x v="1"/>
    <n v="10325.280000000001"/>
  </r>
  <r>
    <s v="LN00256"/>
    <x v="255"/>
    <n v="29"/>
    <s v="Female"/>
    <s v="Single"/>
    <s v="Unemployed"/>
    <n v="179068"/>
    <n v="554"/>
    <n v="10622"/>
    <n v="7.07"/>
    <n v="120"/>
    <s v="Auto"/>
    <n v="31.46"/>
    <n v="54143"/>
    <n v="42286"/>
    <x v="233"/>
    <s v="Rejected"/>
    <s v="No"/>
    <x v="4"/>
    <x v="255"/>
    <x v="255"/>
    <n v="621"/>
    <n v="558"/>
    <n v="0.35149999999999998"/>
    <n v="90008483"/>
    <n v="51580.792550143269"/>
    <n v="99996"/>
    <n v="5091"/>
    <n v="2352731.5100000021"/>
    <n v="1348.2702063037261"/>
    <n v="0.35149999999999998"/>
    <n v="2046310956.7300019"/>
    <x v="1"/>
    <n v="1137.24"/>
  </r>
  <r>
    <s v="LN00257"/>
    <x v="256"/>
    <n v="60"/>
    <s v="Male"/>
    <s v="Single"/>
    <s v="Self-Employed"/>
    <n v="55559"/>
    <n v="486"/>
    <n v="59029"/>
    <n v="10.48"/>
    <n v="360"/>
    <s v="Auto"/>
    <n v="28.48"/>
    <n v="36205"/>
    <n v="159657"/>
    <x v="234"/>
    <s v="Rejected"/>
    <s v="No"/>
    <x v="1"/>
    <x v="256"/>
    <x v="256"/>
    <n v="621"/>
    <n v="557"/>
    <n v="0.35149999999999998"/>
    <n v="89997861"/>
    <n v="51604.278096330272"/>
    <n v="99996"/>
    <n v="5091"/>
    <n v="2352636.7400000021"/>
    <n v="1348.9889564220196"/>
    <n v="0.35149999999999998"/>
    <n v="2043958225.2200017"/>
    <x v="1"/>
    <n v="2173.8000000000002"/>
  </r>
  <r>
    <s v="LN00258"/>
    <x v="257"/>
    <n v="46"/>
    <s v="Female"/>
    <s v="Married"/>
    <s v="Employed"/>
    <n v="118697"/>
    <n v="537"/>
    <n v="85828"/>
    <n v="23.42"/>
    <n v="180"/>
    <s v="Business"/>
    <n v="27.37"/>
    <n v="9604"/>
    <n v="101668"/>
    <x v="235"/>
    <s v="Approved"/>
    <s v="Yes"/>
    <x v="3"/>
    <x v="257"/>
    <x v="257"/>
    <n v="621"/>
    <n v="556"/>
    <n v="0.35149999999999998"/>
    <n v="89938832"/>
    <n v="51600.01835915089"/>
    <n v="99996"/>
    <n v="5091"/>
    <n v="2352455.5900000022"/>
    <n v="1349.6589730349983"/>
    <n v="0.35149999999999998"/>
    <n v="2041605588.4800017"/>
    <x v="1"/>
    <n v="7061.88"/>
  </r>
  <r>
    <s v="LN00259"/>
    <x v="258"/>
    <n v="46"/>
    <s v="Female"/>
    <s v="Single"/>
    <s v="Employed"/>
    <n v="65088"/>
    <n v="568"/>
    <n v="24280"/>
    <n v="16.52"/>
    <n v="120"/>
    <s v="Mortgage"/>
    <n v="22.55"/>
    <n v="17846"/>
    <n v="168513"/>
    <x v="236"/>
    <s v="Pending"/>
    <s v="Yes"/>
    <x v="4"/>
    <x v="258"/>
    <x v="258"/>
    <n v="620"/>
    <n v="556"/>
    <n v="0.35149999999999998"/>
    <n v="89853004"/>
    <n v="51580.369690011481"/>
    <n v="99996"/>
    <n v="5091"/>
    <n v="2351867.100000002"/>
    <n v="1350.0959242250299"/>
    <n v="0.35149999999999998"/>
    <n v="2039253132.8900018"/>
    <x v="1"/>
    <n v="2829.12"/>
  </r>
  <r>
    <s v="LN00260"/>
    <x v="259"/>
    <n v="34"/>
    <s v="Male"/>
    <s v="Married"/>
    <s v="Employed"/>
    <n v="147828"/>
    <n v="847"/>
    <n v="46901"/>
    <n v="4.3099999999999996"/>
    <n v="240"/>
    <s v="Mortgage"/>
    <n v="32.380000000000003"/>
    <n v="30797"/>
    <n v="203928"/>
    <x v="237"/>
    <s v="Pending"/>
    <s v="No"/>
    <x v="2"/>
    <x v="259"/>
    <x v="259"/>
    <n v="620"/>
    <n v="556"/>
    <n v="0.35149999999999998"/>
    <n v="89828724"/>
    <n v="51596.050545663413"/>
    <n v="99996"/>
    <n v="5091"/>
    <n v="2351631.3400000022"/>
    <n v="1350.7359793222299"/>
    <n v="0.35149999999999998"/>
    <n v="2036901265.7900019"/>
    <x v="1"/>
    <n v="2446.08"/>
  </r>
  <r>
    <s v="LN00261"/>
    <x v="260"/>
    <n v="32"/>
    <s v="Male"/>
    <s v="Married"/>
    <s v="Unemployed"/>
    <n v="114643"/>
    <n v="309"/>
    <n v="7814"/>
    <n v="20.91"/>
    <n v="36"/>
    <s v="Mortgage"/>
    <n v="52.23"/>
    <n v="19883"/>
    <n v="71951"/>
    <x v="113"/>
    <s v="Rejected"/>
    <s v="No"/>
    <x v="2"/>
    <x v="260"/>
    <x v="260"/>
    <n v="620"/>
    <n v="556"/>
    <n v="0.35149999999999998"/>
    <n v="89781823"/>
    <n v="51598.74885057471"/>
    <n v="99996"/>
    <n v="5091"/>
    <n v="2351427.5000000019"/>
    <n v="1351.3951149425297"/>
    <n v="0.35149999999999998"/>
    <n v="2034549634.450002"/>
    <x v="1"/>
    <n v="3149.2799999999997"/>
  </r>
  <r>
    <s v="LN00262"/>
    <x v="261"/>
    <n v="33"/>
    <s v="Female"/>
    <s v="Divorced"/>
    <s v="Unemployed"/>
    <n v="127705"/>
    <n v="827"/>
    <n v="71656"/>
    <n v="9.8800000000000008"/>
    <n v="180"/>
    <s v="Auto"/>
    <n v="34.56"/>
    <n v="11135"/>
    <n v="211866"/>
    <x v="238"/>
    <s v="Rejected"/>
    <s v="Yes"/>
    <x v="4"/>
    <x v="261"/>
    <x v="261"/>
    <n v="620"/>
    <n v="555"/>
    <n v="0.35149999999999998"/>
    <n v="89774009"/>
    <n v="51623.926969522712"/>
    <n v="99996"/>
    <n v="5091"/>
    <n v="2351165.0600000019"/>
    <n v="1352.0213110983334"/>
    <n v="0.35149999999999998"/>
    <n v="2032198206.950002"/>
    <x v="1"/>
    <n v="5249.04"/>
  </r>
  <r>
    <s v="LN00263"/>
    <x v="262"/>
    <n v="50"/>
    <s v="Female"/>
    <s v="Single"/>
    <s v="Unemployed"/>
    <n v="98256"/>
    <n v="786"/>
    <n v="52100"/>
    <n v="6.03"/>
    <n v="240"/>
    <s v="Business"/>
    <n v="40.58"/>
    <n v="63570"/>
    <n v="99760"/>
    <x v="239"/>
    <s v="Approved"/>
    <s v="No"/>
    <x v="4"/>
    <x v="262"/>
    <x v="262"/>
    <n v="620"/>
    <n v="554"/>
    <n v="0.35149999999999998"/>
    <n v="89702353"/>
    <n v="51612.401035673189"/>
    <n v="99996"/>
    <n v="5091"/>
    <n v="2350727.640000002"/>
    <n v="1352.5475489067906"/>
    <n v="0.35149999999999998"/>
    <n v="2029847041.8900018"/>
    <x v="1"/>
    <n v="2762.04"/>
  </r>
  <r>
    <s v="LN00264"/>
    <x v="263"/>
    <n v="24"/>
    <s v="Male"/>
    <s v="Single"/>
    <s v="Employed"/>
    <n v="94048"/>
    <n v="770"/>
    <n v="99299"/>
    <n v="3.67"/>
    <n v="60"/>
    <s v="Business"/>
    <n v="21.41"/>
    <n v="49259"/>
    <n v="203542"/>
    <x v="240"/>
    <s v="Approved"/>
    <s v="No"/>
    <x v="0"/>
    <x v="263"/>
    <x v="263"/>
    <n v="619"/>
    <n v="554"/>
    <n v="0.35149999999999998"/>
    <n v="89650253"/>
    <n v="51612.120322394934"/>
    <n v="99996"/>
    <n v="5091"/>
    <n v="2350497.4700000016"/>
    <n v="1353.1937075417395"/>
    <n v="0.35149999999999998"/>
    <n v="2027496314.2500019"/>
    <x v="1"/>
    <n v="20588.64"/>
  </r>
  <r>
    <s v="LN00265"/>
    <x v="264"/>
    <n v="64"/>
    <s v="Female"/>
    <s v="Single"/>
    <s v="Employed"/>
    <n v="101875"/>
    <n v="640"/>
    <n v="36646"/>
    <n v="20.25"/>
    <n v="120"/>
    <s v="Education"/>
    <n v="25.28"/>
    <n v="10519"/>
    <n v="165903"/>
    <x v="241"/>
    <s v="Approved"/>
    <s v="No"/>
    <x v="0"/>
    <x v="264"/>
    <x v="264"/>
    <n v="618"/>
    <n v="554"/>
    <n v="0.35149999999999998"/>
    <n v="89550954"/>
    <n v="51584.650921658984"/>
    <n v="99996"/>
    <n v="5091"/>
    <n v="2348781.7500000014"/>
    <n v="1352.984879032259"/>
    <n v="0.35149999999999998"/>
    <n v="2025145816.7800019"/>
    <x v="1"/>
    <n v="4406.6400000000003"/>
  </r>
  <r>
    <s v="LN00266"/>
    <x v="265"/>
    <n v="64"/>
    <s v="Female"/>
    <s v="Single"/>
    <s v="Employed"/>
    <n v="44304"/>
    <n v="427"/>
    <n v="16746"/>
    <n v="17.47"/>
    <n v="36"/>
    <s v="Personal"/>
    <n v="53.85"/>
    <n v="68246"/>
    <n v="109200"/>
    <x v="242"/>
    <s v="Approved"/>
    <s v="No"/>
    <x v="2"/>
    <x v="265"/>
    <x v="265"/>
    <n v="617"/>
    <n v="554"/>
    <n v="0.35149999999999998"/>
    <n v="89514308"/>
    <n v="51593.261095100861"/>
    <n v="99996"/>
    <n v="5091"/>
    <n v="2348414.5300000017"/>
    <n v="1353.5530432276666"/>
    <n v="0.35149999999999998"/>
    <n v="2022797035.0300021"/>
    <x v="1"/>
    <n v="6557.16"/>
  </r>
  <r>
    <s v="LN00267"/>
    <x v="266"/>
    <n v="45"/>
    <s v="Male"/>
    <s v="Single"/>
    <s v="Employed"/>
    <n v="35120"/>
    <n v="370"/>
    <n v="86834"/>
    <n v="13.86"/>
    <n v="60"/>
    <s v="Business"/>
    <n v="7.4"/>
    <n v="48222"/>
    <n v="98125"/>
    <x v="243"/>
    <s v="Pending"/>
    <s v="Yes"/>
    <x v="4"/>
    <x v="266"/>
    <x v="266"/>
    <n v="616"/>
    <n v="554"/>
    <n v="0.35149999999999998"/>
    <n v="89497562"/>
    <n v="51613.35755478662"/>
    <n v="99996"/>
    <n v="5091"/>
    <n v="2347868.1000000015"/>
    <n v="1354.0185121107274"/>
    <n v="0.35149999999999998"/>
    <n v="2020448620.5000021"/>
    <x v="1"/>
    <n v="19773.84"/>
  </r>
  <r>
    <s v="LN00268"/>
    <x v="267"/>
    <n v="24"/>
    <s v="Female"/>
    <s v="Divorced"/>
    <s v="Self-Employed"/>
    <n v="172574"/>
    <n v="490"/>
    <n v="48855"/>
    <n v="21.27"/>
    <n v="360"/>
    <s v="Business"/>
    <n v="16.25"/>
    <n v="7815"/>
    <n v="103233"/>
    <x v="244"/>
    <s v="Pending"/>
    <s v="Yes"/>
    <x v="0"/>
    <x v="267"/>
    <x v="267"/>
    <n v="616"/>
    <n v="554"/>
    <n v="0.35149999999999998"/>
    <n v="89410728"/>
    <n v="51593.034045008659"/>
    <n v="99996"/>
    <n v="5091"/>
    <n v="2346220.2800000017"/>
    <n v="1353.8489786497412"/>
    <n v="0.35149999999999998"/>
    <n v="2018100752.4000022"/>
    <x v="1"/>
    <n v="1974.84"/>
  </r>
  <r>
    <s v="LN00269"/>
    <x v="268"/>
    <n v="26"/>
    <s v="Female"/>
    <s v="Divorced"/>
    <s v="Self-Employed"/>
    <n v="193306"/>
    <n v="470"/>
    <n v="27122"/>
    <n v="21.01"/>
    <n v="60"/>
    <s v="Mortgage"/>
    <n v="46.14"/>
    <n v="77216"/>
    <n v="53519"/>
    <x v="245"/>
    <s v="Rejected"/>
    <s v="Yes"/>
    <x v="1"/>
    <x v="268"/>
    <x v="268"/>
    <n v="616"/>
    <n v="554"/>
    <n v="0.35149999999999998"/>
    <n v="89361873"/>
    <n v="51594.614896073901"/>
    <n v="99996"/>
    <n v="5091"/>
    <n v="2346055.7100000014"/>
    <n v="1354.5356293302548"/>
    <n v="0.35149999999999998"/>
    <n v="2015754532.1200025"/>
    <x v="1"/>
    <n v="6564.12"/>
  </r>
  <r>
    <s v="LN00270"/>
    <x v="269"/>
    <n v="32"/>
    <s v="Female"/>
    <s v="Single"/>
    <s v="Employed"/>
    <n v="107575"/>
    <n v="516"/>
    <n v="14551"/>
    <n v="20"/>
    <n v="120"/>
    <s v="Auto"/>
    <n v="51.83"/>
    <n v="79919"/>
    <n v="198678"/>
    <x v="246"/>
    <s v="Pending"/>
    <s v="Yes"/>
    <x v="3"/>
    <x v="269"/>
    <x v="269"/>
    <n v="616"/>
    <n v="553"/>
    <n v="0.35149999999999998"/>
    <n v="89334751"/>
    <n v="51608.752744078571"/>
    <n v="99996"/>
    <n v="5091"/>
    <n v="2345508.7000000016"/>
    <n v="1355.0021374927796"/>
    <n v="0.35149999999999998"/>
    <n v="2013408476.4100025"/>
    <x v="1"/>
    <n v="1746.12"/>
  </r>
  <r>
    <s v="LN00271"/>
    <x v="270"/>
    <n v="61"/>
    <s v="Female"/>
    <s v="Married"/>
    <s v="Unemployed"/>
    <n v="87743"/>
    <n v="598"/>
    <n v="56698"/>
    <n v="6.09"/>
    <n v="12"/>
    <s v="Personal"/>
    <n v="11.68"/>
    <n v="71467"/>
    <n v="86674"/>
    <x v="28"/>
    <s v="Pending"/>
    <s v="Yes"/>
    <x v="3"/>
    <x v="270"/>
    <x v="270"/>
    <n v="616"/>
    <n v="553"/>
    <n v="0.35149999999999998"/>
    <n v="89320200"/>
    <n v="51630.173410404626"/>
    <n v="99996"/>
    <n v="5091"/>
    <n v="2345363.1900000013"/>
    <n v="1355.7012658959545"/>
    <n v="0.35149999999999998"/>
    <n v="2011062967.7100024"/>
    <x v="1"/>
    <n v="60150.96"/>
  </r>
  <r>
    <s v="LN00272"/>
    <x v="271"/>
    <n v="54"/>
    <s v="Female"/>
    <s v="Married"/>
    <s v="Unemployed"/>
    <n v="131443"/>
    <n v="613"/>
    <n v="84003"/>
    <n v="10.5"/>
    <n v="12"/>
    <s v="Education"/>
    <n v="9.01"/>
    <n v="13745"/>
    <n v="189743"/>
    <x v="247"/>
    <s v="Approved"/>
    <s v="Yes"/>
    <x v="4"/>
    <x v="271"/>
    <x v="271"/>
    <n v="616"/>
    <n v="553"/>
    <n v="0.35149999999999998"/>
    <n v="89263502"/>
    <n v="51627.242336610754"/>
    <n v="99996"/>
    <n v="5091"/>
    <n v="2340350.6100000017"/>
    <n v="1353.5862406015049"/>
    <n v="0.35149999999999998"/>
    <n v="2008717604.5200024"/>
    <x v="0"/>
    <n v="92823.360000000001"/>
  </r>
  <r>
    <s v="LN00273"/>
    <x v="272"/>
    <n v="31"/>
    <s v="Male"/>
    <s v="Divorced"/>
    <s v="Unemployed"/>
    <n v="72656"/>
    <n v="616"/>
    <n v="51623"/>
    <n v="20.63"/>
    <n v="48"/>
    <s v="Auto"/>
    <n v="8.09"/>
    <n v="78811"/>
    <n v="148120"/>
    <x v="248"/>
    <s v="Rejected"/>
    <s v="No"/>
    <x v="3"/>
    <x v="272"/>
    <x v="272"/>
    <n v="615"/>
    <n v="553"/>
    <n v="0.35149999999999998"/>
    <n v="89179499"/>
    <n v="51608.506365740737"/>
    <n v="99996"/>
    <n v="5091"/>
    <n v="2332615.3300000015"/>
    <n v="1349.893130787038"/>
    <n v="0.35149999999999998"/>
    <n v="2006377253.9100025"/>
    <x v="0"/>
    <n v="15568.199999999999"/>
  </r>
  <r>
    <s v="LN00274"/>
    <x v="273"/>
    <n v="63"/>
    <s v="Female"/>
    <s v="Divorced"/>
    <s v="Unemployed"/>
    <n v="168602"/>
    <n v="552"/>
    <n v="56536"/>
    <n v="18.09"/>
    <n v="60"/>
    <s v="Auto"/>
    <n v="41.78"/>
    <n v="19373"/>
    <n v="25346"/>
    <x v="249"/>
    <s v="Rejected"/>
    <s v="No"/>
    <x v="0"/>
    <x v="273"/>
    <x v="273"/>
    <n v="615"/>
    <n v="552"/>
    <n v="0.35149999999999998"/>
    <n v="89127876"/>
    <n v="51608.497973364218"/>
    <n v="99996"/>
    <n v="5091"/>
    <n v="2331317.9800000014"/>
    <n v="1349.9235552982059"/>
    <n v="0.35149999999999998"/>
    <n v="2004044638.5800025"/>
    <x v="1"/>
    <n v="13352.64"/>
  </r>
  <r>
    <s v="LN00275"/>
    <x v="274"/>
    <n v="53"/>
    <s v="Male"/>
    <s v="Divorced"/>
    <s v="Unemployed"/>
    <n v="151191"/>
    <n v="570"/>
    <n v="22571"/>
    <n v="20.67"/>
    <n v="120"/>
    <s v="Personal"/>
    <n v="36.56"/>
    <n v="37513"/>
    <n v="240289"/>
    <x v="250"/>
    <s v="Rejected"/>
    <s v="No"/>
    <x v="1"/>
    <x v="274"/>
    <x v="274"/>
    <n v="615"/>
    <n v="551"/>
    <n v="0.35149999999999998"/>
    <n v="89071340"/>
    <n v="51605.643105446121"/>
    <n v="99996"/>
    <n v="5091"/>
    <n v="2330205.2600000016"/>
    <n v="1350.0609849362697"/>
    <n v="0.35149999999999998"/>
    <n v="2001713320.6000028"/>
    <x v="1"/>
    <n v="2723.64"/>
  </r>
  <r>
    <s v="LN00276"/>
    <x v="275"/>
    <n v="21"/>
    <s v="Female"/>
    <s v="Single"/>
    <s v="Employed"/>
    <n v="139297"/>
    <n v="778"/>
    <n v="51846"/>
    <n v="17.88"/>
    <n v="36"/>
    <s v="Education"/>
    <n v="35.49"/>
    <n v="57882"/>
    <n v="126877"/>
    <x v="251"/>
    <s v="Pending"/>
    <s v="No"/>
    <x v="3"/>
    <x v="275"/>
    <x v="275"/>
    <n v="615"/>
    <n v="550"/>
    <n v="0.35149999999999998"/>
    <n v="89048769"/>
    <n v="51622.474782608697"/>
    <n v="99996"/>
    <n v="5091"/>
    <n v="2329978.2900000014"/>
    <n v="1350.7120521739139"/>
    <n v="0.35149999999999998"/>
    <n v="1999383115.3400028"/>
    <x v="1"/>
    <n v="20372.04"/>
  </r>
  <r>
    <s v="LN00277"/>
    <x v="276"/>
    <n v="51"/>
    <s v="Male"/>
    <s v="Married"/>
    <s v="Unemployed"/>
    <n v="173589"/>
    <n v="672"/>
    <n v="34726"/>
    <n v="22.85"/>
    <n v="48"/>
    <s v="Personal"/>
    <n v="17.64"/>
    <n v="50377"/>
    <n v="175212"/>
    <x v="252"/>
    <s v="Pending"/>
    <s v="No"/>
    <x v="1"/>
    <x v="276"/>
    <x v="276"/>
    <n v="615"/>
    <n v="550"/>
    <n v="0.35149999999999998"/>
    <n v="88996923"/>
    <n v="51622.345127610206"/>
    <n v="99996"/>
    <n v="5091"/>
    <n v="2328280.6200000015"/>
    <n v="1350.5108004640381"/>
    <n v="0.35149999999999998"/>
    <n v="1997053137.0500028"/>
    <x v="1"/>
    <n v="10665.24"/>
  </r>
  <r>
    <s v="LN00278"/>
    <x v="277"/>
    <n v="53"/>
    <s v="Female"/>
    <s v="Single"/>
    <s v="Unemployed"/>
    <n v="32828"/>
    <n v="838"/>
    <n v="28642"/>
    <n v="22.11"/>
    <n v="36"/>
    <s v="Mortgage"/>
    <n v="30.62"/>
    <n v="51185"/>
    <n v="194654"/>
    <x v="253"/>
    <s v="Rejected"/>
    <s v="No"/>
    <x v="1"/>
    <x v="277"/>
    <x v="277"/>
    <n v="615"/>
    <n v="550"/>
    <n v="0.35149999999999998"/>
    <n v="88962197"/>
    <n v="51632.151479976783"/>
    <n v="99996"/>
    <n v="5091"/>
    <n v="2327391.850000002"/>
    <n v="1350.7787869994208"/>
    <n v="0.35149999999999998"/>
    <n v="1994724856.4300029"/>
    <x v="1"/>
    <n v="11658.24"/>
  </r>
  <r>
    <s v="LN00279"/>
    <x v="278"/>
    <n v="65"/>
    <s v="Female"/>
    <s v="Single"/>
    <s v="Employed"/>
    <n v="112729"/>
    <n v="504"/>
    <n v="54460"/>
    <n v="21.56"/>
    <n v="60"/>
    <s v="Business"/>
    <n v="25.38"/>
    <n v="43812"/>
    <n v="226156"/>
    <x v="254"/>
    <s v="Rejected"/>
    <s v="Yes"/>
    <x v="0"/>
    <x v="278"/>
    <x v="278"/>
    <n v="615"/>
    <n v="549"/>
    <n v="0.35149999999999998"/>
    <n v="88933555"/>
    <n v="51645.502322880369"/>
    <n v="99996"/>
    <n v="5091"/>
    <n v="2326420.3300000019"/>
    <n v="1350.999030197446"/>
    <n v="0.35149999999999998"/>
    <n v="1992397464.5800028"/>
    <x v="1"/>
    <n v="13240.32"/>
  </r>
  <r>
    <s v="LN00280"/>
    <x v="279"/>
    <n v="23"/>
    <s v="Female"/>
    <s v="Married"/>
    <s v="Self-Employed"/>
    <n v="127809"/>
    <n v="503"/>
    <n v="42101"/>
    <n v="21.18"/>
    <n v="24"/>
    <s v="Personal"/>
    <n v="41.59"/>
    <n v="34882"/>
    <n v="36816"/>
    <x v="47"/>
    <s v="Approved"/>
    <s v="Yes"/>
    <x v="4"/>
    <x v="279"/>
    <x v="279"/>
    <n v="615"/>
    <n v="548"/>
    <n v="0.35149999999999998"/>
    <n v="88879095"/>
    <n v="51643.866937826846"/>
    <n v="99996"/>
    <n v="5091"/>
    <n v="2325316.9700000021"/>
    <n v="1351.1429227193505"/>
    <n v="0.35149999999999998"/>
    <n v="1990071044.2500024"/>
    <x v="1"/>
    <n v="25509"/>
  </r>
  <r>
    <s v="LN00281"/>
    <x v="280"/>
    <n v="38"/>
    <s v="Female"/>
    <s v="Divorced"/>
    <s v="Self-Employed"/>
    <n v="49760"/>
    <n v="761"/>
    <n v="42005"/>
    <n v="15.99"/>
    <n v="120"/>
    <s v="Auto"/>
    <n v="29.13"/>
    <n v="26298"/>
    <n v="15022"/>
    <x v="255"/>
    <s v="Pending"/>
    <s v="No"/>
    <x v="4"/>
    <x v="280"/>
    <x v="280"/>
    <n v="614"/>
    <n v="548"/>
    <n v="0.35149999999999998"/>
    <n v="88836994"/>
    <n v="51649.415116279073"/>
    <n v="99996"/>
    <n v="5091"/>
    <n v="2323191.2200000021"/>
    <n v="1350.692569767443"/>
    <n v="0.35149999999999998"/>
    <n v="1987745727.2800026"/>
    <x v="1"/>
    <n v="4872.12"/>
  </r>
  <r>
    <s v="LN00282"/>
    <x v="281"/>
    <n v="46"/>
    <s v="Female"/>
    <s v="Married"/>
    <s v="Self-Employed"/>
    <n v="124410"/>
    <n v="642"/>
    <n v="23418"/>
    <n v="14.81"/>
    <n v="360"/>
    <s v="Mortgage"/>
    <n v="11.66"/>
    <n v="58575"/>
    <n v="236554"/>
    <x v="256"/>
    <s v="Rejected"/>
    <s v="No"/>
    <x v="2"/>
    <x v="281"/>
    <x v="281"/>
    <n v="614"/>
    <n v="548"/>
    <n v="0.35149999999999998"/>
    <n v="88794989"/>
    <n v="51655.025596276908"/>
    <n v="99996"/>
    <n v="5091"/>
    <n v="2322785.2100000018"/>
    <n v="1351.242123327517"/>
    <n v="0.35149999999999998"/>
    <n v="1985422536.0600026"/>
    <x v="1"/>
    <n v="896.16000000000008"/>
  </r>
  <r>
    <s v="LN00283"/>
    <x v="282"/>
    <n v="56"/>
    <s v="Female"/>
    <s v="Married"/>
    <s v="Employed"/>
    <n v="103265"/>
    <n v="320"/>
    <n v="60626"/>
    <n v="14.71"/>
    <n v="12"/>
    <s v="Education"/>
    <n v="20.05"/>
    <n v="40082"/>
    <n v="207173"/>
    <x v="257"/>
    <s v="Approved"/>
    <s v="Yes"/>
    <x v="2"/>
    <x v="282"/>
    <x v="282"/>
    <n v="614"/>
    <n v="547"/>
    <n v="0.35149999999999998"/>
    <n v="88771571"/>
    <n v="51671.46158323632"/>
    <n v="99996"/>
    <n v="5091"/>
    <n v="2322710.5300000017"/>
    <n v="1351.9851746216541"/>
    <n v="0.35149999999999998"/>
    <n v="1983099750.8500025"/>
    <x v="1"/>
    <n v="69544.08"/>
  </r>
  <r>
    <s v="LN00284"/>
    <x v="283"/>
    <n v="48"/>
    <s v="Male"/>
    <s v="Married"/>
    <s v="Self-Employed"/>
    <n v="38987"/>
    <n v="501"/>
    <n v="26391"/>
    <n v="20.170000000000002"/>
    <n v="360"/>
    <s v="Auto"/>
    <n v="15.1"/>
    <n v="37317"/>
    <n v="228276"/>
    <x v="258"/>
    <s v="Rejected"/>
    <s v="Yes"/>
    <x v="2"/>
    <x v="283"/>
    <x v="283"/>
    <n v="613"/>
    <n v="547"/>
    <n v="0.35149999999999998"/>
    <n v="88710945"/>
    <n v="51666.246359930112"/>
    <n v="99996"/>
    <n v="5091"/>
    <n v="2316915.1900000013"/>
    <n v="1349.3973150844504"/>
    <n v="0.35149999999999998"/>
    <n v="1980777040.3200023"/>
    <x v="0"/>
    <n v="1057.08"/>
  </r>
  <r>
    <s v="LN00285"/>
    <x v="284"/>
    <n v="28"/>
    <s v="Female"/>
    <s v="Married"/>
    <s v="Unemployed"/>
    <n v="93617"/>
    <n v="469"/>
    <n v="77364"/>
    <n v="23.98"/>
    <n v="12"/>
    <s v="Auto"/>
    <n v="24.62"/>
    <n v="67256"/>
    <n v="177223"/>
    <x v="259"/>
    <s v="Rejected"/>
    <s v="No"/>
    <x v="4"/>
    <x v="284"/>
    <x v="284"/>
    <n v="613"/>
    <n v="546"/>
    <n v="0.35149999999999998"/>
    <n v="88684554"/>
    <n v="51680.975524475522"/>
    <n v="99996"/>
    <n v="5091"/>
    <n v="2316827.1000000015"/>
    <n v="1350.1323426573435"/>
    <n v="0.35149999999999998"/>
    <n v="1978460125.1300025"/>
    <x v="1"/>
    <n v="95915.88"/>
  </r>
  <r>
    <s v="LN00286"/>
    <x v="285"/>
    <n v="42"/>
    <s v="Male"/>
    <s v="Married"/>
    <s v="Self-Employed"/>
    <n v="85989"/>
    <n v="545"/>
    <n v="10947"/>
    <n v="14.48"/>
    <n v="36"/>
    <s v="Mortgage"/>
    <n v="22.81"/>
    <n v="20827"/>
    <n v="245100"/>
    <x v="260"/>
    <s v="Rejected"/>
    <s v="Yes"/>
    <x v="3"/>
    <x v="285"/>
    <x v="285"/>
    <n v="613"/>
    <n v="545"/>
    <n v="0.35149999999999998"/>
    <n v="88607190"/>
    <n v="51666"/>
    <n v="99996"/>
    <n v="5091"/>
    <n v="2308834.1100000017"/>
    <n v="1346.2589562682226"/>
    <n v="0.35149999999999998"/>
    <n v="1976143298.0300024"/>
    <x v="0"/>
    <n v="4177.32"/>
  </r>
  <r>
    <s v="LN00287"/>
    <x v="286"/>
    <n v="51"/>
    <s v="Female"/>
    <s v="Married"/>
    <s v="Self-Employed"/>
    <n v="127192"/>
    <n v="750"/>
    <n v="18212"/>
    <n v="10.9"/>
    <n v="360"/>
    <s v="Mortgage"/>
    <n v="39.01"/>
    <n v="64743"/>
    <n v="68169"/>
    <x v="261"/>
    <s v="Approved"/>
    <s v="Yes"/>
    <x v="0"/>
    <x v="286"/>
    <x v="286"/>
    <n v="613"/>
    <n v="544"/>
    <n v="0.35149999999999998"/>
    <n v="88596243"/>
    <n v="51689.756709451576"/>
    <n v="99996"/>
    <n v="5091"/>
    <n v="2308486.0000000019"/>
    <n v="1346.8413068844818"/>
    <n v="0.35149999999999998"/>
    <n v="1973834463.9200027"/>
    <x v="1"/>
    <n v="673.2"/>
  </r>
  <r>
    <s v="LN00288"/>
    <x v="287"/>
    <n v="63"/>
    <s v="Male"/>
    <s v="Married"/>
    <s v="Employed"/>
    <n v="46917"/>
    <n v="713"/>
    <n v="22328"/>
    <n v="20.96"/>
    <n v="60"/>
    <s v="Education"/>
    <n v="52.72"/>
    <n v="27633"/>
    <n v="189224"/>
    <x v="262"/>
    <s v="Approved"/>
    <s v="Yes"/>
    <x v="4"/>
    <x v="287"/>
    <x v="287"/>
    <n v="612"/>
    <n v="544"/>
    <n v="0.35149999999999998"/>
    <n v="88578031"/>
    <n v="51709.300058377114"/>
    <n v="99996"/>
    <n v="5091"/>
    <n v="2308429.9000000018"/>
    <n v="1347.5948044366619"/>
    <n v="0.35149999999999998"/>
    <n v="1971525977.9200027"/>
    <x v="1"/>
    <n v="5401.5599999999995"/>
  </r>
  <r>
    <s v="LN00289"/>
    <x v="288"/>
    <n v="27"/>
    <s v="Male"/>
    <s v="Married"/>
    <s v="Self-Employed"/>
    <n v="63175"/>
    <n v="526"/>
    <n v="21560"/>
    <n v="9.52"/>
    <n v="36"/>
    <s v="Personal"/>
    <n v="27.11"/>
    <n v="32095"/>
    <n v="94997"/>
    <x v="263"/>
    <s v="Approved"/>
    <s v="No"/>
    <x v="4"/>
    <x v="288"/>
    <x v="288"/>
    <n v="611"/>
    <n v="544"/>
    <n v="0.35149999999999998"/>
    <n v="88555703"/>
    <n v="51726.462032710282"/>
    <n v="99996"/>
    <n v="5091"/>
    <n v="2307979.7700000019"/>
    <n v="1348.1190245327114"/>
    <n v="0.35149999999999998"/>
    <n v="1969217548.0200026"/>
    <x v="1"/>
    <n v="7870.7999999999993"/>
  </r>
  <r>
    <s v="LN00290"/>
    <x v="289"/>
    <n v="64"/>
    <s v="Male"/>
    <s v="Divorced"/>
    <s v="Self-Employed"/>
    <n v="45235"/>
    <n v="829"/>
    <n v="49762"/>
    <n v="9.42"/>
    <n v="12"/>
    <s v="Mortgage"/>
    <n v="46.86"/>
    <n v="60272"/>
    <n v="9059"/>
    <x v="264"/>
    <s v="Rejected"/>
    <s v="Yes"/>
    <x v="0"/>
    <x v="289"/>
    <x v="289"/>
    <n v="610"/>
    <n v="544"/>
    <n v="0.35149999999999998"/>
    <n v="88534143"/>
    <n v="51744.092928112215"/>
    <n v="99996"/>
    <n v="5091"/>
    <n v="2307323.870000002"/>
    <n v="1348.5235943892471"/>
    <n v="0.35149999999999998"/>
    <n v="1966909568.2500026"/>
    <x v="1"/>
    <n v="54449.64"/>
  </r>
  <r>
    <s v="LN00291"/>
    <x v="290"/>
    <n v="24"/>
    <s v="Female"/>
    <s v="Married"/>
    <s v="Self-Employed"/>
    <n v="38609"/>
    <n v="501"/>
    <n v="95809"/>
    <n v="8.65"/>
    <n v="120"/>
    <s v="Auto"/>
    <n v="16.760000000000002"/>
    <n v="55404"/>
    <n v="201368"/>
    <x v="72"/>
    <s v="Pending"/>
    <s v="No"/>
    <x v="1"/>
    <x v="290"/>
    <x v="290"/>
    <n v="610"/>
    <n v="543"/>
    <n v="0.35149999999999998"/>
    <n v="88484381"/>
    <n v="51745.252046783629"/>
    <n v="99996"/>
    <n v="5091"/>
    <n v="2302786.4000000022"/>
    <n v="1346.6587134502938"/>
    <n v="0.35149999999999998"/>
    <n v="1964602244.3800025"/>
    <x v="0"/>
    <n v="10409.64"/>
  </r>
  <r>
    <s v="LN00292"/>
    <x v="291"/>
    <n v="65"/>
    <s v="Female"/>
    <s v="Married"/>
    <s v="Unemployed"/>
    <n v="91679"/>
    <n v="586"/>
    <n v="97634"/>
    <n v="23.16"/>
    <n v="240"/>
    <s v="Business"/>
    <n v="28.12"/>
    <n v="73391"/>
    <n v="64697"/>
    <x v="265"/>
    <s v="Pending"/>
    <s v="Yes"/>
    <x v="4"/>
    <x v="291"/>
    <x v="291"/>
    <n v="610"/>
    <n v="543"/>
    <n v="0.35149999999999998"/>
    <n v="88388572"/>
    <n v="51719.468695143361"/>
    <n v="99996"/>
    <n v="5091"/>
    <n v="2301918.930000002"/>
    <n v="1346.939104739615"/>
    <n v="0.35149999999999998"/>
    <n v="1962299457.9800026"/>
    <x v="1"/>
    <n v="6012.36"/>
  </r>
  <r>
    <s v="LN00293"/>
    <x v="292"/>
    <n v="38"/>
    <s v="Male"/>
    <s v="Single"/>
    <s v="Unemployed"/>
    <n v="156124"/>
    <n v="526"/>
    <n v="7934"/>
    <n v="14.93"/>
    <n v="24"/>
    <s v="Personal"/>
    <n v="6.62"/>
    <n v="20443"/>
    <n v="221404"/>
    <x v="266"/>
    <s v="Pending"/>
    <s v="Yes"/>
    <x v="0"/>
    <x v="292"/>
    <x v="292"/>
    <n v="610"/>
    <n v="543"/>
    <n v="0.35149999999999998"/>
    <n v="88290938"/>
    <n v="51692.586651053862"/>
    <n v="99996"/>
    <n v="5091"/>
    <n v="2301417.9000000022"/>
    <n v="1347.4343676815001"/>
    <n v="0.35149999999999998"/>
    <n v="1959997539.0500026"/>
    <x v="1"/>
    <n v="4559.28"/>
  </r>
  <r>
    <s v="LN00294"/>
    <x v="293"/>
    <n v="47"/>
    <s v="Male"/>
    <s v="Divorced"/>
    <s v="Employed"/>
    <n v="186039"/>
    <n v="685"/>
    <n v="31644"/>
    <n v="6.43"/>
    <n v="36"/>
    <s v="Mortgage"/>
    <n v="24.25"/>
    <n v="75459"/>
    <n v="173348"/>
    <x v="267"/>
    <s v="Rejected"/>
    <s v="Yes"/>
    <x v="2"/>
    <x v="293"/>
    <x v="293"/>
    <n v="610"/>
    <n v="543"/>
    <n v="0.35149999999999998"/>
    <n v="88283004"/>
    <n v="51718.221441124777"/>
    <n v="99996"/>
    <n v="5091"/>
    <n v="2301037.9600000023"/>
    <n v="1348.0011482132409"/>
    <n v="0.35149999999999998"/>
    <n v="1957696121.1500027"/>
    <x v="1"/>
    <n v="11226.24"/>
  </r>
  <r>
    <s v="LN00295"/>
    <x v="294"/>
    <n v="24"/>
    <s v="Male"/>
    <s v="Married"/>
    <s v="Self-Employed"/>
    <n v="128340"/>
    <n v="300"/>
    <n v="21846"/>
    <n v="11.11"/>
    <n v="12"/>
    <s v="Mortgage"/>
    <n v="51.51"/>
    <n v="51877"/>
    <n v="49893"/>
    <x v="268"/>
    <s v="Rejected"/>
    <s v="Yes"/>
    <x v="0"/>
    <x v="294"/>
    <x v="294"/>
    <n v="610"/>
    <n v="542"/>
    <n v="0.35149999999999998"/>
    <n v="88251360"/>
    <n v="51729.988276670578"/>
    <n v="99996"/>
    <n v="5091"/>
    <n v="2300102.4400000023"/>
    <n v="1348.2429308323576"/>
    <n v="0.35149999999999998"/>
    <n v="1955395083.1900027"/>
    <x v="1"/>
    <n v="24273.119999999999"/>
  </r>
  <r>
    <s v="LN00296"/>
    <x v="295"/>
    <n v="51"/>
    <s v="Male"/>
    <s v="Single"/>
    <s v="Unemployed"/>
    <n v="36008"/>
    <n v="513"/>
    <n v="12476"/>
    <n v="19.71"/>
    <n v="180"/>
    <s v="Auto"/>
    <n v="39.479999999999997"/>
    <n v="9582"/>
    <n v="245723"/>
    <x v="140"/>
    <s v="Rejected"/>
    <s v="No"/>
    <x v="1"/>
    <x v="295"/>
    <x v="295"/>
    <n v="610"/>
    <n v="541"/>
    <n v="0.35149999999999998"/>
    <n v="88229514"/>
    <n v="51747.515542521993"/>
    <n v="99996"/>
    <n v="5091"/>
    <n v="2298079.680000002"/>
    <n v="1347.847319648095"/>
    <n v="0.35149999999999998"/>
    <n v="1953094980.7500026"/>
    <x v="0"/>
    <n v="995.64"/>
  </r>
  <r>
    <s v="LN00297"/>
    <x v="296"/>
    <n v="37"/>
    <s v="Male"/>
    <s v="Married"/>
    <s v="Self-Employed"/>
    <n v="88226"/>
    <n v="566"/>
    <n v="18300"/>
    <n v="3.6"/>
    <n v="48"/>
    <s v="Mortgage"/>
    <n v="22.5"/>
    <n v="10448"/>
    <n v="58928"/>
    <x v="269"/>
    <s v="Pending"/>
    <s v="Yes"/>
    <x v="3"/>
    <x v="296"/>
    <x v="296"/>
    <n v="610"/>
    <n v="540"/>
    <n v="0.35149999999999998"/>
    <n v="88217038"/>
    <n v="51770.562206572773"/>
    <n v="99996"/>
    <n v="5091"/>
    <n v="2297996.7100000023"/>
    <n v="1348.5896185446022"/>
    <n v="0.35149999999999998"/>
    <n v="1950796901.0700028"/>
    <x v="1"/>
    <n v="4739.6400000000003"/>
  </r>
  <r>
    <s v="LN00298"/>
    <x v="297"/>
    <n v="27"/>
    <s v="Male"/>
    <s v="Single"/>
    <s v="Employed"/>
    <n v="185612"/>
    <n v="707"/>
    <n v="79908"/>
    <n v="16.53"/>
    <n v="60"/>
    <s v="Auto"/>
    <n v="38.880000000000003"/>
    <n v="26002"/>
    <n v="229690"/>
    <x v="270"/>
    <s v="Rejected"/>
    <s v="Yes"/>
    <x v="2"/>
    <x v="297"/>
    <x v="297"/>
    <n v="610"/>
    <n v="540"/>
    <n v="0.35149999999999998"/>
    <n v="88198738"/>
    <n v="51790.21608925426"/>
    <n v="99996"/>
    <n v="5091"/>
    <n v="2297601.7400000021"/>
    <n v="1349.1495830886684"/>
    <n v="0.35149999999999998"/>
    <n v="1948498904.3600028"/>
    <x v="1"/>
    <n v="18623.400000000001"/>
  </r>
  <r>
    <s v="LN00299"/>
    <x v="298"/>
    <n v="23"/>
    <s v="Male"/>
    <s v="Married"/>
    <s v="Unemployed"/>
    <n v="126237"/>
    <n v="484"/>
    <n v="64983"/>
    <n v="16.8"/>
    <n v="360"/>
    <s v="Personal"/>
    <n v="7.15"/>
    <n v="3253"/>
    <n v="72310"/>
    <x v="271"/>
    <s v="Pending"/>
    <s v="Yes"/>
    <x v="4"/>
    <x v="298"/>
    <x v="298"/>
    <n v="610"/>
    <n v="539"/>
    <n v="0.35149999999999998"/>
    <n v="88118830"/>
    <n v="51773.695652173912"/>
    <n v="99996"/>
    <n v="5091"/>
    <n v="2296049.7900000019"/>
    <n v="1349.0304289071692"/>
    <n v="0.35149999999999998"/>
    <n v="1946201302.6200027"/>
    <x v="1"/>
    <n v="2529.96"/>
  </r>
  <r>
    <s v="LN00300"/>
    <x v="299"/>
    <n v="30"/>
    <s v="Male"/>
    <s v="Single"/>
    <s v="Employed"/>
    <n v="80811"/>
    <n v="429"/>
    <n v="68702"/>
    <n v="5.4"/>
    <n v="24"/>
    <s v="Personal"/>
    <n v="48.93"/>
    <n v="45277"/>
    <n v="52906"/>
    <x v="272"/>
    <s v="Approved"/>
    <s v="No"/>
    <x v="3"/>
    <x v="299"/>
    <x v="299"/>
    <n v="610"/>
    <n v="539"/>
    <n v="0.35149999999999998"/>
    <n v="88053847"/>
    <n v="51765.930041152264"/>
    <n v="99996"/>
    <n v="5091"/>
    <n v="2295838.9600000023"/>
    <n v="1349.6995649617886"/>
    <n v="0.35149999999999998"/>
    <n v="1943905252.8300025"/>
    <x v="1"/>
    <n v="36205.919999999998"/>
  </r>
  <r>
    <s v="LN00301"/>
    <x v="300"/>
    <n v="50"/>
    <s v="Female"/>
    <s v="Divorced"/>
    <s v="Employed"/>
    <n v="156215"/>
    <n v="585"/>
    <n v="61443"/>
    <n v="15.12"/>
    <n v="12"/>
    <s v="Auto"/>
    <n v="11.45"/>
    <n v="59192"/>
    <n v="19476"/>
    <x v="273"/>
    <s v="Pending"/>
    <s v="Yes"/>
    <x v="3"/>
    <x v="300"/>
    <x v="300"/>
    <n v="609"/>
    <n v="539"/>
    <n v="0.35149999999999998"/>
    <n v="87985145"/>
    <n v="51755.967647058824"/>
    <n v="99996"/>
    <n v="5091"/>
    <n v="2292821.8000000021"/>
    <n v="1348.7187058823542"/>
    <n v="0.35149999999999998"/>
    <n v="1941609413.8700027"/>
    <x v="1"/>
    <n v="70733.16"/>
  </r>
  <r>
    <s v="LN00302"/>
    <x v="301"/>
    <n v="39"/>
    <s v="Male"/>
    <s v="Divorced"/>
    <s v="Unemployed"/>
    <n v="92702"/>
    <n v="730"/>
    <n v="31278"/>
    <n v="8.86"/>
    <n v="48"/>
    <s v="Auto"/>
    <n v="7.65"/>
    <n v="70026"/>
    <n v="56875"/>
    <x v="274"/>
    <s v="Approved"/>
    <s v="No"/>
    <x v="3"/>
    <x v="301"/>
    <x v="301"/>
    <n v="609"/>
    <n v="539"/>
    <n v="0.35149999999999998"/>
    <n v="87923702"/>
    <n v="51750.266038846377"/>
    <n v="99996"/>
    <n v="5091"/>
    <n v="2286927.370000002"/>
    <n v="1346.0431842260164"/>
    <n v="0.35149999999999998"/>
    <n v="1939316592.0700028"/>
    <x v="0"/>
    <n v="8512.32"/>
  </r>
  <r>
    <s v="LN00303"/>
    <x v="302"/>
    <n v="40"/>
    <s v="Male"/>
    <s v="Divorced"/>
    <s v="Self-Employed"/>
    <n v="60349"/>
    <n v="670"/>
    <n v="27735"/>
    <n v="13.81"/>
    <n v="12"/>
    <s v="Business"/>
    <n v="7.62"/>
    <n v="29570"/>
    <n v="116577"/>
    <x v="275"/>
    <s v="Rejected"/>
    <s v="No"/>
    <x v="4"/>
    <x v="302"/>
    <x v="302"/>
    <n v="608"/>
    <n v="539"/>
    <n v="0.35149999999999998"/>
    <n v="87892424"/>
    <n v="51762.322732626621"/>
    <n v="99996"/>
    <n v="5091"/>
    <n v="2286218.0100000021"/>
    <n v="1346.4181448763263"/>
    <n v="0.35149999999999998"/>
    <n v="1937029664.7000027"/>
    <x v="1"/>
    <n v="31565.159999999996"/>
  </r>
  <r>
    <s v="LN00304"/>
    <x v="303"/>
    <n v="23"/>
    <s v="Female"/>
    <s v="Married"/>
    <s v="Unemployed"/>
    <n v="74512"/>
    <n v="744"/>
    <n v="27762"/>
    <n v="19.87"/>
    <n v="36"/>
    <s v="Business"/>
    <n v="35.96"/>
    <n v="44846"/>
    <n v="31531"/>
    <x v="276"/>
    <s v="Rejected"/>
    <s v="Yes"/>
    <x v="2"/>
    <x v="303"/>
    <x v="303"/>
    <n v="608"/>
    <n v="538"/>
    <n v="0.35149999999999998"/>
    <n v="87864689"/>
    <n v="51776.48143783147"/>
    <n v="99996"/>
    <n v="5091"/>
    <n v="2283587.5800000019"/>
    <n v="1345.6615085444914"/>
    <n v="0.35149999999999998"/>
    <n v="1934743446.6900027"/>
    <x v="0"/>
    <n v="11092.8"/>
  </r>
  <r>
    <s v="LN00305"/>
    <x v="304"/>
    <n v="24"/>
    <s v="Female"/>
    <s v="Married"/>
    <s v="Unemployed"/>
    <n v="116692"/>
    <n v="625"/>
    <n v="59710"/>
    <n v="16.62"/>
    <n v="24"/>
    <s v="Education"/>
    <n v="31.97"/>
    <n v="76071"/>
    <n v="99419"/>
    <x v="277"/>
    <s v="Rejected"/>
    <s v="No"/>
    <x v="1"/>
    <x v="304"/>
    <x v="304"/>
    <n v="608"/>
    <n v="537"/>
    <n v="0.35149999999999998"/>
    <n v="87836927"/>
    <n v="51790.640919811318"/>
    <n v="99996"/>
    <n v="5091"/>
    <n v="2282663.180000002"/>
    <n v="1345.9098938679258"/>
    <n v="0.35149999999999998"/>
    <n v="1932459859.1100028"/>
    <x v="1"/>
    <n v="34816.92"/>
  </r>
  <r>
    <s v="LN00306"/>
    <x v="305"/>
    <n v="48"/>
    <s v="Female"/>
    <s v="Married"/>
    <s v="Unemployed"/>
    <n v="102765"/>
    <n v="718"/>
    <n v="99572"/>
    <n v="7.93"/>
    <n v="24"/>
    <s v="Personal"/>
    <n v="55.38"/>
    <n v="26206"/>
    <n v="103650"/>
    <x v="278"/>
    <s v="Approved"/>
    <s v="Yes"/>
    <x v="0"/>
    <x v="305"/>
    <x v="305"/>
    <n v="608"/>
    <n v="536"/>
    <n v="0.35149999999999998"/>
    <n v="87777217"/>
    <n v="51785.968731563422"/>
    <n v="99996"/>
    <n v="5091"/>
    <n v="2279761.7700000009"/>
    <n v="1344.9921946902662"/>
    <n v="0.35149999999999998"/>
    <n v="1930177195.9300029"/>
    <x v="1"/>
    <n v="53734.080000000002"/>
  </r>
  <r>
    <s v="LN00307"/>
    <x v="306"/>
    <n v="36"/>
    <s v="Female"/>
    <s v="Single"/>
    <s v="Unemployed"/>
    <n v="155793"/>
    <n v="376"/>
    <n v="20241"/>
    <n v="21.37"/>
    <n v="12"/>
    <s v="Business"/>
    <n v="51.67"/>
    <n v="608"/>
    <n v="144557"/>
    <x v="279"/>
    <s v="Pending"/>
    <s v="No"/>
    <x v="3"/>
    <x v="306"/>
    <x v="306"/>
    <n v="607"/>
    <n v="536"/>
    <n v="0.35149999999999998"/>
    <n v="87677645"/>
    <n v="51757.759740259738"/>
    <n v="99996"/>
    <n v="5091"/>
    <n v="2275283.9300000011"/>
    <n v="1343.1428158205438"/>
    <n v="0.35149999999999998"/>
    <n v="1927897434.1600027"/>
    <x v="1"/>
    <n v="24566.52"/>
  </r>
  <r>
    <s v="LN00308"/>
    <x v="307"/>
    <n v="38"/>
    <s v="Female"/>
    <s v="Married"/>
    <s v="Employed"/>
    <n v="89721"/>
    <n v="593"/>
    <n v="28113"/>
    <n v="20.23"/>
    <n v="36"/>
    <s v="Personal"/>
    <n v="24.32"/>
    <n v="61753"/>
    <n v="228627"/>
    <x v="280"/>
    <s v="Pending"/>
    <s v="Yes"/>
    <x v="1"/>
    <x v="307"/>
    <x v="307"/>
    <n v="607"/>
    <n v="536"/>
    <n v="0.35149999999999998"/>
    <n v="87657404"/>
    <n v="51776.375664500883"/>
    <n v="99996"/>
    <n v="5091"/>
    <n v="2273236.7200000011"/>
    <n v="1342.7269462492623"/>
    <n v="0.35149999999999998"/>
    <n v="1925622150.2300029"/>
    <x v="0"/>
    <n v="11266.8"/>
  </r>
  <r>
    <s v="LN00309"/>
    <x v="308"/>
    <n v="65"/>
    <s v="Male"/>
    <s v="Single"/>
    <s v="Employed"/>
    <n v="192506"/>
    <n v="823"/>
    <n v="62466"/>
    <n v="12.26"/>
    <n v="120"/>
    <s v="Education"/>
    <n v="5.14"/>
    <n v="16327"/>
    <n v="228302"/>
    <x v="60"/>
    <s v="Rejected"/>
    <s v="No"/>
    <x v="4"/>
    <x v="308"/>
    <x v="308"/>
    <n v="607"/>
    <n v="536"/>
    <n v="0.35149999999999998"/>
    <n v="87629291"/>
    <n v="51790.361111111109"/>
    <n v="99996"/>
    <n v="5091"/>
    <n v="2272297.8200000012"/>
    <n v="1342.9656146572111"/>
    <n v="0.35149999999999998"/>
    <n v="1923348913.5100029"/>
    <x v="1"/>
    <n v="7012.4400000000005"/>
  </r>
  <r>
    <s v="LN00310"/>
    <x v="309"/>
    <n v="23"/>
    <s v="Female"/>
    <s v="Divorced"/>
    <s v="Self-Employed"/>
    <n v="143346"/>
    <n v="452"/>
    <n v="88950"/>
    <n v="13.31"/>
    <n v="24"/>
    <s v="Education"/>
    <n v="50.61"/>
    <n v="7636"/>
    <n v="95881"/>
    <x v="238"/>
    <s v="Approved"/>
    <s v="Yes"/>
    <x v="0"/>
    <x v="309"/>
    <x v="309"/>
    <n v="607"/>
    <n v="535"/>
    <n v="0.35149999999999998"/>
    <n v="87566825"/>
    <n v="51784.047900650505"/>
    <n v="99996"/>
    <n v="5091"/>
    <n v="2271713.4500000016"/>
    <n v="1343.4142223536378"/>
    <n v="0.35149999999999998"/>
    <n v="1921076615.6900027"/>
    <x v="1"/>
    <n v="50394.600000000006"/>
  </r>
  <r>
    <s v="LN00311"/>
    <x v="310"/>
    <n v="49"/>
    <s v="Male"/>
    <s v="Married"/>
    <s v="Employed"/>
    <n v="55056"/>
    <n v="612"/>
    <n v="25519"/>
    <n v="21.29"/>
    <n v="180"/>
    <s v="Mortgage"/>
    <n v="56.9"/>
    <n v="9127"/>
    <n v="116983"/>
    <x v="281"/>
    <s v="Approved"/>
    <s v="Yes"/>
    <x v="2"/>
    <x v="310"/>
    <x v="310"/>
    <n v="606"/>
    <n v="535"/>
    <n v="0.35149999999999998"/>
    <n v="87477875"/>
    <n v="51762.05621301775"/>
    <n v="99996"/>
    <n v="5091"/>
    <n v="2267513.9000000013"/>
    <n v="1341.7242011834328"/>
    <n v="0.35149999999999998"/>
    <n v="1918804902.2400029"/>
    <x v="1"/>
    <n v="2063.52"/>
  </r>
  <r>
    <s v="LN00312"/>
    <x v="311"/>
    <n v="39"/>
    <s v="Female"/>
    <s v="Married"/>
    <s v="Self-Employed"/>
    <n v="56122"/>
    <n v="596"/>
    <n v="35015"/>
    <n v="22.84"/>
    <n v="180"/>
    <s v="Auto"/>
    <n v="55.01"/>
    <n v="56067"/>
    <n v="78988"/>
    <x v="282"/>
    <s v="Rejected"/>
    <s v="No"/>
    <x v="0"/>
    <x v="311"/>
    <x v="311"/>
    <n v="605"/>
    <n v="535"/>
    <n v="0.35149999999999998"/>
    <n v="87452356"/>
    <n v="51777.59384251036"/>
    <n v="99996"/>
    <n v="5091"/>
    <n v="2267341.9400000004"/>
    <n v="1342.4167791592661"/>
    <n v="0.35149999999999998"/>
    <n v="1916537388.3400028"/>
    <x v="1"/>
    <n v="2867.52"/>
  </r>
  <r>
    <s v="LN00313"/>
    <x v="312"/>
    <n v="27"/>
    <s v="Female"/>
    <s v="Single"/>
    <s v="Self-Employed"/>
    <n v="132123"/>
    <n v="332"/>
    <n v="40957"/>
    <n v="7.85"/>
    <n v="60"/>
    <s v="Auto"/>
    <n v="41.55"/>
    <n v="77979"/>
    <n v="128284"/>
    <x v="219"/>
    <s v="Rejected"/>
    <s v="No"/>
    <x v="0"/>
    <x v="312"/>
    <x v="312"/>
    <n v="605"/>
    <n v="534"/>
    <n v="0.35149999999999998"/>
    <n v="87417341"/>
    <n v="51787.524289099529"/>
    <n v="99996"/>
    <n v="5091"/>
    <n v="2267102.9800000009"/>
    <n v="1343.070485781991"/>
    <n v="0.35149999999999998"/>
    <n v="1914270046.4000027"/>
    <x v="1"/>
    <n v="8834.4000000000015"/>
  </r>
  <r>
    <s v="LN00314"/>
    <x v="313"/>
    <n v="21"/>
    <s v="Male"/>
    <s v="Divorced"/>
    <s v="Employed"/>
    <n v="22183"/>
    <n v="334"/>
    <n v="97949"/>
    <n v="18.96"/>
    <n v="60"/>
    <s v="Auto"/>
    <n v="12.99"/>
    <n v="33359"/>
    <n v="4132"/>
    <x v="283"/>
    <s v="Approved"/>
    <s v="Yes"/>
    <x v="4"/>
    <x v="313"/>
    <x v="313"/>
    <n v="605"/>
    <n v="533"/>
    <n v="0.35149999999999998"/>
    <n v="87376384"/>
    <n v="51793.944279786607"/>
    <n v="99996"/>
    <n v="5091"/>
    <n v="2266366.7800000007"/>
    <n v="1343.4302193242447"/>
    <n v="0.35149999999999998"/>
    <n v="1912002943.4200029"/>
    <x v="1"/>
    <n v="23304"/>
  </r>
  <r>
    <s v="LN00315"/>
    <x v="314"/>
    <n v="22"/>
    <s v="Female"/>
    <s v="Single"/>
    <s v="Employed"/>
    <n v="181620"/>
    <n v="618"/>
    <n v="95562"/>
    <n v="14.94"/>
    <n v="180"/>
    <s v="Personal"/>
    <n v="37.89"/>
    <n v="44129"/>
    <n v="235492"/>
    <x v="284"/>
    <s v="Approved"/>
    <s v="No"/>
    <x v="2"/>
    <x v="314"/>
    <x v="314"/>
    <n v="604"/>
    <n v="533"/>
    <n v="0.35149999999999998"/>
    <n v="87278435"/>
    <n v="51766.568801897985"/>
    <n v="99996"/>
    <n v="5091"/>
    <n v="2264424.7800000007"/>
    <n v="1343.0751957295379"/>
    <n v="0.35149999999999998"/>
    <n v="1909736576.6400027"/>
    <x v="1"/>
    <n v="7322.64"/>
  </r>
  <r>
    <s v="LN00316"/>
    <x v="315"/>
    <n v="40"/>
    <s v="Male"/>
    <s v="Married"/>
    <s v="Self-Employed"/>
    <n v="147295"/>
    <n v="655"/>
    <n v="98103"/>
    <n v="22.93"/>
    <n v="240"/>
    <s v="Business"/>
    <n v="16.899999999999999"/>
    <n v="31572"/>
    <n v="96228"/>
    <x v="285"/>
    <s v="Pending"/>
    <s v="No"/>
    <x v="2"/>
    <x v="315"/>
    <x v="315"/>
    <n v="603"/>
    <n v="533"/>
    <n v="0.35149999999999998"/>
    <n v="87182873"/>
    <n v="51740.577448071213"/>
    <n v="99996"/>
    <n v="5091"/>
    <n v="2263814.5600000005"/>
    <n v="1343.5101246290803"/>
    <n v="0.35149999999999998"/>
    <n v="1907472151.8600032"/>
    <x v="1"/>
    <n v="6029.88"/>
  </r>
  <r>
    <s v="LN00317"/>
    <x v="316"/>
    <n v="35"/>
    <s v="Male"/>
    <s v="Married"/>
    <s v="Employed"/>
    <n v="35667"/>
    <n v="506"/>
    <n v="63345"/>
    <n v="9.14"/>
    <n v="120"/>
    <s v="Auto"/>
    <n v="43.84"/>
    <n v="66872"/>
    <n v="177504"/>
    <x v="286"/>
    <s v="Pending"/>
    <s v="Yes"/>
    <x v="1"/>
    <x v="316"/>
    <x v="316"/>
    <n v="603"/>
    <n v="533"/>
    <n v="0.35149999999999998"/>
    <n v="87084770"/>
    <n v="51713.046318289787"/>
    <n v="99996"/>
    <n v="5091"/>
    <n v="2263312.0700000008"/>
    <n v="1344.0095427553449"/>
    <n v="0.35149999999999998"/>
    <n v="1905208337.3000031"/>
    <x v="1"/>
    <n v="6913.4400000000005"/>
  </r>
  <r>
    <s v="LN00318"/>
    <x v="317"/>
    <n v="31"/>
    <s v="Female"/>
    <s v="Single"/>
    <s v="Self-Employed"/>
    <n v="128298"/>
    <n v="423"/>
    <n v="72453"/>
    <n v="15.21"/>
    <n v="60"/>
    <s v="Personal"/>
    <n v="53.75"/>
    <n v="34682"/>
    <n v="226993"/>
    <x v="287"/>
    <s v="Approved"/>
    <s v="Yes"/>
    <x v="2"/>
    <x v="317"/>
    <x v="317"/>
    <n v="603"/>
    <n v="533"/>
    <n v="0.35149999999999998"/>
    <n v="87021425"/>
    <n v="51706.134878193705"/>
    <n v="99996"/>
    <n v="5091"/>
    <n v="2262735.9500000007"/>
    <n v="1344.4658051099232"/>
    <n v="0.35149999999999998"/>
    <n v="1902945025.2300031"/>
    <x v="1"/>
    <n v="16694.64"/>
  </r>
  <r>
    <s v="LN00319"/>
    <x v="318"/>
    <n v="65"/>
    <s v="Female"/>
    <s v="Married"/>
    <s v="Unemployed"/>
    <n v="188616"/>
    <n v="337"/>
    <n v="76677"/>
    <n v="17.68"/>
    <n v="180"/>
    <s v="Education"/>
    <n v="44.56"/>
    <n v="78435"/>
    <n v="21782"/>
    <x v="195"/>
    <s v="Rejected"/>
    <s v="Yes"/>
    <x v="4"/>
    <x v="318"/>
    <x v="318"/>
    <n v="602"/>
    <n v="533"/>
    <n v="0.35149999999999998"/>
    <n v="86948972"/>
    <n v="51693.800237812131"/>
    <n v="99996"/>
    <n v="5091"/>
    <n v="2261344.7300000004"/>
    <n v="1344.4380083234248"/>
    <n v="0.35149999999999998"/>
    <n v="1900682289.2800031"/>
    <x v="1"/>
    <n v="6015.6"/>
  </r>
  <r>
    <s v="LN00320"/>
    <x v="319"/>
    <n v="53"/>
    <s v="Male"/>
    <s v="Divorced"/>
    <s v="Employed"/>
    <n v="129969"/>
    <n v="786"/>
    <n v="51209"/>
    <n v="23.44"/>
    <n v="180"/>
    <s v="Education"/>
    <n v="45.44"/>
    <n v="76874"/>
    <n v="61865"/>
    <x v="288"/>
    <s v="Pending"/>
    <s v="No"/>
    <x v="1"/>
    <x v="319"/>
    <x v="319"/>
    <n v="602"/>
    <n v="532"/>
    <n v="0.35149999999999998"/>
    <n v="86872295"/>
    <n v="51678.93813206425"/>
    <n v="99996"/>
    <n v="5091"/>
    <n v="2260843.4300000006"/>
    <n v="1344.939577632362"/>
    <n v="0.35149999999999998"/>
    <n v="1898420944.5500031"/>
    <x v="1"/>
    <n v="4214.16"/>
  </r>
  <r>
    <s v="LN00321"/>
    <x v="320"/>
    <n v="46"/>
    <s v="Male"/>
    <s v="Married"/>
    <s v="Unemployed"/>
    <n v="29615"/>
    <n v="365"/>
    <n v="87070"/>
    <n v="12.82"/>
    <n v="12"/>
    <s v="Mortgage"/>
    <n v="55.31"/>
    <n v="35866"/>
    <n v="82337"/>
    <x v="210"/>
    <s v="Rejected"/>
    <s v="No"/>
    <x v="3"/>
    <x v="320"/>
    <x v="320"/>
    <n v="602"/>
    <n v="532"/>
    <n v="0.35149999999999998"/>
    <n v="86821086"/>
    <n v="51679.217857142859"/>
    <n v="99996"/>
    <n v="5091"/>
    <n v="2260492.2500000009"/>
    <n v="1345.5311011904766"/>
    <n v="0.35149999999999998"/>
    <n v="1896160101.1200032"/>
    <x v="1"/>
    <n v="98232.36"/>
  </r>
  <r>
    <s v="LN00322"/>
    <x v="321"/>
    <n v="45"/>
    <s v="Male"/>
    <s v="Divorced"/>
    <s v="Unemployed"/>
    <n v="182034"/>
    <n v="407"/>
    <n v="34079"/>
    <n v="4.75"/>
    <n v="240"/>
    <s v="Auto"/>
    <n v="22.75"/>
    <n v="44906"/>
    <n v="144920"/>
    <x v="289"/>
    <s v="Pending"/>
    <s v="No"/>
    <x v="1"/>
    <x v="321"/>
    <x v="321"/>
    <n v="602"/>
    <n v="531"/>
    <n v="0.35149999999999998"/>
    <n v="86734016"/>
    <n v="51658.139368671829"/>
    <n v="99996"/>
    <n v="5091"/>
    <n v="2252306.2200000011"/>
    <n v="1341.4569505658137"/>
    <n v="0.35149999999999998"/>
    <n v="1893899608.8700032"/>
    <x v="0"/>
    <n v="1784.88"/>
  </r>
  <r>
    <s v="LN00323"/>
    <x v="322"/>
    <n v="63"/>
    <s v="Female"/>
    <s v="Divorced"/>
    <s v="Self-Employed"/>
    <n v="36533"/>
    <n v="531"/>
    <n v="31326"/>
    <n v="20.350000000000001"/>
    <n v="36"/>
    <s v="Auto"/>
    <n v="48.31"/>
    <n v="55838"/>
    <n v="228565"/>
    <x v="290"/>
    <s v="Approved"/>
    <s v="Yes"/>
    <x v="0"/>
    <x v="322"/>
    <x v="322"/>
    <n v="602"/>
    <n v="531"/>
    <n v="0.35149999999999998"/>
    <n v="86699937"/>
    <n v="51668.615613825983"/>
    <n v="99996"/>
    <n v="5091"/>
    <n v="2252157.4800000009"/>
    <n v="1342.1677473182365"/>
    <n v="0.35149999999999998"/>
    <n v="1891647302.650003"/>
    <x v="1"/>
    <n v="12567"/>
  </r>
  <r>
    <s v="LN00324"/>
    <x v="323"/>
    <n v="38"/>
    <s v="Female"/>
    <s v="Married"/>
    <s v="Self-Employed"/>
    <n v="87008"/>
    <n v="472"/>
    <n v="99902"/>
    <n v="6.89"/>
    <n v="24"/>
    <s v="Mortgage"/>
    <n v="42.58"/>
    <n v="8305"/>
    <n v="188064"/>
    <x v="291"/>
    <s v="Rejected"/>
    <s v="Yes"/>
    <x v="0"/>
    <x v="323"/>
    <x v="323"/>
    <n v="601"/>
    <n v="531"/>
    <n v="0.35149999999999998"/>
    <n v="86668611"/>
    <n v="51680.74597495528"/>
    <n v="99996"/>
    <n v="5091"/>
    <n v="2251110.2300000009"/>
    <n v="1342.343607632678"/>
    <n v="0.35149999999999998"/>
    <n v="1889395145.1700029"/>
    <x v="1"/>
    <n v="53392.680000000008"/>
  </r>
  <r>
    <s v="LN00325"/>
    <x v="324"/>
    <n v="45"/>
    <s v="Female"/>
    <s v="Divorced"/>
    <s v="Self-Employed"/>
    <n v="162862"/>
    <n v="382"/>
    <n v="7640"/>
    <n v="13.82"/>
    <n v="360"/>
    <s v="Auto"/>
    <n v="15.52"/>
    <n v="53903"/>
    <n v="191747"/>
    <x v="292"/>
    <s v="Rejected"/>
    <s v="No"/>
    <x v="1"/>
    <x v="324"/>
    <x v="324"/>
    <n v="601"/>
    <n v="530"/>
    <n v="0.35149999999999998"/>
    <n v="86568709"/>
    <n v="51651.974343675414"/>
    <n v="99996"/>
    <n v="5091"/>
    <n v="2246660.8400000008"/>
    <n v="1340.489761336516"/>
    <n v="0.35149999999999998"/>
    <n v="1887144034.9400029"/>
    <x v="1"/>
    <n v="289.92"/>
  </r>
  <r>
    <s v="LN00326"/>
    <x v="325"/>
    <n v="21"/>
    <s v="Female"/>
    <s v="Single"/>
    <s v="Self-Employed"/>
    <n v="193089"/>
    <n v="337"/>
    <n v="85574"/>
    <n v="22.22"/>
    <n v="240"/>
    <s v="Business"/>
    <n v="21.13"/>
    <n v="68204"/>
    <n v="39910"/>
    <x v="293"/>
    <s v="Rejected"/>
    <s v="Yes"/>
    <x v="0"/>
    <x v="325"/>
    <x v="325"/>
    <n v="601"/>
    <n v="529"/>
    <n v="0.35149999999999998"/>
    <n v="86561069"/>
    <n v="51678.250149253734"/>
    <n v="99996"/>
    <n v="5091"/>
    <n v="2246636.6800000011"/>
    <n v="1341.275629850747"/>
    <n v="0.35149999999999998"/>
    <n v="1884897374.100003"/>
    <x v="1"/>
    <n v="5229.4800000000005"/>
  </r>
  <r>
    <s v="LN00327"/>
    <x v="326"/>
    <n v="56"/>
    <s v="Female"/>
    <s v="Single"/>
    <s v="Unemployed"/>
    <n v="84884"/>
    <n v="807"/>
    <n v="54293"/>
    <n v="15.7"/>
    <n v="360"/>
    <s v="Auto"/>
    <n v="25.78"/>
    <n v="5991"/>
    <n v="108682"/>
    <x v="294"/>
    <s v="Rejected"/>
    <s v="Yes"/>
    <x v="1"/>
    <x v="326"/>
    <x v="326"/>
    <n v="601"/>
    <n v="528"/>
    <n v="0.35149999999999998"/>
    <n v="86475495"/>
    <n v="51658.001792114694"/>
    <n v="99996"/>
    <n v="5091"/>
    <n v="2246200.8900000011"/>
    <n v="1341.8165412186386"/>
    <n v="0.35149999999999998"/>
    <n v="1882650737.4200029"/>
    <x v="1"/>
    <n v="2093.88"/>
  </r>
  <r>
    <s v="LN00328"/>
    <x v="327"/>
    <n v="50"/>
    <s v="Male"/>
    <s v="Divorced"/>
    <s v="Employed"/>
    <n v="78192"/>
    <n v="831"/>
    <n v="16781"/>
    <n v="6.77"/>
    <n v="120"/>
    <s v="Personal"/>
    <n v="34.82"/>
    <n v="39547"/>
    <n v="133372"/>
    <x v="295"/>
    <s v="Pending"/>
    <s v="Yes"/>
    <x v="2"/>
    <x v="327"/>
    <x v="327"/>
    <n v="601"/>
    <n v="527"/>
    <n v="0.35149999999999998"/>
    <n v="86421202"/>
    <n v="51656.426778242676"/>
    <n v="99996"/>
    <n v="5091"/>
    <n v="2246026.4000000008"/>
    <n v="1342.5142857142862"/>
    <n v="0.35149999999999998"/>
    <n v="1880404536.5300031"/>
    <x v="1"/>
    <n v="1791.72"/>
  </r>
  <r>
    <s v="LN00329"/>
    <x v="328"/>
    <n v="31"/>
    <s v="Male"/>
    <s v="Single"/>
    <s v="Unemployed"/>
    <n v="52066"/>
    <n v="571"/>
    <n v="66014"/>
    <n v="18.63"/>
    <n v="180"/>
    <s v="Personal"/>
    <n v="44.54"/>
    <n v="52679"/>
    <n v="24703"/>
    <x v="296"/>
    <s v="Approved"/>
    <s v="No"/>
    <x v="1"/>
    <x v="328"/>
    <x v="328"/>
    <n v="601"/>
    <n v="527"/>
    <n v="0.35149999999999998"/>
    <n v="86404421"/>
    <n v="51677.285287081337"/>
    <n v="99996"/>
    <n v="5091"/>
    <n v="2245877.0900000008"/>
    <n v="1343.2279246411488"/>
    <n v="0.35149999999999998"/>
    <n v="1878158510.130003"/>
    <x v="1"/>
    <n v="5220.84"/>
  </r>
  <r>
    <s v="LN00330"/>
    <x v="329"/>
    <n v="33"/>
    <s v="Female"/>
    <s v="Divorced"/>
    <s v="Employed"/>
    <n v="175160"/>
    <n v="551"/>
    <n v="20038"/>
    <n v="20.57"/>
    <n v="60"/>
    <s v="Personal"/>
    <n v="18.48"/>
    <n v="76585"/>
    <n v="179001"/>
    <x v="297"/>
    <s v="Pending"/>
    <s v="No"/>
    <x v="4"/>
    <x v="329"/>
    <x v="329"/>
    <n v="600"/>
    <n v="527"/>
    <n v="0.35149999999999998"/>
    <n v="86338407"/>
    <n v="51668.705565529621"/>
    <n v="99996"/>
    <n v="5091"/>
    <n v="2245442.0200000009"/>
    <n v="1343.7714063435074"/>
    <n v="0.35149999999999998"/>
    <n v="1875912633.0400031"/>
    <x v="1"/>
    <n v="4831.92"/>
  </r>
  <r>
    <s v="LN00331"/>
    <x v="330"/>
    <n v="23"/>
    <s v="Female"/>
    <s v="Divorced"/>
    <s v="Unemployed"/>
    <n v="162657"/>
    <n v="473"/>
    <n v="87503"/>
    <n v="15.63"/>
    <n v="360"/>
    <s v="Business"/>
    <n v="13.53"/>
    <n v="4576"/>
    <n v="100491"/>
    <x v="298"/>
    <s v="Pending"/>
    <s v="No"/>
    <x v="1"/>
    <x v="330"/>
    <x v="330"/>
    <n v="600"/>
    <n v="527"/>
    <n v="0.35149999999999998"/>
    <n v="86318369"/>
    <n v="51687.646107784429"/>
    <n v="99996"/>
    <n v="5091"/>
    <n v="2245039.3600000008"/>
    <n v="1344.3349461077848"/>
    <n v="0.35149999999999998"/>
    <n v="1873667191.0200031"/>
    <x v="1"/>
    <n v="3372.6000000000004"/>
  </r>
  <r>
    <s v="LN00332"/>
    <x v="331"/>
    <n v="22"/>
    <s v="Male"/>
    <s v="Divorced"/>
    <s v="Unemployed"/>
    <n v="84659"/>
    <n v="378"/>
    <n v="39177"/>
    <n v="18.77"/>
    <n v="180"/>
    <s v="Mortgage"/>
    <n v="29.2"/>
    <n v="43893"/>
    <n v="13142"/>
    <x v="299"/>
    <s v="Pending"/>
    <s v="Yes"/>
    <x v="0"/>
    <x v="331"/>
    <x v="331"/>
    <n v="600"/>
    <n v="527"/>
    <n v="0.35149999999999998"/>
    <n v="86230866"/>
    <n v="51666.186938286402"/>
    <n v="99996"/>
    <n v="5091"/>
    <n v="2244758.310000001"/>
    <n v="1344.97202516477"/>
    <n v="0.35149999999999998"/>
    <n v="1871422151.6600029"/>
    <x v="1"/>
    <n v="3102"/>
  </r>
  <r>
    <s v="LN00333"/>
    <x v="332"/>
    <n v="35"/>
    <s v="Female"/>
    <s v="Single"/>
    <s v="Unemployed"/>
    <n v="70583"/>
    <n v="367"/>
    <n v="30003"/>
    <n v="16.04"/>
    <n v="180"/>
    <s v="Mortgage"/>
    <n v="40.64"/>
    <n v="31274"/>
    <n v="33511"/>
    <x v="300"/>
    <s v="Approved"/>
    <s v="No"/>
    <x v="1"/>
    <x v="332"/>
    <x v="332"/>
    <n v="600"/>
    <n v="527"/>
    <n v="0.35149999999999998"/>
    <n v="86191689"/>
    <n v="51673.674460431655"/>
    <n v="99996"/>
    <n v="5091"/>
    <n v="2244499.810000001"/>
    <n v="1345.6233872901685"/>
    <n v="0.35149999999999998"/>
    <n v="1869177393.350003"/>
    <x v="1"/>
    <n v="2321.04"/>
  </r>
  <r>
    <s v="LN00334"/>
    <x v="333"/>
    <n v="37"/>
    <s v="Male"/>
    <s v="Single"/>
    <s v="Employed"/>
    <n v="163834"/>
    <n v="529"/>
    <n v="70470"/>
    <n v="18.809999999999999"/>
    <n v="36"/>
    <s v="Auto"/>
    <n v="53.81"/>
    <n v="46528"/>
    <n v="109414"/>
    <x v="301"/>
    <s v="Pending"/>
    <s v="Yes"/>
    <x v="4"/>
    <x v="333"/>
    <x v="333"/>
    <n v="599"/>
    <n v="527"/>
    <n v="0.35149999999999998"/>
    <n v="86161686"/>
    <n v="51686.674265146969"/>
    <n v="99996"/>
    <n v="5091"/>
    <n v="2244306.3900000006"/>
    <n v="1346.3145710857832"/>
    <n v="0.35149999999999998"/>
    <n v="1866932893.5400028"/>
    <x v="1"/>
    <n v="27908.52"/>
  </r>
  <r>
    <s v="LN00335"/>
    <x v="334"/>
    <n v="56"/>
    <s v="Female"/>
    <s v="Divorced"/>
    <s v="Self-Employed"/>
    <n v="170914"/>
    <n v="331"/>
    <n v="45890"/>
    <n v="12.16"/>
    <n v="120"/>
    <s v="Personal"/>
    <n v="44.55"/>
    <n v="24028"/>
    <n v="243948"/>
    <x v="302"/>
    <s v="Rejected"/>
    <s v="Yes"/>
    <x v="4"/>
    <x v="334"/>
    <x v="334"/>
    <n v="599"/>
    <n v="527"/>
    <n v="0.35149999999999998"/>
    <n v="86091216"/>
    <n v="51675.399759903965"/>
    <n v="99996"/>
    <n v="5091"/>
    <n v="2241980.6800000006"/>
    <n v="1345.7266986794721"/>
    <n v="0.35149999999999998"/>
    <n v="1864688587.150003"/>
    <x v="1"/>
    <n v="5147.04"/>
  </r>
  <r>
    <s v="LN00336"/>
    <x v="335"/>
    <n v="58"/>
    <s v="Male"/>
    <s v="Single"/>
    <s v="Unemployed"/>
    <n v="124726"/>
    <n v="799"/>
    <n v="85925"/>
    <n v="17.57"/>
    <n v="24"/>
    <s v="Mortgage"/>
    <n v="7.59"/>
    <n v="29477"/>
    <n v="238223"/>
    <x v="303"/>
    <s v="Pending"/>
    <s v="Yes"/>
    <x v="3"/>
    <x v="335"/>
    <x v="335"/>
    <n v="599"/>
    <n v="526"/>
    <n v="0.35149999999999998"/>
    <n v="86045326"/>
    <n v="51678.874474474476"/>
    <n v="99996"/>
    <n v="5091"/>
    <n v="2241551.7600000007"/>
    <n v="1346.2773333333337"/>
    <n v="0.35149999999999998"/>
    <n v="1862446606.4700029"/>
    <x v="1"/>
    <n v="50511"/>
  </r>
  <r>
    <s v="LN00337"/>
    <x v="336"/>
    <n v="32"/>
    <s v="Female"/>
    <s v="Single"/>
    <s v="Employed"/>
    <n v="31521"/>
    <n v="650"/>
    <n v="75190"/>
    <n v="15.31"/>
    <n v="120"/>
    <s v="Mortgage"/>
    <n v="19.93"/>
    <n v="13949"/>
    <n v="32667"/>
    <x v="304"/>
    <s v="Rejected"/>
    <s v="Yes"/>
    <x v="0"/>
    <x v="336"/>
    <x v="336"/>
    <n v="599"/>
    <n v="526"/>
    <n v="0.35149999999999998"/>
    <n v="85959401"/>
    <n v="51658.293870192305"/>
    <n v="99996"/>
    <n v="5091"/>
    <n v="2237342.5100000007"/>
    <n v="1344.5567968750004"/>
    <n v="0.35149999999999998"/>
    <n v="1860205054.7100031"/>
    <x v="1"/>
    <n v="8670.119999999999"/>
  </r>
  <r>
    <s v="LN00338"/>
    <x v="337"/>
    <n v="34"/>
    <s v="Male"/>
    <s v="Divorced"/>
    <s v="Self-Employed"/>
    <n v="41316"/>
    <n v="826"/>
    <n v="56410"/>
    <n v="6.83"/>
    <n v="60"/>
    <s v="Auto"/>
    <n v="27.43"/>
    <n v="43817"/>
    <n v="112352"/>
    <x v="305"/>
    <s v="Pending"/>
    <s v="No"/>
    <x v="2"/>
    <x v="337"/>
    <x v="337"/>
    <n v="599"/>
    <n v="525"/>
    <n v="0.35149999999999998"/>
    <n v="85884211"/>
    <n v="51644.143716175589"/>
    <n v="99996"/>
    <n v="5091"/>
    <n v="2236620.0000000009"/>
    <n v="1344.9308478653043"/>
    <n v="0.35149999999999998"/>
    <n v="1857967712.2000031"/>
    <x v="1"/>
    <n v="12052.56"/>
  </r>
  <r>
    <s v="LN00339"/>
    <x v="338"/>
    <n v="65"/>
    <s v="Male"/>
    <s v="Married"/>
    <s v="Employed"/>
    <n v="118988"/>
    <n v="494"/>
    <n v="54472"/>
    <n v="20.02"/>
    <n v="24"/>
    <s v="Personal"/>
    <n v="59.25"/>
    <n v="17597"/>
    <n v="188097"/>
    <x v="259"/>
    <s v="Rejected"/>
    <s v="Yes"/>
    <x v="3"/>
    <x v="338"/>
    <x v="338"/>
    <n v="599"/>
    <n v="525"/>
    <n v="0.35149999999999998"/>
    <n v="85827801"/>
    <n v="51641.276173285201"/>
    <n v="99996"/>
    <n v="5091"/>
    <n v="2235615.6200000006"/>
    <n v="1345.1357521058969"/>
    <n v="0.35149999999999998"/>
    <n v="1855731092.2000031"/>
    <x v="1"/>
    <n v="32688.600000000002"/>
  </r>
  <r>
    <s v="LN00340"/>
    <x v="339"/>
    <n v="33"/>
    <s v="Female"/>
    <s v="Married"/>
    <s v="Self-Employed"/>
    <n v="47461"/>
    <n v="485"/>
    <n v="53738"/>
    <n v="7.25"/>
    <n v="48"/>
    <s v="Mortgage"/>
    <n v="36.58"/>
    <n v="58571"/>
    <n v="55417"/>
    <x v="195"/>
    <s v="Pending"/>
    <s v="No"/>
    <x v="3"/>
    <x v="339"/>
    <x v="339"/>
    <n v="599"/>
    <n v="524"/>
    <n v="0.35149999999999998"/>
    <n v="85773329"/>
    <n v="51639.571944611678"/>
    <n v="99996"/>
    <n v="5091"/>
    <n v="2232891.5700000008"/>
    <n v="1344.3055809753166"/>
    <n v="0.35149999999999998"/>
    <n v="1853495476.5800033"/>
    <x v="1"/>
    <n v="14408.52"/>
  </r>
  <r>
    <s v="LN00341"/>
    <x v="340"/>
    <n v="44"/>
    <s v="Female"/>
    <s v="Divorced"/>
    <s v="Self-Employed"/>
    <n v="55809"/>
    <n v="501"/>
    <n v="22024"/>
    <n v="5.99"/>
    <n v="36"/>
    <s v="Business"/>
    <n v="19.62"/>
    <n v="30204"/>
    <n v="174230"/>
    <x v="306"/>
    <s v="Rejected"/>
    <s v="Yes"/>
    <x v="3"/>
    <x v="340"/>
    <x v="340"/>
    <n v="599"/>
    <n v="524"/>
    <n v="0.35149999999999998"/>
    <n v="85719591"/>
    <n v="51638.307831325299"/>
    <n v="99996"/>
    <n v="5091"/>
    <n v="2231690.8600000008"/>
    <n v="1344.3920843373498"/>
    <n v="0.35149999999999998"/>
    <n v="1851262585.0100033"/>
    <x v="1"/>
    <n v="7781.0399999999991"/>
  </r>
  <r>
    <s v="LN00342"/>
    <x v="341"/>
    <n v="55"/>
    <s v="Male"/>
    <s v="Married"/>
    <s v="Self-Employed"/>
    <n v="77992"/>
    <n v="777"/>
    <n v="12534"/>
    <n v="12.91"/>
    <n v="240"/>
    <s v="Mortgage"/>
    <n v="23.15"/>
    <n v="37238"/>
    <n v="241895"/>
    <x v="307"/>
    <s v="Pending"/>
    <s v="No"/>
    <x v="0"/>
    <x v="341"/>
    <x v="341"/>
    <n v="599"/>
    <n v="523"/>
    <n v="0.35149999999999998"/>
    <n v="85697567"/>
    <n v="51656.158529234475"/>
    <n v="99996"/>
    <n v="5091"/>
    <n v="2231042.4400000009"/>
    <n v="1344.8115973478004"/>
    <n v="0.35149999999999998"/>
    <n v="1849030894.1500034"/>
    <x v="1"/>
    <n v="707.64"/>
  </r>
  <r>
    <s v="LN00343"/>
    <x v="342"/>
    <n v="49"/>
    <s v="Male"/>
    <s v="Single"/>
    <s v="Self-Employed"/>
    <n v="156383"/>
    <n v="653"/>
    <n v="6833"/>
    <n v="12.28"/>
    <n v="360"/>
    <s v="Business"/>
    <n v="43.78"/>
    <n v="57639"/>
    <n v="32294"/>
    <x v="308"/>
    <s v="Pending"/>
    <s v="No"/>
    <x v="2"/>
    <x v="342"/>
    <x v="342"/>
    <n v="599"/>
    <n v="523"/>
    <n v="0.35149999999999998"/>
    <n v="85685033"/>
    <n v="51679.754523522315"/>
    <n v="99996"/>
    <n v="5091"/>
    <n v="2230983.4700000011"/>
    <n v="1345.5871351025339"/>
    <n v="0.35149999999999998"/>
    <n v="1846799851.7100036"/>
    <x v="1"/>
    <n v="255.71999999999997"/>
  </r>
  <r>
    <s v="LN00344"/>
    <x v="343"/>
    <n v="33"/>
    <s v="Male"/>
    <s v="Divorced"/>
    <s v="Unemployed"/>
    <n v="73539"/>
    <n v="350"/>
    <n v="80293"/>
    <n v="12.13"/>
    <n v="360"/>
    <s v="Education"/>
    <n v="24.78"/>
    <n v="29088"/>
    <n v="65199"/>
    <x v="309"/>
    <s v="Approved"/>
    <s v="No"/>
    <x v="3"/>
    <x v="343"/>
    <x v="343"/>
    <n v="599"/>
    <n v="523"/>
    <n v="0.35149999999999998"/>
    <n v="85678200"/>
    <n v="51706.819553409776"/>
    <n v="99996"/>
    <n v="5091"/>
    <n v="2230962.1600000011"/>
    <n v="1346.386336753169"/>
    <n v="0.35149999999999998"/>
    <n v="1844568868.2400033"/>
    <x v="1"/>
    <n v="3001.08"/>
  </r>
  <r>
    <s v="LN00345"/>
    <x v="344"/>
    <n v="61"/>
    <s v="Male"/>
    <s v="Married"/>
    <s v="Unemployed"/>
    <n v="61212"/>
    <n v="488"/>
    <n v="60910"/>
    <n v="7.19"/>
    <n v="240"/>
    <s v="Business"/>
    <n v="27.68"/>
    <n v="41413"/>
    <n v="80182"/>
    <x v="310"/>
    <s v="Rejected"/>
    <s v="Yes"/>
    <x v="4"/>
    <x v="344"/>
    <x v="344"/>
    <n v="598"/>
    <n v="523"/>
    <n v="0.35149999999999998"/>
    <n v="85597907"/>
    <n v="51689.557367149755"/>
    <n v="99996"/>
    <n v="5091"/>
    <n v="2230712.0700000012"/>
    <n v="1347.0483514492762"/>
    <n v="0.35149999999999998"/>
    <n v="1842337906.0800035"/>
    <x v="1"/>
    <n v="3264.4800000000005"/>
  </r>
  <r>
    <s v="LN00346"/>
    <x v="345"/>
    <n v="22"/>
    <s v="Female"/>
    <s v="Single"/>
    <s v="Unemployed"/>
    <n v="123691"/>
    <n v="540"/>
    <n v="47399"/>
    <n v="18.489999999999998"/>
    <n v="12"/>
    <s v="Business"/>
    <n v="16.07"/>
    <n v="65225"/>
    <n v="133500"/>
    <x v="311"/>
    <s v="Pending"/>
    <s v="No"/>
    <x v="0"/>
    <x v="345"/>
    <x v="345"/>
    <n v="598"/>
    <n v="522"/>
    <n v="0.35149999999999998"/>
    <n v="85536997"/>
    <n v="51683.986102719035"/>
    <n v="99996"/>
    <n v="5091"/>
    <n v="2230440.0300000012"/>
    <n v="1347.6979033232635"/>
    <n v="0.35149999999999998"/>
    <n v="1840107194.0100033"/>
    <x v="1"/>
    <n v="56163.12"/>
  </r>
  <r>
    <s v="LN00347"/>
    <x v="346"/>
    <n v="37"/>
    <s v="Female"/>
    <s v="Married"/>
    <s v="Self-Employed"/>
    <n v="197200"/>
    <n v="630"/>
    <n v="80508"/>
    <n v="19.13"/>
    <n v="60"/>
    <s v="Mortgage"/>
    <n v="18.57"/>
    <n v="27713"/>
    <n v="4545"/>
    <x v="302"/>
    <s v="Pending"/>
    <s v="Yes"/>
    <x v="0"/>
    <x v="346"/>
    <x v="346"/>
    <n v="598"/>
    <n v="522"/>
    <n v="0.35149999999999998"/>
    <n v="85489598"/>
    <n v="51686.576783555021"/>
    <n v="99996"/>
    <n v="5091"/>
    <n v="2225759.7700000014"/>
    <n v="1345.6830532043539"/>
    <n v="0.35149999999999998"/>
    <n v="1837876753.9800034"/>
    <x v="0"/>
    <n v="19181.88"/>
  </r>
  <r>
    <s v="LN00348"/>
    <x v="347"/>
    <n v="64"/>
    <s v="Female"/>
    <s v="Married"/>
    <s v="Employed"/>
    <n v="185250"/>
    <n v="365"/>
    <n v="78116"/>
    <n v="13.73"/>
    <n v="48"/>
    <s v="Business"/>
    <n v="49.38"/>
    <n v="48122"/>
    <n v="182263"/>
    <x v="312"/>
    <s v="Approved"/>
    <s v="No"/>
    <x v="1"/>
    <x v="347"/>
    <x v="347"/>
    <n v="598"/>
    <n v="522"/>
    <n v="0.35149999999999998"/>
    <n v="85409090"/>
    <n v="51669.140955837873"/>
    <n v="99996"/>
    <n v="5091"/>
    <n v="2224161.2800000012"/>
    <n v="1345.5301149425295"/>
    <n v="0.35149999999999998"/>
    <n v="1835650994.2100034"/>
    <x v="1"/>
    <n v="22210.32"/>
  </r>
  <r>
    <s v="LN00349"/>
    <x v="348"/>
    <n v="25"/>
    <s v="Male"/>
    <s v="Single"/>
    <s v="Self-Employed"/>
    <n v="161161"/>
    <n v="527"/>
    <n v="82035"/>
    <n v="21.05"/>
    <n v="180"/>
    <s v="Education"/>
    <n v="49.56"/>
    <n v="38089"/>
    <n v="22739"/>
    <x v="313"/>
    <s v="Approved"/>
    <s v="Yes"/>
    <x v="4"/>
    <x v="348"/>
    <x v="348"/>
    <n v="597"/>
    <n v="522"/>
    <n v="0.35149999999999998"/>
    <n v="85330974"/>
    <n v="51653.131961259081"/>
    <n v="99996"/>
    <n v="5091"/>
    <n v="2222310.4200000013"/>
    <n v="1345.224225181599"/>
    <n v="0.35149999999999998"/>
    <n v="1833426832.9300032"/>
    <x v="1"/>
    <n v="6620.2800000000007"/>
  </r>
  <r>
    <s v="LN00350"/>
    <x v="349"/>
    <n v="38"/>
    <s v="Male"/>
    <s v="Divorced"/>
    <s v="Employed"/>
    <n v="94511"/>
    <n v="805"/>
    <n v="56720"/>
    <n v="13.86"/>
    <n v="360"/>
    <s v="Personal"/>
    <n v="47.1"/>
    <n v="3783"/>
    <n v="125588"/>
    <x v="314"/>
    <s v="Pending"/>
    <s v="Yes"/>
    <x v="3"/>
    <x v="349"/>
    <x v="349"/>
    <n v="596"/>
    <n v="522"/>
    <n v="0.35149999999999998"/>
    <n v="85248939"/>
    <n v="51634.729860690488"/>
    <n v="99996"/>
    <n v="5091"/>
    <n v="2221758.7300000014"/>
    <n v="1345.7048637189591"/>
    <n v="0.35149999999999998"/>
    <n v="1831204522.5100033"/>
    <x v="1"/>
    <n v="2152.6799999999998"/>
  </r>
  <r>
    <s v="LN00351"/>
    <x v="350"/>
    <n v="48"/>
    <s v="Female"/>
    <s v="Divorced"/>
    <s v="Self-Employed"/>
    <n v="107269"/>
    <n v="695"/>
    <n v="23353"/>
    <n v="6.64"/>
    <n v="120"/>
    <s v="Education"/>
    <n v="41.1"/>
    <n v="24966"/>
    <n v="137177"/>
    <x v="315"/>
    <s v="Approved"/>
    <s v="Yes"/>
    <x v="3"/>
    <x v="350"/>
    <x v="350"/>
    <n v="596"/>
    <n v="522"/>
    <n v="0.35149999999999998"/>
    <n v="85192219"/>
    <n v="51631.64787878788"/>
    <n v="99996"/>
    <n v="5091"/>
    <n v="2221579.3400000012"/>
    <n v="1346.4117212121221"/>
    <n v="0.35149999999999998"/>
    <n v="1828982763.7800033"/>
    <x v="1"/>
    <n v="2490.36"/>
  </r>
  <r>
    <s v="LN00352"/>
    <x v="351"/>
    <n v="28"/>
    <s v="Female"/>
    <s v="Married"/>
    <s v="Unemployed"/>
    <n v="72170"/>
    <n v="711"/>
    <n v="55995"/>
    <n v="8.18"/>
    <n v="360"/>
    <s v="Auto"/>
    <n v="55.79"/>
    <n v="17960"/>
    <n v="201511"/>
    <x v="316"/>
    <s v="Approved"/>
    <s v="No"/>
    <x v="1"/>
    <x v="351"/>
    <x v="351"/>
    <n v="595"/>
    <n v="522"/>
    <n v="0.35149999999999998"/>
    <n v="85168866"/>
    <n v="51648.796846573678"/>
    <n v="99996"/>
    <n v="5091"/>
    <n v="2221371.8100000015"/>
    <n v="1347.1023711340215"/>
    <n v="0.35149999999999998"/>
    <n v="1826761184.4400034"/>
    <x v="1"/>
    <n v="2019.12"/>
  </r>
  <r>
    <s v="LN00353"/>
    <x v="352"/>
    <n v="41"/>
    <s v="Male"/>
    <s v="Married"/>
    <s v="Self-Employed"/>
    <n v="162044"/>
    <n v="594"/>
    <n v="82961"/>
    <n v="9.56"/>
    <n v="36"/>
    <s v="Personal"/>
    <n v="40.869999999999997"/>
    <n v="11346"/>
    <n v="173717"/>
    <x v="153"/>
    <s v="Rejected"/>
    <s v="No"/>
    <x v="4"/>
    <x v="352"/>
    <x v="352"/>
    <n v="594"/>
    <n v="522"/>
    <n v="0.35149999999999998"/>
    <n v="85112871"/>
    <n v="51646.159587378643"/>
    <n v="99996"/>
    <n v="5091"/>
    <n v="2221203.5500000012"/>
    <n v="1347.8176881067968"/>
    <n v="0.35149999999999998"/>
    <n v="1824539812.6300032"/>
    <x v="1"/>
    <n v="30297.360000000001"/>
  </r>
  <r>
    <s v="LN00354"/>
    <x v="353"/>
    <n v="27"/>
    <s v="Female"/>
    <s v="Married"/>
    <s v="Self-Employed"/>
    <n v="154211"/>
    <n v="346"/>
    <n v="72392"/>
    <n v="6.55"/>
    <n v="240"/>
    <s v="Auto"/>
    <n v="30.21"/>
    <n v="4897"/>
    <n v="163364"/>
    <x v="317"/>
    <s v="Pending"/>
    <s v="Yes"/>
    <x v="1"/>
    <x v="353"/>
    <x v="353"/>
    <n v="594"/>
    <n v="521"/>
    <n v="0.35149999999999998"/>
    <n v="85029910"/>
    <n v="51627.146326654525"/>
    <n v="99996"/>
    <n v="5091"/>
    <n v="2218678.7700000014"/>
    <n v="1347.1030783242268"/>
    <n v="0.35149999999999998"/>
    <n v="1822318609.0800033"/>
    <x v="1"/>
    <n v="3856.68"/>
  </r>
  <r>
    <s v="LN00355"/>
    <x v="354"/>
    <n v="63"/>
    <s v="Male"/>
    <s v="Single"/>
    <s v="Employed"/>
    <n v="113157"/>
    <n v="813"/>
    <n v="91793"/>
    <n v="6.2"/>
    <n v="240"/>
    <s v="Personal"/>
    <n v="35.56"/>
    <n v="30087"/>
    <n v="67034"/>
    <x v="39"/>
    <s v="Pending"/>
    <s v="Yes"/>
    <x v="4"/>
    <x v="354"/>
    <x v="354"/>
    <n v="594"/>
    <n v="521"/>
    <n v="0.35149999999999998"/>
    <n v="84957518"/>
    <n v="51614.530984204132"/>
    <n v="99996"/>
    <n v="5091"/>
    <n v="2218357.3800000013"/>
    <n v="1347.7262332928319"/>
    <n v="0.35149999999999998"/>
    <n v="1820099930.310003"/>
    <x v="1"/>
    <n v="4874.16"/>
  </r>
  <r>
    <s v="LN00356"/>
    <x v="355"/>
    <n v="33"/>
    <s v="Male"/>
    <s v="Single"/>
    <s v="Unemployed"/>
    <n v="51159"/>
    <n v="486"/>
    <n v="17306"/>
    <n v="19.940000000000001"/>
    <n v="12"/>
    <s v="Auto"/>
    <n v="13.12"/>
    <n v="60054"/>
    <n v="137118"/>
    <x v="318"/>
    <s v="Pending"/>
    <s v="Yes"/>
    <x v="0"/>
    <x v="355"/>
    <x v="355"/>
    <n v="594"/>
    <n v="521"/>
    <n v="0.35149999999999998"/>
    <n v="84865725"/>
    <n v="51590.106382978724"/>
    <n v="99996"/>
    <n v="5091"/>
    <n v="2217951.2000000011"/>
    <n v="1348.2986018237089"/>
    <n v="0.35149999999999998"/>
    <n v="1817881572.9300027"/>
    <x v="1"/>
    <n v="20756.760000000002"/>
  </r>
  <r>
    <s v="LN00357"/>
    <x v="356"/>
    <n v="35"/>
    <s v="Female"/>
    <s v="Single"/>
    <s v="Unemployed"/>
    <n v="64667"/>
    <n v="619"/>
    <n v="78278"/>
    <n v="21.45"/>
    <n v="24"/>
    <s v="Personal"/>
    <n v="18.559999999999999"/>
    <n v="53522"/>
    <n v="20031"/>
    <x v="319"/>
    <s v="Approved"/>
    <s v="No"/>
    <x v="0"/>
    <x v="356"/>
    <x v="356"/>
    <n v="594"/>
    <n v="521"/>
    <n v="0.35149999999999998"/>
    <n v="84848419"/>
    <n v="51610.960462287105"/>
    <n v="99996"/>
    <n v="5091"/>
    <n v="2216221.4700000011"/>
    <n v="1348.0665875912416"/>
    <n v="0.35149999999999998"/>
    <n v="1815663621.7300026"/>
    <x v="0"/>
    <n v="47534.28"/>
  </r>
  <r>
    <s v="LN00358"/>
    <x v="357"/>
    <n v="30"/>
    <s v="Male"/>
    <s v="Divorced"/>
    <s v="Employed"/>
    <n v="184749"/>
    <n v="493"/>
    <n v="15648"/>
    <n v="12.93"/>
    <n v="60"/>
    <s v="Mortgage"/>
    <n v="26.27"/>
    <n v="16502"/>
    <n v="6574"/>
    <x v="320"/>
    <s v="Rejected"/>
    <s v="Yes"/>
    <x v="0"/>
    <x v="357"/>
    <x v="357"/>
    <n v="593"/>
    <n v="521"/>
    <n v="0.35149999999999998"/>
    <n v="84770141"/>
    <n v="51594.729762629337"/>
    <n v="99996"/>
    <n v="5091"/>
    <n v="2212260.2800000012"/>
    <n v="1346.4761290322588"/>
    <n v="0.35149999999999998"/>
    <n v="1813447400.2600026"/>
    <x v="1"/>
    <n v="3534.24"/>
  </r>
  <r>
    <s v="LN00359"/>
    <x v="358"/>
    <n v="38"/>
    <s v="Male"/>
    <s v="Single"/>
    <s v="Self-Employed"/>
    <n v="183496"/>
    <n v="514"/>
    <n v="9285"/>
    <n v="21.64"/>
    <n v="12"/>
    <s v="Personal"/>
    <n v="40.15"/>
    <n v="3085"/>
    <n v="157645"/>
    <x v="321"/>
    <s v="Rejected"/>
    <s v="No"/>
    <x v="4"/>
    <x v="358"/>
    <x v="358"/>
    <n v="593"/>
    <n v="520"/>
    <n v="0.35149999999999998"/>
    <n v="84754493"/>
    <n v="51616.621802679656"/>
    <n v="99996"/>
    <n v="5091"/>
    <n v="2211965.7600000012"/>
    <n v="1347.1167844092577"/>
    <n v="0.35149999999999998"/>
    <n v="1811235139.9800029"/>
    <x v="1"/>
    <n v="11294.28"/>
  </r>
  <r>
    <s v="LN00360"/>
    <x v="359"/>
    <n v="54"/>
    <s v="Female"/>
    <s v="Single"/>
    <s v="Employed"/>
    <n v="150820"/>
    <n v="845"/>
    <n v="95705"/>
    <n v="12.52"/>
    <n v="240"/>
    <s v="Auto"/>
    <n v="47.14"/>
    <n v="41592"/>
    <n v="68587"/>
    <x v="207"/>
    <s v="Pending"/>
    <s v="No"/>
    <x v="4"/>
    <x v="359"/>
    <x v="359"/>
    <n v="593"/>
    <n v="519"/>
    <n v="0.35149999999999998"/>
    <n v="84745208"/>
    <n v="51642.418037781841"/>
    <n v="99996"/>
    <n v="5091"/>
    <n v="2211024.5700000008"/>
    <n v="1347.3641499085927"/>
    <n v="0.35149999999999998"/>
    <n v="1809023174.2200027"/>
    <x v="0"/>
    <n v="5384.4"/>
  </r>
  <r>
    <s v="LN00361"/>
    <x v="360"/>
    <n v="36"/>
    <s v="Male"/>
    <s v="Divorced"/>
    <s v="Self-Employed"/>
    <n v="38556"/>
    <n v="504"/>
    <n v="17609"/>
    <n v="5.54"/>
    <n v="12"/>
    <s v="Mortgage"/>
    <n v="54.02"/>
    <n v="36849"/>
    <n v="123320"/>
    <x v="322"/>
    <s v="Approved"/>
    <s v="No"/>
    <x v="4"/>
    <x v="360"/>
    <x v="360"/>
    <n v="593"/>
    <n v="519"/>
    <n v="0.35149999999999998"/>
    <n v="84649503"/>
    <n v="51615.550609756101"/>
    <n v="99996"/>
    <n v="5091"/>
    <n v="2210575.8700000006"/>
    <n v="1347.9121158536589"/>
    <n v="0.35149999999999998"/>
    <n v="1806812149.6500025"/>
    <x v="1"/>
    <n v="18584.52"/>
  </r>
  <r>
    <s v="LN00362"/>
    <x v="361"/>
    <n v="58"/>
    <s v="Female"/>
    <s v="Married"/>
    <s v="Unemployed"/>
    <n v="125640"/>
    <n v="313"/>
    <n v="70356"/>
    <n v="7.23"/>
    <n v="180"/>
    <s v="Business"/>
    <n v="19.809999999999999"/>
    <n v="70268"/>
    <n v="79438"/>
    <x v="323"/>
    <s v="Approved"/>
    <s v="Yes"/>
    <x v="2"/>
    <x v="361"/>
    <x v="361"/>
    <n v="592"/>
    <n v="519"/>
    <n v="0.35149999999999998"/>
    <n v="84631894"/>
    <n v="51636.298962782181"/>
    <n v="99996"/>
    <n v="5091"/>
    <n v="2209027.1600000006"/>
    <n v="1347.7896034167179"/>
    <n v="0.35149999999999998"/>
    <n v="1804601573.7800026"/>
    <x v="0"/>
    <n v="5029.5599999999995"/>
  </r>
  <r>
    <s v="LN00363"/>
    <x v="362"/>
    <n v="37"/>
    <s v="Male"/>
    <s v="Married"/>
    <s v="Unemployed"/>
    <n v="56570"/>
    <n v="804"/>
    <n v="68052"/>
    <n v="9.5500000000000007"/>
    <n v="60"/>
    <s v="Auto"/>
    <n v="47.59"/>
    <n v="63403"/>
    <n v="128144"/>
    <x v="324"/>
    <s v="Approved"/>
    <s v="No"/>
    <x v="2"/>
    <x v="362"/>
    <x v="362"/>
    <n v="591"/>
    <n v="519"/>
    <n v="0.35149999999999998"/>
    <n v="84561538"/>
    <n v="51624.870573870576"/>
    <n v="99996"/>
    <n v="5091"/>
    <n v="2208608.0300000007"/>
    <n v="1348.3565506715511"/>
    <n v="0.35149999999999998"/>
    <n v="1802392546.6200025"/>
    <x v="1"/>
    <n v="14910.24"/>
  </r>
  <r>
    <s v="LN00364"/>
    <x v="363"/>
    <n v="30"/>
    <s v="Female"/>
    <s v="Single"/>
    <s v="Self-Employed"/>
    <n v="86611"/>
    <n v="387"/>
    <n v="5433"/>
    <n v="22.54"/>
    <n v="36"/>
    <s v="Personal"/>
    <n v="34.729999999999997"/>
    <n v="10241"/>
    <n v="126811"/>
    <x v="325"/>
    <s v="Pending"/>
    <s v="No"/>
    <x v="2"/>
    <x v="363"/>
    <x v="363"/>
    <n v="590"/>
    <n v="519"/>
    <n v="0.35149999999999998"/>
    <n v="84493486"/>
    <n v="51614.835675015274"/>
    <n v="99996"/>
    <n v="5091"/>
    <n v="2207365.5100000002"/>
    <n v="1348.421203420892"/>
    <n v="0.35149999999999998"/>
    <n v="1800183938.5900023"/>
    <x v="1"/>
    <n v="2219.16"/>
  </r>
  <r>
    <s v="LN00365"/>
    <x v="364"/>
    <n v="23"/>
    <s v="Male"/>
    <s v="Single"/>
    <s v="Self-Employed"/>
    <n v="94043"/>
    <n v="525"/>
    <n v="70557"/>
    <n v="19.63"/>
    <n v="36"/>
    <s v="Education"/>
    <n v="59.01"/>
    <n v="17602"/>
    <n v="143499"/>
    <x v="278"/>
    <s v="Approved"/>
    <s v="No"/>
    <x v="3"/>
    <x v="364"/>
    <x v="364"/>
    <n v="590"/>
    <n v="519"/>
    <n v="0.35149999999999998"/>
    <n v="84488053"/>
    <n v="51643.064180929097"/>
    <n v="99996"/>
    <n v="5091"/>
    <n v="2207180.58"/>
    <n v="1349.1323838630808"/>
    <n v="0.35149999999999998"/>
    <n v="1797976573.0800023"/>
    <x v="1"/>
    <n v="28135.800000000003"/>
  </r>
  <r>
    <s v="LN00366"/>
    <x v="365"/>
    <n v="39"/>
    <s v="Female"/>
    <s v="Married"/>
    <s v="Self-Employed"/>
    <n v="70277"/>
    <n v="455"/>
    <n v="75741"/>
    <n v="21.43"/>
    <n v="180"/>
    <s v="Business"/>
    <n v="38.42"/>
    <n v="43161"/>
    <n v="41284"/>
    <x v="326"/>
    <s v="Approved"/>
    <s v="No"/>
    <x v="3"/>
    <x v="365"/>
    <x v="365"/>
    <n v="589"/>
    <n v="519"/>
    <n v="0.35149999999999998"/>
    <n v="84417496"/>
    <n v="51631.496024464832"/>
    <n v="99996"/>
    <n v="5091"/>
    <n v="2204835.9300000002"/>
    <n v="1348.5235045871561"/>
    <n v="0.35149999999999998"/>
    <n v="1795769392.5000021"/>
    <x v="1"/>
    <n v="6131.5199999999995"/>
  </r>
  <r>
    <s v="LN00367"/>
    <x v="366"/>
    <n v="28"/>
    <s v="Female"/>
    <s v="Single"/>
    <s v="Employed"/>
    <n v="119201"/>
    <n v="511"/>
    <n v="69019"/>
    <n v="6.39"/>
    <n v="180"/>
    <s v="Business"/>
    <n v="16.059999999999999"/>
    <n v="78267"/>
    <n v="179240"/>
    <x v="181"/>
    <s v="Pending"/>
    <s v="No"/>
    <x v="4"/>
    <x v="33"/>
    <x v="366"/>
    <n v="588"/>
    <n v="519"/>
    <n v="0.35149999999999998"/>
    <n v="84341755"/>
    <n v="51616.741126070992"/>
    <n v="99996"/>
    <n v="5091"/>
    <n v="2204324.9700000002"/>
    <n v="1349.0360893512852"/>
    <n v="0.35149999999999998"/>
    <n v="1793564556.5700021"/>
    <x v="1"/>
    <n v="4895.28"/>
  </r>
  <r>
    <s v="LN00368"/>
    <x v="367"/>
    <n v="63"/>
    <s v="Male"/>
    <s v="Married"/>
    <s v="Self-Employed"/>
    <n v="169649"/>
    <n v="713"/>
    <n v="82185"/>
    <n v="3.5"/>
    <n v="24"/>
    <s v="Personal"/>
    <n v="25.01"/>
    <n v="41731"/>
    <n v="16799"/>
    <x v="327"/>
    <s v="Rejected"/>
    <s v="No"/>
    <x v="2"/>
    <x v="366"/>
    <x v="367"/>
    <n v="588"/>
    <n v="519"/>
    <n v="0.35149999999999998"/>
    <n v="84272736"/>
    <n v="51606.084507042251"/>
    <n v="99996"/>
    <n v="5091"/>
    <n v="2203917.0299999998"/>
    <n v="1349.6123882424984"/>
    <n v="0.35149999999999998"/>
    <n v="1791360231.6000021"/>
    <x v="1"/>
    <n v="42530.76"/>
  </r>
  <r>
    <s v="LN00369"/>
    <x v="368"/>
    <n v="44"/>
    <s v="Male"/>
    <s v="Divorced"/>
    <s v="Employed"/>
    <n v="169289"/>
    <n v="525"/>
    <n v="79650"/>
    <n v="4.3499999999999996"/>
    <n v="36"/>
    <s v="Mortgage"/>
    <n v="35.15"/>
    <n v="43296"/>
    <n v="169521"/>
    <x v="328"/>
    <s v="Pending"/>
    <s v="No"/>
    <x v="1"/>
    <x v="367"/>
    <x v="368"/>
    <n v="588"/>
    <n v="518"/>
    <n v="0.35149999999999998"/>
    <n v="84190551"/>
    <n v="51587.347426470587"/>
    <n v="99996"/>
    <n v="5091"/>
    <n v="2200372.7999999998"/>
    <n v="1348.2676470588235"/>
    <n v="0.35149999999999998"/>
    <n v="1789156314.5700021"/>
    <x v="1"/>
    <n v="27704.879999999997"/>
  </r>
  <r>
    <s v="LN00370"/>
    <x v="369"/>
    <n v="30"/>
    <s v="Female"/>
    <s v="Single"/>
    <s v="Employed"/>
    <n v="163720"/>
    <n v="425"/>
    <n v="29700"/>
    <n v="11.19"/>
    <n v="12"/>
    <s v="Mortgage"/>
    <n v="38.92"/>
    <n v="31642"/>
    <n v="218605"/>
    <x v="329"/>
    <s v="Approved"/>
    <s v="Yes"/>
    <x v="1"/>
    <x v="368"/>
    <x v="369"/>
    <n v="588"/>
    <n v="518"/>
    <n v="0.35149999999999998"/>
    <n v="84110901"/>
    <n v="51570.141630901286"/>
    <n v="99996"/>
    <n v="5091"/>
    <n v="2198064.0599999996"/>
    <n v="1347.6787614960144"/>
    <n v="0.35149999999999998"/>
    <n v="1786955941.7700021"/>
    <x v="1"/>
    <n v="33023.399999999994"/>
  </r>
  <r>
    <s v="LN00371"/>
    <x v="370"/>
    <n v="36"/>
    <s v="Female"/>
    <s v="Single"/>
    <s v="Self-Employed"/>
    <n v="152547"/>
    <n v="307"/>
    <n v="90412"/>
    <n v="23.25"/>
    <n v="120"/>
    <s v="Auto"/>
    <n v="32.840000000000003"/>
    <n v="75012"/>
    <n v="77627"/>
    <x v="330"/>
    <s v="Approved"/>
    <s v="Yes"/>
    <x v="1"/>
    <x v="369"/>
    <x v="370"/>
    <n v="587"/>
    <n v="518"/>
    <n v="0.35149999999999998"/>
    <n v="84081201"/>
    <n v="51583.558895705522"/>
    <n v="99996"/>
    <n v="5091"/>
    <n v="2195312.11"/>
    <n v="1346.8172453987729"/>
    <n v="0.35149999999999998"/>
    <n v="1784757877.7100019"/>
    <x v="0"/>
    <n v="11143.32"/>
  </r>
  <r>
    <s v="LN00372"/>
    <x v="371"/>
    <n v="63"/>
    <s v="Male"/>
    <s v="Married"/>
    <s v="Self-Employed"/>
    <n v="65965"/>
    <n v="347"/>
    <n v="40526"/>
    <n v="19.89"/>
    <n v="36"/>
    <s v="Business"/>
    <n v="38.68"/>
    <n v="40679"/>
    <n v="231520"/>
    <x v="331"/>
    <s v="Rejected"/>
    <s v="Yes"/>
    <x v="0"/>
    <x v="370"/>
    <x v="371"/>
    <n v="586"/>
    <n v="518"/>
    <n v="0.35149999999999998"/>
    <n v="83990789"/>
    <n v="51559.723143032534"/>
    <n v="99996"/>
    <n v="5091"/>
    <n v="2194383.5"/>
    <n v="1347.0739717618171"/>
    <n v="0.35149999999999998"/>
    <n v="1782562565.6000021"/>
    <x v="1"/>
    <n v="16195.560000000001"/>
  </r>
  <r>
    <s v="LN00373"/>
    <x v="372"/>
    <n v="53"/>
    <s v="Male"/>
    <s v="Married"/>
    <s v="Employed"/>
    <n v="60223"/>
    <n v="682"/>
    <n v="46156"/>
    <n v="4.8499999999999996"/>
    <n v="60"/>
    <s v="Business"/>
    <n v="16.190000000000001"/>
    <n v="22116"/>
    <n v="184904"/>
    <x v="332"/>
    <s v="Pending"/>
    <s v="Yes"/>
    <x v="3"/>
    <x v="371"/>
    <x v="372"/>
    <n v="586"/>
    <n v="517"/>
    <n v="0.35149999999999998"/>
    <n v="83950263"/>
    <n v="51566.500614250617"/>
    <n v="99996"/>
    <n v="5091"/>
    <n v="2193033.87"/>
    <n v="1347.0724017199018"/>
    <n v="0.35149999999999998"/>
    <n v="1780368182.1000021"/>
    <x v="1"/>
    <n v="9678.9600000000009"/>
  </r>
  <r>
    <s v="LN00374"/>
    <x v="373"/>
    <n v="62"/>
    <s v="Male"/>
    <s v="Divorced"/>
    <s v="Employed"/>
    <n v="66077"/>
    <n v="447"/>
    <n v="36685"/>
    <n v="7.11"/>
    <n v="36"/>
    <s v="Auto"/>
    <n v="43.13"/>
    <n v="32287"/>
    <n v="62251"/>
    <x v="145"/>
    <s v="Approved"/>
    <s v="No"/>
    <x v="1"/>
    <x v="372"/>
    <x v="373"/>
    <n v="586"/>
    <n v="517"/>
    <n v="0.35149999999999998"/>
    <n v="83904107"/>
    <n v="51569.826060233558"/>
    <n v="99996"/>
    <n v="5091"/>
    <n v="2192227.2900000005"/>
    <n v="1347.4046035648437"/>
    <n v="0.35149999999999998"/>
    <n v="1778175148.2300022"/>
    <x v="1"/>
    <n v="13097.76"/>
  </r>
  <r>
    <s v="LN00375"/>
    <x v="374"/>
    <n v="41"/>
    <s v="Male"/>
    <s v="Single"/>
    <s v="Employed"/>
    <n v="100797"/>
    <n v="411"/>
    <n v="78306"/>
    <n v="19"/>
    <n v="180"/>
    <s v="Business"/>
    <n v="22.41"/>
    <n v="54603"/>
    <n v="210076"/>
    <x v="333"/>
    <s v="Approved"/>
    <s v="Yes"/>
    <x v="3"/>
    <x v="373"/>
    <x v="374"/>
    <n v="585"/>
    <n v="517"/>
    <n v="0.35149999999999998"/>
    <n v="83867422"/>
    <n v="51578.980319803195"/>
    <n v="99996"/>
    <n v="5091"/>
    <n v="2191135.8100000005"/>
    <n v="1347.5619987699881"/>
    <n v="0.35149999999999998"/>
    <n v="1775982920.9400022"/>
    <x v="1"/>
    <n v="6212.2800000000007"/>
  </r>
  <r>
    <s v="LN00376"/>
    <x v="375"/>
    <n v="41"/>
    <s v="Male"/>
    <s v="Married"/>
    <s v="Self-Employed"/>
    <n v="39337"/>
    <n v="515"/>
    <n v="63527"/>
    <n v="4.2699999999999996"/>
    <n v="240"/>
    <s v="Personal"/>
    <n v="16.850000000000001"/>
    <n v="72064"/>
    <n v="56913"/>
    <x v="334"/>
    <s v="Pending"/>
    <s v="Yes"/>
    <x v="2"/>
    <x v="374"/>
    <x v="375"/>
    <n v="584"/>
    <n v="517"/>
    <n v="0.35149999999999998"/>
    <n v="83789116"/>
    <n v="51562.53292307692"/>
    <n v="99996"/>
    <n v="5091"/>
    <n v="2190618.12"/>
    <n v="1348.0726892307694"/>
    <n v="0.35149999999999998"/>
    <n v="1773791785.1300023"/>
    <x v="1"/>
    <n v="3312"/>
  </r>
  <r>
    <s v="LN00377"/>
    <x v="376"/>
    <n v="32"/>
    <s v="Male"/>
    <s v="Single"/>
    <s v="Self-Employed"/>
    <n v="94293"/>
    <n v="606"/>
    <n v="26667"/>
    <n v="6.24"/>
    <n v="12"/>
    <s v="Mortgage"/>
    <n v="35.28"/>
    <n v="23692"/>
    <n v="181437"/>
    <x v="335"/>
    <s v="Pending"/>
    <s v="No"/>
    <x v="0"/>
    <x v="375"/>
    <x v="376"/>
    <n v="584"/>
    <n v="517"/>
    <n v="0.35149999999999998"/>
    <n v="83725589"/>
    <n v="51555.165640394087"/>
    <n v="99996"/>
    <n v="5091"/>
    <n v="2190342.12"/>
    <n v="1348.7328325123153"/>
    <n v="0.35149999999999998"/>
    <n v="1771601167.0100021"/>
    <x v="1"/>
    <n v="28331.040000000001"/>
  </r>
  <r>
    <s v="LN00378"/>
    <x v="377"/>
    <n v="64"/>
    <s v="Male"/>
    <s v="Divorced"/>
    <s v="Unemployed"/>
    <n v="34176"/>
    <n v="750"/>
    <n v="48669"/>
    <n v="7.66"/>
    <n v="120"/>
    <s v="Mortgage"/>
    <n v="14.69"/>
    <n v="68274"/>
    <n v="23683"/>
    <x v="336"/>
    <s v="Approved"/>
    <s v="Yes"/>
    <x v="1"/>
    <x v="376"/>
    <x v="377"/>
    <n v="584"/>
    <n v="517"/>
    <n v="0.35149999999999998"/>
    <n v="83698922"/>
    <n v="51570.500308071474"/>
    <n v="99996"/>
    <n v="5091"/>
    <n v="2187981.1999999997"/>
    <n v="1348.1091805298827"/>
    <n v="0.35149999999999998"/>
    <n v="1769410824.8900023"/>
    <x v="0"/>
    <n v="5239.68"/>
  </r>
  <r>
    <s v="LN00379"/>
    <x v="378"/>
    <n v="34"/>
    <s v="Male"/>
    <s v="Divorced"/>
    <s v="Employed"/>
    <n v="23585"/>
    <n v="380"/>
    <n v="34574"/>
    <n v="5.9"/>
    <n v="60"/>
    <s v="Personal"/>
    <n v="55.81"/>
    <n v="3645"/>
    <n v="55740"/>
    <x v="337"/>
    <s v="Approved"/>
    <s v="Yes"/>
    <x v="0"/>
    <x v="377"/>
    <x v="378"/>
    <n v="583"/>
    <n v="517"/>
    <n v="0.35149999999999998"/>
    <n v="83650253"/>
    <n v="51572.289149198521"/>
    <n v="99996"/>
    <n v="5091"/>
    <n v="2187544.5599999996"/>
    <n v="1348.6711220715165"/>
    <n v="0.35149999999999998"/>
    <n v="1767222843.690002"/>
    <x v="1"/>
    <n v="7322.76"/>
  </r>
  <r>
    <s v="LN00380"/>
    <x v="379"/>
    <n v="26"/>
    <s v="Male"/>
    <s v="Married"/>
    <s v="Employed"/>
    <n v="87206"/>
    <n v="844"/>
    <n v="13178"/>
    <n v="10.52"/>
    <n v="48"/>
    <s v="Mortgage"/>
    <n v="42.72"/>
    <n v="40326"/>
    <n v="21491"/>
    <x v="338"/>
    <s v="Rejected"/>
    <s v="No"/>
    <x v="1"/>
    <x v="378"/>
    <x v="379"/>
    <n v="582"/>
    <n v="517"/>
    <n v="0.35149999999999998"/>
    <n v="83615679"/>
    <n v="51582.775447254782"/>
    <n v="99996"/>
    <n v="5091"/>
    <n v="2186934.3299999996"/>
    <n v="1349.1266687230102"/>
    <n v="0.35149999999999998"/>
    <n v="1765035299.130002"/>
    <x v="1"/>
    <n v="3641.04"/>
  </r>
  <r>
    <s v="LN00381"/>
    <x v="380"/>
    <n v="46"/>
    <s v="Male"/>
    <s v="Divorced"/>
    <s v="Employed"/>
    <n v="143309"/>
    <n v="680"/>
    <n v="37712"/>
    <n v="12.33"/>
    <n v="180"/>
    <s v="Auto"/>
    <n v="18.239999999999998"/>
    <n v="78519"/>
    <n v="185354"/>
    <x v="339"/>
    <s v="Approved"/>
    <s v="Yes"/>
    <x v="4"/>
    <x v="379"/>
    <x v="380"/>
    <n v="582"/>
    <n v="516"/>
    <n v="0.35149999999999998"/>
    <n v="83602501"/>
    <n v="51606.482098765431"/>
    <n v="99996"/>
    <n v="5091"/>
    <n v="2186630.9099999997"/>
    <n v="1349.7721666666664"/>
    <n v="0.35149999999999998"/>
    <n v="1762848364.8000019"/>
    <x v="1"/>
    <n v="2824.08"/>
  </r>
  <r>
    <s v="LN00382"/>
    <x v="381"/>
    <n v="27"/>
    <s v="Male"/>
    <s v="Married"/>
    <s v="Self-Employed"/>
    <n v="88235"/>
    <n v="501"/>
    <n v="73638"/>
    <n v="7.43"/>
    <n v="120"/>
    <s v="Personal"/>
    <n v="21.48"/>
    <n v="25793"/>
    <n v="51557"/>
    <x v="340"/>
    <s v="Pending"/>
    <s v="Yes"/>
    <x v="4"/>
    <x v="380"/>
    <x v="381"/>
    <n v="581"/>
    <n v="516"/>
    <n v="0.35149999999999998"/>
    <n v="83564789"/>
    <n v="51615.064237183447"/>
    <n v="99996"/>
    <n v="5091"/>
    <n v="2186395.5699999998"/>
    <n v="1350.460512662137"/>
    <n v="0.35149999999999998"/>
    <n v="1760661733.8900018"/>
    <x v="1"/>
    <n v="7910.88"/>
  </r>
  <r>
    <s v="LN00383"/>
    <x v="382"/>
    <n v="54"/>
    <s v="Male"/>
    <s v="Divorced"/>
    <s v="Unemployed"/>
    <n v="67042"/>
    <n v="696"/>
    <n v="86423"/>
    <n v="9.68"/>
    <n v="36"/>
    <s v="Auto"/>
    <n v="50.05"/>
    <n v="29866"/>
    <n v="61175"/>
    <x v="341"/>
    <s v="Approved"/>
    <s v="No"/>
    <x v="0"/>
    <x v="381"/>
    <x v="382"/>
    <n v="581"/>
    <n v="516"/>
    <n v="0.35149999999999998"/>
    <n v="83491151"/>
    <n v="51601.453028430158"/>
    <n v="99996"/>
    <n v="5091"/>
    <n v="2185736.3299999996"/>
    <n v="1350.8877194066747"/>
    <n v="0.35149999999999998"/>
    <n v="1758475338.3200018"/>
    <x v="1"/>
    <n v="31596.239999999998"/>
  </r>
  <r>
    <s v="LN00384"/>
    <x v="383"/>
    <n v="32"/>
    <s v="Male"/>
    <s v="Married"/>
    <s v="Unemployed"/>
    <n v="58282"/>
    <n v="756"/>
    <n v="29970"/>
    <n v="9.39"/>
    <n v="240"/>
    <s v="Mortgage"/>
    <n v="40.47"/>
    <n v="76517"/>
    <n v="150542"/>
    <x v="129"/>
    <s v="Pending"/>
    <s v="Yes"/>
    <x v="1"/>
    <x v="382"/>
    <x v="383"/>
    <n v="580"/>
    <n v="516"/>
    <n v="0.35149999999999998"/>
    <n v="83404728"/>
    <n v="51579.918367346938"/>
    <n v="99996"/>
    <n v="5091"/>
    <n v="2183103.31"/>
    <n v="1350.0948113790971"/>
    <n v="0.35149999999999998"/>
    <n v="1756289601.9900019"/>
    <x v="1"/>
    <n v="1639.1999999999998"/>
  </r>
  <r>
    <s v="LN00385"/>
    <x v="384"/>
    <n v="41"/>
    <s v="Female"/>
    <s v="Married"/>
    <s v="Unemployed"/>
    <n v="178937"/>
    <n v="347"/>
    <n v="42176"/>
    <n v="9.7100000000000009"/>
    <n v="360"/>
    <s v="Business"/>
    <n v="11.62"/>
    <n v="21240"/>
    <n v="39013"/>
    <x v="342"/>
    <s v="Rejected"/>
    <s v="No"/>
    <x v="2"/>
    <x v="383"/>
    <x v="384"/>
    <n v="580"/>
    <n v="516"/>
    <n v="0.35149999999999998"/>
    <n v="83374758"/>
    <n v="51593.290841584159"/>
    <n v="99996"/>
    <n v="5091"/>
    <n v="2182966.71"/>
    <n v="1350.8457363861387"/>
    <n v="0.35149999999999998"/>
    <n v="1754106498.680002"/>
    <x v="1"/>
    <n v="1542.3600000000001"/>
  </r>
  <r>
    <s v="LN00386"/>
    <x v="385"/>
    <n v="36"/>
    <s v="Male"/>
    <s v="Married"/>
    <s v="Employed"/>
    <n v="116173"/>
    <n v="506"/>
    <n v="32680"/>
    <n v="13.86"/>
    <n v="24"/>
    <s v="Mortgage"/>
    <n v="48.23"/>
    <n v="41998"/>
    <n v="242119"/>
    <x v="343"/>
    <s v="Pending"/>
    <s v="Yes"/>
    <x v="2"/>
    <x v="384"/>
    <x v="385"/>
    <n v="580"/>
    <n v="515"/>
    <n v="0.35149999999999998"/>
    <n v="83332582"/>
    <n v="51599.121981424149"/>
    <n v="99996"/>
    <n v="5091"/>
    <n v="2182838.1799999997"/>
    <n v="1351.602588235294"/>
    <n v="0.35149999999999998"/>
    <n v="1751923531.9700019"/>
    <x v="1"/>
    <n v="18604.68"/>
  </r>
  <r>
    <s v="LN00387"/>
    <x v="386"/>
    <n v="45"/>
    <s v="Male"/>
    <s v="Divorced"/>
    <s v="Self-Employed"/>
    <n v="73995"/>
    <n v="739"/>
    <n v="71809"/>
    <n v="16.989999999999998"/>
    <n v="36"/>
    <s v="Auto"/>
    <n v="52.47"/>
    <n v="60643"/>
    <n v="51414"/>
    <x v="344"/>
    <s v="Rejected"/>
    <s v="Yes"/>
    <x v="3"/>
    <x v="385"/>
    <x v="386"/>
    <n v="580"/>
    <n v="515"/>
    <n v="0.35149999999999998"/>
    <n v="83299902"/>
    <n v="51610.843866171002"/>
    <n v="99996"/>
    <n v="5091"/>
    <n v="2181287.79"/>
    <n v="1351.4794237918215"/>
    <n v="0.35149999999999998"/>
    <n v="1749740693.7900019"/>
    <x v="1"/>
    <n v="28003.08"/>
  </r>
  <r>
    <s v="LN00388"/>
    <x v="387"/>
    <n v="45"/>
    <s v="Female"/>
    <s v="Single"/>
    <s v="Unemployed"/>
    <n v="143926"/>
    <n v="676"/>
    <n v="30168"/>
    <n v="22.77"/>
    <n v="60"/>
    <s v="Education"/>
    <n v="43.95"/>
    <n v="67952"/>
    <n v="234172"/>
    <x v="345"/>
    <s v="Pending"/>
    <s v="Yes"/>
    <x v="1"/>
    <x v="386"/>
    <x v="387"/>
    <n v="580"/>
    <n v="514"/>
    <n v="0.35149999999999998"/>
    <n v="83228093"/>
    <n v="51598.321760694358"/>
    <n v="99996"/>
    <n v="5091"/>
    <n v="2178954.1999999997"/>
    <n v="1350.8705517668939"/>
    <n v="0.35149999999999998"/>
    <n v="1747559406.0000019"/>
    <x v="1"/>
    <n v="7407.48"/>
  </r>
  <r>
    <s v="LN00389"/>
    <x v="388"/>
    <n v="37"/>
    <s v="Male"/>
    <s v="Married"/>
    <s v="Self-Employed"/>
    <n v="84121"/>
    <n v="721"/>
    <n v="39473"/>
    <n v="15.93"/>
    <n v="360"/>
    <s v="Education"/>
    <n v="26.84"/>
    <n v="10932"/>
    <n v="190895"/>
    <x v="346"/>
    <s v="Approved"/>
    <s v="No"/>
    <x v="4"/>
    <x v="387"/>
    <x v="388"/>
    <n v="580"/>
    <n v="514"/>
    <n v="0.35149999999999998"/>
    <n v="83197925"/>
    <n v="51611.61600496278"/>
    <n v="99996"/>
    <n v="5091"/>
    <n v="2178336.9099999997"/>
    <n v="1351.3256265508683"/>
    <n v="0.35149999999999998"/>
    <n v="1745380451.8000016"/>
    <x v="1"/>
    <n v="1525.32"/>
  </r>
  <r>
    <s v="LN00390"/>
    <x v="389"/>
    <n v="34"/>
    <s v="Female"/>
    <s v="Single"/>
    <s v="Unemployed"/>
    <n v="68538"/>
    <n v="391"/>
    <n v="82862"/>
    <n v="4.84"/>
    <n v="360"/>
    <s v="Education"/>
    <n v="10.1"/>
    <n v="50899"/>
    <n v="172497"/>
    <x v="347"/>
    <s v="Pending"/>
    <s v="No"/>
    <x v="1"/>
    <x v="388"/>
    <x v="389"/>
    <n v="579"/>
    <n v="514"/>
    <n v="0.35149999999999998"/>
    <n v="83158452"/>
    <n v="51619.150837988826"/>
    <n v="99996"/>
    <n v="5091"/>
    <n v="2178209.7999999998"/>
    <n v="1352.0855369335816"/>
    <n v="0.35149999999999998"/>
    <n v="1743202114.8900015"/>
    <x v="1"/>
    <n v="2895.7200000000003"/>
  </r>
  <r>
    <s v="LN00391"/>
    <x v="390"/>
    <n v="58"/>
    <s v="Female"/>
    <s v="Divorced"/>
    <s v="Self-Employed"/>
    <n v="177317"/>
    <n v="550"/>
    <n v="25419"/>
    <n v="13.21"/>
    <n v="360"/>
    <s v="Personal"/>
    <n v="8.75"/>
    <n v="60235"/>
    <n v="2106"/>
    <x v="348"/>
    <s v="Pending"/>
    <s v="No"/>
    <x v="1"/>
    <x v="389"/>
    <x v="390"/>
    <n v="579"/>
    <n v="514"/>
    <n v="0.35149999999999998"/>
    <n v="83075590"/>
    <n v="51599.745341614907"/>
    <n v="99996"/>
    <n v="5091"/>
    <n v="2177968.4899999998"/>
    <n v="1352.7754596273292"/>
    <n v="0.35149999999999998"/>
    <n v="1741023905.0900016"/>
    <x v="1"/>
    <n v="959.28"/>
  </r>
  <r>
    <s v="LN00392"/>
    <x v="391"/>
    <n v="30"/>
    <s v="Male"/>
    <s v="Married"/>
    <s v="Self-Employed"/>
    <n v="36507"/>
    <n v="486"/>
    <n v="83076"/>
    <n v="13.74"/>
    <n v="48"/>
    <s v="Auto"/>
    <n v="24.32"/>
    <n v="21691"/>
    <n v="249843"/>
    <x v="349"/>
    <s v="Approved"/>
    <s v="Yes"/>
    <x v="2"/>
    <x v="390"/>
    <x v="391"/>
    <n v="579"/>
    <n v="514"/>
    <n v="0.35149999999999998"/>
    <n v="83050171"/>
    <n v="51616.016780609076"/>
    <n v="99996"/>
    <n v="5091"/>
    <n v="2177888.5499999993"/>
    <n v="1353.5665320074577"/>
    <n v="0.35149999999999998"/>
    <n v="1738845936.6000013"/>
    <x v="1"/>
    <n v="23622.720000000001"/>
  </r>
  <r>
    <s v="LN00393"/>
    <x v="392"/>
    <n v="53"/>
    <s v="Male"/>
    <s v="Single"/>
    <s v="Unemployed"/>
    <n v="154806"/>
    <n v="549"/>
    <n v="31977"/>
    <n v="8.83"/>
    <n v="48"/>
    <s v="Personal"/>
    <n v="23.9"/>
    <n v="42917"/>
    <n v="153063"/>
    <x v="350"/>
    <s v="Approved"/>
    <s v="No"/>
    <x v="1"/>
    <x v="391"/>
    <x v="392"/>
    <n v="578"/>
    <n v="514"/>
    <n v="0.35149999999999998"/>
    <n v="82967095"/>
    <n v="51596.452114427862"/>
    <n v="99996"/>
    <n v="5091"/>
    <n v="2175919.9899999993"/>
    <n v="1353.1840733830841"/>
    <n v="0.35149999999999998"/>
    <n v="1736668048.0500014"/>
    <x v="1"/>
    <n v="8700.119999999999"/>
  </r>
  <r>
    <s v="LN00394"/>
    <x v="393"/>
    <n v="51"/>
    <s v="Male"/>
    <s v="Divorced"/>
    <s v="Employed"/>
    <n v="183398"/>
    <n v="486"/>
    <n v="58768"/>
    <n v="16.04"/>
    <n v="360"/>
    <s v="Personal"/>
    <n v="58.77"/>
    <n v="53306"/>
    <n v="87021"/>
    <x v="351"/>
    <s v="Approved"/>
    <s v="No"/>
    <x v="4"/>
    <x v="392"/>
    <x v="393"/>
    <n v="577"/>
    <n v="514"/>
    <n v="0.35149999999999998"/>
    <n v="82935118"/>
    <n v="51608.660858743002"/>
    <n v="99996"/>
    <n v="5091"/>
    <n v="2175194.9799999995"/>
    <n v="1353.5749719975106"/>
    <n v="0.35149999999999998"/>
    <n v="1734492128.0600014"/>
    <x v="1"/>
    <n v="2273.16"/>
  </r>
  <r>
    <s v="LN00395"/>
    <x v="394"/>
    <n v="49"/>
    <s v="Female"/>
    <s v="Married"/>
    <s v="Self-Employed"/>
    <n v="86519"/>
    <n v="357"/>
    <n v="36523"/>
    <n v="15.82"/>
    <n v="36"/>
    <s v="Personal"/>
    <n v="41.11"/>
    <n v="59121"/>
    <n v="43139"/>
    <x v="352"/>
    <s v="Approved"/>
    <s v="Yes"/>
    <x v="2"/>
    <x v="393"/>
    <x v="394"/>
    <n v="576"/>
    <n v="514"/>
    <n v="0.35149999999999998"/>
    <n v="82876350"/>
    <n v="51604.202988792029"/>
    <n v="99996"/>
    <n v="5091"/>
    <n v="2175005.5499999993"/>
    <n v="1354.2998443337481"/>
    <n v="0.35149999999999998"/>
    <n v="1732316933.0800014"/>
    <x v="1"/>
    <n v="14100.36"/>
  </r>
  <r>
    <s v="LN00396"/>
    <x v="395"/>
    <n v="38"/>
    <s v="Male"/>
    <s v="Divorced"/>
    <s v="Self-Employed"/>
    <n v="139743"/>
    <n v="644"/>
    <n v="99071"/>
    <n v="9.48"/>
    <n v="360"/>
    <s v="Business"/>
    <n v="8.9700000000000006"/>
    <n v="35876"/>
    <n v="5990"/>
    <x v="353"/>
    <s v="Approved"/>
    <s v="Yes"/>
    <x v="2"/>
    <x v="394"/>
    <x v="395"/>
    <n v="575"/>
    <n v="514"/>
    <n v="0.35149999999999998"/>
    <n v="82839827"/>
    <n v="51613.599376947037"/>
    <n v="99996"/>
    <n v="5091"/>
    <n v="2173830.5199999996"/>
    <n v="1354.4115389408096"/>
    <n v="0.35149999999999998"/>
    <n v="1730141927.5300014"/>
    <x v="1"/>
    <n v="3615.4800000000005"/>
  </r>
  <r>
    <s v="LN00397"/>
    <x v="396"/>
    <n v="38"/>
    <s v="Male"/>
    <s v="Married"/>
    <s v="Unemployed"/>
    <n v="129178"/>
    <n v="617"/>
    <n v="14831"/>
    <n v="6.47"/>
    <n v="48"/>
    <s v="Education"/>
    <n v="58.39"/>
    <n v="16500"/>
    <n v="173446"/>
    <x v="354"/>
    <s v="Approved"/>
    <s v="No"/>
    <x v="0"/>
    <x v="395"/>
    <x v="396"/>
    <n v="574"/>
    <n v="514"/>
    <n v="0.35149999999999998"/>
    <n v="82740756"/>
    <n v="51584.012468827932"/>
    <n v="99996"/>
    <n v="5091"/>
    <n v="2173529.2299999995"/>
    <n v="1355.0680985037404"/>
    <n v="0.35149999999999998"/>
    <n v="1727968097.0100014"/>
    <x v="1"/>
    <n v="3947.6400000000003"/>
  </r>
  <r>
    <s v="LN00398"/>
    <x v="397"/>
    <n v="43"/>
    <s v="Male"/>
    <s v="Married"/>
    <s v="Self-Employed"/>
    <n v="163888"/>
    <n v="806"/>
    <n v="38482"/>
    <n v="9.75"/>
    <n v="240"/>
    <s v="Personal"/>
    <n v="7.53"/>
    <n v="61497"/>
    <n v="141091"/>
    <x v="117"/>
    <s v="Pending"/>
    <s v="No"/>
    <x v="0"/>
    <x v="396"/>
    <x v="397"/>
    <n v="573"/>
    <n v="514"/>
    <n v="0.35149999999999998"/>
    <n v="82725925"/>
    <n v="51606.940112289456"/>
    <n v="99996"/>
    <n v="5091"/>
    <n v="2173200.2599999998"/>
    <n v="1355.7082096069867"/>
    <n v="0.35149999999999998"/>
    <n v="1725794567.7800014"/>
    <x v="1"/>
    <n v="2111.64"/>
  </r>
  <r>
    <s v="LN00399"/>
    <x v="398"/>
    <n v="55"/>
    <s v="Female"/>
    <s v="Married"/>
    <s v="Self-Employed"/>
    <n v="130422"/>
    <n v="462"/>
    <n v="55555"/>
    <n v="14.13"/>
    <n v="360"/>
    <s v="Mortgage"/>
    <n v="32.96"/>
    <n v="27794"/>
    <n v="97720"/>
    <x v="78"/>
    <s v="Rejected"/>
    <s v="Yes"/>
    <x v="0"/>
    <x v="397"/>
    <x v="398"/>
    <n v="573"/>
    <n v="514"/>
    <n v="0.35149999999999998"/>
    <n v="82687443"/>
    <n v="51615.1329588015"/>
    <n v="99996"/>
    <n v="5091"/>
    <n v="2173024.2899999996"/>
    <n v="1356.4446254681645"/>
    <n v="0.35149999999999998"/>
    <n v="1723621367.5200014"/>
    <x v="1"/>
    <n v="2113.44"/>
  </r>
  <r>
    <s v="LN00400"/>
    <x v="399"/>
    <n v="29"/>
    <s v="Female"/>
    <s v="Married"/>
    <s v="Unemployed"/>
    <n v="28155"/>
    <n v="633"/>
    <n v="99497"/>
    <n v="13.47"/>
    <n v="240"/>
    <s v="Auto"/>
    <n v="58.13"/>
    <n v="1137"/>
    <n v="119213"/>
    <x v="355"/>
    <s v="Approved"/>
    <s v="No"/>
    <x v="4"/>
    <x v="398"/>
    <x v="399"/>
    <n v="573"/>
    <n v="513"/>
    <n v="0.35149999999999998"/>
    <n v="82631888"/>
    <n v="51612.672079950033"/>
    <n v="99996"/>
    <n v="5091"/>
    <n v="2172848.17"/>
    <n v="1357.1818675827608"/>
    <n v="0.35149999999999998"/>
    <n v="1721448343.2300014"/>
    <x v="1"/>
    <n v="5644.92"/>
  </r>
  <r>
    <s v="LN00401"/>
    <x v="400"/>
    <n v="53"/>
    <s v="Male"/>
    <s v="Single"/>
    <s v="Employed"/>
    <n v="178164"/>
    <n v="730"/>
    <n v="31640"/>
    <n v="11.44"/>
    <n v="48"/>
    <s v="Auto"/>
    <n v="28.48"/>
    <n v="29065"/>
    <n v="77459"/>
    <x v="356"/>
    <s v="Approved"/>
    <s v="No"/>
    <x v="2"/>
    <x v="399"/>
    <x v="400"/>
    <n v="572"/>
    <n v="513"/>
    <n v="0.35149999999999998"/>
    <n v="82532391"/>
    <n v="51582.744375000002"/>
    <n v="99996"/>
    <n v="5091"/>
    <n v="2172377.7599999998"/>
    <n v="1357.7360999999999"/>
    <n v="0.35149999999999998"/>
    <n v="1719275495.0600014"/>
    <x v="1"/>
    <n v="8814.9600000000009"/>
  </r>
  <r>
    <s v="LN00402"/>
    <x v="401"/>
    <n v="38"/>
    <s v="Male"/>
    <s v="Divorced"/>
    <s v="Employed"/>
    <n v="129314"/>
    <n v="740"/>
    <n v="41068"/>
    <n v="16.88"/>
    <n v="48"/>
    <s v="Auto"/>
    <n v="57.33"/>
    <n v="52009"/>
    <n v="146092"/>
    <x v="288"/>
    <s v="Rejected"/>
    <s v="No"/>
    <x v="3"/>
    <x v="400"/>
    <x v="401"/>
    <n v="571"/>
    <n v="513"/>
    <n v="0.35149999999999998"/>
    <n v="82500751"/>
    <n v="51595.216385240776"/>
    <n v="99996"/>
    <n v="5091"/>
    <n v="2171643.1799999997"/>
    <n v="1358.1258161350843"/>
    <n v="0.35149999999999998"/>
    <n v="1717103117.3000014"/>
    <x v="1"/>
    <n v="12000.119999999999"/>
  </r>
  <r>
    <s v="LN00403"/>
    <x v="402"/>
    <n v="63"/>
    <s v="Female"/>
    <s v="Divorced"/>
    <s v="Unemployed"/>
    <n v="160589"/>
    <n v="359"/>
    <n v="30018"/>
    <n v="15.96"/>
    <n v="24"/>
    <s v="Mortgage"/>
    <n v="18.68"/>
    <n v="12623"/>
    <n v="107239"/>
    <x v="357"/>
    <s v="Pending"/>
    <s v="Yes"/>
    <x v="0"/>
    <x v="401"/>
    <x v="402"/>
    <n v="571"/>
    <n v="512"/>
    <n v="0.35149999999999998"/>
    <n v="82459683"/>
    <n v="51601.804130162702"/>
    <n v="99996"/>
    <n v="5091"/>
    <n v="2170643.1699999995"/>
    <n v="1358.34991864831"/>
    <n v="0.35149999999999998"/>
    <n v="1714931474.1200011"/>
    <x v="1"/>
    <n v="17404.439999999999"/>
  </r>
  <r>
    <s v="LN00404"/>
    <x v="403"/>
    <n v="50"/>
    <s v="Female"/>
    <s v="Divorced"/>
    <s v="Employed"/>
    <n v="148626"/>
    <n v="672"/>
    <n v="61690"/>
    <n v="19.79"/>
    <n v="240"/>
    <s v="Education"/>
    <n v="30.86"/>
    <n v="77350"/>
    <n v="159272"/>
    <x v="358"/>
    <s v="Rejected"/>
    <s v="Yes"/>
    <x v="0"/>
    <x v="402"/>
    <x v="403"/>
    <n v="571"/>
    <n v="512"/>
    <n v="0.35149999999999998"/>
    <n v="82429665"/>
    <n v="51615.319348778961"/>
    <n v="99996"/>
    <n v="5091"/>
    <n v="2169192.7999999998"/>
    <n v="1358.2922980588603"/>
    <n v="0.35149999999999998"/>
    <n v="1712760830.9500012"/>
    <x v="1"/>
    <n v="3694.92"/>
  </r>
  <r>
    <s v="LN00405"/>
    <x v="404"/>
    <n v="35"/>
    <s v="Male"/>
    <s v="Married"/>
    <s v="Unemployed"/>
    <n v="58236"/>
    <n v="687"/>
    <n v="57119"/>
    <n v="13.24"/>
    <n v="360"/>
    <s v="Business"/>
    <n v="9.5"/>
    <n v="5580"/>
    <n v="231676"/>
    <x v="359"/>
    <s v="Approved"/>
    <s v="Yes"/>
    <x v="0"/>
    <x v="403"/>
    <x v="404"/>
    <n v="571"/>
    <n v="511"/>
    <n v="0.35149999999999998"/>
    <n v="82367975"/>
    <n v="51609.00689223058"/>
    <n v="99996"/>
    <n v="5091"/>
    <n v="2168884.89"/>
    <n v="1358.9504323308272"/>
    <n v="0.35149999999999998"/>
    <n v="1710591638.150001"/>
    <x v="1"/>
    <n v="2156.04"/>
  </r>
  <r>
    <s v="LN00406"/>
    <x v="405"/>
    <n v="61"/>
    <s v="Female"/>
    <s v="Divorced"/>
    <s v="Employed"/>
    <n v="112880"/>
    <n v="373"/>
    <n v="19327"/>
    <n v="18.36"/>
    <n v="360"/>
    <s v="Mortgage"/>
    <n v="28.98"/>
    <n v="62378"/>
    <n v="130643"/>
    <x v="360"/>
    <s v="Pending"/>
    <s v="No"/>
    <x v="4"/>
    <x v="404"/>
    <x v="405"/>
    <n v="570"/>
    <n v="511"/>
    <n v="0.35149999999999998"/>
    <n v="82310856"/>
    <n v="51605.552351097176"/>
    <n v="99996"/>
    <n v="5091"/>
    <n v="2168705.2200000002"/>
    <n v="1359.6897931034484"/>
    <n v="0.35149999999999998"/>
    <n v="1708422753.2600012"/>
    <x v="1"/>
    <n v="762.48"/>
  </r>
  <r>
    <s v="LN00407"/>
    <x v="406"/>
    <n v="62"/>
    <s v="Male"/>
    <s v="Divorced"/>
    <s v="Employed"/>
    <n v="62231"/>
    <n v="380"/>
    <n v="68613"/>
    <n v="18.96"/>
    <n v="180"/>
    <s v="Business"/>
    <n v="48.46"/>
    <n v="62561"/>
    <n v="214601"/>
    <x v="361"/>
    <s v="Pending"/>
    <s v="No"/>
    <x v="4"/>
    <x v="405"/>
    <x v="406"/>
    <n v="570"/>
    <n v="511"/>
    <n v="0.35149999999999998"/>
    <n v="82291529"/>
    <n v="51625.802383939772"/>
    <n v="99996"/>
    <n v="5091"/>
    <n v="2168641.6800000002"/>
    <n v="1360.5029360100377"/>
    <n v="0.35149999999999998"/>
    <n v="1706254048.0400009"/>
    <x v="1"/>
    <n v="5441.5199999999995"/>
  </r>
  <r>
    <s v="LN00408"/>
    <x v="407"/>
    <n v="56"/>
    <s v="Female"/>
    <s v="Divorced"/>
    <s v="Unemployed"/>
    <n v="154916"/>
    <n v="576"/>
    <n v="81515"/>
    <n v="17.09"/>
    <n v="120"/>
    <s v="Business"/>
    <n v="34.58"/>
    <n v="73569"/>
    <n v="67134"/>
    <x v="173"/>
    <s v="Pending"/>
    <s v="Yes"/>
    <x v="1"/>
    <x v="406"/>
    <x v="407"/>
    <n v="570"/>
    <n v="511"/>
    <n v="0.35149999999999998"/>
    <n v="82222916"/>
    <n v="51615.138731952291"/>
    <n v="99996"/>
    <n v="5091"/>
    <n v="2168188.2200000002"/>
    <n v="1361.0723289391087"/>
    <n v="0.35149999999999998"/>
    <n v="1704085406.3600011"/>
    <x v="1"/>
    <n v="9544.56"/>
  </r>
  <r>
    <s v="LN00409"/>
    <x v="408"/>
    <n v="54"/>
    <s v="Female"/>
    <s v="Single"/>
    <s v="Self-Employed"/>
    <n v="189120"/>
    <n v="498"/>
    <n v="60968"/>
    <n v="4.3499999999999996"/>
    <n v="36"/>
    <s v="Auto"/>
    <n v="9.32"/>
    <n v="63554"/>
    <n v="98657"/>
    <x v="362"/>
    <s v="Pending"/>
    <s v="No"/>
    <x v="3"/>
    <x v="407"/>
    <x v="408"/>
    <n v="570"/>
    <n v="511"/>
    <n v="0.35149999999999998"/>
    <n v="82141401"/>
    <n v="51596.357412060301"/>
    <n v="99996"/>
    <n v="5091"/>
    <n v="2167392.84"/>
    <n v="1361.4276633165828"/>
    <n v="0.35149999999999998"/>
    <n v="1701917218.1400011"/>
    <x v="1"/>
    <n v="21206.760000000002"/>
  </r>
  <r>
    <s v="LN00410"/>
    <x v="409"/>
    <n v="37"/>
    <s v="Female"/>
    <s v="Single"/>
    <s v="Unemployed"/>
    <n v="31160"/>
    <n v="477"/>
    <n v="61583"/>
    <n v="4.29"/>
    <n v="12"/>
    <s v="Education"/>
    <n v="20.13"/>
    <n v="36182"/>
    <n v="103454"/>
    <x v="363"/>
    <s v="Pending"/>
    <s v="No"/>
    <x v="2"/>
    <x v="408"/>
    <x v="409"/>
    <n v="570"/>
    <n v="511"/>
    <n v="0.35149999999999998"/>
    <n v="82080433"/>
    <n v="51590.467001885605"/>
    <n v="99996"/>
    <n v="5091"/>
    <n v="2165625.6100000003"/>
    <n v="1361.1726021370209"/>
    <n v="0.35149999999999998"/>
    <n v="1699749825.3000009"/>
    <x v="1"/>
    <n v="64224.959999999999"/>
  </r>
  <r>
    <s v="LN00411"/>
    <x v="410"/>
    <n v="59"/>
    <s v="Female"/>
    <s v="Married"/>
    <s v="Self-Employed"/>
    <n v="191253"/>
    <n v="390"/>
    <n v="16379"/>
    <n v="13.06"/>
    <n v="12"/>
    <s v="Personal"/>
    <n v="18.260000000000002"/>
    <n v="5305"/>
    <n v="246578"/>
    <x v="246"/>
    <s v="Pending"/>
    <s v="No"/>
    <x v="2"/>
    <x v="409"/>
    <x v="410"/>
    <n v="570"/>
    <n v="511"/>
    <n v="0.35149999999999998"/>
    <n v="82018850"/>
    <n v="51584.182389937108"/>
    <n v="99996"/>
    <n v="5091"/>
    <n v="2160273.5300000003"/>
    <n v="1358.6625974842768"/>
    <n v="0.35149999999999998"/>
    <n v="1697584199.690001"/>
    <x v="0"/>
    <n v="18518.04"/>
  </r>
  <r>
    <s v="LN00412"/>
    <x v="411"/>
    <n v="36"/>
    <s v="Male"/>
    <s v="Married"/>
    <s v="Unemployed"/>
    <n v="141964"/>
    <n v="425"/>
    <n v="21042"/>
    <n v="13.54"/>
    <n v="36"/>
    <s v="Business"/>
    <n v="36.340000000000003"/>
    <n v="73519"/>
    <n v="142171"/>
    <x v="364"/>
    <s v="Pending"/>
    <s v="Yes"/>
    <x v="1"/>
    <x v="410"/>
    <x v="411"/>
    <n v="570"/>
    <n v="511"/>
    <n v="0.35149999999999998"/>
    <n v="82002471"/>
    <n v="51606.337948395216"/>
    <n v="99996"/>
    <n v="5091"/>
    <n v="2158730.36"/>
    <n v="1358.5464820641912"/>
    <n v="0.35149999999999998"/>
    <n v="1695423926.1600008"/>
    <x v="0"/>
    <n v="7963.68"/>
  </r>
  <r>
    <s v="LN00413"/>
    <x v="412"/>
    <n v="56"/>
    <s v="Female"/>
    <s v="Single"/>
    <s v="Employed"/>
    <n v="93260"/>
    <n v="309"/>
    <n v="93626"/>
    <n v="9.64"/>
    <n v="36"/>
    <s v="Mortgage"/>
    <n v="32.549999999999997"/>
    <n v="42206"/>
    <n v="219873"/>
    <x v="136"/>
    <s v="Rejected"/>
    <s v="Yes"/>
    <x v="0"/>
    <x v="411"/>
    <x v="412"/>
    <n v="570"/>
    <n v="511"/>
    <n v="0.35149999999999998"/>
    <n v="81981429"/>
    <n v="51625.585012594456"/>
    <n v="99996"/>
    <n v="5091"/>
    <n v="2158066.7199999997"/>
    <n v="1358.9840806045338"/>
    <n v="0.35149999999999998"/>
    <n v="1693265195.8000011"/>
    <x v="1"/>
    <n v="34217.159999999996"/>
  </r>
  <r>
    <s v="LN00414"/>
    <x v="413"/>
    <n v="47"/>
    <s v="Male"/>
    <s v="Single"/>
    <s v="Unemployed"/>
    <n v="177977"/>
    <n v="468"/>
    <n v="12012"/>
    <n v="8.0399999999999991"/>
    <n v="360"/>
    <s v="Auto"/>
    <n v="24.02"/>
    <n v="66371"/>
    <n v="187416"/>
    <x v="365"/>
    <s v="Rejected"/>
    <s v="No"/>
    <x v="0"/>
    <x v="412"/>
    <x v="413"/>
    <n v="570"/>
    <n v="510"/>
    <n v="0.35149999999999998"/>
    <n v="81887803"/>
    <n v="51599.119722747324"/>
    <n v="99996"/>
    <n v="5091"/>
    <n v="2155215.29"/>
    <n v="1358.0436609955891"/>
    <n v="0.35149999999999998"/>
    <n v="1691107129.0800011"/>
    <x v="1"/>
    <n v="432.59999999999997"/>
  </r>
  <r>
    <s v="LN00415"/>
    <x v="414"/>
    <n v="31"/>
    <s v="Female"/>
    <s v="Divorced"/>
    <s v="Employed"/>
    <n v="197864"/>
    <n v="536"/>
    <n v="7855"/>
    <n v="23.76"/>
    <n v="48"/>
    <s v="Business"/>
    <n v="58.93"/>
    <n v="51491"/>
    <n v="224944"/>
    <x v="366"/>
    <s v="Approved"/>
    <s v="Yes"/>
    <x v="1"/>
    <x v="413"/>
    <x v="414"/>
    <n v="570"/>
    <n v="509"/>
    <n v="0.35149999999999998"/>
    <n v="81875791"/>
    <n v="51624.080075662045"/>
    <n v="99996"/>
    <n v="5091"/>
    <n v="2155179.2399999998"/>
    <n v="1358.8772005044134"/>
    <n v="0.35149999999999998"/>
    <n v="1688951913.7900009"/>
    <x v="1"/>
    <n v="2430.36"/>
  </r>
  <r>
    <s v="LN00416"/>
    <x v="415"/>
    <n v="50"/>
    <s v="Male"/>
    <s v="Married"/>
    <s v="Unemployed"/>
    <n v="131419"/>
    <n v="750"/>
    <n v="50332"/>
    <n v="10.33"/>
    <n v="180"/>
    <s v="Business"/>
    <n v="15.87"/>
    <n v="22343"/>
    <n v="185856"/>
    <x v="367"/>
    <s v="Rejected"/>
    <s v="No"/>
    <x v="3"/>
    <x v="414"/>
    <x v="415"/>
    <n v="569"/>
    <n v="509"/>
    <n v="0.35149999999999998"/>
    <n v="81867936"/>
    <n v="51651.694637223976"/>
    <n v="99996"/>
    <n v="5091"/>
    <n v="2154976.71"/>
    <n v="1359.6067570977918"/>
    <n v="0.35149999999999998"/>
    <n v="1686796734.5500009"/>
    <x v="1"/>
    <n v="3702.12"/>
  </r>
  <r>
    <s v="LN00417"/>
    <x v="416"/>
    <n v="44"/>
    <s v="Female"/>
    <s v="Divorced"/>
    <s v="Unemployed"/>
    <n v="89739"/>
    <n v="499"/>
    <n v="99494"/>
    <n v="14.55"/>
    <n v="360"/>
    <s v="Education"/>
    <n v="35.36"/>
    <n v="28366"/>
    <n v="111476"/>
    <x v="204"/>
    <s v="Approved"/>
    <s v="No"/>
    <x v="2"/>
    <x v="415"/>
    <x v="416"/>
    <n v="569"/>
    <n v="508"/>
    <n v="0.35149999999999998"/>
    <n v="81817604"/>
    <n v="51652.527777777781"/>
    <n v="99996"/>
    <n v="5091"/>
    <n v="2154668.1999999997"/>
    <n v="1360.2703282828281"/>
    <n v="0.35149999999999998"/>
    <n v="1684641757.8400009"/>
    <x v="1"/>
    <n v="3798.96"/>
  </r>
  <r>
    <s v="LN00418"/>
    <x v="417"/>
    <n v="50"/>
    <s v="Female"/>
    <s v="Single"/>
    <s v="Employed"/>
    <n v="169445"/>
    <n v="434"/>
    <n v="34735"/>
    <n v="4.47"/>
    <n v="24"/>
    <s v="Business"/>
    <n v="46.22"/>
    <n v="64873"/>
    <n v="105040"/>
    <x v="368"/>
    <s v="Rejected"/>
    <s v="Yes"/>
    <x v="4"/>
    <x v="416"/>
    <x v="417"/>
    <n v="568"/>
    <n v="508"/>
    <n v="0.35149999999999998"/>
    <n v="81718110"/>
    <n v="51622.305748578648"/>
    <n v="99996"/>
    <n v="5091"/>
    <n v="2154351.6199999996"/>
    <n v="1360.9296399241944"/>
    <n v="0.35149999999999998"/>
    <n v="1682487089.6400008"/>
    <x v="1"/>
    <n v="18143.88"/>
  </r>
  <r>
    <s v="LN00419"/>
    <x v="418"/>
    <n v="41"/>
    <s v="Female"/>
    <s v="Married"/>
    <s v="Self-Employed"/>
    <n v="196930"/>
    <n v="733"/>
    <n v="24036"/>
    <n v="17.239999999999998"/>
    <n v="36"/>
    <s v="Auto"/>
    <n v="28.12"/>
    <n v="46727"/>
    <n v="65988"/>
    <x v="369"/>
    <s v="Pending"/>
    <s v="No"/>
    <x v="1"/>
    <x v="417"/>
    <x v="418"/>
    <n v="568"/>
    <n v="507"/>
    <n v="0.35149999999999998"/>
    <n v="81683375"/>
    <n v="51632.980404551199"/>
    <n v="99996"/>
    <n v="5091"/>
    <n v="2152839.6299999994"/>
    <n v="1360.8341529709226"/>
    <n v="0.35149999999999998"/>
    <n v="1680332738.0200009"/>
    <x v="1"/>
    <n v="9393.24"/>
  </r>
  <r>
    <s v="LN00420"/>
    <x v="419"/>
    <n v="56"/>
    <s v="Female"/>
    <s v="Married"/>
    <s v="Employed"/>
    <n v="112896"/>
    <n v="840"/>
    <n v="43571"/>
    <n v="11.02"/>
    <n v="12"/>
    <s v="Auto"/>
    <n v="10.45"/>
    <n v="59684"/>
    <n v="86347"/>
    <x v="370"/>
    <s v="Approved"/>
    <s v="Yes"/>
    <x v="0"/>
    <x v="418"/>
    <x v="419"/>
    <n v="568"/>
    <n v="507"/>
    <n v="0.35149999999999998"/>
    <n v="81659339"/>
    <n v="51650.435800126499"/>
    <n v="99996"/>
    <n v="5091"/>
    <n v="2152056.8599999994"/>
    <n v="1361.1997849462362"/>
    <n v="0.35149999999999998"/>
    <n v="1678179898.3900008"/>
    <x v="1"/>
    <n v="48372.479999999996"/>
  </r>
  <r>
    <s v="LN00421"/>
    <x v="420"/>
    <n v="60"/>
    <s v="Female"/>
    <s v="Single"/>
    <s v="Unemployed"/>
    <n v="151133"/>
    <n v="521"/>
    <n v="98310"/>
    <n v="20.49"/>
    <n v="120"/>
    <s v="Mortgage"/>
    <n v="37.46"/>
    <n v="55954"/>
    <n v="162537"/>
    <x v="371"/>
    <s v="Rejected"/>
    <s v="No"/>
    <x v="1"/>
    <x v="419"/>
    <x v="420"/>
    <n v="567"/>
    <n v="507"/>
    <n v="0.35149999999999998"/>
    <n v="81615768"/>
    <n v="51655.549367088606"/>
    <n v="99996"/>
    <n v="5091"/>
    <n v="2148025.8199999998"/>
    <n v="1359.5100126582277"/>
    <n v="0.35149999999999998"/>
    <n v="1676027841.5300009"/>
    <x v="0"/>
    <n v="11845.32"/>
  </r>
  <r>
    <s v="LN00422"/>
    <x v="421"/>
    <n v="58"/>
    <s v="Female"/>
    <s v="Divorced"/>
    <s v="Employed"/>
    <n v="100297"/>
    <n v="648"/>
    <n v="12760"/>
    <n v="10.88"/>
    <n v="60"/>
    <s v="Education"/>
    <n v="57.62"/>
    <n v="42870"/>
    <n v="174427"/>
    <x v="259"/>
    <s v="Pending"/>
    <s v="Yes"/>
    <x v="2"/>
    <x v="420"/>
    <x v="421"/>
    <n v="567"/>
    <n v="506"/>
    <n v="0.35149999999999998"/>
    <n v="81517458"/>
    <n v="51626.002533248895"/>
    <n v="99996"/>
    <n v="5091"/>
    <n v="2147038.7099999995"/>
    <n v="1359.7458581380617"/>
    <n v="0.35149999999999998"/>
    <n v="1673879815.710001"/>
    <x v="1"/>
    <n v="2829.6000000000004"/>
  </r>
  <r>
    <s v="LN00423"/>
    <x v="422"/>
    <n v="59"/>
    <s v="Female"/>
    <s v="Single"/>
    <s v="Unemployed"/>
    <n v="101030"/>
    <n v="590"/>
    <n v="72460"/>
    <n v="8.1999999999999993"/>
    <n v="240"/>
    <s v="Education"/>
    <n v="22.46"/>
    <n v="42545"/>
    <n v="39661"/>
    <x v="372"/>
    <s v="Approved"/>
    <s v="Yes"/>
    <x v="2"/>
    <x v="421"/>
    <x v="422"/>
    <n v="567"/>
    <n v="506"/>
    <n v="0.35149999999999998"/>
    <n v="81504698"/>
    <n v="51650.632446134347"/>
    <n v="99996"/>
    <n v="5091"/>
    <n v="2146802.9099999992"/>
    <n v="1360.4581178707219"/>
    <n v="0.35149999999999998"/>
    <n v="1671732777.000001"/>
    <x v="1"/>
    <n v="3920.04"/>
  </r>
  <r>
    <s v="LN00424"/>
    <x v="423"/>
    <n v="43"/>
    <s v="Female"/>
    <s v="Divorced"/>
    <s v="Self-Employed"/>
    <n v="71083"/>
    <n v="636"/>
    <n v="67983"/>
    <n v="10.61"/>
    <n v="36"/>
    <s v="Education"/>
    <n v="20.28"/>
    <n v="63710"/>
    <n v="208541"/>
    <x v="125"/>
    <s v="Rejected"/>
    <s v="Yes"/>
    <x v="3"/>
    <x v="422"/>
    <x v="423"/>
    <n v="566"/>
    <n v="506"/>
    <n v="0.35149999999999998"/>
    <n v="81432238"/>
    <n v="51637.436905516806"/>
    <n v="99996"/>
    <n v="5091"/>
    <n v="2146476.2399999993"/>
    <n v="1361.1136588459094"/>
    <n v="0.35149999999999998"/>
    <n v="1669585974.0900009"/>
    <x v="1"/>
    <n v="25065.360000000001"/>
  </r>
  <r>
    <s v="LN00425"/>
    <x v="424"/>
    <n v="40"/>
    <s v="Female"/>
    <s v="Married"/>
    <s v="Self-Employed"/>
    <n v="143094"/>
    <n v="716"/>
    <n v="96857"/>
    <n v="14.49"/>
    <n v="24"/>
    <s v="Mortgage"/>
    <n v="31.8"/>
    <n v="45786"/>
    <n v="210208"/>
    <x v="373"/>
    <s v="Approved"/>
    <s v="No"/>
    <x v="2"/>
    <x v="423"/>
    <x v="424"/>
    <n v="566"/>
    <n v="505"/>
    <n v="0.35149999999999998"/>
    <n v="81364255"/>
    <n v="51627.065355329949"/>
    <n v="99996"/>
    <n v="5091"/>
    <n v="2144387.4599999995"/>
    <n v="1360.6519416243652"/>
    <n v="0.35149999999999998"/>
    <n v="1667439497.8500011"/>
    <x v="1"/>
    <n v="55445.759999999995"/>
  </r>
  <r>
    <s v="LN00426"/>
    <x v="425"/>
    <n v="55"/>
    <s v="Female"/>
    <s v="Divorced"/>
    <s v="Unemployed"/>
    <n v="136099"/>
    <n v="517"/>
    <n v="68211"/>
    <n v="9.0399999999999991"/>
    <n v="120"/>
    <s v="Business"/>
    <n v="12.07"/>
    <n v="38832"/>
    <n v="180004"/>
    <x v="374"/>
    <s v="Rejected"/>
    <s v="No"/>
    <x v="3"/>
    <x v="424"/>
    <x v="425"/>
    <n v="565"/>
    <n v="505"/>
    <n v="0.35149999999999998"/>
    <n v="81267398"/>
    <n v="51598.347936507933"/>
    <n v="99996"/>
    <n v="5091"/>
    <n v="2139766.98"/>
    <n v="1358.5822095238095"/>
    <n v="0.35149999999999998"/>
    <n v="1665295110.3900008"/>
    <x v="1"/>
    <n v="7437.7199999999993"/>
  </r>
  <r>
    <s v="LN00427"/>
    <x v="426"/>
    <n v="22"/>
    <s v="Female"/>
    <s v="Single"/>
    <s v="Unemployed"/>
    <n v="198196"/>
    <n v="456"/>
    <n v="12918"/>
    <n v="17.47"/>
    <n v="240"/>
    <s v="Personal"/>
    <n v="44.42"/>
    <n v="21515"/>
    <n v="3998"/>
    <x v="375"/>
    <s v="Pending"/>
    <s v="No"/>
    <x v="4"/>
    <x v="425"/>
    <x v="426"/>
    <n v="565"/>
    <n v="504"/>
    <n v="0.35149999999999998"/>
    <n v="81199187"/>
    <n v="51587.793519695042"/>
    <n v="99996"/>
    <n v="5091"/>
    <n v="2139147.17"/>
    <n v="1359.0515692503177"/>
    <n v="0.35149999999999998"/>
    <n v="1663155343.4100006"/>
    <x v="1"/>
    <n v="758.76"/>
  </r>
  <r>
    <s v="LN00428"/>
    <x v="427"/>
    <n v="49"/>
    <s v="Male"/>
    <s v="Single"/>
    <s v="Unemployed"/>
    <n v="177007"/>
    <n v="697"/>
    <n v="11647"/>
    <n v="4.3899999999999997"/>
    <n v="360"/>
    <s v="Education"/>
    <n v="28.93"/>
    <n v="57395"/>
    <n v="96505"/>
    <x v="376"/>
    <s v="Approved"/>
    <s v="Yes"/>
    <x v="3"/>
    <x v="426"/>
    <x v="427"/>
    <n v="565"/>
    <n v="504"/>
    <n v="0.35149999999999998"/>
    <n v="81186269"/>
    <n v="51612.376986649717"/>
    <n v="99996"/>
    <n v="5091"/>
    <n v="2139083.94"/>
    <n v="1359.8753591862683"/>
    <n v="0.35149999999999998"/>
    <n v="1661016196.2400005"/>
    <x v="1"/>
    <n v="405.24"/>
  </r>
  <r>
    <s v="LN00429"/>
    <x v="428"/>
    <n v="54"/>
    <s v="Male"/>
    <s v="Married"/>
    <s v="Self-Employed"/>
    <n v="128768"/>
    <n v="382"/>
    <n v="85985"/>
    <n v="16.010000000000002"/>
    <n v="48"/>
    <s v="Auto"/>
    <n v="32.270000000000003"/>
    <n v="5751"/>
    <n v="180513"/>
    <x v="185"/>
    <s v="Rejected"/>
    <s v="Yes"/>
    <x v="1"/>
    <x v="427"/>
    <x v="428"/>
    <n v="564"/>
    <n v="504"/>
    <n v="0.35149999999999998"/>
    <n v="81174622"/>
    <n v="51637.800254452923"/>
    <n v="99996"/>
    <n v="5091"/>
    <n v="2139050.17"/>
    <n v="1360.7189376590331"/>
    <n v="0.35149999999999998"/>
    <n v="1658877112.3000004"/>
    <x v="1"/>
    <n v="24937.800000000003"/>
  </r>
  <r>
    <s v="LN00430"/>
    <x v="429"/>
    <n v="41"/>
    <s v="Male"/>
    <s v="Divorced"/>
    <s v="Self-Employed"/>
    <n v="46924"/>
    <n v="306"/>
    <n v="35159"/>
    <n v="20.41"/>
    <n v="240"/>
    <s v="Mortgage"/>
    <n v="58.64"/>
    <n v="37127"/>
    <n v="76066"/>
    <x v="377"/>
    <s v="Rejected"/>
    <s v="Yes"/>
    <x v="2"/>
    <x v="428"/>
    <x v="429"/>
    <n v="564"/>
    <n v="503"/>
    <n v="0.35149999999999998"/>
    <n v="81088637"/>
    <n v="51615.936982813495"/>
    <n v="99996"/>
    <n v="5091"/>
    <n v="2136972.0199999996"/>
    <n v="1360.2622660725649"/>
    <n v="0.35149999999999998"/>
    <n v="1656738062.1300004"/>
    <x v="1"/>
    <n v="2116.8000000000002"/>
  </r>
  <r>
    <s v="LN00431"/>
    <x v="430"/>
    <n v="37"/>
    <s v="Male"/>
    <s v="Single"/>
    <s v="Self-Employed"/>
    <n v="148392"/>
    <n v="681"/>
    <n v="19886"/>
    <n v="13.35"/>
    <n v="36"/>
    <s v="Business"/>
    <n v="24.34"/>
    <n v="35697"/>
    <n v="171025"/>
    <x v="378"/>
    <s v="Approved"/>
    <s v="Yes"/>
    <x v="3"/>
    <x v="429"/>
    <x v="430"/>
    <n v="564"/>
    <n v="502"/>
    <n v="0.35149999999999998"/>
    <n v="81053478"/>
    <n v="51626.419108280257"/>
    <n v="99996"/>
    <n v="5091"/>
    <n v="2136795.6199999996"/>
    <n v="1361.0163184713374"/>
    <n v="0.35149999999999998"/>
    <n v="1654601090.1100004"/>
    <x v="1"/>
    <n v="7513.5599999999995"/>
  </r>
  <r>
    <s v="LN00432"/>
    <x v="431"/>
    <n v="36"/>
    <s v="Male"/>
    <s v="Single"/>
    <s v="Employed"/>
    <n v="44275"/>
    <n v="440"/>
    <n v="34086"/>
    <n v="5.24"/>
    <n v="60"/>
    <s v="Business"/>
    <n v="10.33"/>
    <n v="40519"/>
    <n v="124930"/>
    <x v="379"/>
    <s v="Approved"/>
    <s v="Yes"/>
    <x v="0"/>
    <x v="430"/>
    <x v="431"/>
    <n v="563"/>
    <n v="502"/>
    <n v="0.35149999999999998"/>
    <n v="81033592"/>
    <n v="51646.648820905037"/>
    <n v="99996"/>
    <n v="5091"/>
    <n v="2136169.4899999993"/>
    <n v="1361.4846972594005"/>
    <n v="0.35149999999999998"/>
    <n v="1652464294.4900005"/>
    <x v="1"/>
    <n v="7174.4400000000005"/>
  </r>
  <r>
    <s v="LN00433"/>
    <x v="432"/>
    <n v="59"/>
    <s v="Male"/>
    <s v="Divorced"/>
    <s v="Unemployed"/>
    <n v="148179"/>
    <n v="603"/>
    <n v="96617"/>
    <n v="6.23"/>
    <n v="240"/>
    <s v="Education"/>
    <n v="50.26"/>
    <n v="36131"/>
    <n v="148208"/>
    <x v="300"/>
    <s v="Pending"/>
    <s v="No"/>
    <x v="3"/>
    <x v="431"/>
    <x v="432"/>
    <n v="562"/>
    <n v="502"/>
    <n v="0.35149999999999998"/>
    <n v="80999506"/>
    <n v="51657.848214285717"/>
    <n v="99996"/>
    <n v="5091"/>
    <n v="2135571.6199999996"/>
    <n v="1361.9716964285712"/>
    <n v="0.35149999999999998"/>
    <n v="1650328125.0000002"/>
    <x v="1"/>
    <n v="5131.7999999999993"/>
  </r>
  <r>
    <s v="LN00434"/>
    <x v="433"/>
    <n v="49"/>
    <s v="Female"/>
    <s v="Divorced"/>
    <s v="Self-Employed"/>
    <n v="138695"/>
    <n v="452"/>
    <n v="64997"/>
    <n v="6.04"/>
    <n v="24"/>
    <s v="Personal"/>
    <n v="43.18"/>
    <n v="15196"/>
    <n v="68998"/>
    <x v="380"/>
    <s v="Approved"/>
    <s v="No"/>
    <x v="0"/>
    <x v="432"/>
    <x v="433"/>
    <n v="562"/>
    <n v="502"/>
    <n v="0.35149999999999998"/>
    <n v="80902889"/>
    <n v="51629.156987874921"/>
    <n v="99996"/>
    <n v="5091"/>
    <n v="2135143.9699999993"/>
    <n v="1362.5679451180595"/>
    <n v="0.35149999999999998"/>
    <n v="1648192553.3800004"/>
    <x v="1"/>
    <n v="34461.360000000001"/>
  </r>
  <r>
    <s v="LN00435"/>
    <x v="434"/>
    <n v="43"/>
    <s v="Female"/>
    <s v="Single"/>
    <s v="Unemployed"/>
    <n v="106525"/>
    <n v="812"/>
    <n v="46903"/>
    <n v="18.62"/>
    <n v="36"/>
    <s v="Mortgage"/>
    <n v="45.31"/>
    <n v="65851"/>
    <n v="79280"/>
    <x v="381"/>
    <s v="Approved"/>
    <s v="No"/>
    <x v="4"/>
    <x v="433"/>
    <x v="434"/>
    <n v="561"/>
    <n v="502"/>
    <n v="0.35149999999999998"/>
    <n v="80837892"/>
    <n v="51620.620689655174"/>
    <n v="99996"/>
    <n v="5091"/>
    <n v="2132272.1899999995"/>
    <n v="1361.6042081736905"/>
    <n v="0.35149999999999998"/>
    <n v="1646057409.4100003"/>
    <x v="1"/>
    <n v="18545.400000000001"/>
  </r>
  <r>
    <s v="LN00436"/>
    <x v="435"/>
    <n v="65"/>
    <s v="Female"/>
    <s v="Married"/>
    <s v="Self-Employed"/>
    <n v="27145"/>
    <n v="637"/>
    <n v="7515"/>
    <n v="16.98"/>
    <n v="36"/>
    <s v="Personal"/>
    <n v="24.24"/>
    <n v="10034"/>
    <n v="113283"/>
    <x v="382"/>
    <s v="Rejected"/>
    <s v="Yes"/>
    <x v="2"/>
    <x v="434"/>
    <x v="435"/>
    <n v="560"/>
    <n v="502"/>
    <n v="0.35149999999999998"/>
    <n v="80790989"/>
    <n v="51623.63514376997"/>
    <n v="99996"/>
    <n v="5091"/>
    <n v="2130726.7399999993"/>
    <n v="1361.4867348242808"/>
    <n v="0.35149999999999998"/>
    <n v="1643925137.2200003"/>
    <x v="1"/>
    <n v="2930.3999999999996"/>
  </r>
  <r>
    <s v="LN00437"/>
    <x v="436"/>
    <n v="50"/>
    <s v="Male"/>
    <s v="Married"/>
    <s v="Self-Employed"/>
    <n v="174012"/>
    <n v="688"/>
    <n v="27786"/>
    <n v="7.74"/>
    <n v="12"/>
    <s v="Auto"/>
    <n v="6.38"/>
    <n v="56020"/>
    <n v="224294"/>
    <x v="383"/>
    <s v="Pending"/>
    <s v="No"/>
    <x v="4"/>
    <x v="435"/>
    <x v="436"/>
    <n v="560"/>
    <n v="501"/>
    <n v="0.35149999999999998"/>
    <n v="80783474"/>
    <n v="51651.837595907928"/>
    <n v="99996"/>
    <n v="5091"/>
    <n v="2130482.5399999996"/>
    <n v="1362.2011125319691"/>
    <n v="0.35149999999999998"/>
    <n v="1641794410.4800003"/>
    <x v="1"/>
    <n v="29936.639999999999"/>
  </r>
  <r>
    <s v="LN00438"/>
    <x v="437"/>
    <n v="23"/>
    <s v="Male"/>
    <s v="Single"/>
    <s v="Self-Employed"/>
    <n v="78401"/>
    <n v="834"/>
    <n v="68096"/>
    <n v="10.53"/>
    <n v="240"/>
    <s v="Business"/>
    <n v="45.45"/>
    <n v="36137"/>
    <n v="145911"/>
    <x v="384"/>
    <s v="Approved"/>
    <s v="No"/>
    <x v="1"/>
    <x v="436"/>
    <x v="437"/>
    <n v="560"/>
    <n v="501"/>
    <n v="0.35149999999999998"/>
    <n v="80755688"/>
    <n v="51667.106845809343"/>
    <n v="99996"/>
    <n v="5091"/>
    <n v="2127987.8199999994"/>
    <n v="1361.4765323096606"/>
    <n v="0.35149999999999998"/>
    <n v="1639663927.9400001"/>
    <x v="0"/>
    <n v="3763.32"/>
  </r>
  <r>
    <s v="LN00439"/>
    <x v="438"/>
    <n v="46"/>
    <s v="Male"/>
    <s v="Single"/>
    <s v="Employed"/>
    <n v="22812"/>
    <n v="402"/>
    <n v="68637"/>
    <n v="13.17"/>
    <n v="24"/>
    <s v="Education"/>
    <n v="43.31"/>
    <n v="12770"/>
    <n v="106645"/>
    <x v="11"/>
    <s v="Pending"/>
    <s v="No"/>
    <x v="4"/>
    <x v="437"/>
    <x v="438"/>
    <n v="559"/>
    <n v="501"/>
    <n v="0.35149999999999998"/>
    <n v="80687592"/>
    <n v="51656.588988476309"/>
    <n v="99996"/>
    <n v="5091"/>
    <n v="2127674.2099999995"/>
    <n v="1362.1473815620996"/>
    <n v="0.35149999999999998"/>
    <n v="1637535940.1199996"/>
    <x v="1"/>
    <n v="38838.239999999998"/>
  </r>
  <r>
    <s v="LN00440"/>
    <x v="439"/>
    <n v="59"/>
    <s v="Male"/>
    <s v="Divorced"/>
    <s v="Self-Employed"/>
    <n v="93193"/>
    <n v="780"/>
    <n v="89867"/>
    <n v="19.68"/>
    <n v="360"/>
    <s v="Business"/>
    <n v="11.19"/>
    <n v="38370"/>
    <n v="97125"/>
    <x v="385"/>
    <s v="Approved"/>
    <s v="No"/>
    <x v="0"/>
    <x v="438"/>
    <x v="439"/>
    <n v="559"/>
    <n v="501"/>
    <n v="0.35149999999999998"/>
    <n v="80618955"/>
    <n v="51645.711082639333"/>
    <n v="99996"/>
    <n v="5091"/>
    <n v="2124437.6899999995"/>
    <n v="1360.9466303651502"/>
    <n v="0.35149999999999998"/>
    <n v="1635408265.9099998"/>
    <x v="1"/>
    <n v="3585.12"/>
  </r>
  <r>
    <s v="LN00441"/>
    <x v="440"/>
    <n v="22"/>
    <s v="Female"/>
    <s v="Divorced"/>
    <s v="Self-Employed"/>
    <n v="173770"/>
    <n v="780"/>
    <n v="13396"/>
    <n v="5.17"/>
    <n v="240"/>
    <s v="Business"/>
    <n v="27.36"/>
    <n v="48567"/>
    <n v="172030"/>
    <x v="386"/>
    <s v="Pending"/>
    <s v="Yes"/>
    <x v="4"/>
    <x v="439"/>
    <x v="440"/>
    <n v="558"/>
    <n v="501"/>
    <n v="0.35149999999999998"/>
    <n v="80529088"/>
    <n v="51621.210256410253"/>
    <n v="99996"/>
    <n v="5091"/>
    <n v="2124138.9299999992"/>
    <n v="1361.6275192307687"/>
    <n v="0.35149999999999998"/>
    <n v="1633283828.2199998"/>
    <x v="1"/>
    <n v="704.40000000000009"/>
  </r>
  <r>
    <s v="LN00442"/>
    <x v="441"/>
    <n v="43"/>
    <s v="Male"/>
    <s v="Married"/>
    <s v="Employed"/>
    <n v="123503"/>
    <n v="624"/>
    <n v="96757"/>
    <n v="11.61"/>
    <n v="180"/>
    <s v="Business"/>
    <n v="55.96"/>
    <n v="12535"/>
    <n v="235792"/>
    <x v="216"/>
    <s v="Pending"/>
    <s v="Yes"/>
    <x v="2"/>
    <x v="440"/>
    <x v="441"/>
    <n v="558"/>
    <n v="501"/>
    <n v="0.35149999999999998"/>
    <n v="80515692"/>
    <n v="51645.729313662603"/>
    <n v="99996"/>
    <n v="5091"/>
    <n v="2124080.2299999995"/>
    <n v="1362.4632649134057"/>
    <n v="0.35149999999999998"/>
    <n v="1631159689.29"/>
    <x v="1"/>
    <n v="7199.4000000000005"/>
  </r>
  <r>
    <s v="LN00443"/>
    <x v="442"/>
    <n v="26"/>
    <s v="Female"/>
    <s v="Single"/>
    <s v="Employed"/>
    <n v="139208"/>
    <n v="404"/>
    <n v="74289"/>
    <n v="5.53"/>
    <n v="12"/>
    <s v="Personal"/>
    <n v="45.82"/>
    <n v="75507"/>
    <n v="77057"/>
    <x v="375"/>
    <s v="Pending"/>
    <s v="Yes"/>
    <x v="4"/>
    <x v="441"/>
    <x v="442"/>
    <n v="558"/>
    <n v="501"/>
    <n v="0.35149999999999998"/>
    <n v="80418935"/>
    <n v="51616.774711168167"/>
    <n v="99996"/>
    <n v="5091"/>
    <n v="2123480.2799999998"/>
    <n v="1362.9526829268291"/>
    <n v="0.35149999999999998"/>
    <n v="1629035609.0599999"/>
    <x v="1"/>
    <n v="78397.200000000012"/>
  </r>
  <r>
    <s v="LN00444"/>
    <x v="443"/>
    <n v="41"/>
    <s v="Female"/>
    <s v="Single"/>
    <s v="Unemployed"/>
    <n v="126871"/>
    <n v="813"/>
    <n v="74653"/>
    <n v="19.57"/>
    <n v="60"/>
    <s v="Business"/>
    <n v="19.96"/>
    <n v="45924"/>
    <n v="122627"/>
    <x v="387"/>
    <s v="Approved"/>
    <s v="Yes"/>
    <x v="4"/>
    <x v="442"/>
    <x v="443"/>
    <n v="558"/>
    <n v="501"/>
    <n v="0.35149999999999998"/>
    <n v="80344646"/>
    <n v="51602.213230571615"/>
    <n v="99996"/>
    <n v="5091"/>
    <n v="2116947.1799999997"/>
    <n v="1359.6321001926781"/>
    <n v="0.35149999999999998"/>
    <n v="1626912128.7799997"/>
    <x v="0"/>
    <n v="17852.52"/>
  </r>
  <r>
    <s v="LN00445"/>
    <x v="444"/>
    <n v="52"/>
    <s v="Male"/>
    <s v="Married"/>
    <s v="Self-Employed"/>
    <n v="87194"/>
    <n v="779"/>
    <n v="48912"/>
    <n v="5.98"/>
    <n v="36"/>
    <s v="Business"/>
    <n v="46.13"/>
    <n v="64178"/>
    <n v="37692"/>
    <x v="388"/>
    <s v="Rejected"/>
    <s v="No"/>
    <x v="1"/>
    <x v="443"/>
    <x v="444"/>
    <n v="557"/>
    <n v="501"/>
    <n v="0.35149999999999998"/>
    <n v="80269993"/>
    <n v="51587.399100257069"/>
    <n v="99996"/>
    <n v="5091"/>
    <n v="2115459.4699999997"/>
    <n v="1359.5497879177376"/>
    <n v="0.35149999999999998"/>
    <n v="1624795181.5999999"/>
    <x v="1"/>
    <n v="17278.920000000002"/>
  </r>
  <r>
    <s v="LN00446"/>
    <x v="445"/>
    <n v="33"/>
    <s v="Male"/>
    <s v="Divorced"/>
    <s v="Unemployed"/>
    <n v="165884"/>
    <n v="308"/>
    <n v="46802"/>
    <n v="13.17"/>
    <n v="12"/>
    <s v="Personal"/>
    <n v="35.6"/>
    <n v="29756"/>
    <n v="127785"/>
    <x v="328"/>
    <s v="Rejected"/>
    <s v="Yes"/>
    <x v="1"/>
    <x v="444"/>
    <x v="445"/>
    <n v="557"/>
    <n v="500"/>
    <n v="0.35149999999999998"/>
    <n v="80221081"/>
    <n v="51589.119614147909"/>
    <n v="99996"/>
    <n v="5091"/>
    <n v="2114019.5599999996"/>
    <n v="1359.4981093247586"/>
    <n v="0.35149999999999998"/>
    <n v="1622679722.1300001"/>
    <x v="1"/>
    <n v="52965.84"/>
  </r>
  <r>
    <s v="LN00447"/>
    <x v="446"/>
    <n v="42"/>
    <s v="Male"/>
    <s v="Divorced"/>
    <s v="Employed"/>
    <n v="137765"/>
    <n v="582"/>
    <n v="42156"/>
    <n v="21.39"/>
    <n v="12"/>
    <s v="Business"/>
    <n v="42.1"/>
    <n v="54039"/>
    <n v="238245"/>
    <x v="389"/>
    <s v="Rejected"/>
    <s v="Yes"/>
    <x v="2"/>
    <x v="445"/>
    <x v="446"/>
    <n v="557"/>
    <n v="499"/>
    <n v="0.35149999999999998"/>
    <n v="80174279"/>
    <n v="51592.200128700126"/>
    <n v="99996"/>
    <n v="5091"/>
    <n v="2109605.7399999993"/>
    <n v="1357.5326512226507"/>
    <n v="0.35149999999999998"/>
    <n v="1620565702.5699999"/>
    <x v="0"/>
    <n v="51173.16"/>
  </r>
  <r>
    <s v="LN00448"/>
    <x v="447"/>
    <n v="42"/>
    <s v="Male"/>
    <s v="Single"/>
    <s v="Self-Employed"/>
    <n v="81101"/>
    <n v="729"/>
    <n v="74586"/>
    <n v="15"/>
    <n v="120"/>
    <s v="Auto"/>
    <n v="26.59"/>
    <n v="78511"/>
    <n v="112405"/>
    <x v="390"/>
    <s v="Rejected"/>
    <s v="Yes"/>
    <x v="1"/>
    <x v="446"/>
    <x v="447"/>
    <n v="557"/>
    <n v="498"/>
    <n v="0.35149999999999998"/>
    <n v="80132123"/>
    <n v="51598.276239536382"/>
    <n v="99996"/>
    <n v="5091"/>
    <n v="2105341.3099999996"/>
    <n v="1355.6608564069541"/>
    <n v="0.35149999999999998"/>
    <n v="1618456096.8300002"/>
    <x v="0"/>
    <n v="8577.36"/>
  </r>
  <r>
    <s v="LN00449"/>
    <x v="448"/>
    <n v="56"/>
    <s v="Female"/>
    <s v="Divorced"/>
    <s v="Self-Employed"/>
    <n v="120945"/>
    <n v="837"/>
    <n v="36378"/>
    <n v="20.12"/>
    <n v="180"/>
    <s v="Personal"/>
    <n v="45"/>
    <n v="46398"/>
    <n v="54973"/>
    <x v="391"/>
    <s v="Approved"/>
    <s v="Yes"/>
    <x v="2"/>
    <x v="447"/>
    <x v="448"/>
    <n v="557"/>
    <n v="497"/>
    <n v="0.35149999999999998"/>
    <n v="80057537"/>
    <n v="51583.464561855668"/>
    <n v="99996"/>
    <n v="5091"/>
    <n v="2104626.5299999989"/>
    <n v="1356.0737951030922"/>
    <n v="0.35149999999999998"/>
    <n v="1616350755.5200002"/>
    <x v="1"/>
    <n v="2913.12"/>
  </r>
  <r>
    <s v="LN00450"/>
    <x v="449"/>
    <n v="41"/>
    <s v="Female"/>
    <s v="Married"/>
    <s v="Unemployed"/>
    <n v="73147"/>
    <n v="323"/>
    <n v="7089"/>
    <n v="22.12"/>
    <n v="240"/>
    <s v="Mortgage"/>
    <n v="8.0500000000000007"/>
    <n v="56475"/>
    <n v="143462"/>
    <x v="268"/>
    <s v="Rejected"/>
    <s v="Yes"/>
    <x v="2"/>
    <x v="448"/>
    <x v="449"/>
    <n v="556"/>
    <n v="497"/>
    <n v="0.35149999999999998"/>
    <n v="80021159"/>
    <n v="51593.268214055446"/>
    <n v="99996"/>
    <n v="5091"/>
    <n v="2104383.7699999991"/>
    <n v="1356.7915989684068"/>
    <n v="0.35149999999999998"/>
    <n v="1614246128.9900002"/>
    <x v="1"/>
    <n v="432.84000000000003"/>
  </r>
  <r>
    <s v="LN00451"/>
    <x v="450"/>
    <n v="56"/>
    <s v="Female"/>
    <s v="Single"/>
    <s v="Unemployed"/>
    <n v="54676"/>
    <n v="828"/>
    <n v="62652"/>
    <n v="5.75"/>
    <n v="12"/>
    <s v="Education"/>
    <n v="22.93"/>
    <n v="71579"/>
    <n v="33421"/>
    <x v="289"/>
    <s v="Pending"/>
    <s v="Yes"/>
    <x v="2"/>
    <x v="449"/>
    <x v="450"/>
    <n v="556"/>
    <n v="496"/>
    <n v="0.35149999999999998"/>
    <n v="80014070"/>
    <n v="51621.980645161289"/>
    <n v="99996"/>
    <n v="5091"/>
    <n v="2104347.6999999993"/>
    <n v="1357.6436774193544"/>
    <n v="0.35149999999999998"/>
    <n v="1612141745.2200003"/>
    <x v="1"/>
    <n v="66254.52"/>
  </r>
  <r>
    <s v="LN00452"/>
    <x v="451"/>
    <n v="47"/>
    <s v="Female"/>
    <s v="Married"/>
    <s v="Unemployed"/>
    <n v="158603"/>
    <n v="329"/>
    <n v="75042"/>
    <n v="16.079999999999998"/>
    <n v="120"/>
    <s v="Education"/>
    <n v="24.54"/>
    <n v="44688"/>
    <n v="196893"/>
    <x v="81"/>
    <s v="Approved"/>
    <s v="No"/>
    <x v="3"/>
    <x v="450"/>
    <x v="451"/>
    <n v="556"/>
    <n v="496"/>
    <n v="0.35149999999999998"/>
    <n v="79951418"/>
    <n v="51614.85990961911"/>
    <n v="99996"/>
    <n v="5091"/>
    <n v="2098826.4899999988"/>
    <n v="1354.9557714654609"/>
    <n v="0.35149999999999998"/>
    <n v="1610037397.5200005"/>
    <x v="0"/>
    <n v="8710.92"/>
  </r>
  <r>
    <s v="LN00453"/>
    <x v="452"/>
    <n v="32"/>
    <s v="Male"/>
    <s v="Married"/>
    <s v="Self-Employed"/>
    <n v="164208"/>
    <n v="828"/>
    <n v="94515"/>
    <n v="23.65"/>
    <n v="60"/>
    <s v="Business"/>
    <n v="21.7"/>
    <n v="4613"/>
    <n v="217109"/>
    <x v="392"/>
    <s v="Rejected"/>
    <s v="No"/>
    <x v="0"/>
    <x v="451"/>
    <x v="452"/>
    <n v="555"/>
    <n v="496"/>
    <n v="0.35149999999999998"/>
    <n v="79876376"/>
    <n v="51599.726098191211"/>
    <n v="99996"/>
    <n v="5091"/>
    <n v="2098100.5799999987"/>
    <n v="1355.362131782945"/>
    <n v="0.35149999999999998"/>
    <n v="1607938571.0300007"/>
    <x v="1"/>
    <n v="23373.599999999999"/>
  </r>
  <r>
    <s v="LN00454"/>
    <x v="453"/>
    <n v="52"/>
    <s v="Male"/>
    <s v="Married"/>
    <s v="Self-Employed"/>
    <n v="132165"/>
    <n v="696"/>
    <n v="21069"/>
    <n v="7.3"/>
    <n v="12"/>
    <s v="Auto"/>
    <n v="25.17"/>
    <n v="11976"/>
    <n v="146036"/>
    <x v="393"/>
    <s v="Pending"/>
    <s v="No"/>
    <x v="2"/>
    <x v="452"/>
    <x v="453"/>
    <n v="555"/>
    <n v="495"/>
    <n v="0.35149999999999998"/>
    <n v="79781861"/>
    <n v="51571.985132514543"/>
    <n v="99996"/>
    <n v="5091"/>
    <n v="2096152.7799999991"/>
    <n v="1354.9791725921132"/>
    <n v="0.35149999999999998"/>
    <n v="1605840470.4500005"/>
    <x v="1"/>
    <n v="22607.040000000001"/>
  </r>
  <r>
    <s v="LN00455"/>
    <x v="454"/>
    <n v="40"/>
    <s v="Male"/>
    <s v="Married"/>
    <s v="Self-Employed"/>
    <n v="154283"/>
    <n v="372"/>
    <n v="98620"/>
    <n v="15.61"/>
    <n v="24"/>
    <s v="Education"/>
    <n v="42.77"/>
    <n v="55925"/>
    <n v="49711"/>
    <x v="394"/>
    <s v="Rejected"/>
    <s v="Yes"/>
    <x v="4"/>
    <x v="453"/>
    <x v="454"/>
    <n v="555"/>
    <n v="495"/>
    <n v="0.35149999999999998"/>
    <n v="79760792"/>
    <n v="51591.715394566621"/>
    <n v="99996"/>
    <n v="5091"/>
    <n v="2094268.8599999987"/>
    <n v="1354.63703751617"/>
    <n v="0.35149999999999998"/>
    <n v="1603744317.6700006"/>
    <x v="0"/>
    <n v="57007.319999999992"/>
  </r>
  <r>
    <s v="LN00456"/>
    <x v="455"/>
    <n v="28"/>
    <s v="Male"/>
    <s v="Single"/>
    <s v="Self-Employed"/>
    <n v="164714"/>
    <n v="677"/>
    <n v="79862"/>
    <n v="11.06"/>
    <n v="120"/>
    <s v="Education"/>
    <n v="18.8"/>
    <n v="51754"/>
    <n v="136449"/>
    <x v="209"/>
    <s v="Pending"/>
    <s v="No"/>
    <x v="1"/>
    <x v="454"/>
    <x v="455"/>
    <n v="555"/>
    <n v="494"/>
    <n v="0.35149999999999998"/>
    <n v="79662172"/>
    <n v="51561.27637540453"/>
    <n v="99996"/>
    <n v="5091"/>
    <n v="2089518.2499999991"/>
    <n v="1352.4389967637535"/>
    <n v="0.35149999999999998"/>
    <n v="1601650048.8100007"/>
    <x v="1"/>
    <n v="8869.44"/>
  </r>
  <r>
    <s v="LN00457"/>
    <x v="456"/>
    <n v="31"/>
    <s v="Female"/>
    <s v="Married"/>
    <s v="Unemployed"/>
    <n v="160295"/>
    <n v="392"/>
    <n v="37674"/>
    <n v="21.69"/>
    <n v="360"/>
    <s v="Auto"/>
    <n v="55.17"/>
    <n v="7516"/>
    <n v="65739"/>
    <x v="395"/>
    <s v="Pending"/>
    <s v="No"/>
    <x v="1"/>
    <x v="455"/>
    <x v="456"/>
    <n v="555"/>
    <n v="494"/>
    <n v="0.35149999999999998"/>
    <n v="79582310"/>
    <n v="51542.946891191707"/>
    <n v="99996"/>
    <n v="5091"/>
    <n v="2088779.129999999"/>
    <n v="1352.8362240932636"/>
    <n v="0.35149999999999998"/>
    <n v="1599560530.5600004"/>
    <x v="1"/>
    <n v="1528.1999999999998"/>
  </r>
  <r>
    <s v="LN00458"/>
    <x v="457"/>
    <n v="28"/>
    <s v="Female"/>
    <s v="Married"/>
    <s v="Unemployed"/>
    <n v="122409"/>
    <n v="341"/>
    <n v="21572"/>
    <n v="6.01"/>
    <n v="60"/>
    <s v="Business"/>
    <n v="28.21"/>
    <n v="50181"/>
    <n v="77716"/>
    <x v="347"/>
    <s v="Pending"/>
    <s v="No"/>
    <x v="2"/>
    <x v="456"/>
    <x v="457"/>
    <n v="555"/>
    <n v="494"/>
    <n v="0.35149999999999998"/>
    <n v="79544636"/>
    <n v="51551.935191185999"/>
    <n v="99996"/>
    <n v="5091"/>
    <n v="2088651.7799999991"/>
    <n v="1353.630447180816"/>
    <n v="0.35149999999999998"/>
    <n v="1597471751.4300003"/>
    <x v="1"/>
    <n v="4573.68"/>
  </r>
  <r>
    <s v="LN00459"/>
    <x v="458"/>
    <n v="61"/>
    <s v="Male"/>
    <s v="Divorced"/>
    <s v="Unemployed"/>
    <n v="129606"/>
    <n v="307"/>
    <n v="62128"/>
    <n v="7.51"/>
    <n v="240"/>
    <s v="Education"/>
    <n v="16.62"/>
    <n v="42764"/>
    <n v="40481"/>
    <x v="366"/>
    <s v="Pending"/>
    <s v="No"/>
    <x v="3"/>
    <x v="457"/>
    <x v="458"/>
    <n v="555"/>
    <n v="494"/>
    <n v="0.35149999999999998"/>
    <n v="79523064"/>
    <n v="51571.377431906614"/>
    <n v="99996"/>
    <n v="5091"/>
    <n v="2088270.639999999"/>
    <n v="1354.2611154345"/>
    <n v="0.35149999999999998"/>
    <n v="1595383099.6500003"/>
    <x v="1"/>
    <n v="3339.7200000000003"/>
  </r>
  <r>
    <s v="LN00460"/>
    <x v="459"/>
    <n v="39"/>
    <s v="Female"/>
    <s v="Divorced"/>
    <s v="Employed"/>
    <n v="52498"/>
    <n v="426"/>
    <n v="42784"/>
    <n v="12.93"/>
    <n v="240"/>
    <s v="Personal"/>
    <n v="42.49"/>
    <n v="72306"/>
    <n v="221627"/>
    <x v="396"/>
    <s v="Rejected"/>
    <s v="Yes"/>
    <x v="4"/>
    <x v="458"/>
    <x v="459"/>
    <n v="555"/>
    <n v="494"/>
    <n v="0.35149999999999998"/>
    <n v="79460936"/>
    <n v="51564.526930564571"/>
    <n v="99996"/>
    <n v="5091"/>
    <n v="2087992.3299999989"/>
    <n v="1354.9593316028545"/>
    <n v="0.35149999999999998"/>
    <n v="1593294829.0100005"/>
    <x v="1"/>
    <n v="2415.84"/>
  </r>
  <r>
    <s v="LN00461"/>
    <x v="460"/>
    <n v="29"/>
    <s v="Female"/>
    <s v="Married"/>
    <s v="Self-Employed"/>
    <n v="31052"/>
    <n v="452"/>
    <n v="69495"/>
    <n v="14.19"/>
    <n v="36"/>
    <s v="Personal"/>
    <n v="32.770000000000003"/>
    <n v="71095"/>
    <n v="142560"/>
    <x v="397"/>
    <s v="Pending"/>
    <s v="Yes"/>
    <x v="4"/>
    <x v="459"/>
    <x v="460"/>
    <n v="555"/>
    <n v="493"/>
    <n v="0.35149999999999998"/>
    <n v="79418152"/>
    <n v="51570.228571428568"/>
    <n v="99996"/>
    <n v="5091"/>
    <n v="2087791.0099999991"/>
    <n v="1355.7084480519475"/>
    <n v="0.35149999999999998"/>
    <n v="1591206836.6800005"/>
    <x v="1"/>
    <n v="26452.080000000002"/>
  </r>
  <r>
    <s v="LN00462"/>
    <x v="461"/>
    <n v="41"/>
    <s v="Male"/>
    <s v="Divorced"/>
    <s v="Self-Employed"/>
    <n v="132864"/>
    <n v="849"/>
    <n v="89071"/>
    <n v="17.329999999999998"/>
    <n v="240"/>
    <s v="Auto"/>
    <n v="33.89"/>
    <n v="50130"/>
    <n v="193351"/>
    <x v="398"/>
    <s v="Rejected"/>
    <s v="No"/>
    <x v="3"/>
    <x v="460"/>
    <x v="461"/>
    <n v="555"/>
    <n v="493"/>
    <n v="0.35149999999999998"/>
    <n v="79348657"/>
    <n v="51558.581546458736"/>
    <n v="99996"/>
    <n v="5091"/>
    <n v="2085586.669999999"/>
    <n v="1355.1570305393107"/>
    <n v="0.35149999999999998"/>
    <n v="1589119045.6700003"/>
    <x v="1"/>
    <n v="5225.3999999999996"/>
  </r>
  <r>
    <s v="LN00463"/>
    <x v="462"/>
    <n v="62"/>
    <s v="Male"/>
    <s v="Married"/>
    <s v="Employed"/>
    <n v="109264"/>
    <n v="552"/>
    <n v="34464"/>
    <n v="13.31"/>
    <n v="48"/>
    <s v="Personal"/>
    <n v="11.95"/>
    <n v="35789"/>
    <n v="65741"/>
    <x v="33"/>
    <s v="Rejected"/>
    <s v="Yes"/>
    <x v="3"/>
    <x v="461"/>
    <x v="462"/>
    <n v="555"/>
    <n v="492"/>
    <n v="0.35149999999999998"/>
    <n v="79259586"/>
    <n v="51534.191157347203"/>
    <n v="99996"/>
    <n v="5091"/>
    <n v="2085151.219999999"/>
    <n v="1355.7550195058511"/>
    <n v="0.35149999999999998"/>
    <n v="1587033459.0000005"/>
    <x v="1"/>
    <n v="9762.84"/>
  </r>
  <r>
    <s v="LN00464"/>
    <x v="463"/>
    <n v="64"/>
    <s v="Male"/>
    <s v="Divorced"/>
    <s v="Self-Employed"/>
    <n v="165739"/>
    <n v="669"/>
    <n v="30170"/>
    <n v="20.010000000000002"/>
    <n v="24"/>
    <s v="Personal"/>
    <n v="34.82"/>
    <n v="10036"/>
    <n v="42370"/>
    <x v="399"/>
    <s v="Rejected"/>
    <s v="No"/>
    <x v="2"/>
    <x v="462"/>
    <x v="463"/>
    <n v="555"/>
    <n v="491"/>
    <n v="0.35149999999999998"/>
    <n v="79225122"/>
    <n v="51545.297332465845"/>
    <n v="99996"/>
    <n v="5091"/>
    <n v="2084337.649999999"/>
    <n v="1356.1077748861412"/>
    <n v="0.35149999999999998"/>
    <n v="1584948307.7800004"/>
    <x v="1"/>
    <n v="18103.560000000001"/>
  </r>
  <r>
    <s v="LN00465"/>
    <x v="464"/>
    <n v="49"/>
    <s v="Male"/>
    <s v="Single"/>
    <s v="Unemployed"/>
    <n v="108633"/>
    <n v="502"/>
    <n v="73376"/>
    <n v="23.12"/>
    <n v="12"/>
    <s v="Education"/>
    <n v="34.92"/>
    <n v="50435"/>
    <n v="13853"/>
    <x v="211"/>
    <s v="Pending"/>
    <s v="Yes"/>
    <x v="0"/>
    <x v="463"/>
    <x v="464"/>
    <n v="555"/>
    <n v="490"/>
    <n v="0.35149999999999998"/>
    <n v="79194952"/>
    <n v="51559.213541666664"/>
    <n v="99996"/>
    <n v="5091"/>
    <n v="2082829.0199999993"/>
    <n v="1356.0084765624995"/>
    <n v="0.35149999999999998"/>
    <n v="1582863970.1300004"/>
    <x v="1"/>
    <n v="90340.56"/>
  </r>
  <r>
    <s v="LN00466"/>
    <x v="465"/>
    <n v="36"/>
    <s v="Female"/>
    <s v="Divorced"/>
    <s v="Unemployed"/>
    <n v="112320"/>
    <n v="623"/>
    <n v="23529"/>
    <n v="4.83"/>
    <n v="360"/>
    <s v="Business"/>
    <n v="23.8"/>
    <n v="56827"/>
    <n v="48183"/>
    <x v="400"/>
    <s v="Rejected"/>
    <s v="Yes"/>
    <x v="2"/>
    <x v="464"/>
    <x v="465"/>
    <n v="555"/>
    <n v="490"/>
    <n v="0.35149999999999998"/>
    <n v="79121576"/>
    <n v="51545.000651465802"/>
    <n v="99996"/>
    <n v="5091"/>
    <n v="2075300.6399999992"/>
    <n v="1351.9873876221493"/>
    <n v="0.35149999999999998"/>
    <n v="1580781141.1100004"/>
    <x v="0"/>
    <n v="822.24"/>
  </r>
  <r>
    <s v="LN00467"/>
    <x v="466"/>
    <n v="30"/>
    <s v="Female"/>
    <s v="Single"/>
    <s v="Employed"/>
    <n v="36910"/>
    <n v="477"/>
    <n v="57498"/>
    <n v="15.38"/>
    <n v="120"/>
    <s v="Education"/>
    <n v="40.4"/>
    <n v="50583"/>
    <n v="244933"/>
    <x v="35"/>
    <s v="Rejected"/>
    <s v="No"/>
    <x v="0"/>
    <x v="465"/>
    <x v="466"/>
    <n v="555"/>
    <n v="489"/>
    <n v="0.35149999999999998"/>
    <n v="79098047"/>
    <n v="51563.264015645371"/>
    <n v="99996"/>
    <n v="5091"/>
    <n v="2075232.1199999992"/>
    <n v="1352.8240677966096"/>
    <n v="0.35149999999999998"/>
    <n v="1578705840.4700003"/>
    <x v="1"/>
    <n v="6634.08"/>
  </r>
  <r>
    <s v="LN00468"/>
    <x v="467"/>
    <n v="41"/>
    <s v="Male"/>
    <s v="Married"/>
    <s v="Employed"/>
    <n v="97341"/>
    <n v="515"/>
    <n v="37248"/>
    <n v="21.12"/>
    <n v="180"/>
    <s v="Mortgage"/>
    <n v="30.75"/>
    <n v="17189"/>
    <n v="104815"/>
    <x v="401"/>
    <s v="Rejected"/>
    <s v="Yes"/>
    <x v="2"/>
    <x v="466"/>
    <x v="467"/>
    <n v="555"/>
    <n v="488"/>
    <n v="0.35149999999999998"/>
    <n v="79040549"/>
    <n v="51559.392694063929"/>
    <n v="99996"/>
    <n v="5091"/>
    <n v="2074679.2799999993"/>
    <n v="1353.3459099804302"/>
    <n v="0.35149999999999998"/>
    <n v="1576630608.3500004"/>
    <x v="1"/>
    <n v="3007.68"/>
  </r>
  <r>
    <s v="LN00469"/>
    <x v="468"/>
    <n v="58"/>
    <s v="Female"/>
    <s v="Divorced"/>
    <s v="Self-Employed"/>
    <n v="89226"/>
    <n v="810"/>
    <n v="57688"/>
    <n v="6.16"/>
    <n v="60"/>
    <s v="Mortgage"/>
    <n v="28.59"/>
    <n v="74382"/>
    <n v="234069"/>
    <x v="402"/>
    <s v="Pending"/>
    <s v="No"/>
    <x v="0"/>
    <x v="467"/>
    <x v="468"/>
    <n v="555"/>
    <n v="487"/>
    <n v="0.35149999999999998"/>
    <n v="79003301"/>
    <n v="51568.734334203655"/>
    <n v="99996"/>
    <n v="5091"/>
    <n v="2074428.6399999992"/>
    <n v="1354.0656919060048"/>
    <n v="0.35149999999999998"/>
    <n v="1574555929.0700004"/>
    <x v="1"/>
    <n v="12248.28"/>
  </r>
  <r>
    <s v="LN00470"/>
    <x v="469"/>
    <n v="39"/>
    <s v="Male"/>
    <s v="Married"/>
    <s v="Employed"/>
    <n v="99561"/>
    <n v="692"/>
    <n v="81836"/>
    <n v="20.170000000000002"/>
    <n v="360"/>
    <s v="Education"/>
    <n v="50.06"/>
    <n v="45890"/>
    <n v="174723"/>
    <x v="403"/>
    <s v="Pending"/>
    <s v="Yes"/>
    <x v="3"/>
    <x v="468"/>
    <x v="469"/>
    <n v="555"/>
    <n v="487"/>
    <n v="0.35149999999999998"/>
    <n v="78945613"/>
    <n v="51564.737426518615"/>
    <n v="99996"/>
    <n v="5091"/>
    <n v="2073407.9499999993"/>
    <n v="1354.2834421946436"/>
    <n v="0.35149999999999998"/>
    <n v="1572481500.4300005"/>
    <x v="1"/>
    <n v="3278.04"/>
  </r>
  <r>
    <s v="LN00471"/>
    <x v="470"/>
    <n v="43"/>
    <s v="Male"/>
    <s v="Divorced"/>
    <s v="Unemployed"/>
    <n v="144933"/>
    <n v="585"/>
    <n v="58977"/>
    <n v="21.73"/>
    <n v="24"/>
    <s v="Business"/>
    <n v="25.12"/>
    <n v="3671"/>
    <n v="223231"/>
    <x v="404"/>
    <s v="Pending"/>
    <s v="No"/>
    <x v="2"/>
    <x v="469"/>
    <x v="470"/>
    <n v="555"/>
    <n v="487"/>
    <n v="0.35149999999999998"/>
    <n v="78863777"/>
    <n v="51544.952287581698"/>
    <n v="99996"/>
    <n v="5091"/>
    <n v="2073134.7799999993"/>
    <n v="1354.9900522875812"/>
    <n v="0.35149999999999998"/>
    <n v="1570408092.4800005"/>
    <x v="1"/>
    <n v="35896.32"/>
  </r>
  <r>
    <s v="LN00472"/>
    <x v="471"/>
    <n v="44"/>
    <s v="Female"/>
    <s v="Divorced"/>
    <s v="Self-Employed"/>
    <n v="175022"/>
    <n v="796"/>
    <n v="69575"/>
    <n v="7.28"/>
    <n v="60"/>
    <s v="Business"/>
    <n v="31.19"/>
    <n v="56781"/>
    <n v="189657"/>
    <x v="405"/>
    <s v="Pending"/>
    <s v="No"/>
    <x v="1"/>
    <x v="470"/>
    <x v="471"/>
    <n v="555"/>
    <n v="487"/>
    <n v="0.35149999999999998"/>
    <n v="78804800"/>
    <n v="51540.091563113143"/>
    <n v="99996"/>
    <n v="5091"/>
    <n v="2070143.4199999992"/>
    <n v="1353.9198299542179"/>
    <n v="0.35149999999999998"/>
    <n v="1568334957.7000003"/>
    <x v="1"/>
    <n v="14928"/>
  </r>
  <r>
    <s v="LN00473"/>
    <x v="472"/>
    <n v="49"/>
    <s v="Male"/>
    <s v="Single"/>
    <s v="Unemployed"/>
    <n v="168340"/>
    <n v="544"/>
    <n v="13612"/>
    <n v="3.71"/>
    <n v="12"/>
    <s v="Business"/>
    <n v="19.04"/>
    <n v="19283"/>
    <n v="32494"/>
    <x v="406"/>
    <s v="Rejected"/>
    <s v="No"/>
    <x v="2"/>
    <x v="471"/>
    <x v="472"/>
    <n v="555"/>
    <n v="487"/>
    <n v="0.35149999999999998"/>
    <n v="78735225"/>
    <n v="51528.288612565448"/>
    <n v="99996"/>
    <n v="5091"/>
    <n v="2068899.4199999992"/>
    <n v="1353.9917670157063"/>
    <n v="0.35149999999999998"/>
    <n v="1566264814.2800002"/>
    <x v="1"/>
    <n v="14117.04"/>
  </r>
  <r>
    <s v="LN00474"/>
    <x v="473"/>
    <n v="36"/>
    <s v="Male"/>
    <s v="Married"/>
    <s v="Self-Employed"/>
    <n v="154800"/>
    <n v="400"/>
    <n v="55914"/>
    <n v="7.92"/>
    <n v="240"/>
    <s v="Mortgage"/>
    <n v="11"/>
    <n v="33300"/>
    <n v="9860"/>
    <x v="407"/>
    <s v="Approved"/>
    <s v="Yes"/>
    <x v="4"/>
    <x v="472"/>
    <x v="473"/>
    <n v="555"/>
    <n v="486"/>
    <n v="0.35149999999999998"/>
    <n v="78721613"/>
    <n v="51553.119187950229"/>
    <n v="99996"/>
    <n v="5091"/>
    <n v="2067722.9999999995"/>
    <n v="1354.1080550098229"/>
    <n v="0.35149999999999998"/>
    <n v="1564195914.8599999"/>
    <x v="0"/>
    <n v="3017.16"/>
  </r>
  <r>
    <s v="LN00475"/>
    <x v="474"/>
    <n v="38"/>
    <s v="Male"/>
    <s v="Divorced"/>
    <s v="Self-Employed"/>
    <n v="72310"/>
    <n v="398"/>
    <n v="58905"/>
    <n v="19.71"/>
    <n v="240"/>
    <s v="Auto"/>
    <n v="17.149999999999999"/>
    <n v="67732"/>
    <n v="115465"/>
    <x v="21"/>
    <s v="Pending"/>
    <s v="Yes"/>
    <x v="1"/>
    <x v="473"/>
    <x v="474"/>
    <n v="554"/>
    <n v="486"/>
    <n v="0.35149999999999998"/>
    <n v="78665699"/>
    <n v="51550.261467889912"/>
    <n v="99996"/>
    <n v="5091"/>
    <n v="2067471.5699999994"/>
    <n v="1354.8306487549144"/>
    <n v="0.35149999999999998"/>
    <n v="1562128191.8600001"/>
    <x v="1"/>
    <n v="3525.7200000000003"/>
  </r>
  <r>
    <s v="LN00476"/>
    <x v="475"/>
    <n v="30"/>
    <s v="Male"/>
    <s v="Single"/>
    <s v="Self-Employed"/>
    <n v="97512"/>
    <n v="614"/>
    <n v="19243"/>
    <n v="15.36"/>
    <n v="36"/>
    <s v="Mortgage"/>
    <n v="8.66"/>
    <n v="9445"/>
    <n v="196432"/>
    <x v="408"/>
    <s v="Rejected"/>
    <s v="No"/>
    <x v="3"/>
    <x v="474"/>
    <x v="475"/>
    <n v="554"/>
    <n v="486"/>
    <n v="0.35149999999999998"/>
    <n v="78606794"/>
    <n v="51545.438688524591"/>
    <n v="99996"/>
    <n v="5091"/>
    <n v="2067177.7599999993"/>
    <n v="1355.5263999999995"/>
    <n v="0.35149999999999998"/>
    <n v="1560060720.2900002"/>
    <x v="1"/>
    <n v="7399.5599999999995"/>
  </r>
  <r>
    <s v="LN00477"/>
    <x v="476"/>
    <n v="55"/>
    <s v="Female"/>
    <s v="Divorced"/>
    <s v="Employed"/>
    <n v="198552"/>
    <n v="335"/>
    <n v="42364"/>
    <n v="9.14"/>
    <n v="240"/>
    <s v="Auto"/>
    <n v="51.38"/>
    <n v="5272"/>
    <n v="117526"/>
    <x v="15"/>
    <s v="Pending"/>
    <s v="No"/>
    <x v="2"/>
    <x v="475"/>
    <x v="476"/>
    <n v="554"/>
    <n v="485"/>
    <n v="0.35149999999999998"/>
    <n v="78587551"/>
    <n v="51566.634514435696"/>
    <n v="99996"/>
    <n v="5091"/>
    <n v="2066561.1299999994"/>
    <n v="1356.01124015748"/>
    <n v="0.35149999999999998"/>
    <n v="1557993542.53"/>
    <x v="1"/>
    <n v="2311.8000000000002"/>
  </r>
  <r>
    <s v="LN00478"/>
    <x v="477"/>
    <n v="40"/>
    <s v="Male"/>
    <s v="Divorced"/>
    <s v="Unemployed"/>
    <n v="29425"/>
    <n v="792"/>
    <n v="80021"/>
    <n v="22.65"/>
    <n v="24"/>
    <s v="Education"/>
    <n v="51.62"/>
    <n v="12012"/>
    <n v="71713"/>
    <x v="261"/>
    <s v="Rejected"/>
    <s v="Yes"/>
    <x v="4"/>
    <x v="476"/>
    <x v="477"/>
    <n v="554"/>
    <n v="485"/>
    <n v="0.35149999999999998"/>
    <n v="78545187"/>
    <n v="51572.67695338148"/>
    <n v="99996"/>
    <n v="5091"/>
    <n v="2066368.4799999995"/>
    <n v="1356.7751017728165"/>
    <n v="0.35149999999999998"/>
    <n v="1555926981.4000001"/>
    <x v="1"/>
    <n v="49072.92"/>
  </r>
  <r>
    <s v="LN00479"/>
    <x v="478"/>
    <n v="33"/>
    <s v="Male"/>
    <s v="Single"/>
    <s v="Employed"/>
    <n v="79039"/>
    <n v="704"/>
    <n v="36525"/>
    <n v="9.73"/>
    <n v="360"/>
    <s v="Personal"/>
    <n v="29.24"/>
    <n v="4352"/>
    <n v="31906"/>
    <x v="115"/>
    <s v="Rejected"/>
    <s v="Yes"/>
    <x v="1"/>
    <x v="477"/>
    <x v="478"/>
    <n v="554"/>
    <n v="484"/>
    <n v="0.35149999999999998"/>
    <n v="78465166"/>
    <n v="51553.985545335083"/>
    <n v="99996"/>
    <n v="5091"/>
    <n v="2062279.0699999996"/>
    <n v="1354.9796780551903"/>
    <n v="0.35149999999999998"/>
    <n v="1553860612.9200001"/>
    <x v="1"/>
    <n v="1335.96"/>
  </r>
  <r>
    <s v="LN00480"/>
    <x v="479"/>
    <n v="62"/>
    <s v="Male"/>
    <s v="Divorced"/>
    <s v="Self-Employed"/>
    <n v="80274"/>
    <n v="536"/>
    <n v="16149"/>
    <n v="3.79"/>
    <n v="36"/>
    <s v="Mortgage"/>
    <n v="28.26"/>
    <n v="21527"/>
    <n v="110381"/>
    <x v="256"/>
    <s v="Approved"/>
    <s v="No"/>
    <x v="3"/>
    <x v="478"/>
    <x v="479"/>
    <n v="554"/>
    <n v="483"/>
    <n v="0.35149999999999998"/>
    <n v="78428641"/>
    <n v="51563.866535174231"/>
    <n v="99996"/>
    <n v="5091"/>
    <n v="2062167.7399999998"/>
    <n v="1355.7973307034845"/>
    <n v="0.35149999999999998"/>
    <n v="1551798333.8499999"/>
    <x v="1"/>
    <n v="5586.96"/>
  </r>
  <r>
    <s v="LN00481"/>
    <x v="480"/>
    <n v="64"/>
    <s v="Male"/>
    <s v="Married"/>
    <s v="Employed"/>
    <n v="114943"/>
    <n v="527"/>
    <n v="64928"/>
    <n v="13.64"/>
    <n v="240"/>
    <s v="Education"/>
    <n v="6.92"/>
    <n v="63573"/>
    <n v="90278"/>
    <x v="409"/>
    <s v="Approved"/>
    <s v="Yes"/>
    <x v="4"/>
    <x v="479"/>
    <x v="480"/>
    <n v="553"/>
    <n v="483"/>
    <n v="0.35149999999999998"/>
    <n v="78412492"/>
    <n v="51587.165789473685"/>
    <n v="99996"/>
    <n v="5091"/>
    <n v="2061702.16"/>
    <n v="1356.383"/>
    <n v="0.35149999999999998"/>
    <n v="1549736166.1099999"/>
    <x v="1"/>
    <n v="3689.16"/>
  </r>
  <r>
    <s v="LN00482"/>
    <x v="481"/>
    <n v="50"/>
    <s v="Male"/>
    <s v="Married"/>
    <s v="Self-Employed"/>
    <n v="175960"/>
    <n v="360"/>
    <n v="93856"/>
    <n v="13.39"/>
    <n v="24"/>
    <s v="Business"/>
    <n v="57.69"/>
    <n v="38667"/>
    <n v="171931"/>
    <x v="410"/>
    <s v="Pending"/>
    <s v="No"/>
    <x v="1"/>
    <x v="480"/>
    <x v="481"/>
    <n v="552"/>
    <n v="483"/>
    <n v="0.35149999999999998"/>
    <n v="78347564"/>
    <n v="51578.383146807108"/>
    <n v="99996"/>
    <n v="5091"/>
    <n v="2061394.7299999997"/>
    <n v="1357.073554970375"/>
    <n v="0.35149999999999998"/>
    <n v="1547674463.9499998"/>
    <x v="1"/>
    <n v="53211.600000000006"/>
  </r>
  <r>
    <s v="LN00483"/>
    <x v="482"/>
    <n v="59"/>
    <s v="Male"/>
    <s v="Divorced"/>
    <s v="Self-Employed"/>
    <n v="100438"/>
    <n v="563"/>
    <n v="72837"/>
    <n v="10.83"/>
    <n v="24"/>
    <s v="Auto"/>
    <n v="22.69"/>
    <n v="56704"/>
    <n v="112897"/>
    <x v="32"/>
    <s v="Pending"/>
    <s v="No"/>
    <x v="1"/>
    <x v="481"/>
    <x v="482"/>
    <n v="552"/>
    <n v="483"/>
    <n v="0.35149999999999998"/>
    <n v="78253708"/>
    <n v="51550.532279314888"/>
    <n v="99996"/>
    <n v="5091"/>
    <n v="2056960.43"/>
    <n v="1355.04639657444"/>
    <n v="0.35149999999999998"/>
    <n v="1545613069.2199998"/>
    <x v="1"/>
    <n v="40362.600000000006"/>
  </r>
  <r>
    <s v="LN00484"/>
    <x v="483"/>
    <n v="39"/>
    <s v="Male"/>
    <s v="Married"/>
    <s v="Unemployed"/>
    <n v="49733"/>
    <n v="844"/>
    <n v="23845"/>
    <n v="17.809999999999999"/>
    <n v="120"/>
    <s v="Education"/>
    <n v="52.53"/>
    <n v="35765"/>
    <n v="50747"/>
    <x v="411"/>
    <s v="Approved"/>
    <s v="Yes"/>
    <x v="1"/>
    <x v="482"/>
    <x v="483"/>
    <n v="552"/>
    <n v="483"/>
    <n v="0.35149999999999998"/>
    <n v="78180871"/>
    <n v="51536.50032959789"/>
    <n v="99996"/>
    <n v="5091"/>
    <n v="2053596.8799999997"/>
    <n v="1353.7223994726432"/>
    <n v="0.35149999999999998"/>
    <n v="1543556108.7899997"/>
    <x v="1"/>
    <n v="2809.2"/>
  </r>
  <r>
    <s v="LN00485"/>
    <x v="484"/>
    <n v="37"/>
    <s v="Female"/>
    <s v="Married"/>
    <s v="Unemployed"/>
    <n v="111206"/>
    <n v="622"/>
    <n v="49087"/>
    <n v="11.84"/>
    <n v="120"/>
    <s v="Education"/>
    <n v="12.64"/>
    <n v="66990"/>
    <n v="8538"/>
    <x v="412"/>
    <s v="Approved"/>
    <s v="Yes"/>
    <x v="3"/>
    <x v="483"/>
    <x v="484"/>
    <n v="551"/>
    <n v="483"/>
    <n v="0.35149999999999998"/>
    <n v="78157026"/>
    <n v="51554.766490765171"/>
    <n v="99996"/>
    <n v="5091"/>
    <n v="2053362.7799999998"/>
    <n v="1354.4609366754617"/>
    <n v="0.35149999999999998"/>
    <n v="1541502511.9099998"/>
    <x v="1"/>
    <n v="5489.88"/>
  </r>
  <r>
    <s v="LN00486"/>
    <x v="485"/>
    <n v="50"/>
    <s v="Male"/>
    <s v="Divorced"/>
    <s v="Self-Employed"/>
    <n v="33548"/>
    <n v="788"/>
    <n v="69247"/>
    <n v="12.03"/>
    <n v="12"/>
    <s v="Mortgage"/>
    <n v="47.11"/>
    <n v="74699"/>
    <n v="129784"/>
    <x v="107"/>
    <s v="Pending"/>
    <s v="Yes"/>
    <x v="3"/>
    <x v="484"/>
    <x v="485"/>
    <n v="550"/>
    <n v="483"/>
    <n v="0.35149999999999998"/>
    <n v="78107939"/>
    <n v="51556.395379537957"/>
    <n v="99996"/>
    <n v="5091"/>
    <n v="2052905.2899999996"/>
    <n v="1355.0529966996696"/>
    <n v="0.35149999999999998"/>
    <n v="1539449149.1299999"/>
    <x v="1"/>
    <n v="77577.36"/>
  </r>
  <r>
    <s v="LN00487"/>
    <x v="486"/>
    <n v="35"/>
    <s v="Female"/>
    <s v="Single"/>
    <s v="Employed"/>
    <n v="57975"/>
    <n v="347"/>
    <n v="15372"/>
    <n v="13.68"/>
    <n v="12"/>
    <s v="Business"/>
    <n v="44.86"/>
    <n v="46129"/>
    <n v="121674"/>
    <x v="150"/>
    <s v="Rejected"/>
    <s v="No"/>
    <x v="1"/>
    <x v="485"/>
    <x v="486"/>
    <n v="550"/>
    <n v="483"/>
    <n v="0.35149999999999998"/>
    <n v="78038692"/>
    <n v="51544.710700132098"/>
    <n v="99996"/>
    <n v="5091"/>
    <n v="2046440.5099999993"/>
    <n v="1351.6780118890351"/>
    <n v="0.35149999999999998"/>
    <n v="1537396243.8399997"/>
    <x v="0"/>
    <n v="17474.88"/>
  </r>
  <r>
    <s v="LN00488"/>
    <x v="487"/>
    <n v="24"/>
    <s v="Female"/>
    <s v="Married"/>
    <s v="Employed"/>
    <n v="138462"/>
    <n v="395"/>
    <n v="26902"/>
    <n v="14.79"/>
    <n v="36"/>
    <s v="Business"/>
    <n v="41.12"/>
    <n v="74473"/>
    <n v="147711"/>
    <x v="375"/>
    <s v="Pending"/>
    <s v="Yes"/>
    <x v="1"/>
    <x v="486"/>
    <x v="487"/>
    <n v="550"/>
    <n v="482"/>
    <n v="0.35149999999999998"/>
    <n v="78023320"/>
    <n v="51568.618638466622"/>
    <n v="99996"/>
    <n v="5091"/>
    <n v="2044984.2699999996"/>
    <n v="1351.6089028420354"/>
    <n v="0.35149999999999998"/>
    <n v="1535349803.3299999"/>
    <x v="0"/>
    <n v="10293.599999999999"/>
  </r>
  <r>
    <s v="LN00489"/>
    <x v="488"/>
    <n v="32"/>
    <s v="Male"/>
    <s v="Single"/>
    <s v="Unemployed"/>
    <n v="104030"/>
    <n v="654"/>
    <n v="66345"/>
    <n v="3.95"/>
    <n v="12"/>
    <s v="Education"/>
    <n v="10.46"/>
    <n v="3021"/>
    <n v="219010"/>
    <x v="413"/>
    <s v="Pending"/>
    <s v="Yes"/>
    <x v="1"/>
    <x v="487"/>
    <x v="488"/>
    <n v="550"/>
    <n v="482"/>
    <n v="0.35149999999999998"/>
    <n v="77996418"/>
    <n v="51584.932539682537"/>
    <n v="99996"/>
    <n v="5091"/>
    <n v="2044126.4699999995"/>
    <n v="1351.9354960317457"/>
    <n v="0.35149999999999998"/>
    <n v="1533304819.0599999"/>
    <x v="1"/>
    <n v="68965.680000000008"/>
  </r>
  <r>
    <s v="LN00490"/>
    <x v="489"/>
    <n v="64"/>
    <s v="Female"/>
    <s v="Married"/>
    <s v="Employed"/>
    <n v="66557"/>
    <n v="432"/>
    <n v="10254"/>
    <n v="8.4"/>
    <n v="240"/>
    <s v="Personal"/>
    <n v="25.17"/>
    <n v="13454"/>
    <n v="25207"/>
    <x v="101"/>
    <s v="Rejected"/>
    <s v="No"/>
    <x v="0"/>
    <x v="488"/>
    <x v="489"/>
    <n v="550"/>
    <n v="482"/>
    <n v="0.35149999999999998"/>
    <n v="77930073"/>
    <n v="51575.16412971542"/>
    <n v="99996"/>
    <n v="5091"/>
    <n v="2038379.3299999994"/>
    <n v="1349.0266909331565"/>
    <n v="0.35149999999999998"/>
    <n v="1531260692.5899999"/>
    <x v="0"/>
    <n v="555.72"/>
  </r>
  <r>
    <s v="LN00491"/>
    <x v="490"/>
    <n v="55"/>
    <s v="Male"/>
    <s v="Divorced"/>
    <s v="Self-Employed"/>
    <n v="86301"/>
    <n v="799"/>
    <n v="31625"/>
    <n v="19.809999999999999"/>
    <n v="48"/>
    <s v="Business"/>
    <n v="48.51"/>
    <n v="15225"/>
    <n v="196596"/>
    <x v="262"/>
    <s v="Pending"/>
    <s v="No"/>
    <x v="4"/>
    <x v="489"/>
    <x v="490"/>
    <n v="550"/>
    <n v="481"/>
    <n v="0.35149999999999998"/>
    <n v="77919819"/>
    <n v="51602.529139072845"/>
    <n v="99996"/>
    <n v="5091"/>
    <n v="2038333.0199999993"/>
    <n v="1349.8894172185426"/>
    <n v="0.35149999999999998"/>
    <n v="1529222313.26"/>
    <x v="1"/>
    <n v="9472.44"/>
  </r>
  <r>
    <s v="LN00492"/>
    <x v="491"/>
    <n v="41"/>
    <s v="Male"/>
    <s v="Married"/>
    <s v="Unemployed"/>
    <n v="88326"/>
    <n v="330"/>
    <n v="27305"/>
    <n v="22.15"/>
    <n v="24"/>
    <s v="Business"/>
    <n v="8.35"/>
    <n v="68860"/>
    <n v="76053"/>
    <x v="414"/>
    <s v="Pending"/>
    <s v="No"/>
    <x v="3"/>
    <x v="490"/>
    <x v="491"/>
    <n v="550"/>
    <n v="481"/>
    <n v="0.35149999999999998"/>
    <n v="77888194"/>
    <n v="51615.768058316768"/>
    <n v="99996"/>
    <n v="5091"/>
    <n v="2037543.6499999994"/>
    <n v="1350.2608681245854"/>
    <n v="0.35149999999999998"/>
    <n v="1527183980.2399998"/>
    <x v="1"/>
    <n v="16676.52"/>
  </r>
  <r>
    <s v="LN00493"/>
    <x v="492"/>
    <n v="30"/>
    <s v="Male"/>
    <s v="Married"/>
    <s v="Self-Employed"/>
    <n v="65198"/>
    <n v="770"/>
    <n v="70896"/>
    <n v="4.55"/>
    <n v="24"/>
    <s v="Business"/>
    <n v="51.05"/>
    <n v="47417"/>
    <n v="148728"/>
    <x v="415"/>
    <s v="Rejected"/>
    <s v="No"/>
    <x v="4"/>
    <x v="491"/>
    <x v="492"/>
    <n v="550"/>
    <n v="481"/>
    <n v="0.35149999999999998"/>
    <n v="77860889"/>
    <n v="51631.889257294431"/>
    <n v="99996"/>
    <n v="5091"/>
    <n v="2036153.9399999995"/>
    <n v="1350.2347082228114"/>
    <n v="0.35149999999999998"/>
    <n v="1525146436.5899999"/>
    <x v="1"/>
    <n v="37060.92"/>
  </r>
  <r>
    <s v="LN00494"/>
    <x v="493"/>
    <n v="44"/>
    <s v="Female"/>
    <s v="Divorced"/>
    <s v="Self-Employed"/>
    <n v="198840"/>
    <n v="644"/>
    <n v="54953"/>
    <n v="10.18"/>
    <n v="12"/>
    <s v="Mortgage"/>
    <n v="13.26"/>
    <n v="71150"/>
    <n v="33205"/>
    <x v="416"/>
    <s v="Approved"/>
    <s v="No"/>
    <x v="4"/>
    <x v="492"/>
    <x v="493"/>
    <n v="550"/>
    <n v="480"/>
    <n v="0.35149999999999998"/>
    <n v="77789993"/>
    <n v="51619.106171201063"/>
    <n v="99996"/>
    <n v="5091"/>
    <n v="2033065.5299999996"/>
    <n v="1349.0813072329129"/>
    <n v="0.35149999999999998"/>
    <n v="1523110282.6499996"/>
    <x v="1"/>
    <n v="60547.200000000004"/>
  </r>
  <r>
    <s v="LN00495"/>
    <x v="494"/>
    <n v="58"/>
    <s v="Male"/>
    <s v="Single"/>
    <s v="Employed"/>
    <n v="133572"/>
    <n v="800"/>
    <n v="45385"/>
    <n v="16.2"/>
    <n v="120"/>
    <s v="Business"/>
    <n v="12.59"/>
    <n v="41603"/>
    <n v="21425"/>
    <x v="277"/>
    <s v="Approved"/>
    <s v="Yes"/>
    <x v="3"/>
    <x v="493"/>
    <x v="494"/>
    <n v="549"/>
    <n v="480"/>
    <n v="0.35149999999999998"/>
    <n v="77735040"/>
    <n v="51616.892430278887"/>
    <n v="99996"/>
    <n v="5091"/>
    <n v="2028019.93"/>
    <n v="1346.6267795484728"/>
    <n v="0.35149999999999998"/>
    <n v="1521077217.1199999"/>
    <x v="0"/>
    <n v="5273.76"/>
  </r>
  <r>
    <s v="LN00496"/>
    <x v="495"/>
    <n v="53"/>
    <s v="Female"/>
    <s v="Divorced"/>
    <s v="Self-Employed"/>
    <n v="166404"/>
    <n v="483"/>
    <n v="94724"/>
    <n v="17.68"/>
    <n v="60"/>
    <s v="Business"/>
    <n v="49.9"/>
    <n v="62117"/>
    <n v="201180"/>
    <x v="417"/>
    <s v="Approved"/>
    <s v="Yes"/>
    <x v="1"/>
    <x v="494"/>
    <x v="495"/>
    <n v="548"/>
    <n v="480"/>
    <n v="0.35149999999999998"/>
    <n v="77689655"/>
    <n v="51621.033222591359"/>
    <n v="99996"/>
    <n v="5091"/>
    <n v="2027580.45"/>
    <n v="1347.2295348837208"/>
    <n v="0.35149999999999998"/>
    <n v="1519049197.1899998"/>
    <x v="1"/>
    <n v="22294.199999999997"/>
  </r>
  <r>
    <s v="LN00497"/>
    <x v="496"/>
    <n v="37"/>
    <s v="Female"/>
    <s v="Married"/>
    <s v="Employed"/>
    <n v="181700"/>
    <n v="557"/>
    <n v="46406"/>
    <n v="13.49"/>
    <n v="36"/>
    <s v="Personal"/>
    <n v="9.2100000000000009"/>
    <n v="37221"/>
    <n v="148419"/>
    <x v="418"/>
    <s v="Rejected"/>
    <s v="No"/>
    <x v="3"/>
    <x v="495"/>
    <x v="496"/>
    <n v="547"/>
    <n v="480"/>
    <n v="0.35149999999999998"/>
    <n v="77594931"/>
    <n v="51592.374335106382"/>
    <n v="99996"/>
    <n v="5091"/>
    <n v="2025722.6"/>
    <n v="1346.8900265957448"/>
    <n v="0.35149999999999998"/>
    <n v="1517021616.7400002"/>
    <x v="1"/>
    <n v="17555.400000000001"/>
  </r>
  <r>
    <s v="LN00498"/>
    <x v="497"/>
    <n v="33"/>
    <s v="Female"/>
    <s v="Single"/>
    <s v="Self-Employed"/>
    <n v="51574"/>
    <n v="818"/>
    <n v="99411"/>
    <n v="4.4000000000000004"/>
    <n v="360"/>
    <s v="Auto"/>
    <n v="12.32"/>
    <n v="25249"/>
    <n v="114382"/>
    <x v="419"/>
    <s v="Rejected"/>
    <s v="Yes"/>
    <x v="4"/>
    <x v="496"/>
    <x v="497"/>
    <n v="547"/>
    <n v="479"/>
    <n v="0.35149999999999998"/>
    <n v="77548525"/>
    <n v="51595.825016633396"/>
    <n v="99996"/>
    <n v="5091"/>
    <n v="2024259.65"/>
    <n v="1346.8128077178974"/>
    <n v="0.35149999999999998"/>
    <n v="1514995894.1400003"/>
    <x v="1"/>
    <n v="3459.4800000000005"/>
  </r>
  <r>
    <s v="LN00499"/>
    <x v="498"/>
    <n v="65"/>
    <s v="Female"/>
    <s v="Married"/>
    <s v="Employed"/>
    <n v="145744"/>
    <n v="358"/>
    <n v="24224"/>
    <n v="23.29"/>
    <n v="360"/>
    <s v="Auto"/>
    <n v="19.64"/>
    <n v="31692"/>
    <n v="41471"/>
    <x v="420"/>
    <s v="Approved"/>
    <s v="Yes"/>
    <x v="0"/>
    <x v="497"/>
    <x v="498"/>
    <n v="547"/>
    <n v="478"/>
    <n v="0.35149999999999998"/>
    <n v="77449114"/>
    <n v="51563.990679094539"/>
    <n v="99996"/>
    <n v="5091"/>
    <n v="2023971.3599999999"/>
    <n v="1347.5175499334221"/>
    <n v="0.35149999999999998"/>
    <n v="1512971634.49"/>
    <x v="1"/>
    <n v="995.52"/>
  </r>
  <r>
    <s v="LN00500"/>
    <x v="499"/>
    <n v="26"/>
    <s v="Male"/>
    <s v="Single"/>
    <s v="Unemployed"/>
    <n v="47652"/>
    <n v="371"/>
    <n v="5589"/>
    <n v="15.57"/>
    <n v="360"/>
    <s v="Mortgage"/>
    <n v="59.02"/>
    <n v="23929"/>
    <n v="145046"/>
    <x v="421"/>
    <s v="Rejected"/>
    <s v="Yes"/>
    <x v="1"/>
    <x v="498"/>
    <x v="499"/>
    <n v="546"/>
    <n v="478"/>
    <n v="0.35149999999999998"/>
    <n v="77424890"/>
    <n v="51582.205196535644"/>
    <n v="99996"/>
    <n v="5091"/>
    <n v="2023888.4"/>
    <n v="1348.3600266489007"/>
    <n v="0.35149999999999998"/>
    <n v="1510947663.1299999"/>
    <x v="1"/>
    <n v="215.28000000000003"/>
  </r>
  <r>
    <s v="LN00501"/>
    <x v="500"/>
    <n v="59"/>
    <s v="Female"/>
    <s v="Single"/>
    <s v="Employed"/>
    <n v="37861"/>
    <n v="651"/>
    <n v="97957"/>
    <n v="8.7100000000000009"/>
    <n v="24"/>
    <s v="Education"/>
    <n v="14.98"/>
    <n v="44660"/>
    <n v="48297"/>
    <x v="422"/>
    <s v="Rejected"/>
    <s v="Yes"/>
    <x v="1"/>
    <x v="499"/>
    <x v="500"/>
    <n v="546"/>
    <n v="477"/>
    <n v="0.35149999999999998"/>
    <n v="77419301"/>
    <n v="51612.867333333335"/>
    <n v="99996"/>
    <n v="5091"/>
    <n v="2023870.46"/>
    <n v="1349.2469733333332"/>
    <n v="0.35149999999999998"/>
    <n v="1508923774.73"/>
    <x v="1"/>
    <n v="53244.479999999996"/>
  </r>
  <r>
    <s v="LN00502"/>
    <x v="501"/>
    <n v="32"/>
    <s v="Female"/>
    <s v="Married"/>
    <s v="Self-Employed"/>
    <n v="56900"/>
    <n v="730"/>
    <n v="76042"/>
    <n v="9.25"/>
    <n v="24"/>
    <s v="Education"/>
    <n v="45.13"/>
    <n v="79026"/>
    <n v="90617"/>
    <x v="423"/>
    <s v="Pending"/>
    <s v="Yes"/>
    <x v="0"/>
    <x v="500"/>
    <x v="501"/>
    <n v="546"/>
    <n v="476"/>
    <n v="0.35149999999999998"/>
    <n v="77321344"/>
    <n v="51581.950633755834"/>
    <n v="99996"/>
    <n v="5091"/>
    <n v="2019433.42"/>
    <n v="1347.1870713809205"/>
    <n v="0.35149999999999998"/>
    <n v="1506899904.2700002"/>
    <x v="1"/>
    <n v="41538"/>
  </r>
  <r>
    <s v="LN00503"/>
    <x v="502"/>
    <n v="58"/>
    <s v="Male"/>
    <s v="Divorced"/>
    <s v="Employed"/>
    <n v="134819"/>
    <n v="810"/>
    <n v="54850"/>
    <n v="8.67"/>
    <n v="360"/>
    <s v="Business"/>
    <n v="16.52"/>
    <n v="36704"/>
    <n v="45456"/>
    <x v="424"/>
    <s v="Rejected"/>
    <s v="No"/>
    <x v="3"/>
    <x v="501"/>
    <x v="502"/>
    <n v="546"/>
    <n v="476"/>
    <n v="0.35149999999999998"/>
    <n v="77245302"/>
    <n v="51565.622162883847"/>
    <n v="99996"/>
    <n v="5091"/>
    <n v="2015971.92"/>
    <n v="1345.77564753004"/>
    <n v="0.35149999999999998"/>
    <n v="1504880470.8500004"/>
    <x v="1"/>
    <n v="1986.84"/>
  </r>
  <r>
    <s v="LN00504"/>
    <x v="503"/>
    <n v="55"/>
    <s v="Male"/>
    <s v="Single"/>
    <s v="Self-Employed"/>
    <n v="120537"/>
    <n v="474"/>
    <n v="15678"/>
    <n v="12.47"/>
    <n v="60"/>
    <s v="Mortgage"/>
    <n v="51.01"/>
    <n v="74937"/>
    <n v="87217"/>
    <x v="425"/>
    <s v="Rejected"/>
    <s v="Yes"/>
    <x v="4"/>
    <x v="502"/>
    <x v="503"/>
    <n v="546"/>
    <n v="475"/>
    <n v="0.35149999999999998"/>
    <n v="77190452"/>
    <n v="51563.428189712758"/>
    <n v="99996"/>
    <n v="5091"/>
    <n v="2015806.35"/>
    <n v="1346.5640280561122"/>
    <n v="0.35149999999999998"/>
    <n v="1502864498.9300005"/>
    <x v="1"/>
    <n v="3526.56"/>
  </r>
  <r>
    <s v="LN00505"/>
    <x v="504"/>
    <n v="48"/>
    <s v="Female"/>
    <s v="Divorced"/>
    <s v="Unemployed"/>
    <n v="28700"/>
    <n v="803"/>
    <n v="98790"/>
    <n v="13.07"/>
    <n v="12"/>
    <s v="Auto"/>
    <n v="54.83"/>
    <n v="54545"/>
    <n v="85221"/>
    <x v="218"/>
    <s v="Rejected"/>
    <s v="No"/>
    <x v="1"/>
    <x v="503"/>
    <x v="504"/>
    <n v="546"/>
    <n v="474"/>
    <n v="0.35149999999999998"/>
    <n v="77174774"/>
    <n v="51587.415775401067"/>
    <n v="99996"/>
    <n v="5091"/>
    <n v="2015512.47"/>
    <n v="1347.2676938502673"/>
    <n v="0.35149999999999998"/>
    <n v="1500848692.5800004"/>
    <x v="1"/>
    <n v="111701.88"/>
  </r>
  <r>
    <s v="LN00506"/>
    <x v="505"/>
    <n v="23"/>
    <s v="Female"/>
    <s v="Divorced"/>
    <s v="Employed"/>
    <n v="175286"/>
    <n v="566"/>
    <n v="27473"/>
    <n v="10.75"/>
    <n v="180"/>
    <s v="Mortgage"/>
    <n v="10.06"/>
    <n v="48100"/>
    <n v="32969"/>
    <x v="426"/>
    <s v="Pending"/>
    <s v="Yes"/>
    <x v="0"/>
    <x v="504"/>
    <x v="505"/>
    <n v="546"/>
    <n v="473"/>
    <n v="0.35149999999999998"/>
    <n v="77075984"/>
    <n v="51555.84214046823"/>
    <n v="99996"/>
    <n v="5091"/>
    <n v="2006203.9800000004"/>
    <n v="1341.9424615384619"/>
    <n v="0.35149999999999998"/>
    <n v="1498833180.1100004"/>
    <x v="0"/>
    <n v="2028.48"/>
  </r>
  <r>
    <s v="LN00507"/>
    <x v="506"/>
    <n v="38"/>
    <s v="Male"/>
    <s v="Single"/>
    <s v="Unemployed"/>
    <n v="153249"/>
    <n v="679"/>
    <n v="67421"/>
    <n v="10.46"/>
    <n v="180"/>
    <s v="Personal"/>
    <n v="18.88"/>
    <n v="52675"/>
    <n v="209996"/>
    <x v="427"/>
    <s v="Approved"/>
    <s v="Yes"/>
    <x v="0"/>
    <x v="505"/>
    <x v="506"/>
    <n v="546"/>
    <n v="473"/>
    <n v="0.35149999999999998"/>
    <n v="77048511"/>
    <n v="51571.961847389561"/>
    <n v="99996"/>
    <n v="5091"/>
    <n v="2006034.9400000004"/>
    <n v="1342.7275368139226"/>
    <n v="0.35149999999999998"/>
    <n v="1496826976.1300001"/>
    <x v="1"/>
    <n v="4964.88"/>
  </r>
  <r>
    <s v="LN00508"/>
    <x v="507"/>
    <n v="54"/>
    <s v="Male"/>
    <s v="Divorced"/>
    <s v="Unemployed"/>
    <n v="133383"/>
    <n v="415"/>
    <n v="39013"/>
    <n v="18.05"/>
    <n v="360"/>
    <s v="Business"/>
    <n v="58.15"/>
    <n v="66945"/>
    <n v="200266"/>
    <x v="17"/>
    <s v="Rejected"/>
    <s v="Yes"/>
    <x v="2"/>
    <x v="506"/>
    <x v="507"/>
    <n v="545"/>
    <n v="473"/>
    <n v="0.35149999999999998"/>
    <n v="76981090"/>
    <n v="51561.346282652376"/>
    <n v="99996"/>
    <n v="5091"/>
    <n v="2005621.2000000004"/>
    <n v="1343.3497655726728"/>
    <n v="0.35149999999999998"/>
    <n v="1494820941.1899998"/>
    <x v="1"/>
    <n v="1535.16"/>
  </r>
  <r>
    <s v="LN00509"/>
    <x v="508"/>
    <n v="61"/>
    <s v="Female"/>
    <s v="Married"/>
    <s v="Employed"/>
    <n v="87417"/>
    <n v="769"/>
    <n v="59846"/>
    <n v="11.7"/>
    <n v="120"/>
    <s v="Education"/>
    <n v="45.48"/>
    <n v="1488"/>
    <n v="68328"/>
    <x v="428"/>
    <s v="Pending"/>
    <s v="No"/>
    <x v="1"/>
    <x v="507"/>
    <x v="508"/>
    <n v="545"/>
    <n v="472"/>
    <n v="0.35149999999999998"/>
    <n v="76942077"/>
    <n v="51569.756702412866"/>
    <n v="99996"/>
    <n v="5091"/>
    <n v="2005493.2700000003"/>
    <n v="1344.164390080429"/>
    <n v="0.35149999999999998"/>
    <n v="1492815319.99"/>
    <x v="1"/>
    <n v="6684.84"/>
  </r>
  <r>
    <s v="LN00510"/>
    <x v="509"/>
    <n v="49"/>
    <s v="Male"/>
    <s v="Divorced"/>
    <s v="Employed"/>
    <n v="164010"/>
    <n v="543"/>
    <n v="36894"/>
    <n v="14.72"/>
    <n v="60"/>
    <s v="Auto"/>
    <n v="39.06"/>
    <n v="37197"/>
    <n v="113454"/>
    <x v="222"/>
    <s v="Pending"/>
    <s v="No"/>
    <x v="2"/>
    <x v="508"/>
    <x v="509"/>
    <n v="545"/>
    <n v="472"/>
    <n v="0.35149999999999998"/>
    <n v="76882231"/>
    <n v="51564.205902079142"/>
    <n v="99996"/>
    <n v="5091"/>
    <n v="2004936.2000000004"/>
    <n v="1344.6922870556675"/>
    <n v="0.35149999999999998"/>
    <n v="1490809826.72"/>
    <x v="1"/>
    <n v="8464.92"/>
  </r>
  <r>
    <s v="LN00511"/>
    <x v="510"/>
    <n v="56"/>
    <s v="Male"/>
    <s v="Single"/>
    <s v="Employed"/>
    <n v="171448"/>
    <n v="350"/>
    <n v="62883"/>
    <n v="8.17"/>
    <n v="12"/>
    <s v="Auto"/>
    <n v="27.24"/>
    <n v="56884"/>
    <n v="109676"/>
    <x v="429"/>
    <s v="Rejected"/>
    <s v="Yes"/>
    <x v="3"/>
    <x v="509"/>
    <x v="510"/>
    <n v="545"/>
    <n v="472"/>
    <n v="0.35149999999999998"/>
    <n v="76845337"/>
    <n v="51574.051677852352"/>
    <n v="99996"/>
    <n v="5091"/>
    <n v="2004230.7900000003"/>
    <n v="1345.1213355704699"/>
    <n v="0.35149999999999998"/>
    <n v="1488804890.52"/>
    <x v="1"/>
    <n v="68020.56"/>
  </r>
  <r>
    <s v="LN00512"/>
    <x v="511"/>
    <n v="26"/>
    <s v="Male"/>
    <s v="Single"/>
    <s v="Self-Employed"/>
    <n v="54773"/>
    <n v="704"/>
    <n v="8650"/>
    <n v="9.1"/>
    <n v="240"/>
    <s v="Auto"/>
    <n v="12.18"/>
    <n v="8952"/>
    <n v="153717"/>
    <x v="430"/>
    <s v="Rejected"/>
    <s v="Yes"/>
    <x v="3"/>
    <x v="510"/>
    <x v="511"/>
    <n v="545"/>
    <n v="471"/>
    <n v="0.35149999999999998"/>
    <n v="76782454"/>
    <n v="51566.456682337142"/>
    <n v="99996"/>
    <n v="5091"/>
    <n v="1998562.4100000006"/>
    <n v="1342.2178710543994"/>
    <n v="0.35149999999999998"/>
    <n v="1486800659.73"/>
    <x v="0"/>
    <n v="471.84000000000003"/>
  </r>
  <r>
    <s v="LN00513"/>
    <x v="512"/>
    <n v="58"/>
    <s v="Female"/>
    <s v="Divorced"/>
    <s v="Unemployed"/>
    <n v="107813"/>
    <n v="781"/>
    <n v="19400"/>
    <n v="18.18"/>
    <n v="24"/>
    <s v="Auto"/>
    <n v="33.42"/>
    <n v="55888"/>
    <n v="109674"/>
    <x v="431"/>
    <s v="Rejected"/>
    <s v="No"/>
    <x v="1"/>
    <x v="511"/>
    <x v="512"/>
    <n v="545"/>
    <n v="470"/>
    <n v="0.35149999999999998"/>
    <n v="76773804"/>
    <n v="51595.298387096773"/>
    <n v="99996"/>
    <n v="5091"/>
    <n v="1998523.0900000005"/>
    <n v="1343.093474462366"/>
    <n v="0.35149999999999998"/>
    <n v="1484802097.3200002"/>
    <x v="1"/>
    <n v="11463.48"/>
  </r>
  <r>
    <s v="LN00514"/>
    <x v="513"/>
    <n v="55"/>
    <s v="Female"/>
    <s v="Single"/>
    <s v="Employed"/>
    <n v="114324"/>
    <n v="750"/>
    <n v="59003"/>
    <n v="9.02"/>
    <n v="36"/>
    <s v="Personal"/>
    <n v="43.81"/>
    <n v="4572"/>
    <n v="38882"/>
    <x v="432"/>
    <s v="Pending"/>
    <s v="No"/>
    <x v="2"/>
    <x v="512"/>
    <x v="513"/>
    <n v="545"/>
    <n v="469"/>
    <n v="0.35149999999999998"/>
    <n v="76754404"/>
    <n v="51616.949562878275"/>
    <n v="99996"/>
    <n v="5091"/>
    <n v="1997567.8000000005"/>
    <n v="1343.3542703429728"/>
    <n v="0.35149999999999998"/>
    <n v="1482803574.23"/>
    <x v="1"/>
    <n v="21441.72"/>
  </r>
  <r>
    <s v="LN00515"/>
    <x v="514"/>
    <n v="29"/>
    <s v="Male"/>
    <s v="Single"/>
    <s v="Self-Employed"/>
    <n v="191892"/>
    <n v="668"/>
    <n v="30294"/>
    <n v="10.15"/>
    <n v="120"/>
    <s v="Business"/>
    <n v="14.71"/>
    <n v="34219"/>
    <n v="184364"/>
    <x v="213"/>
    <s v="Pending"/>
    <s v="Yes"/>
    <x v="0"/>
    <x v="513"/>
    <x v="514"/>
    <n v="545"/>
    <n v="469"/>
    <n v="0.35149999999999998"/>
    <n v="76695401"/>
    <n v="51611.97913862719"/>
    <n v="99996"/>
    <n v="5091"/>
    <n v="1995780.9900000005"/>
    <n v="1343.0558479138631"/>
    <n v="0.35149999999999998"/>
    <n v="1480806006.4300001"/>
    <x v="1"/>
    <n v="3336.84"/>
  </r>
  <r>
    <s v="LN00516"/>
    <x v="515"/>
    <n v="57"/>
    <s v="Male"/>
    <s v="Divorced"/>
    <s v="Self-Employed"/>
    <n v="114508"/>
    <n v="479"/>
    <n v="15435"/>
    <n v="12.41"/>
    <n v="120"/>
    <s v="Business"/>
    <n v="16.46"/>
    <n v="55714"/>
    <n v="54273"/>
    <x v="433"/>
    <s v="Pending"/>
    <s v="No"/>
    <x v="0"/>
    <x v="514"/>
    <x v="515"/>
    <n v="545"/>
    <n v="469"/>
    <n v="0.35149999999999998"/>
    <n v="76665107"/>
    <n v="51626.334680134678"/>
    <n v="99996"/>
    <n v="5091"/>
    <n v="1995502.9200000004"/>
    <n v="1343.7730101010104"/>
    <n v="0.35149999999999998"/>
    <n v="1478810225.4399998"/>
    <x v="1"/>
    <n v="1735.08"/>
  </r>
  <r>
    <s v="LN00517"/>
    <x v="516"/>
    <n v="57"/>
    <s v="Female"/>
    <s v="Married"/>
    <s v="Employed"/>
    <n v="54351"/>
    <n v="319"/>
    <n v="38586"/>
    <n v="5.21"/>
    <n v="240"/>
    <s v="Mortgage"/>
    <n v="50.95"/>
    <n v="41197"/>
    <n v="85039"/>
    <x v="434"/>
    <s v="Pending"/>
    <s v="Yes"/>
    <x v="1"/>
    <x v="515"/>
    <x v="516"/>
    <n v="545"/>
    <n v="469"/>
    <n v="0.35149999999999998"/>
    <n v="76649672"/>
    <n v="51650.722371967655"/>
    <n v="99996"/>
    <n v="5091"/>
    <n v="1995358.3300000005"/>
    <n v="1344.5810849056606"/>
    <n v="0.35149999999999998"/>
    <n v="1476814722.52"/>
    <x v="1"/>
    <n v="2029.8000000000002"/>
  </r>
  <r>
    <s v="LN00518"/>
    <x v="517"/>
    <n v="38"/>
    <s v="Male"/>
    <s v="Divorced"/>
    <s v="Self-Employed"/>
    <n v="44848"/>
    <n v="735"/>
    <n v="86034"/>
    <n v="12.08"/>
    <n v="12"/>
    <s v="Mortgage"/>
    <n v="41.45"/>
    <n v="43745"/>
    <n v="203794"/>
    <x v="435"/>
    <s v="Approved"/>
    <s v="Yes"/>
    <x v="2"/>
    <x v="516"/>
    <x v="517"/>
    <n v="545"/>
    <n v="469"/>
    <n v="0.35149999999999998"/>
    <n v="76611086"/>
    <n v="51659.532029669586"/>
    <n v="99996"/>
    <n v="5091"/>
    <n v="1995189.1800000004"/>
    <n v="1345.3736884693192"/>
    <n v="0.35149999999999998"/>
    <n v="1474819364.1899998"/>
    <x v="1"/>
    <n v="96426.959999999992"/>
  </r>
  <r>
    <s v="LN00519"/>
    <x v="518"/>
    <n v="21"/>
    <s v="Male"/>
    <s v="Divorced"/>
    <s v="Unemployed"/>
    <n v="91821"/>
    <n v="487"/>
    <n v="99517"/>
    <n v="13.77"/>
    <n v="48"/>
    <s v="Personal"/>
    <n v="9.74"/>
    <n v="37053"/>
    <n v="34066"/>
    <x v="436"/>
    <s v="Approved"/>
    <s v="No"/>
    <x v="2"/>
    <x v="517"/>
    <x v="518"/>
    <n v="544"/>
    <n v="469"/>
    <n v="0.35149999999999998"/>
    <n v="76525052"/>
    <n v="51636.337381916332"/>
    <n v="99996"/>
    <n v="5091"/>
    <n v="1987153.6000000006"/>
    <n v="1340.8593792172744"/>
    <n v="0.35149999999999998"/>
    <n v="1472824175.01"/>
    <x v="0"/>
    <n v="28305.120000000003"/>
  </r>
  <r>
    <s v="LN00520"/>
    <x v="519"/>
    <n v="48"/>
    <s v="Male"/>
    <s v="Married"/>
    <s v="Self-Employed"/>
    <n v="172500"/>
    <n v="384"/>
    <n v="19687"/>
    <n v="23.42"/>
    <n v="360"/>
    <s v="Auto"/>
    <n v="15"/>
    <n v="56826"/>
    <n v="199466"/>
    <x v="437"/>
    <s v="Pending"/>
    <s v="No"/>
    <x v="4"/>
    <x v="518"/>
    <x v="519"/>
    <n v="543"/>
    <n v="469"/>
    <n v="0.35149999999999998"/>
    <n v="76425535"/>
    <n v="51604.007427413912"/>
    <n v="99996"/>
    <n v="5091"/>
    <n v="1984794.8400000003"/>
    <n v="1340.1720729237004"/>
    <n v="0.35149999999999998"/>
    <n v="1470837021.4099998"/>
    <x v="1"/>
    <n v="809.87999999999988"/>
  </r>
  <r>
    <s v="LN00521"/>
    <x v="520"/>
    <n v="34"/>
    <s v="Female"/>
    <s v="Divorced"/>
    <s v="Self-Employed"/>
    <n v="142129"/>
    <n v="515"/>
    <n v="26376"/>
    <n v="5.55"/>
    <n v="24"/>
    <s v="Business"/>
    <n v="47.4"/>
    <n v="62235"/>
    <n v="74310"/>
    <x v="438"/>
    <s v="Rejected"/>
    <s v="Yes"/>
    <x v="4"/>
    <x v="519"/>
    <x v="520"/>
    <n v="543"/>
    <n v="469"/>
    <n v="0.35149999999999998"/>
    <n v="76405848"/>
    <n v="51625.572972972972"/>
    <n v="99996"/>
    <n v="5091"/>
    <n v="1984727.3500000003"/>
    <n v="1341.0319932432435"/>
    <n v="0.35149999999999998"/>
    <n v="1468852226.5699999"/>
    <x v="1"/>
    <n v="13919.880000000001"/>
  </r>
  <r>
    <s v="LN00522"/>
    <x v="521"/>
    <n v="36"/>
    <s v="Male"/>
    <s v="Divorced"/>
    <s v="Self-Employed"/>
    <n v="76075"/>
    <n v="568"/>
    <n v="34815"/>
    <n v="5.15"/>
    <n v="180"/>
    <s v="Auto"/>
    <n v="32.979999999999997"/>
    <n v="46380"/>
    <n v="98214"/>
    <x v="439"/>
    <s v="Pending"/>
    <s v="Yes"/>
    <x v="3"/>
    <x v="520"/>
    <x v="521"/>
    <n v="543"/>
    <n v="468"/>
    <n v="0.35149999999999998"/>
    <n v="76379472"/>
    <n v="51642.645030425963"/>
    <n v="99996"/>
    <n v="5091"/>
    <n v="1983567.3600000003"/>
    <n v="1341.1544016227183"/>
    <n v="0.35149999999999998"/>
    <n v="1466867499.2199998"/>
    <x v="1"/>
    <n v="2440.56"/>
  </r>
  <r>
    <s v="LN00523"/>
    <x v="522"/>
    <n v="29"/>
    <s v="Male"/>
    <s v="Single"/>
    <s v="Self-Employed"/>
    <n v="134680"/>
    <n v="817"/>
    <n v="70032"/>
    <n v="13.26"/>
    <n v="120"/>
    <s v="Mortgage"/>
    <n v="55.62"/>
    <n v="6432"/>
    <n v="229643"/>
    <x v="267"/>
    <s v="Pending"/>
    <s v="Yes"/>
    <x v="3"/>
    <x v="521"/>
    <x v="522"/>
    <n v="543"/>
    <n v="468"/>
    <n v="0.35149999999999998"/>
    <n v="76344657"/>
    <n v="51654.03044654939"/>
    <n v="99996"/>
    <n v="5091"/>
    <n v="1983363.9800000004"/>
    <n v="1341.9242083897161"/>
    <n v="0.35149999999999998"/>
    <n v="1464883931.8599999"/>
    <x v="1"/>
    <n v="7931.88"/>
  </r>
  <r>
    <s v="LN00524"/>
    <x v="523"/>
    <n v="55"/>
    <s v="Female"/>
    <s v="Single"/>
    <s v="Self-Employed"/>
    <n v="64731"/>
    <n v="843"/>
    <n v="98491"/>
    <n v="11.19"/>
    <n v="120"/>
    <s v="Personal"/>
    <n v="53.11"/>
    <n v="4879"/>
    <n v="219530"/>
    <x v="440"/>
    <s v="Pending"/>
    <s v="No"/>
    <x v="3"/>
    <x v="522"/>
    <x v="523"/>
    <n v="543"/>
    <n v="468"/>
    <n v="0.35149999999999998"/>
    <n v="76274625"/>
    <n v="51641.587677725118"/>
    <n v="99996"/>
    <n v="5091"/>
    <n v="1982702.9900000005"/>
    <n v="1342.3852335815845"/>
    <n v="0.35149999999999998"/>
    <n v="1462900567.8799999"/>
    <x v="1"/>
    <n v="10951.2"/>
  </r>
  <r>
    <s v="LN00525"/>
    <x v="524"/>
    <n v="37"/>
    <s v="Male"/>
    <s v="Single"/>
    <s v="Self-Employed"/>
    <n v="20676"/>
    <n v="552"/>
    <n v="33650"/>
    <n v="18.72"/>
    <n v="24"/>
    <s v="Mortgage"/>
    <n v="39.89"/>
    <n v="78713"/>
    <n v="242937"/>
    <x v="441"/>
    <s v="Approved"/>
    <s v="Yes"/>
    <x v="1"/>
    <x v="523"/>
    <x v="524"/>
    <n v="543"/>
    <n v="468"/>
    <n v="0.35149999999999998"/>
    <n v="76176134"/>
    <n v="51609.846883468832"/>
    <n v="99996"/>
    <n v="5091"/>
    <n v="1981790.3900000004"/>
    <n v="1342.6764159891602"/>
    <n v="0.35149999999999998"/>
    <n v="1460917864.8900001"/>
    <x v="1"/>
    <n v="19974.599999999999"/>
  </r>
  <r>
    <s v="LN00526"/>
    <x v="525"/>
    <n v="30"/>
    <s v="Male"/>
    <s v="Single"/>
    <s v="Employed"/>
    <n v="80790"/>
    <n v="840"/>
    <n v="81306"/>
    <n v="11.56"/>
    <n v="12"/>
    <s v="Auto"/>
    <n v="54.85"/>
    <n v="78510"/>
    <n v="217987"/>
    <x v="442"/>
    <s v="Pending"/>
    <s v="Yes"/>
    <x v="3"/>
    <x v="524"/>
    <x v="525"/>
    <n v="542"/>
    <n v="468"/>
    <n v="0.35149999999999998"/>
    <n v="76142484"/>
    <n v="51622.023050847456"/>
    <n v="99996"/>
    <n v="5091"/>
    <n v="1980125.8400000003"/>
    <n v="1342.4581966101698"/>
    <n v="0.35149999999999998"/>
    <n v="1458936074.5"/>
    <x v="1"/>
    <n v="90705"/>
  </r>
  <r>
    <s v="LN00527"/>
    <x v="526"/>
    <n v="42"/>
    <s v="Female"/>
    <s v="Divorced"/>
    <s v="Unemployed"/>
    <n v="22078"/>
    <n v="733"/>
    <n v="71519"/>
    <n v="12.91"/>
    <n v="240"/>
    <s v="Business"/>
    <n v="24.73"/>
    <n v="73500"/>
    <n v="215771"/>
    <x v="443"/>
    <s v="Pending"/>
    <s v="No"/>
    <x v="4"/>
    <x v="525"/>
    <x v="526"/>
    <n v="542"/>
    <n v="468"/>
    <n v="0.35149999999999998"/>
    <n v="76061178"/>
    <n v="51601.884667571234"/>
    <n v="99996"/>
    <n v="5091"/>
    <n v="1972567.09"/>
    <n v="1338.2409023066486"/>
    <n v="0.35149999999999998"/>
    <n v="1456955948.6599998"/>
    <x v="0"/>
    <n v="4037.6400000000003"/>
  </r>
  <r>
    <s v="LN00528"/>
    <x v="527"/>
    <n v="36"/>
    <s v="Female"/>
    <s v="Married"/>
    <s v="Employed"/>
    <n v="101641"/>
    <n v="516"/>
    <n v="45753"/>
    <n v="14.2"/>
    <n v="12"/>
    <s v="Education"/>
    <n v="9.4499999999999993"/>
    <n v="56437"/>
    <n v="119198"/>
    <x v="444"/>
    <s v="Rejected"/>
    <s v="Yes"/>
    <x v="0"/>
    <x v="526"/>
    <x v="527"/>
    <n v="542"/>
    <n v="468"/>
    <n v="0.35149999999999998"/>
    <n v="75989659"/>
    <n v="51588.363204344874"/>
    <n v="99996"/>
    <n v="5091"/>
    <n v="1972230.6199999999"/>
    <n v="1338.9209911744738"/>
    <n v="0.35149999999999998"/>
    <n v="1454983381.5699999"/>
    <x v="1"/>
    <n v="52249.919999999998"/>
  </r>
  <r>
    <s v="LN00529"/>
    <x v="528"/>
    <n v="62"/>
    <s v="Male"/>
    <s v="Divorced"/>
    <s v="Unemployed"/>
    <n v="38109"/>
    <n v="313"/>
    <n v="56135"/>
    <n v="11.64"/>
    <n v="12"/>
    <s v="Auto"/>
    <n v="25.4"/>
    <n v="35297"/>
    <n v="185171"/>
    <x v="445"/>
    <s v="Rejected"/>
    <s v="Yes"/>
    <x v="1"/>
    <x v="527"/>
    <x v="528"/>
    <n v="542"/>
    <n v="467"/>
    <n v="0.35149999999999998"/>
    <n v="75943906"/>
    <n v="51592.327445652176"/>
    <n v="99996"/>
    <n v="5091"/>
    <n v="1967876.4600000002"/>
    <n v="1336.8725951086958"/>
    <n v="0.35149999999999998"/>
    <n v="1453011150.9499998"/>
    <x v="0"/>
    <n v="62669.16"/>
  </r>
  <r>
    <s v="LN00530"/>
    <x v="529"/>
    <n v="23"/>
    <s v="Male"/>
    <s v="Single"/>
    <s v="Employed"/>
    <n v="70768"/>
    <n v="779"/>
    <n v="27394"/>
    <n v="18.71"/>
    <n v="48"/>
    <s v="Mortgage"/>
    <n v="55.59"/>
    <n v="36139"/>
    <n v="198626"/>
    <x v="446"/>
    <s v="Rejected"/>
    <s v="Yes"/>
    <x v="1"/>
    <x v="528"/>
    <x v="529"/>
    <n v="542"/>
    <n v="466"/>
    <n v="0.35149999999999998"/>
    <n v="75887771"/>
    <n v="51589.239292997961"/>
    <n v="99996"/>
    <n v="5091"/>
    <n v="1962654.0300000003"/>
    <n v="1334.2311556764107"/>
    <n v="0.35149999999999998"/>
    <n v="1451043274.4899998"/>
    <x v="0"/>
    <n v="8129.88"/>
  </r>
  <r>
    <s v="LN00531"/>
    <x v="530"/>
    <n v="32"/>
    <s v="Female"/>
    <s v="Married"/>
    <s v="Employed"/>
    <n v="182623"/>
    <n v="682"/>
    <n v="17649"/>
    <n v="8.9600000000000009"/>
    <n v="180"/>
    <s v="Personal"/>
    <n v="19.059999999999999"/>
    <n v="33942"/>
    <n v="68762"/>
    <x v="447"/>
    <s v="Approved"/>
    <s v="Yes"/>
    <x v="1"/>
    <x v="529"/>
    <x v="530"/>
    <n v="542"/>
    <n v="465"/>
    <n v="0.35149999999999998"/>
    <n v="75860377"/>
    <n v="51605.698639455783"/>
    <n v="99996"/>
    <n v="5091"/>
    <n v="1961976.5400000003"/>
    <n v="1334.677918367347"/>
    <n v="0.35149999999999998"/>
    <n v="1449080620.4599996"/>
    <x v="1"/>
    <n v="1282.08"/>
  </r>
  <r>
    <s v="LN00532"/>
    <x v="531"/>
    <n v="28"/>
    <s v="Female"/>
    <s v="Married"/>
    <s v="Self-Employed"/>
    <n v="165948"/>
    <n v="559"/>
    <n v="35017"/>
    <n v="14.77"/>
    <n v="60"/>
    <s v="Auto"/>
    <n v="42.81"/>
    <n v="39230"/>
    <n v="177424"/>
    <x v="448"/>
    <s v="Rejected"/>
    <s v="Yes"/>
    <x v="0"/>
    <x v="530"/>
    <x v="531"/>
    <n v="541"/>
    <n v="465"/>
    <n v="0.35149999999999998"/>
    <n v="75842728"/>
    <n v="51628.814159292036"/>
    <n v="99996"/>
    <n v="5091"/>
    <n v="1961869.7000000002"/>
    <n v="1335.5137508509192"/>
    <n v="0.35149999999999998"/>
    <n v="1447118643.9199996"/>
    <x v="1"/>
    <n v="8037.84"/>
  </r>
  <r>
    <s v="LN00533"/>
    <x v="532"/>
    <n v="53"/>
    <s v="Male"/>
    <s v="Married"/>
    <s v="Unemployed"/>
    <n v="34803"/>
    <n v="371"/>
    <n v="47785"/>
    <n v="15.89"/>
    <n v="48"/>
    <s v="Business"/>
    <n v="29.95"/>
    <n v="35321"/>
    <n v="218619"/>
    <x v="67"/>
    <s v="Rejected"/>
    <s v="No"/>
    <x v="1"/>
    <x v="531"/>
    <x v="532"/>
    <n v="541"/>
    <n v="464"/>
    <n v="0.35149999999999998"/>
    <n v="75807711"/>
    <n v="51640.130108991827"/>
    <n v="99996"/>
    <n v="5091"/>
    <n v="1961199.8800000001"/>
    <n v="1335.967220708447"/>
    <n v="0.35149999999999998"/>
    <n v="1445156774.2199998"/>
    <x v="1"/>
    <n v="13844.52"/>
  </r>
  <r>
    <s v="LN00534"/>
    <x v="533"/>
    <n v="28"/>
    <s v="Male"/>
    <s v="Single"/>
    <s v="Employed"/>
    <n v="115474"/>
    <n v="816"/>
    <n v="55725"/>
    <n v="20.67"/>
    <n v="360"/>
    <s v="Education"/>
    <n v="41.45"/>
    <n v="77204"/>
    <n v="42455"/>
    <x v="449"/>
    <s v="Pending"/>
    <s v="Yes"/>
    <x v="1"/>
    <x v="532"/>
    <x v="533"/>
    <n v="541"/>
    <n v="463"/>
    <n v="0.35149999999999998"/>
    <n v="75759926"/>
    <n v="51642.758009543286"/>
    <n v="99996"/>
    <n v="5091"/>
    <n v="1960046.1700000002"/>
    <n v="1336.0914587593729"/>
    <n v="0.35149999999999998"/>
    <n v="1443195574.3399997"/>
    <x v="1"/>
    <n v="2241.48"/>
  </r>
  <r>
    <s v="LN00535"/>
    <x v="534"/>
    <n v="42"/>
    <s v="Female"/>
    <s v="Single"/>
    <s v="Employed"/>
    <n v="140226"/>
    <n v="331"/>
    <n v="59071"/>
    <n v="6.72"/>
    <n v="180"/>
    <s v="Education"/>
    <n v="16.73"/>
    <n v="74516"/>
    <n v="222043"/>
    <x v="450"/>
    <s v="Approved"/>
    <s v="Yes"/>
    <x v="2"/>
    <x v="533"/>
    <x v="534"/>
    <n v="541"/>
    <n v="463"/>
    <n v="0.35149999999999998"/>
    <n v="75704201"/>
    <n v="51639.973396998634"/>
    <n v="99996"/>
    <n v="5091"/>
    <n v="1959859.3800000001"/>
    <n v="1336.8754297407913"/>
    <n v="0.35149999999999998"/>
    <n v="1441235528.1700001"/>
    <x v="1"/>
    <n v="4202.76"/>
  </r>
  <r>
    <s v="LN00536"/>
    <x v="535"/>
    <n v="62"/>
    <s v="Female"/>
    <s v="Single"/>
    <s v="Employed"/>
    <n v="150862"/>
    <n v="480"/>
    <n v="20360"/>
    <n v="6.84"/>
    <n v="120"/>
    <s v="Education"/>
    <n v="12.81"/>
    <n v="66709"/>
    <n v="112839"/>
    <x v="451"/>
    <s v="Approved"/>
    <s v="Yes"/>
    <x v="4"/>
    <x v="534"/>
    <x v="535"/>
    <n v="540"/>
    <n v="463"/>
    <n v="0.35149999999999998"/>
    <n v="75645130"/>
    <n v="51634.901023890787"/>
    <n v="99996"/>
    <n v="5091"/>
    <n v="1959509.1500000001"/>
    <n v="1337.5489078498294"/>
    <n v="0.35149999999999998"/>
    <n v="1439275668.7900002"/>
    <x v="1"/>
    <n v="2175.2400000000002"/>
  </r>
  <r>
    <s v="LN00537"/>
    <x v="536"/>
    <n v="44"/>
    <s v="Male"/>
    <s v="Married"/>
    <s v="Employed"/>
    <n v="155958"/>
    <n v="549"/>
    <n v="9442"/>
    <n v="3.81"/>
    <n v="48"/>
    <s v="Business"/>
    <n v="58.08"/>
    <n v="70096"/>
    <n v="106104"/>
    <x v="298"/>
    <s v="Approved"/>
    <s v="Yes"/>
    <x v="1"/>
    <x v="535"/>
    <x v="536"/>
    <n v="539"/>
    <n v="463"/>
    <n v="0.35149999999999998"/>
    <n v="75624770"/>
    <n v="51656.263661202189"/>
    <n v="99996"/>
    <n v="5091"/>
    <n v="1959327.8800000001"/>
    <n v="1338.3387158469945"/>
    <n v="0.35149999999999998"/>
    <n v="1437316159.6400001"/>
    <x v="1"/>
    <n v="2450.3999999999996"/>
  </r>
  <r>
    <s v="LN00538"/>
    <x v="537"/>
    <n v="48"/>
    <s v="Female"/>
    <s v="Divorced"/>
    <s v="Self-Employed"/>
    <n v="51531"/>
    <n v="435"/>
    <n v="76296"/>
    <n v="19.57"/>
    <n v="240"/>
    <s v="Education"/>
    <n v="25.28"/>
    <n v="79004"/>
    <n v="244607"/>
    <x v="452"/>
    <s v="Approved"/>
    <s v="No"/>
    <x v="4"/>
    <x v="536"/>
    <x v="537"/>
    <n v="538"/>
    <n v="463"/>
    <n v="0.35149999999999998"/>
    <n v="75615328"/>
    <n v="51685.118250170883"/>
    <n v="99996"/>
    <n v="5091"/>
    <n v="1959123.6800000002"/>
    <n v="1339.1139302802462"/>
    <n v="0.35149999999999998"/>
    <n v="1435356831.7600002"/>
    <x v="1"/>
    <n v="4561.32"/>
  </r>
  <r>
    <s v="LN00539"/>
    <x v="538"/>
    <n v="59"/>
    <s v="Male"/>
    <s v="Married"/>
    <s v="Self-Employed"/>
    <n v="192512"/>
    <n v="382"/>
    <n v="80961"/>
    <n v="8.93"/>
    <n v="12"/>
    <s v="Personal"/>
    <n v="48.31"/>
    <n v="44795"/>
    <n v="133456"/>
    <x v="267"/>
    <s v="Approved"/>
    <s v="Yes"/>
    <x v="0"/>
    <x v="537"/>
    <x v="538"/>
    <n v="537"/>
    <n v="463"/>
    <n v="0.35149999999999998"/>
    <n v="75539032"/>
    <n v="51668.284541723668"/>
    <n v="99996"/>
    <n v="5091"/>
    <n v="1958743.5700000003"/>
    <n v="1339.7698837209305"/>
    <n v="0.35149999999999998"/>
    <n v="1433397708.0800002"/>
    <x v="1"/>
    <n v="88190.76"/>
  </r>
  <r>
    <s v="LN00540"/>
    <x v="539"/>
    <n v="34"/>
    <s v="Male"/>
    <s v="Divorced"/>
    <s v="Employed"/>
    <n v="91164"/>
    <n v="708"/>
    <n v="6188"/>
    <n v="16.809999999999999"/>
    <n v="24"/>
    <s v="Business"/>
    <n v="20.49"/>
    <n v="21021"/>
    <n v="160288"/>
    <x v="453"/>
    <s v="Pending"/>
    <s v="Yes"/>
    <x v="0"/>
    <x v="538"/>
    <x v="539"/>
    <n v="536"/>
    <n v="463"/>
    <n v="0.35149999999999998"/>
    <n v="75458071"/>
    <n v="51648.234770704999"/>
    <n v="99996"/>
    <n v="5091"/>
    <n v="1951394.34"/>
    <n v="1335.6566324435319"/>
    <n v="0.35149999999999998"/>
    <n v="1431438964.5100002"/>
    <x v="0"/>
    <n v="3614.16"/>
  </r>
  <r>
    <s v="LN00541"/>
    <x v="540"/>
    <n v="21"/>
    <s v="Male"/>
    <s v="Single"/>
    <s v="Self-Employed"/>
    <n v="148248"/>
    <n v="495"/>
    <n v="77319"/>
    <n v="9.4499999999999993"/>
    <n v="240"/>
    <s v="Auto"/>
    <n v="54.3"/>
    <n v="11006"/>
    <n v="103216"/>
    <x v="454"/>
    <s v="Approved"/>
    <s v="No"/>
    <x v="0"/>
    <x v="539"/>
    <x v="540"/>
    <n v="536"/>
    <n v="463"/>
    <n v="0.35149999999999998"/>
    <n v="75451883"/>
    <n v="51679.371917808217"/>
    <n v="99996"/>
    <n v="5091"/>
    <n v="1951093.1600000001"/>
    <n v="1336.365178082192"/>
    <n v="0.35149999999999998"/>
    <n v="1429487570.1700001"/>
    <x v="1"/>
    <n v="4231.32"/>
  </r>
  <r>
    <s v="LN00542"/>
    <x v="541"/>
    <n v="29"/>
    <s v="Female"/>
    <s v="Married"/>
    <s v="Employed"/>
    <n v="24889"/>
    <n v="300"/>
    <n v="91532"/>
    <n v="23.14"/>
    <n v="24"/>
    <s v="Auto"/>
    <n v="25.91"/>
    <n v="6998"/>
    <n v="167091"/>
    <x v="170"/>
    <s v="Pending"/>
    <s v="No"/>
    <x v="3"/>
    <x v="540"/>
    <x v="541"/>
    <n v="535"/>
    <n v="463"/>
    <n v="0.35149999999999998"/>
    <n v="75374564"/>
    <n v="51661.798492117887"/>
    <n v="99996"/>
    <n v="5091"/>
    <n v="1950740.55"/>
    <n v="1337.0394448252227"/>
    <n v="0.35149999999999998"/>
    <n v="1427536477.0100005"/>
    <x v="1"/>
    <n v="56356.200000000004"/>
  </r>
  <r>
    <s v="LN00543"/>
    <x v="542"/>
    <n v="39"/>
    <s v="Male"/>
    <s v="Single"/>
    <s v="Unemployed"/>
    <n v="192545"/>
    <n v="461"/>
    <n v="14028"/>
    <n v="4.71"/>
    <n v="180"/>
    <s v="Education"/>
    <n v="21.99"/>
    <n v="71711"/>
    <n v="179602"/>
    <x v="455"/>
    <s v="Approved"/>
    <s v="No"/>
    <x v="4"/>
    <x v="541"/>
    <x v="542"/>
    <n v="535"/>
    <n v="463"/>
    <n v="0.35149999999999998"/>
    <n v="75283032"/>
    <n v="51634.452674897118"/>
    <n v="99996"/>
    <n v="5091"/>
    <n v="1946044.2"/>
    <n v="1334.7353909465021"/>
    <n v="0.35149999999999998"/>
    <n v="1425585736.4600005"/>
    <x v="1"/>
    <n v="979.19999999999993"/>
  </r>
  <r>
    <s v="LN00544"/>
    <x v="543"/>
    <n v="58"/>
    <s v="Female"/>
    <s v="Single"/>
    <s v="Employed"/>
    <n v="99404"/>
    <n v="755"/>
    <n v="65103"/>
    <n v="3.66"/>
    <n v="48"/>
    <s v="Business"/>
    <n v="57.14"/>
    <n v="30618"/>
    <n v="13142"/>
    <x v="398"/>
    <s v="Rejected"/>
    <s v="No"/>
    <x v="2"/>
    <x v="542"/>
    <x v="543"/>
    <n v="534"/>
    <n v="463"/>
    <n v="0.35149999999999998"/>
    <n v="75269004"/>
    <n v="51660.263555250516"/>
    <n v="99996"/>
    <n v="5091"/>
    <n v="1945962.5999999999"/>
    <n v="1335.5954701441317"/>
    <n v="0.35149999999999998"/>
    <n v="1423639692.2600005"/>
    <x v="1"/>
    <n v="16871.400000000001"/>
  </r>
  <r>
    <s v="LN00545"/>
    <x v="544"/>
    <n v="43"/>
    <s v="Female"/>
    <s v="Divorced"/>
    <s v="Self-Employed"/>
    <n v="63430"/>
    <n v="413"/>
    <n v="86927"/>
    <n v="5.5"/>
    <n v="36"/>
    <s v="Education"/>
    <n v="55.67"/>
    <n v="79605"/>
    <n v="50408"/>
    <x v="228"/>
    <s v="Approved"/>
    <s v="Yes"/>
    <x v="1"/>
    <x v="543"/>
    <x v="544"/>
    <n v="534"/>
    <n v="462"/>
    <n v="0.35149999999999998"/>
    <n v="75203901"/>
    <n v="51651.030906593405"/>
    <n v="99996"/>
    <n v="5091"/>
    <n v="1944556.65"/>
    <n v="1335.5471497252747"/>
    <n v="0.35149999999999998"/>
    <n v="1421693729.6600003"/>
    <x v="1"/>
    <n v="30569.279999999999"/>
  </r>
  <r>
    <s v="LN00546"/>
    <x v="545"/>
    <n v="51"/>
    <s v="Male"/>
    <s v="Divorced"/>
    <s v="Self-Employed"/>
    <n v="164691"/>
    <n v="442"/>
    <n v="52575"/>
    <n v="22.43"/>
    <n v="36"/>
    <s v="Education"/>
    <n v="50.05"/>
    <n v="50992"/>
    <n v="49236"/>
    <x v="456"/>
    <s v="Rejected"/>
    <s v="Yes"/>
    <x v="4"/>
    <x v="544"/>
    <x v="545"/>
    <n v="533"/>
    <n v="462"/>
    <n v="0.35149999999999998"/>
    <n v="75116974"/>
    <n v="51626.786254295534"/>
    <n v="99996"/>
    <n v="5091"/>
    <n v="1942009.21"/>
    <n v="1334.7142336769759"/>
    <n v="0.35149999999999998"/>
    <n v="1419749173.0100002"/>
    <x v="1"/>
    <n v="21455.88"/>
  </r>
  <r>
    <s v="LN00547"/>
    <x v="546"/>
    <n v="55"/>
    <s v="Male"/>
    <s v="Single"/>
    <s v="Employed"/>
    <n v="132197"/>
    <n v="587"/>
    <n v="73707"/>
    <n v="19.46"/>
    <n v="120"/>
    <s v="Auto"/>
    <n v="36.020000000000003"/>
    <n v="28256"/>
    <n v="210545"/>
    <x v="313"/>
    <s v="Rejected"/>
    <s v="No"/>
    <x v="2"/>
    <x v="545"/>
    <x v="546"/>
    <n v="533"/>
    <n v="461"/>
    <n v="0.35149999999999998"/>
    <n v="75064399"/>
    <n v="51626.134112792301"/>
    <n v="99996"/>
    <n v="5091"/>
    <n v="1940221.22"/>
    <n v="1334.4024896836313"/>
    <n v="0.35149999999999998"/>
    <n v="1417807163.8000004"/>
    <x v="1"/>
    <n v="8805"/>
  </r>
  <r>
    <s v="LN00548"/>
    <x v="547"/>
    <n v="28"/>
    <s v="Male"/>
    <s v="Married"/>
    <s v="Employed"/>
    <n v="51566"/>
    <n v="386"/>
    <n v="10811"/>
    <n v="5.91"/>
    <n v="48"/>
    <s v="Auto"/>
    <n v="27.63"/>
    <n v="14038"/>
    <n v="185660"/>
    <x v="342"/>
    <s v="Approved"/>
    <s v="No"/>
    <x v="2"/>
    <x v="546"/>
    <x v="547"/>
    <n v="533"/>
    <n v="460"/>
    <n v="0.35149999999999998"/>
    <n v="74990692"/>
    <n v="51610.937370956643"/>
    <n v="99996"/>
    <n v="5091"/>
    <n v="1939487.4700000002"/>
    <n v="1334.8158774948383"/>
    <n v="0.35149999999999998"/>
    <n v="1415866942.5800004"/>
    <x v="1"/>
    <n v="2862.48"/>
  </r>
  <r>
    <s v="LN00549"/>
    <x v="548"/>
    <n v="21"/>
    <s v="Male"/>
    <s v="Divorced"/>
    <s v="Self-Employed"/>
    <n v="91782"/>
    <n v="717"/>
    <n v="28085"/>
    <n v="20.239999999999998"/>
    <n v="48"/>
    <s v="Personal"/>
    <n v="35.909999999999997"/>
    <n v="56892"/>
    <n v="39607"/>
    <x v="457"/>
    <s v="Rejected"/>
    <s v="Yes"/>
    <x v="4"/>
    <x v="547"/>
    <x v="548"/>
    <n v="532"/>
    <n v="460"/>
    <n v="0.35149999999999998"/>
    <n v="74979881"/>
    <n v="51639.036501377414"/>
    <n v="99996"/>
    <n v="5091"/>
    <n v="1939248.9300000002"/>
    <n v="1335.5708884297521"/>
    <n v="0.35149999999999998"/>
    <n v="1413927455.1100006"/>
    <x v="1"/>
    <n v="8442.36"/>
  </r>
  <r>
    <s v="LN00550"/>
    <x v="549"/>
    <n v="25"/>
    <s v="Male"/>
    <s v="Divorced"/>
    <s v="Unemployed"/>
    <n v="170547"/>
    <n v="582"/>
    <n v="81003"/>
    <n v="21.15"/>
    <n v="36"/>
    <s v="Mortgage"/>
    <n v="18.73"/>
    <n v="47522"/>
    <n v="52360"/>
    <x v="458"/>
    <s v="Approved"/>
    <s v="Yes"/>
    <x v="3"/>
    <x v="548"/>
    <x v="549"/>
    <n v="532"/>
    <n v="459"/>
    <n v="0.35149999999999998"/>
    <n v="74951796"/>
    <n v="51655.269469331499"/>
    <n v="99996"/>
    <n v="5091"/>
    <n v="1938545.4000000001"/>
    <n v="1336.0064782908339"/>
    <n v="0.35149999999999998"/>
    <n v="1411988206.1800005"/>
    <x v="1"/>
    <n v="32711.760000000002"/>
  </r>
  <r>
    <s v="LN00551"/>
    <x v="550"/>
    <n v="45"/>
    <s v="Female"/>
    <s v="Divorced"/>
    <s v="Self-Employed"/>
    <n v="101668"/>
    <n v="469"/>
    <n v="58557"/>
    <n v="9.9600000000000009"/>
    <n v="36"/>
    <s v="Education"/>
    <n v="6.7"/>
    <n v="18123"/>
    <n v="58448"/>
    <x v="459"/>
    <s v="Approved"/>
    <s v="No"/>
    <x v="2"/>
    <x v="549"/>
    <x v="550"/>
    <n v="531"/>
    <n v="459"/>
    <n v="0.35149999999999998"/>
    <n v="74870793"/>
    <n v="51635.029655172417"/>
    <n v="99996"/>
    <n v="5091"/>
    <n v="1935819.4200000004"/>
    <n v="1335.0478758620693"/>
    <n v="0.35149999999999998"/>
    <n v="1410049660.7800004"/>
    <x v="1"/>
    <n v="21463.079999999998"/>
  </r>
  <r>
    <s v="LN00552"/>
    <x v="551"/>
    <n v="48"/>
    <s v="Female"/>
    <s v="Married"/>
    <s v="Employed"/>
    <n v="197287"/>
    <n v="335"/>
    <n v="91245"/>
    <n v="3.53"/>
    <n v="60"/>
    <s v="Auto"/>
    <n v="38.619999999999997"/>
    <n v="15567"/>
    <n v="180471"/>
    <x v="460"/>
    <s v="Approved"/>
    <s v="Yes"/>
    <x v="1"/>
    <x v="550"/>
    <x v="551"/>
    <n v="530"/>
    <n v="459"/>
    <n v="0.35149999999999998"/>
    <n v="74812236"/>
    <n v="51630.252587991716"/>
    <n v="99996"/>
    <n v="5091"/>
    <n v="1934030.83"/>
    <n v="1334.7348723257419"/>
    <n v="0.35149999999999998"/>
    <n v="1408113841.3600006"/>
    <x v="1"/>
    <n v="18893.16"/>
  </r>
  <r>
    <s v="LN00553"/>
    <x v="552"/>
    <n v="57"/>
    <s v="Female"/>
    <s v="Divorced"/>
    <s v="Self-Employed"/>
    <n v="38700"/>
    <n v="617"/>
    <n v="60346"/>
    <n v="15.07"/>
    <n v="180"/>
    <s v="Personal"/>
    <n v="24.85"/>
    <n v="78316"/>
    <n v="240949"/>
    <x v="461"/>
    <s v="Pending"/>
    <s v="No"/>
    <x v="4"/>
    <x v="551"/>
    <x v="552"/>
    <n v="529"/>
    <n v="459"/>
    <n v="0.35149999999999998"/>
    <n v="74720991"/>
    <n v="51602.894337016573"/>
    <n v="99996"/>
    <n v="5091"/>
    <n v="1932456.4"/>
    <n v="1334.5693370165745"/>
    <n v="0.35149999999999998"/>
    <n v="1406179810.5300007"/>
    <x v="1"/>
    <n v="4629.3599999999997"/>
  </r>
  <r>
    <s v="LN00554"/>
    <x v="553"/>
    <n v="40"/>
    <s v="Female"/>
    <s v="Married"/>
    <s v="Self-Employed"/>
    <n v="30747"/>
    <n v="594"/>
    <n v="68274"/>
    <n v="5.75"/>
    <n v="360"/>
    <s v="Mortgage"/>
    <n v="48.17"/>
    <n v="74946"/>
    <n v="248712"/>
    <x v="462"/>
    <s v="Pending"/>
    <s v="No"/>
    <x v="1"/>
    <x v="552"/>
    <x v="553"/>
    <n v="529"/>
    <n v="459"/>
    <n v="0.35149999999999998"/>
    <n v="74660645"/>
    <n v="51596.85210780926"/>
    <n v="99996"/>
    <n v="5091"/>
    <n v="1932070.6199999999"/>
    <n v="1335.2250310988252"/>
    <n v="0.35149999999999998"/>
    <n v="1404247354.1300006"/>
    <x v="1"/>
    <n v="2406.6000000000004"/>
  </r>
  <r>
    <s v="LN00555"/>
    <x v="554"/>
    <n v="29"/>
    <s v="Female"/>
    <s v="Single"/>
    <s v="Unemployed"/>
    <n v="122035"/>
    <n v="314"/>
    <n v="68346"/>
    <n v="23.8"/>
    <n v="180"/>
    <s v="Mortgage"/>
    <n v="21.98"/>
    <n v="39878"/>
    <n v="63818"/>
    <x v="463"/>
    <s v="Approved"/>
    <s v="Yes"/>
    <x v="3"/>
    <x v="553"/>
    <x v="554"/>
    <n v="529"/>
    <n v="459"/>
    <n v="0.35149999999999998"/>
    <n v="74592371"/>
    <n v="51585.318810511759"/>
    <n v="99996"/>
    <n v="5091"/>
    <n v="1931870.0699999998"/>
    <n v="1336.0097302904562"/>
    <n v="0.35149999999999998"/>
    <n v="1402315283.5100007"/>
    <x v="1"/>
    <n v="5640.84"/>
  </r>
  <r>
    <s v="LN00556"/>
    <x v="555"/>
    <n v="63"/>
    <s v="Female"/>
    <s v="Divorced"/>
    <s v="Self-Employed"/>
    <n v="134944"/>
    <n v="663"/>
    <n v="16559"/>
    <n v="15.8"/>
    <n v="24"/>
    <s v="Mortgage"/>
    <n v="25.73"/>
    <n v="23987"/>
    <n v="249498"/>
    <x v="464"/>
    <s v="Rejected"/>
    <s v="Yes"/>
    <x v="2"/>
    <x v="554"/>
    <x v="555"/>
    <n v="528"/>
    <n v="459"/>
    <n v="0.35149999999999998"/>
    <n v="74524025"/>
    <n v="51573.719723183392"/>
    <n v="99996"/>
    <n v="5091"/>
    <n v="1931400"/>
    <n v="1336.6089965397923"/>
    <n v="0.35149999999999998"/>
    <n v="1400383413.4400005"/>
    <x v="1"/>
    <n v="9587.64"/>
  </r>
  <r>
    <s v="LN00557"/>
    <x v="556"/>
    <n v="25"/>
    <s v="Female"/>
    <s v="Divorced"/>
    <s v="Unemployed"/>
    <n v="35736"/>
    <n v="589"/>
    <n v="89962"/>
    <n v="10.75"/>
    <n v="60"/>
    <s v="Auto"/>
    <n v="19.75"/>
    <n v="50803"/>
    <n v="80880"/>
    <x v="465"/>
    <s v="Pending"/>
    <s v="No"/>
    <x v="1"/>
    <x v="555"/>
    <x v="556"/>
    <n v="528"/>
    <n v="458"/>
    <n v="0.35149999999999998"/>
    <n v="74507466"/>
    <n v="51597.968144044324"/>
    <n v="99996"/>
    <n v="5091"/>
    <n v="1930601.03"/>
    <n v="1336.9813227146815"/>
    <n v="0.35149999999999998"/>
    <n v="1398452013.4400005"/>
    <x v="1"/>
    <n v="19926.599999999999"/>
  </r>
  <r>
    <s v="LN00558"/>
    <x v="557"/>
    <n v="47"/>
    <s v="Female"/>
    <s v="Single"/>
    <s v="Self-Employed"/>
    <n v="103555"/>
    <n v="745"/>
    <n v="21750"/>
    <n v="22.88"/>
    <n v="180"/>
    <s v="Personal"/>
    <n v="37.89"/>
    <n v="79033"/>
    <n v="76784"/>
    <x v="466"/>
    <s v="Rejected"/>
    <s v="Yes"/>
    <x v="3"/>
    <x v="556"/>
    <x v="557"/>
    <n v="528"/>
    <n v="458"/>
    <n v="0.35149999999999998"/>
    <n v="74417504"/>
    <n v="51571.381843381845"/>
    <n v="99996"/>
    <n v="5091"/>
    <n v="1928940.48"/>
    <n v="1336.7570893970894"/>
    <n v="0.35149999999999998"/>
    <n v="1396521412.4100003"/>
    <x v="1"/>
    <n v="1781.7599999999998"/>
  </r>
  <r>
    <s v="LN00559"/>
    <x v="558"/>
    <n v="46"/>
    <s v="Female"/>
    <s v="Married"/>
    <s v="Employed"/>
    <n v="118031"/>
    <n v="683"/>
    <n v="20616"/>
    <n v="20.07"/>
    <n v="180"/>
    <s v="Education"/>
    <n v="16.48"/>
    <n v="22550"/>
    <n v="240636"/>
    <x v="467"/>
    <s v="Approved"/>
    <s v="Yes"/>
    <x v="0"/>
    <x v="557"/>
    <x v="558"/>
    <n v="528"/>
    <n v="457"/>
    <n v="0.35149999999999998"/>
    <n v="74395754"/>
    <n v="51592.062413314838"/>
    <n v="99996"/>
    <n v="5091"/>
    <n v="1928792"/>
    <n v="1337.5811373092927"/>
    <n v="0.35149999999999998"/>
    <n v="1394592471.9300005"/>
    <x v="1"/>
    <n v="1650.2400000000002"/>
  </r>
  <r>
    <s v="LN00560"/>
    <x v="559"/>
    <n v="56"/>
    <s v="Male"/>
    <s v="Married"/>
    <s v="Self-Employed"/>
    <n v="76751"/>
    <n v="763"/>
    <n v="11041"/>
    <n v="15.8"/>
    <n v="360"/>
    <s v="Education"/>
    <n v="5.95"/>
    <n v="4136"/>
    <n v="202595"/>
    <x v="468"/>
    <s v="Rejected"/>
    <s v="No"/>
    <x v="1"/>
    <x v="558"/>
    <x v="559"/>
    <n v="527"/>
    <n v="457"/>
    <n v="0.35149999999999998"/>
    <n v="74375138"/>
    <n v="51613.558639833449"/>
    <n v="99996"/>
    <n v="5091"/>
    <n v="1928654.48"/>
    <n v="1338.4139347675225"/>
    <n v="0.35149999999999998"/>
    <n v="1392663679.9300005"/>
    <x v="1"/>
    <n v="426.24"/>
  </r>
  <r>
    <s v="LN00561"/>
    <x v="560"/>
    <n v="39"/>
    <s v="Male"/>
    <s v="Divorced"/>
    <s v="Unemployed"/>
    <n v="159891"/>
    <n v="383"/>
    <n v="80481"/>
    <n v="17.48"/>
    <n v="24"/>
    <s v="Business"/>
    <n v="7.31"/>
    <n v="77299"/>
    <n v="193428"/>
    <x v="469"/>
    <s v="Approved"/>
    <s v="Yes"/>
    <x v="0"/>
    <x v="559"/>
    <x v="560"/>
    <n v="527"/>
    <n v="456"/>
    <n v="0.35149999999999998"/>
    <n v="74364097"/>
    <n v="51641.734027777777"/>
    <n v="99996"/>
    <n v="5091"/>
    <n v="1928618.96"/>
    <n v="1339.3187222222223"/>
    <n v="0.35149999999999998"/>
    <n v="1390735025.4500005"/>
    <x v="1"/>
    <n v="47274.479999999996"/>
  </r>
  <r>
    <s v="LN00562"/>
    <x v="561"/>
    <n v="32"/>
    <s v="Female"/>
    <s v="Married"/>
    <s v="Employed"/>
    <n v="55241"/>
    <n v="760"/>
    <n v="96105"/>
    <n v="10.1"/>
    <n v="240"/>
    <s v="Personal"/>
    <n v="48.27"/>
    <n v="71728"/>
    <n v="169749"/>
    <x v="470"/>
    <s v="Pending"/>
    <s v="Yes"/>
    <x v="3"/>
    <x v="560"/>
    <x v="561"/>
    <n v="526"/>
    <n v="456"/>
    <n v="0.35149999999999998"/>
    <n v="74283616"/>
    <n v="51621.692842251563"/>
    <n v="99996"/>
    <n v="5091"/>
    <n v="1924679.42"/>
    <n v="1337.5117581653926"/>
    <n v="0.35149999999999998"/>
    <n v="1388806406.4900002"/>
    <x v="1"/>
    <n v="5290.5599999999995"/>
  </r>
  <r>
    <s v="LN00563"/>
    <x v="562"/>
    <n v="44"/>
    <s v="Male"/>
    <s v="Divorced"/>
    <s v="Employed"/>
    <n v="156420"/>
    <n v="544"/>
    <n v="36335"/>
    <n v="16.559999999999999"/>
    <n v="180"/>
    <s v="Personal"/>
    <n v="38.72"/>
    <n v="24372"/>
    <n v="111494"/>
    <x v="438"/>
    <s v="Pending"/>
    <s v="Yes"/>
    <x v="4"/>
    <x v="561"/>
    <x v="562"/>
    <n v="526"/>
    <n v="456"/>
    <n v="0.35149999999999998"/>
    <n v="74187511"/>
    <n v="51590.758692628653"/>
    <n v="99996"/>
    <n v="5091"/>
    <n v="1924238.5399999998"/>
    <n v="1338.1352851182196"/>
    <n v="0.35149999999999998"/>
    <n v="1386881727.0700002"/>
    <x v="1"/>
    <n v="2823.48"/>
  </r>
  <r>
    <s v="LN00564"/>
    <x v="563"/>
    <n v="46"/>
    <s v="Male"/>
    <s v="Divorced"/>
    <s v="Self-Employed"/>
    <n v="129519"/>
    <n v="482"/>
    <n v="94505"/>
    <n v="5.99"/>
    <n v="12"/>
    <s v="Personal"/>
    <n v="10.199999999999999"/>
    <n v="10830"/>
    <n v="127075"/>
    <x v="471"/>
    <s v="Pending"/>
    <s v="No"/>
    <x v="0"/>
    <x v="562"/>
    <x v="563"/>
    <n v="526"/>
    <n v="456"/>
    <n v="0.35149999999999998"/>
    <n v="74151176"/>
    <n v="51601.37508698678"/>
    <n v="99996"/>
    <n v="5091"/>
    <n v="1924003.2499999998"/>
    <n v="1338.902748782185"/>
    <n v="0.35149999999999998"/>
    <n v="1384957488.5300002"/>
    <x v="1"/>
    <n v="100165.79999999999"/>
  </r>
  <r>
    <s v="LN00565"/>
    <x v="564"/>
    <n v="35"/>
    <s v="Male"/>
    <s v="Single"/>
    <s v="Employed"/>
    <n v="40723"/>
    <n v="747"/>
    <n v="41734"/>
    <n v="6.62"/>
    <n v="240"/>
    <s v="Education"/>
    <n v="19.36"/>
    <n v="40239"/>
    <n v="79171"/>
    <x v="44"/>
    <s v="Approved"/>
    <s v="No"/>
    <x v="4"/>
    <x v="563"/>
    <x v="564"/>
    <n v="526"/>
    <n v="456"/>
    <n v="0.35149999999999998"/>
    <n v="74056671"/>
    <n v="51571.497910863509"/>
    <n v="99996"/>
    <n v="5091"/>
    <n v="1915656.0999999999"/>
    <n v="1334.0223537604456"/>
    <n v="0.35149999999999998"/>
    <n v="1383033485.2800004"/>
    <x v="0"/>
    <n v="2224.8000000000002"/>
  </r>
  <r>
    <s v="LN00566"/>
    <x v="565"/>
    <n v="39"/>
    <s v="Female"/>
    <s v="Single"/>
    <s v="Unemployed"/>
    <n v="97374"/>
    <n v="552"/>
    <n v="48151"/>
    <n v="12.71"/>
    <n v="60"/>
    <s v="Business"/>
    <n v="40.630000000000003"/>
    <n v="26264"/>
    <n v="103952"/>
    <x v="472"/>
    <s v="Pending"/>
    <s v="No"/>
    <x v="4"/>
    <x v="564"/>
    <x v="565"/>
    <n v="525"/>
    <n v="456"/>
    <n v="0.35149999999999998"/>
    <n v="74014937"/>
    <n v="51578.353310104532"/>
    <n v="99996"/>
    <n v="5091"/>
    <n v="1915470.7"/>
    <n v="1334.8227874564459"/>
    <n v="0.35149999999999998"/>
    <n v="1381117829.1800005"/>
    <x v="1"/>
    <n v="10854.24"/>
  </r>
  <r>
    <s v="LN00567"/>
    <x v="566"/>
    <n v="63"/>
    <s v="Female"/>
    <s v="Single"/>
    <s v="Employed"/>
    <n v="163896"/>
    <n v="608"/>
    <n v="55898"/>
    <n v="19.079999999999998"/>
    <n v="60"/>
    <s v="Business"/>
    <n v="47.16"/>
    <n v="2111"/>
    <n v="71507"/>
    <x v="473"/>
    <s v="Approved"/>
    <s v="Yes"/>
    <x v="1"/>
    <x v="565"/>
    <x v="566"/>
    <n v="525"/>
    <n v="456"/>
    <n v="0.35149999999999998"/>
    <n v="73966786"/>
    <n v="51580.743375174337"/>
    <n v="99996"/>
    <n v="5091"/>
    <n v="1914566.18"/>
    <n v="1335.1228591352858"/>
    <n v="0.35149999999999998"/>
    <n v="1379202358.4800003"/>
    <x v="1"/>
    <n v="13312.68"/>
  </r>
  <r>
    <s v="LN00568"/>
    <x v="567"/>
    <n v="57"/>
    <s v="Female"/>
    <s v="Married"/>
    <s v="Unemployed"/>
    <n v="34185"/>
    <n v="543"/>
    <n v="38401"/>
    <n v="11.44"/>
    <n v="36"/>
    <s v="Business"/>
    <n v="13.82"/>
    <n v="7937"/>
    <n v="57483"/>
    <x v="474"/>
    <s v="Pending"/>
    <s v="No"/>
    <x v="3"/>
    <x v="566"/>
    <x v="567"/>
    <n v="524"/>
    <n v="456"/>
    <n v="0.35149999999999998"/>
    <n v="73910888"/>
    <n v="51577.730635031403"/>
    <n v="99996"/>
    <n v="5091"/>
    <n v="1913456.7899999998"/>
    <n v="1335.2803838101884"/>
    <n v="0.35149999999999998"/>
    <n v="1377287792.3000002"/>
    <x v="1"/>
    <n v="14264.64"/>
  </r>
  <r>
    <s v="LN00569"/>
    <x v="568"/>
    <n v="60"/>
    <s v="Female"/>
    <s v="Single"/>
    <s v="Unemployed"/>
    <n v="92942"/>
    <n v="318"/>
    <n v="27493"/>
    <n v="3.85"/>
    <n v="24"/>
    <s v="Personal"/>
    <n v="12.18"/>
    <n v="33982"/>
    <n v="134880"/>
    <x v="2"/>
    <s v="Pending"/>
    <s v="Yes"/>
    <x v="3"/>
    <x v="567"/>
    <x v="568"/>
    <n v="524"/>
    <n v="456"/>
    <n v="0.35149999999999998"/>
    <n v="73872487"/>
    <n v="51586.932262569833"/>
    <n v="99996"/>
    <n v="5091"/>
    <n v="1912268.0699999998"/>
    <n v="1335.3827304469273"/>
    <n v="0.35149999999999998"/>
    <n v="1375374335.5100002"/>
    <x v="1"/>
    <n v="14275.800000000001"/>
  </r>
  <r>
    <s v="LN00570"/>
    <x v="569"/>
    <n v="34"/>
    <s v="Female"/>
    <s v="Married"/>
    <s v="Unemployed"/>
    <n v="101883"/>
    <n v="347"/>
    <n v="55626"/>
    <n v="13.32"/>
    <n v="48"/>
    <s v="Personal"/>
    <n v="45.42"/>
    <n v="66730"/>
    <n v="228300"/>
    <x v="475"/>
    <s v="Pending"/>
    <s v="Yes"/>
    <x v="1"/>
    <x v="568"/>
    <x v="569"/>
    <n v="524"/>
    <n v="456"/>
    <n v="0.35149999999999998"/>
    <n v="73844994"/>
    <n v="51603.769392033544"/>
    <n v="99996"/>
    <n v="5091"/>
    <n v="1911078.42"/>
    <n v="1335.4845702306079"/>
    <n v="0.35149999999999998"/>
    <n v="1373462067.4399998"/>
    <x v="1"/>
    <n v="15758.880000000001"/>
  </r>
  <r>
    <s v="LN00571"/>
    <x v="570"/>
    <n v="41"/>
    <s v="Male"/>
    <s v="Divorced"/>
    <s v="Unemployed"/>
    <n v="44553"/>
    <n v="549"/>
    <n v="85578"/>
    <n v="19.899999999999999"/>
    <n v="360"/>
    <s v="Education"/>
    <n v="24.91"/>
    <n v="39915"/>
    <n v="33334"/>
    <x v="218"/>
    <s v="Rejected"/>
    <s v="No"/>
    <x v="2"/>
    <x v="569"/>
    <x v="570"/>
    <n v="524"/>
    <n v="456"/>
    <n v="0.35149999999999998"/>
    <n v="73789368"/>
    <n v="51600.956643356643"/>
    <n v="99996"/>
    <n v="5091"/>
    <n v="1909765.18"/>
    <n v="1335.5001258741258"/>
    <n v="0.35149999999999998"/>
    <n v="1371550989.02"/>
    <x v="1"/>
    <n v="3420.24"/>
  </r>
  <r>
    <s v="LN00572"/>
    <x v="571"/>
    <n v="62"/>
    <s v="Female"/>
    <s v="Divorced"/>
    <s v="Unemployed"/>
    <n v="140268"/>
    <n v="821"/>
    <n v="41140"/>
    <n v="16.579999999999998"/>
    <n v="12"/>
    <s v="Business"/>
    <n v="59.4"/>
    <n v="14082"/>
    <n v="15095"/>
    <x v="476"/>
    <s v="Approved"/>
    <s v="No"/>
    <x v="1"/>
    <x v="570"/>
    <x v="571"/>
    <n v="524"/>
    <n v="455"/>
    <n v="0.35149999999999998"/>
    <n v="73703790"/>
    <n v="51577.179846046187"/>
    <n v="99996"/>
    <n v="5091"/>
    <n v="1909480.16"/>
    <n v="1336.2352414275717"/>
    <n v="0.35149999999999998"/>
    <n v="1369641223.8400002"/>
    <x v="1"/>
    <n v="47961"/>
  </r>
  <r>
    <s v="LN00573"/>
    <x v="572"/>
    <n v="50"/>
    <s v="Female"/>
    <s v="Single"/>
    <s v="Self-Employed"/>
    <n v="76835"/>
    <n v="331"/>
    <n v="95985"/>
    <n v="13.2"/>
    <n v="36"/>
    <s v="Personal"/>
    <n v="28.91"/>
    <n v="4962"/>
    <n v="62748"/>
    <x v="477"/>
    <s v="Rejected"/>
    <s v="Yes"/>
    <x v="1"/>
    <x v="571"/>
    <x v="572"/>
    <n v="523"/>
    <n v="455"/>
    <n v="0.35149999999999998"/>
    <n v="73662650"/>
    <n v="51584.488795518206"/>
    <n v="99996"/>
    <n v="5091"/>
    <n v="1905483.41"/>
    <n v="1334.3721358543416"/>
    <n v="0.35149999999999998"/>
    <n v="1367731743.6800001"/>
    <x v="0"/>
    <n v="36218.399999999994"/>
  </r>
  <r>
    <s v="LN00574"/>
    <x v="573"/>
    <n v="28"/>
    <s v="Female"/>
    <s v="Married"/>
    <s v="Unemployed"/>
    <n v="61504"/>
    <n v="633"/>
    <n v="31465"/>
    <n v="10.45"/>
    <n v="60"/>
    <s v="Mortgage"/>
    <n v="42.49"/>
    <n v="19522"/>
    <n v="93864"/>
    <x v="74"/>
    <s v="Approved"/>
    <s v="No"/>
    <x v="2"/>
    <x v="572"/>
    <x v="573"/>
    <n v="523"/>
    <n v="454"/>
    <n v="0.35149999999999998"/>
    <n v="73566665"/>
    <n v="51553.374211632799"/>
    <n v="99996"/>
    <n v="5091"/>
    <n v="1902465.2100000002"/>
    <n v="1333.1921583742117"/>
    <n v="0.35149999999999998"/>
    <n v="1365826260.2699997"/>
    <x v="1"/>
    <n v="6950.64"/>
  </r>
  <r>
    <s v="LN00575"/>
    <x v="574"/>
    <n v="49"/>
    <s v="Female"/>
    <s v="Married"/>
    <s v="Unemployed"/>
    <n v="128332"/>
    <n v="400"/>
    <n v="15153"/>
    <n v="15.74"/>
    <n v="180"/>
    <s v="Personal"/>
    <n v="16.41"/>
    <n v="63513"/>
    <n v="40449"/>
    <x v="310"/>
    <s v="Approved"/>
    <s v="Yes"/>
    <x v="2"/>
    <x v="573"/>
    <x v="574"/>
    <n v="522"/>
    <n v="454"/>
    <n v="0.35149999999999998"/>
    <n v="73535200"/>
    <n v="51567.461430575037"/>
    <n v="99996"/>
    <n v="5091"/>
    <n v="1901885.99"/>
    <n v="1333.7208906030855"/>
    <n v="0.35149999999999998"/>
    <n v="1363923795.0599999"/>
    <x v="1"/>
    <n v="1169.1600000000001"/>
  </r>
  <r>
    <s v="LN00576"/>
    <x v="575"/>
    <n v="64"/>
    <s v="Male"/>
    <s v="Divorced"/>
    <s v="Self-Employed"/>
    <n v="158348"/>
    <n v="570"/>
    <n v="13040"/>
    <n v="19.309999999999999"/>
    <n v="60"/>
    <s v="Business"/>
    <n v="49.81"/>
    <n v="41645"/>
    <n v="152896"/>
    <x v="478"/>
    <s v="Rejected"/>
    <s v="No"/>
    <x v="0"/>
    <x v="574"/>
    <x v="575"/>
    <n v="521"/>
    <n v="454"/>
    <n v="0.35149999999999998"/>
    <n v="73520047"/>
    <n v="51593.015438596492"/>
    <n v="99996"/>
    <n v="5091"/>
    <n v="1901788.56"/>
    <n v="1334.5884631578947"/>
    <n v="0.35149999999999998"/>
    <n v="1362021909.0699997"/>
    <x v="1"/>
    <n v="3111.6000000000004"/>
  </r>
  <r>
    <s v="LN00577"/>
    <x v="576"/>
    <n v="55"/>
    <s v="Male"/>
    <s v="Married"/>
    <s v="Employed"/>
    <n v="91557"/>
    <n v="818"/>
    <n v="14297"/>
    <n v="16.82"/>
    <n v="36"/>
    <s v="Education"/>
    <n v="58.3"/>
    <n v="50627"/>
    <n v="221961"/>
    <x v="479"/>
    <s v="Rejected"/>
    <s v="No"/>
    <x v="3"/>
    <x v="575"/>
    <x v="576"/>
    <n v="521"/>
    <n v="453"/>
    <n v="0.35149999999999998"/>
    <n v="73507007"/>
    <n v="51620.089185393255"/>
    <n v="99996"/>
    <n v="5091"/>
    <n v="1901529.26"/>
    <n v="1335.3435814606742"/>
    <n v="0.35149999999999998"/>
    <n v="1360120120.5099998"/>
    <x v="1"/>
    <n v="5567.28"/>
  </r>
  <r>
    <s v="LN00578"/>
    <x v="577"/>
    <n v="21"/>
    <s v="Female"/>
    <s v="Divorced"/>
    <s v="Employed"/>
    <n v="88582"/>
    <n v="615"/>
    <n v="36035"/>
    <n v="18.87"/>
    <n v="360"/>
    <s v="Business"/>
    <n v="37.549999999999997"/>
    <n v="35119"/>
    <n v="238636"/>
    <x v="209"/>
    <s v="Rejected"/>
    <s v="Yes"/>
    <x v="0"/>
    <x v="576"/>
    <x v="577"/>
    <n v="521"/>
    <n v="452"/>
    <n v="0.35149999999999998"/>
    <n v="73492710"/>
    <n v="51646.317638791283"/>
    <n v="99996"/>
    <n v="5091"/>
    <n v="1901065.32"/>
    <n v="1335.9559522136333"/>
    <n v="0.35149999999999998"/>
    <n v="1358218591.2499998"/>
    <x v="1"/>
    <n v="1427.8799999999999"/>
  </r>
  <r>
    <s v="LN00579"/>
    <x v="578"/>
    <n v="63"/>
    <s v="Female"/>
    <s v="Single"/>
    <s v="Unemployed"/>
    <n v="50070"/>
    <n v="486"/>
    <n v="86789"/>
    <n v="19.510000000000002"/>
    <n v="240"/>
    <s v="Mortgage"/>
    <n v="51.42"/>
    <n v="76813"/>
    <n v="152394"/>
    <x v="480"/>
    <s v="Pending"/>
    <s v="No"/>
    <x v="3"/>
    <x v="577"/>
    <x v="578"/>
    <n v="521"/>
    <n v="451"/>
    <n v="0.35149999999999998"/>
    <n v="73456675"/>
    <n v="51657.29606188467"/>
    <n v="99996"/>
    <n v="5091"/>
    <n v="1900946.33"/>
    <n v="1336.81176511955"/>
    <n v="0.35149999999999998"/>
    <n v="1356317525.9299998"/>
    <x v="1"/>
    <n v="5186.04"/>
  </r>
  <r>
    <s v="LN00580"/>
    <x v="579"/>
    <n v="42"/>
    <s v="Male"/>
    <s v="Married"/>
    <s v="Self-Employed"/>
    <n v="142849"/>
    <n v="719"/>
    <n v="42227"/>
    <n v="15.23"/>
    <n v="24"/>
    <s v="Personal"/>
    <n v="46.77"/>
    <n v="51853"/>
    <n v="196978"/>
    <x v="11"/>
    <s v="Approved"/>
    <s v="Yes"/>
    <x v="2"/>
    <x v="578"/>
    <x v="579"/>
    <n v="521"/>
    <n v="451"/>
    <n v="0.35149999999999998"/>
    <n v="73369886"/>
    <n v="51632.572836030966"/>
    <n v="99996"/>
    <n v="5091"/>
    <n v="1900514.16"/>
    <n v="1337.4483884588317"/>
    <n v="0.35149999999999998"/>
    <n v="1354416579.5999997"/>
    <x v="1"/>
    <n v="24329.040000000001"/>
  </r>
  <r>
    <s v="LN00581"/>
    <x v="580"/>
    <n v="54"/>
    <s v="Male"/>
    <s v="Divorced"/>
    <s v="Self-Employed"/>
    <n v="26628"/>
    <n v="346"/>
    <n v="5834"/>
    <n v="22.55"/>
    <n v="24"/>
    <s v="Education"/>
    <n v="46.5"/>
    <n v="9937"/>
    <n v="122623"/>
    <x v="481"/>
    <s v="Approved"/>
    <s v="No"/>
    <x v="0"/>
    <x v="579"/>
    <x v="580"/>
    <n v="520"/>
    <n v="451"/>
    <n v="0.35149999999999998"/>
    <n v="73327659"/>
    <n v="51639.196478873237"/>
    <n v="99996"/>
    <n v="5091"/>
    <n v="1898486.74"/>
    <n v="1336.9624929577465"/>
    <n v="0.35149999999999998"/>
    <n v="1352516065.4399998"/>
    <x v="1"/>
    <n v="3574.7999999999997"/>
  </r>
  <r>
    <s v="LN00582"/>
    <x v="581"/>
    <n v="56"/>
    <s v="Male"/>
    <s v="Divorced"/>
    <s v="Self-Employed"/>
    <n v="56235"/>
    <n v="610"/>
    <n v="16535"/>
    <n v="20.95"/>
    <n v="240"/>
    <s v="Personal"/>
    <n v="17.77"/>
    <n v="41809"/>
    <n v="20418"/>
    <x v="482"/>
    <s v="Pending"/>
    <s v="No"/>
    <x v="2"/>
    <x v="580"/>
    <x v="581"/>
    <n v="519"/>
    <n v="451"/>
    <n v="0.35149999999999998"/>
    <n v="73321825"/>
    <n v="51671.476391825228"/>
    <n v="99996"/>
    <n v="5091"/>
    <n v="1898188.84"/>
    <n v="1337.6947427766033"/>
    <n v="0.35149999999999998"/>
    <n v="1350617578.6999998"/>
    <x v="1"/>
    <n v="999.96"/>
  </r>
  <r>
    <s v="LN00583"/>
    <x v="582"/>
    <n v="38"/>
    <s v="Male"/>
    <s v="Married"/>
    <s v="Self-Employed"/>
    <n v="180954"/>
    <n v="468"/>
    <n v="47662"/>
    <n v="14.79"/>
    <n v="180"/>
    <s v="Business"/>
    <n v="53.16"/>
    <n v="52156"/>
    <n v="18025"/>
    <x v="483"/>
    <s v="Pending"/>
    <s v="Yes"/>
    <x v="0"/>
    <x v="581"/>
    <x v="582"/>
    <n v="519"/>
    <n v="451"/>
    <n v="0.35149999999999998"/>
    <n v="73305290"/>
    <n v="51696.255289139634"/>
    <n v="99996"/>
    <n v="5091"/>
    <n v="1898105.51"/>
    <n v="1338.5793441466856"/>
    <n v="0.35149999999999998"/>
    <n v="1348719389.8599997"/>
    <x v="1"/>
    <n v="3647.3999999999996"/>
  </r>
  <r>
    <s v="LN00584"/>
    <x v="583"/>
    <n v="55"/>
    <s v="Male"/>
    <s v="Married"/>
    <s v="Unemployed"/>
    <n v="140127"/>
    <n v="551"/>
    <n v="44161"/>
    <n v="13.19"/>
    <n v="60"/>
    <s v="Auto"/>
    <n v="32.51"/>
    <n v="18596"/>
    <n v="57348"/>
    <x v="367"/>
    <s v="Rejected"/>
    <s v="Yes"/>
    <x v="0"/>
    <x v="582"/>
    <x v="583"/>
    <n v="519"/>
    <n v="451"/>
    <n v="0.35149999999999998"/>
    <n v="73257628"/>
    <n v="51699.102328863795"/>
    <n v="99996"/>
    <n v="5091"/>
    <n v="1897801.5600000003"/>
    <n v="1339.3094989414258"/>
    <n v="0.35149999999999998"/>
    <n v="1346821284.3499999"/>
    <x v="1"/>
    <n v="9997.2000000000007"/>
  </r>
  <r>
    <s v="LN00585"/>
    <x v="584"/>
    <n v="30"/>
    <s v="Female"/>
    <s v="Married"/>
    <s v="Unemployed"/>
    <n v="181496"/>
    <n v="723"/>
    <n v="50328"/>
    <n v="6.26"/>
    <n v="360"/>
    <s v="Education"/>
    <n v="19.7"/>
    <n v="76348"/>
    <n v="129481"/>
    <x v="484"/>
    <s v="Approved"/>
    <s v="No"/>
    <x v="4"/>
    <x v="583"/>
    <x v="584"/>
    <n v="519"/>
    <n v="450"/>
    <n v="0.35149999999999998"/>
    <n v="73213467"/>
    <n v="51704.425847457627"/>
    <n v="99996"/>
    <n v="5091"/>
    <n v="1896968.4600000002"/>
    <n v="1339.6669915254238"/>
    <n v="0.35149999999999998"/>
    <n v="1344923482.79"/>
    <x v="1"/>
    <n v="1782.6000000000001"/>
  </r>
  <r>
    <s v="LN00586"/>
    <x v="585"/>
    <n v="57"/>
    <s v="Female"/>
    <s v="Divorced"/>
    <s v="Employed"/>
    <n v="49399"/>
    <n v="822"/>
    <n v="12524"/>
    <n v="9.58"/>
    <n v="36"/>
    <s v="Auto"/>
    <n v="18.32"/>
    <n v="75626"/>
    <n v="196180"/>
    <x v="384"/>
    <s v="Approved"/>
    <s v="Yes"/>
    <x v="4"/>
    <x v="584"/>
    <x v="585"/>
    <n v="518"/>
    <n v="450"/>
    <n v="0.35149999999999998"/>
    <n v="73163139"/>
    <n v="51705.398586572439"/>
    <n v="99996"/>
    <n v="5091"/>
    <n v="1896819.9100000001"/>
    <n v="1340.5087703180213"/>
    <n v="0.35149999999999998"/>
    <n v="1343026514.3299999"/>
    <x v="1"/>
    <n v="4574.6400000000003"/>
  </r>
  <r>
    <s v="LN00587"/>
    <x v="586"/>
    <n v="21"/>
    <s v="Female"/>
    <s v="Single"/>
    <s v="Employed"/>
    <n v="80248"/>
    <n v="849"/>
    <n v="79558"/>
    <n v="9.1"/>
    <n v="12"/>
    <s v="Personal"/>
    <n v="50.95"/>
    <n v="23299"/>
    <n v="81921"/>
    <x v="446"/>
    <s v="Approved"/>
    <s v="No"/>
    <x v="3"/>
    <x v="585"/>
    <x v="586"/>
    <n v="517"/>
    <n v="450"/>
    <n v="0.35149999999999998"/>
    <n v="73150615"/>
    <n v="51733.108203677511"/>
    <n v="99996"/>
    <n v="5091"/>
    <n v="1896438.6900000002"/>
    <n v="1341.1871923620936"/>
    <n v="0.35149999999999998"/>
    <n v="1341129694.4199996"/>
    <x v="1"/>
    <n v="86797.799999999988"/>
  </r>
  <r>
    <s v="LN00588"/>
    <x v="587"/>
    <n v="63"/>
    <s v="Female"/>
    <s v="Married"/>
    <s v="Unemployed"/>
    <n v="106746"/>
    <n v="677"/>
    <n v="91682"/>
    <n v="17.63"/>
    <n v="120"/>
    <s v="Mortgage"/>
    <n v="31.04"/>
    <n v="36391"/>
    <n v="37166"/>
    <x v="485"/>
    <s v="Pending"/>
    <s v="No"/>
    <x v="2"/>
    <x v="586"/>
    <x v="587"/>
    <n v="516"/>
    <n v="450"/>
    <n v="0.35149999999999998"/>
    <n v="73071057"/>
    <n v="51713.416135881103"/>
    <n v="99996"/>
    <n v="5091"/>
    <n v="1889205.54"/>
    <n v="1337.0173673036093"/>
    <n v="0.35149999999999998"/>
    <n v="1339233255.7299998"/>
    <x v="0"/>
    <n v="10784.52"/>
  </r>
  <r>
    <s v="LN00589"/>
    <x v="588"/>
    <n v="44"/>
    <s v="Male"/>
    <s v="Divorced"/>
    <s v="Unemployed"/>
    <n v="72599"/>
    <n v="312"/>
    <n v="21418"/>
    <n v="15.54"/>
    <n v="60"/>
    <s v="Mortgage"/>
    <n v="50.79"/>
    <n v="78513"/>
    <n v="118355"/>
    <x v="486"/>
    <s v="Rejected"/>
    <s v="No"/>
    <x v="0"/>
    <x v="587"/>
    <x v="588"/>
    <n v="516"/>
    <n v="450"/>
    <n v="0.35149999999999998"/>
    <n v="72979375"/>
    <n v="51685.109773371107"/>
    <n v="99996"/>
    <n v="5091"/>
    <n v="1888306.8299999998"/>
    <n v="1337.3277832861188"/>
    <n v="0.35149999999999998"/>
    <n v="1337344050.1899996"/>
    <x v="1"/>
    <n v="4949.28"/>
  </r>
  <r>
    <s v="LN00590"/>
    <x v="589"/>
    <n v="34"/>
    <s v="Female"/>
    <s v="Married"/>
    <s v="Self-Employed"/>
    <n v="63111"/>
    <n v="784"/>
    <n v="97312"/>
    <n v="13.48"/>
    <n v="36"/>
    <s v="Personal"/>
    <n v="27.06"/>
    <n v="43796"/>
    <n v="46950"/>
    <x v="487"/>
    <s v="Approved"/>
    <s v="No"/>
    <x v="3"/>
    <x v="588"/>
    <x v="589"/>
    <n v="516"/>
    <n v="449"/>
    <n v="0.35149999999999998"/>
    <n v="72957957"/>
    <n v="51706.560595322466"/>
    <n v="99996"/>
    <n v="5091"/>
    <n v="1887894.39"/>
    <n v="1337.9832671863926"/>
    <n v="0.35149999999999998"/>
    <n v="1335455743.3599997"/>
    <x v="1"/>
    <n v="36809.879999999997"/>
  </r>
  <r>
    <s v="LN00591"/>
    <x v="590"/>
    <n v="26"/>
    <s v="Female"/>
    <s v="Single"/>
    <s v="Self-Employed"/>
    <n v="141404"/>
    <n v="400"/>
    <n v="14614"/>
    <n v="10.18"/>
    <n v="24"/>
    <s v="Auto"/>
    <n v="11.82"/>
    <n v="34534"/>
    <n v="110062"/>
    <x v="488"/>
    <s v="Rejected"/>
    <s v="Yes"/>
    <x v="1"/>
    <x v="589"/>
    <x v="590"/>
    <n v="515"/>
    <n v="449"/>
    <n v="0.35149999999999998"/>
    <n v="72860645"/>
    <n v="51674.216312056735"/>
    <n v="99996"/>
    <n v="5091"/>
    <n v="1884826.8999999997"/>
    <n v="1336.7566666666664"/>
    <n v="0.35149999999999998"/>
    <n v="1333567848.9699996"/>
    <x v="1"/>
    <n v="8050.7999999999993"/>
  </r>
  <r>
    <s v="LN00592"/>
    <x v="591"/>
    <n v="54"/>
    <s v="Female"/>
    <s v="Single"/>
    <s v="Self-Employed"/>
    <n v="140376"/>
    <n v="578"/>
    <n v="80191"/>
    <n v="9.89"/>
    <n v="12"/>
    <s v="Auto"/>
    <n v="34.159999999999997"/>
    <n v="53083"/>
    <n v="150279"/>
    <x v="489"/>
    <s v="Pending"/>
    <s v="Yes"/>
    <x v="1"/>
    <x v="590"/>
    <x v="591"/>
    <n v="515"/>
    <n v="448"/>
    <n v="0.35149999999999998"/>
    <n v="72846031"/>
    <n v="51700.518807665008"/>
    <n v="99996"/>
    <n v="5091"/>
    <n v="1884155.9999999998"/>
    <n v="1337.2292405961673"/>
    <n v="0.35149999999999998"/>
    <n v="1331683022.0699995"/>
    <x v="1"/>
    <n v="88121.88"/>
  </r>
  <r>
    <s v="LN00593"/>
    <x v="592"/>
    <n v="60"/>
    <s v="Female"/>
    <s v="Single"/>
    <s v="Self-Employed"/>
    <n v="38433"/>
    <n v="386"/>
    <n v="64042"/>
    <n v="12.74"/>
    <n v="360"/>
    <s v="Auto"/>
    <n v="8.56"/>
    <n v="730"/>
    <n v="140300"/>
    <x v="490"/>
    <s v="Approved"/>
    <s v="Yes"/>
    <x v="3"/>
    <x v="591"/>
    <x v="592"/>
    <n v="515"/>
    <n v="448"/>
    <n v="0.35149999999999998"/>
    <n v="72765840"/>
    <n v="51680.284090909088"/>
    <n v="99996"/>
    <n v="5091"/>
    <n v="1876812.5100000002"/>
    <n v="1332.9634303977275"/>
    <n v="0.35149999999999998"/>
    <n v="1329798866.0699995"/>
    <x v="0"/>
    <n v="2406.7200000000003"/>
  </r>
  <r>
    <s v="LN00594"/>
    <x v="593"/>
    <n v="59"/>
    <s v="Male"/>
    <s v="Married"/>
    <s v="Unemployed"/>
    <n v="117118"/>
    <n v="826"/>
    <n v="5591"/>
    <n v="7.76"/>
    <n v="120"/>
    <s v="Auto"/>
    <n v="9.1199999999999992"/>
    <n v="79531"/>
    <n v="82543"/>
    <x v="491"/>
    <s v="Rejected"/>
    <s v="No"/>
    <x v="4"/>
    <x v="592"/>
    <x v="593"/>
    <n v="514"/>
    <n v="448"/>
    <n v="0.35149999999999998"/>
    <n v="72701798"/>
    <n v="51671.498223169867"/>
    <n v="99996"/>
    <n v="5091"/>
    <n v="1876611.9500000002"/>
    <n v="1333.7682658137883"/>
    <n v="0.35149999999999998"/>
    <n v="1327922053.5599995"/>
    <x v="1"/>
    <n v="602.52"/>
  </r>
  <r>
    <s v="LN00595"/>
    <x v="594"/>
    <n v="59"/>
    <s v="Female"/>
    <s v="Single"/>
    <s v="Unemployed"/>
    <n v="152096"/>
    <n v="845"/>
    <n v="55324"/>
    <n v="17.350000000000001"/>
    <n v="180"/>
    <s v="Auto"/>
    <n v="25.08"/>
    <n v="73799"/>
    <n v="127643"/>
    <x v="492"/>
    <s v="Approved"/>
    <s v="No"/>
    <x v="1"/>
    <x v="593"/>
    <x v="594"/>
    <n v="514"/>
    <n v="447"/>
    <n v="0.35149999999999998"/>
    <n v="72696207"/>
    <n v="51704.272403982934"/>
    <n v="99996"/>
    <n v="5091"/>
    <n v="1876561.7400000002"/>
    <n v="1334.6811806543387"/>
    <n v="0.35149999999999998"/>
    <n v="1326045441.6099997"/>
    <x v="1"/>
    <n v="4328.16"/>
  </r>
  <r>
    <s v="LN00596"/>
    <x v="595"/>
    <n v="46"/>
    <s v="Male"/>
    <s v="Married"/>
    <s v="Self-Employed"/>
    <n v="174457"/>
    <n v="432"/>
    <n v="21679"/>
    <n v="9"/>
    <n v="120"/>
    <s v="Education"/>
    <n v="54.44"/>
    <n v="5312"/>
    <n v="167881"/>
    <x v="493"/>
    <s v="Approved"/>
    <s v="Yes"/>
    <x v="3"/>
    <x v="594"/>
    <x v="595"/>
    <n v="513"/>
    <n v="447"/>
    <n v="0.35149999999999998"/>
    <n v="72640883"/>
    <n v="51701.696085409254"/>
    <n v="99996"/>
    <n v="5091"/>
    <n v="1876201.06"/>
    <n v="1335.3744199288258"/>
    <n v="0.35149999999999998"/>
    <n v="1324168879.8699996"/>
    <x v="1"/>
    <n v="2363.04"/>
  </r>
  <r>
    <s v="LN00597"/>
    <x v="596"/>
    <n v="35"/>
    <s v="Female"/>
    <s v="Single"/>
    <s v="Employed"/>
    <n v="136285"/>
    <n v="555"/>
    <n v="80902"/>
    <n v="12.49"/>
    <n v="36"/>
    <s v="Education"/>
    <n v="23.88"/>
    <n v="10399"/>
    <n v="121667"/>
    <x v="494"/>
    <s v="Rejected"/>
    <s v="No"/>
    <x v="3"/>
    <x v="595"/>
    <x v="596"/>
    <n v="512"/>
    <n v="447"/>
    <n v="0.35149999999999998"/>
    <n v="72619204"/>
    <n v="51723.079772079771"/>
    <n v="99996"/>
    <n v="5091"/>
    <n v="1876004.1400000001"/>
    <n v="1336.1852849002851"/>
    <n v="0.35149999999999998"/>
    <n v="1322292678.8099995"/>
    <x v="1"/>
    <n v="30335.52"/>
  </r>
  <r>
    <s v="LN00598"/>
    <x v="597"/>
    <n v="64"/>
    <s v="Male"/>
    <s v="Married"/>
    <s v="Unemployed"/>
    <n v="79008"/>
    <n v="626"/>
    <n v="14965"/>
    <n v="9.7100000000000009"/>
    <n v="36"/>
    <s v="Auto"/>
    <n v="13.96"/>
    <n v="44151"/>
    <n v="122775"/>
    <x v="495"/>
    <s v="Pending"/>
    <s v="No"/>
    <x v="0"/>
    <x v="596"/>
    <x v="597"/>
    <n v="512"/>
    <n v="446"/>
    <n v="0.35149999999999998"/>
    <n v="72538302"/>
    <n v="51702.282252316465"/>
    <n v="99996"/>
    <n v="5091"/>
    <n v="1873476.1800000002"/>
    <n v="1335.3358374910906"/>
    <n v="0.35149999999999998"/>
    <n v="1320416674.6699994"/>
    <x v="1"/>
    <n v="5472.72"/>
  </r>
  <r>
    <s v="LN00599"/>
    <x v="598"/>
    <n v="64"/>
    <s v="Female"/>
    <s v="Married"/>
    <s v="Employed"/>
    <n v="189970"/>
    <n v="849"/>
    <n v="54399"/>
    <n v="16.96"/>
    <n v="360"/>
    <s v="Education"/>
    <n v="38.049999999999997"/>
    <n v="56478"/>
    <n v="91555"/>
    <x v="142"/>
    <s v="Approved"/>
    <s v="Yes"/>
    <x v="2"/>
    <x v="597"/>
    <x v="598"/>
    <n v="512"/>
    <n v="446"/>
    <n v="0.35149999999999998"/>
    <n v="72523337"/>
    <n v="51728.485734664762"/>
    <n v="99996"/>
    <n v="5091"/>
    <n v="1873020.1200000003"/>
    <n v="1335.9629957203997"/>
    <n v="0.35149999999999998"/>
    <n v="1318543198.4899995"/>
    <x v="1"/>
    <n v="2120.88"/>
  </r>
  <r>
    <s v="LN00600"/>
    <x v="599"/>
    <n v="39"/>
    <s v="Male"/>
    <s v="Single"/>
    <s v="Employed"/>
    <n v="110300"/>
    <n v="780"/>
    <n v="63623"/>
    <n v="19.75"/>
    <n v="240"/>
    <s v="Personal"/>
    <n v="31.44"/>
    <n v="55019"/>
    <n v="83842"/>
    <x v="496"/>
    <s v="Rejected"/>
    <s v="Yes"/>
    <x v="1"/>
    <x v="598"/>
    <x v="599"/>
    <n v="511"/>
    <n v="446"/>
    <n v="0.35149999999999998"/>
    <n v="72468938"/>
    <n v="51726.57958600999"/>
    <n v="99996"/>
    <n v="5091"/>
    <n v="1872843.3800000004"/>
    <n v="1336.7904211277662"/>
    <n v="0.35149999999999998"/>
    <n v="1316670178.3699996"/>
    <x v="1"/>
    <n v="3809.3999999999996"/>
  </r>
  <r>
    <s v="LN00601"/>
    <x v="600"/>
    <n v="51"/>
    <s v="Female"/>
    <s v="Married"/>
    <s v="Employed"/>
    <n v="155114"/>
    <n v="806"/>
    <n v="26441"/>
    <n v="7.78"/>
    <n v="120"/>
    <s v="Auto"/>
    <n v="14.28"/>
    <n v="21630"/>
    <n v="71203"/>
    <x v="420"/>
    <s v="Rejected"/>
    <s v="No"/>
    <x v="3"/>
    <x v="599"/>
    <x v="600"/>
    <n v="511"/>
    <n v="445"/>
    <n v="0.35149999999999998"/>
    <n v="72405315"/>
    <n v="51718.082142857143"/>
    <n v="99996"/>
    <n v="5091"/>
    <n v="1872525.9300000004"/>
    <n v="1337.5185214285716"/>
    <n v="0.35149999999999998"/>
    <n v="1314797334.9899995"/>
    <x v="1"/>
    <n v="2849.7599999999998"/>
  </r>
  <r>
    <s v="LN00602"/>
    <x v="601"/>
    <n v="36"/>
    <s v="Female"/>
    <s v="Married"/>
    <s v="Employed"/>
    <n v="48046"/>
    <n v="359"/>
    <n v="58228"/>
    <n v="23.44"/>
    <n v="120"/>
    <s v="Education"/>
    <n v="40.24"/>
    <n v="70909"/>
    <n v="81088"/>
    <x v="497"/>
    <s v="Pending"/>
    <s v="Yes"/>
    <x v="4"/>
    <x v="600"/>
    <x v="601"/>
    <n v="511"/>
    <n v="444"/>
    <n v="0.35149999999999998"/>
    <n v="72378874"/>
    <n v="51736.150107219444"/>
    <n v="99996"/>
    <n v="5091"/>
    <n v="1872288.4500000004"/>
    <n v="1338.304824874911"/>
    <n v="0.35149999999999998"/>
    <n v="1312924809.0599995"/>
    <x v="1"/>
    <n v="7187.64"/>
  </r>
  <r>
    <s v="LN00603"/>
    <x v="602"/>
    <n v="56"/>
    <s v="Male"/>
    <s v="Divorced"/>
    <s v="Self-Employed"/>
    <n v="189233"/>
    <n v="304"/>
    <n v="62634"/>
    <n v="10.7"/>
    <n v="120"/>
    <s v="Business"/>
    <n v="52.52"/>
    <n v="38461"/>
    <n v="101829"/>
    <x v="498"/>
    <s v="Pending"/>
    <s v="Yes"/>
    <x v="1"/>
    <x v="601"/>
    <x v="602"/>
    <n v="511"/>
    <n v="444"/>
    <n v="0.35149999999999998"/>
    <n v="72320646"/>
    <n v="51731.506437768243"/>
    <n v="99996"/>
    <n v="5091"/>
    <n v="1871689.4800000004"/>
    <n v="1338.8336766809732"/>
    <n v="0.35149999999999998"/>
    <n v="1311052520.6099994"/>
    <x v="1"/>
    <n v="6933.5999999999995"/>
  </r>
  <r>
    <s v="LN00604"/>
    <x v="603"/>
    <n v="23"/>
    <s v="Female"/>
    <s v="Divorced"/>
    <s v="Unemployed"/>
    <n v="150660"/>
    <n v="713"/>
    <n v="77685"/>
    <n v="21.74"/>
    <n v="36"/>
    <s v="Mortgage"/>
    <n v="12.26"/>
    <n v="56268"/>
    <n v="17537"/>
    <x v="499"/>
    <s v="Pending"/>
    <s v="Yes"/>
    <x v="0"/>
    <x v="602"/>
    <x v="603"/>
    <n v="511"/>
    <n v="444"/>
    <n v="0.35149999999999998"/>
    <n v="72258012"/>
    <n v="51723.702219040802"/>
    <n v="99996"/>
    <n v="5091"/>
    <n v="1871111.6800000002"/>
    <n v="1339.3784395132427"/>
    <n v="0.35149999999999998"/>
    <n v="1309180831.1299994"/>
    <x v="1"/>
    <n v="31524.600000000002"/>
  </r>
  <r>
    <s v="LN00605"/>
    <x v="604"/>
    <n v="41"/>
    <s v="Female"/>
    <s v="Married"/>
    <s v="Self-Employed"/>
    <n v="47533"/>
    <n v="500"/>
    <n v="74317"/>
    <n v="14.26"/>
    <n v="60"/>
    <s v="Personal"/>
    <n v="11.19"/>
    <n v="70816"/>
    <n v="95214"/>
    <x v="0"/>
    <s v="Pending"/>
    <s v="No"/>
    <x v="1"/>
    <x v="603"/>
    <x v="604"/>
    <n v="511"/>
    <n v="444"/>
    <n v="0.35149999999999998"/>
    <n v="72180327"/>
    <n v="51705.105300859599"/>
    <n v="99996"/>
    <n v="5091"/>
    <n v="1868484.6300000001"/>
    <n v="1338.4560386819485"/>
    <n v="0.35149999999999998"/>
    <n v="1307309719.4499996"/>
    <x v="1"/>
    <n v="16982.88"/>
  </r>
  <r>
    <s v="LN00606"/>
    <x v="605"/>
    <n v="33"/>
    <s v="Male"/>
    <s v="Divorced"/>
    <s v="Unemployed"/>
    <n v="131414"/>
    <n v="324"/>
    <n v="36534"/>
    <n v="7.12"/>
    <n v="12"/>
    <s v="Personal"/>
    <n v="58.61"/>
    <n v="68465"/>
    <n v="215567"/>
    <x v="500"/>
    <s v="Rejected"/>
    <s v="Yes"/>
    <x v="0"/>
    <x v="604"/>
    <x v="605"/>
    <n v="511"/>
    <n v="444"/>
    <n v="0.35149999999999998"/>
    <n v="72106010"/>
    <n v="51688.896057347672"/>
    <n v="99996"/>
    <n v="5091"/>
    <n v="1867069.3900000001"/>
    <n v="1338.4009964157708"/>
    <n v="0.35149999999999998"/>
    <n v="1305441234.8199997"/>
    <x v="1"/>
    <n v="39135.24"/>
  </r>
  <r>
    <s v="LN00607"/>
    <x v="606"/>
    <n v="38"/>
    <s v="Male"/>
    <s v="Married"/>
    <s v="Unemployed"/>
    <n v="97178"/>
    <n v="445"/>
    <n v="35146"/>
    <n v="9.75"/>
    <n v="60"/>
    <s v="Personal"/>
    <n v="43.65"/>
    <n v="6611"/>
    <n v="236432"/>
    <x v="501"/>
    <s v="Pending"/>
    <s v="Yes"/>
    <x v="4"/>
    <x v="605"/>
    <x v="606"/>
    <n v="511"/>
    <n v="443"/>
    <n v="0.35149999999999998"/>
    <n v="72069476"/>
    <n v="51699.76757532281"/>
    <n v="99996"/>
    <n v="5091"/>
    <n v="1863808.12"/>
    <n v="1337.0216068866571"/>
    <n v="0.35149999999999998"/>
    <n v="1303574165.4299998"/>
    <x v="0"/>
    <n v="7714.5599999999995"/>
  </r>
  <r>
    <s v="LN00608"/>
    <x v="607"/>
    <n v="40"/>
    <s v="Female"/>
    <s v="Single"/>
    <s v="Self-Employed"/>
    <n v="68610"/>
    <n v="437"/>
    <n v="9056"/>
    <n v="17.75"/>
    <n v="120"/>
    <s v="Auto"/>
    <n v="43.97"/>
    <n v="23996"/>
    <n v="156314"/>
    <x v="199"/>
    <s v="Rejected"/>
    <s v="Yes"/>
    <x v="3"/>
    <x v="606"/>
    <x v="607"/>
    <n v="511"/>
    <n v="443"/>
    <n v="0.35149999999999998"/>
    <n v="72034330"/>
    <n v="51711.651112706386"/>
    <n v="99996"/>
    <n v="5091"/>
    <n v="1863165.24"/>
    <n v="1337.5199138549892"/>
    <n v="0.35149999999999998"/>
    <n v="1301710357.3099997"/>
    <x v="1"/>
    <n v="1066.32"/>
  </r>
  <r>
    <s v="LN00609"/>
    <x v="608"/>
    <n v="53"/>
    <s v="Female"/>
    <s v="Married"/>
    <s v="Self-Employed"/>
    <n v="47181"/>
    <n v="737"/>
    <n v="53799"/>
    <n v="15.98"/>
    <n v="120"/>
    <s v="Auto"/>
    <n v="7.3"/>
    <n v="23603"/>
    <n v="245056"/>
    <x v="8"/>
    <s v="Rejected"/>
    <s v="No"/>
    <x v="0"/>
    <x v="607"/>
    <x v="608"/>
    <n v="511"/>
    <n v="442"/>
    <n v="0.35149999999999998"/>
    <n v="72025274"/>
    <n v="51742.294540229886"/>
    <n v="99996"/>
    <n v="5091"/>
    <n v="1863076.38"/>
    <n v="1338.4169396551724"/>
    <n v="0.35149999999999998"/>
    <n v="1299847192.0699995"/>
    <x v="1"/>
    <n v="6239.64"/>
  </r>
  <r>
    <s v="LN00610"/>
    <x v="609"/>
    <n v="25"/>
    <s v="Female"/>
    <s v="Married"/>
    <s v="Self-Employed"/>
    <n v="91573"/>
    <n v="705"/>
    <n v="21727"/>
    <n v="21.12"/>
    <n v="24"/>
    <s v="Mortgage"/>
    <n v="6.51"/>
    <n v="71519"/>
    <n v="31265"/>
    <x v="502"/>
    <s v="Approved"/>
    <s v="Yes"/>
    <x v="0"/>
    <x v="608"/>
    <x v="609"/>
    <n v="511"/>
    <n v="441"/>
    <n v="0.35149999999999998"/>
    <n v="71971475"/>
    <n v="51740.815959741194"/>
    <n v="99996"/>
    <n v="5091"/>
    <n v="1862556.41"/>
    <n v="1339.0053271028037"/>
    <n v="0.35149999999999998"/>
    <n v="1297984115.6899998"/>
    <x v="1"/>
    <n v="13157.880000000001"/>
  </r>
  <r>
    <s v="LN00611"/>
    <x v="610"/>
    <n v="53"/>
    <s v="Female"/>
    <s v="Single"/>
    <s v="Employed"/>
    <n v="187534"/>
    <n v="813"/>
    <n v="56383"/>
    <n v="6.98"/>
    <n v="120"/>
    <s v="Business"/>
    <n v="18.7"/>
    <n v="58369"/>
    <n v="141777"/>
    <x v="101"/>
    <s v="Rejected"/>
    <s v="Yes"/>
    <x v="0"/>
    <x v="609"/>
    <x v="610"/>
    <n v="510"/>
    <n v="441"/>
    <n v="0.35149999999999998"/>
    <n v="71949748"/>
    <n v="51762.408633093524"/>
    <n v="99996"/>
    <n v="5091"/>
    <n v="1861459.92"/>
    <n v="1339.1797985611511"/>
    <n v="0.35149999999999998"/>
    <n v="1296121559.2799997"/>
    <x v="1"/>
    <n v="6031.7999999999993"/>
  </r>
  <r>
    <s v="LN00612"/>
    <x v="611"/>
    <n v="49"/>
    <s v="Male"/>
    <s v="Divorced"/>
    <s v="Self-Employed"/>
    <n v="83146"/>
    <n v="828"/>
    <n v="79791"/>
    <n v="15.84"/>
    <n v="180"/>
    <s v="Mortgage"/>
    <n v="21.94"/>
    <n v="40834"/>
    <n v="133893"/>
    <x v="503"/>
    <s v="Pending"/>
    <s v="No"/>
    <x v="4"/>
    <x v="610"/>
    <x v="611"/>
    <n v="510"/>
    <n v="440"/>
    <n v="0.35149999999999998"/>
    <n v="71893365"/>
    <n v="51759.082073434125"/>
    <n v="99996"/>
    <n v="5091"/>
    <n v="1860957.27"/>
    <n v="1339.7820518358531"/>
    <n v="0.35149999999999998"/>
    <n v="1294260099.3599999"/>
    <x v="1"/>
    <n v="6162"/>
  </r>
  <r>
    <s v="LN00613"/>
    <x v="612"/>
    <n v="53"/>
    <s v="Male"/>
    <s v="Married"/>
    <s v="Unemployed"/>
    <n v="50257"/>
    <n v="330"/>
    <n v="88269"/>
    <n v="13.01"/>
    <n v="60"/>
    <s v="Mortgage"/>
    <n v="21.8"/>
    <n v="2668"/>
    <n v="182044"/>
    <x v="504"/>
    <s v="Approved"/>
    <s v="Yes"/>
    <x v="3"/>
    <x v="611"/>
    <x v="612"/>
    <n v="510"/>
    <n v="440"/>
    <n v="0.35149999999999998"/>
    <n v="71813574"/>
    <n v="51738.886167146971"/>
    <n v="99996"/>
    <n v="5091"/>
    <n v="1860443.77"/>
    <n v="1340.3773559077811"/>
    <n v="0.35149999999999998"/>
    <n v="1292399142.0899999"/>
    <x v="1"/>
    <n v="19950.599999999999"/>
  </r>
  <r>
    <s v="LN00614"/>
    <x v="613"/>
    <n v="52"/>
    <s v="Female"/>
    <s v="Single"/>
    <s v="Unemployed"/>
    <n v="75734"/>
    <n v="810"/>
    <n v="71915"/>
    <n v="4.49"/>
    <n v="180"/>
    <s v="Auto"/>
    <n v="15.22"/>
    <n v="16351"/>
    <n v="34240"/>
    <x v="106"/>
    <s v="Rejected"/>
    <s v="No"/>
    <x v="4"/>
    <x v="612"/>
    <x v="613"/>
    <n v="509"/>
    <n v="440"/>
    <n v="0.35149999999999998"/>
    <n v="71725305"/>
    <n v="51712.548666186012"/>
    <n v="99996"/>
    <n v="5091"/>
    <n v="1858781.22"/>
    <n v="1340.1450757029561"/>
    <n v="0.35149999999999998"/>
    <n v="1290538698.3200002"/>
    <x v="1"/>
    <n v="5009.6400000000003"/>
  </r>
  <r>
    <s v="LN00615"/>
    <x v="614"/>
    <n v="53"/>
    <s v="Female"/>
    <s v="Married"/>
    <s v="Self-Employed"/>
    <n v="98533"/>
    <n v="737"/>
    <n v="67708"/>
    <n v="18.13"/>
    <n v="120"/>
    <s v="Business"/>
    <n v="57.76"/>
    <n v="13376"/>
    <n v="26741"/>
    <x v="505"/>
    <s v="Approved"/>
    <s v="Yes"/>
    <x v="3"/>
    <x v="613"/>
    <x v="614"/>
    <n v="509"/>
    <n v="439"/>
    <n v="0.35149999999999998"/>
    <n v="71653390"/>
    <n v="51697.972582972579"/>
    <n v="99996"/>
    <n v="5091"/>
    <n v="1858363.75"/>
    <n v="1340.8107864357864"/>
    <n v="0.35149999999999998"/>
    <n v="1288679917.1000001"/>
    <x v="1"/>
    <n v="7998.36"/>
  </r>
  <r>
    <s v="LN00616"/>
    <x v="615"/>
    <n v="41"/>
    <s v="Male"/>
    <s v="Married"/>
    <s v="Self-Employed"/>
    <n v="142487"/>
    <n v="566"/>
    <n v="64077"/>
    <n v="12.85"/>
    <n v="180"/>
    <s v="Mortgage"/>
    <n v="46.9"/>
    <n v="40415"/>
    <n v="118830"/>
    <x v="215"/>
    <s v="Approved"/>
    <s v="No"/>
    <x v="4"/>
    <x v="614"/>
    <x v="615"/>
    <n v="508"/>
    <n v="439"/>
    <n v="0.35149999999999998"/>
    <n v="71585682"/>
    <n v="51686.412996389889"/>
    <n v="99996"/>
    <n v="5091"/>
    <n v="1857697.22"/>
    <n v="1341.2976317689531"/>
    <n v="0.35149999999999998"/>
    <n v="1286821553.3500004"/>
    <x v="1"/>
    <n v="4820.76"/>
  </r>
  <r>
    <s v="LN00617"/>
    <x v="616"/>
    <n v="62"/>
    <s v="Female"/>
    <s v="Married"/>
    <s v="Employed"/>
    <n v="80025"/>
    <n v="706"/>
    <n v="95800"/>
    <n v="14.31"/>
    <n v="240"/>
    <s v="Mortgage"/>
    <n v="11.53"/>
    <n v="24983"/>
    <n v="235880"/>
    <x v="352"/>
    <s v="Approved"/>
    <s v="No"/>
    <x v="4"/>
    <x v="615"/>
    <x v="616"/>
    <n v="507"/>
    <n v="439"/>
    <n v="0.35149999999999998"/>
    <n v="71521605"/>
    <n v="51677.460260115608"/>
    <n v="99996"/>
    <n v="5091"/>
    <n v="1857295.49"/>
    <n v="1341.976510115607"/>
    <n v="0.35149999999999998"/>
    <n v="1284963856.1300006"/>
    <x v="1"/>
    <n v="5475.4800000000005"/>
  </r>
  <r>
    <s v="LN00618"/>
    <x v="617"/>
    <n v="25"/>
    <s v="Male"/>
    <s v="Married"/>
    <s v="Unemployed"/>
    <n v="122873"/>
    <n v="620"/>
    <n v="83994"/>
    <n v="17.98"/>
    <n v="12"/>
    <s v="Education"/>
    <n v="27.1"/>
    <n v="2100"/>
    <n v="245892"/>
    <x v="506"/>
    <s v="Pending"/>
    <s v="Yes"/>
    <x v="0"/>
    <x v="616"/>
    <x v="617"/>
    <n v="506"/>
    <n v="439"/>
    <n v="0.35149999999999998"/>
    <n v="71425805"/>
    <n v="51645.556760665218"/>
    <n v="99996"/>
    <n v="5091"/>
    <n v="1856839.2"/>
    <n v="1342.6169197396962"/>
    <n v="0.35149999999999998"/>
    <n v="1283106560.6400003"/>
    <x v="1"/>
    <n v="99096.12"/>
  </r>
  <r>
    <s v="LN00619"/>
    <x v="618"/>
    <n v="63"/>
    <s v="Female"/>
    <s v="Married"/>
    <s v="Self-Employed"/>
    <n v="49149"/>
    <n v="668"/>
    <n v="84462"/>
    <n v="13.68"/>
    <n v="60"/>
    <s v="Mortgage"/>
    <n v="44.89"/>
    <n v="55095"/>
    <n v="13469"/>
    <x v="507"/>
    <s v="Approved"/>
    <s v="Yes"/>
    <x v="3"/>
    <x v="617"/>
    <x v="618"/>
    <n v="506"/>
    <n v="439"/>
    <n v="0.35149999999999998"/>
    <n v="71341811"/>
    <n v="51622.149782923298"/>
    <n v="99996"/>
    <n v="5091"/>
    <n v="1848581.1900000002"/>
    <n v="1337.6130173661361"/>
    <n v="0.35149999999999998"/>
    <n v="1281249721.4400005"/>
    <x v="0"/>
    <n v="19203.239999999998"/>
  </r>
  <r>
    <s v="LN00620"/>
    <x v="619"/>
    <n v="28"/>
    <s v="Male"/>
    <s v="Married"/>
    <s v="Self-Employed"/>
    <n v="134708"/>
    <n v="827"/>
    <n v="49742"/>
    <n v="18.010000000000002"/>
    <n v="48"/>
    <s v="Education"/>
    <n v="59.38"/>
    <n v="26019"/>
    <n v="72086"/>
    <x v="38"/>
    <s v="Pending"/>
    <s v="Yes"/>
    <x v="3"/>
    <x v="618"/>
    <x v="619"/>
    <n v="505"/>
    <n v="439"/>
    <n v="0.35149999999999998"/>
    <n v="71257349"/>
    <n v="51598.370021723385"/>
    <n v="99996"/>
    <n v="5091"/>
    <n v="1846980.9200000002"/>
    <n v="1337.4228240405505"/>
    <n v="0.35149999999999998"/>
    <n v="1279401140.2500005"/>
    <x v="1"/>
    <n v="14675.16"/>
  </r>
  <r>
    <s v="LN00621"/>
    <x v="620"/>
    <n v="54"/>
    <s v="Male"/>
    <s v="Single"/>
    <s v="Employed"/>
    <n v="129788"/>
    <n v="329"/>
    <n v="79029"/>
    <n v="4.8499999999999996"/>
    <n v="240"/>
    <s v="Auto"/>
    <n v="42.45"/>
    <n v="5426"/>
    <n v="33060"/>
    <x v="264"/>
    <s v="Rejected"/>
    <s v="Yes"/>
    <x v="0"/>
    <x v="619"/>
    <x v="620"/>
    <n v="505"/>
    <n v="439"/>
    <n v="0.35149999999999998"/>
    <n v="71207607"/>
    <n v="51599.715217391305"/>
    <n v="99996"/>
    <n v="5091"/>
    <n v="1845757.9900000002"/>
    <n v="1337.5057898550726"/>
    <n v="0.35149999999999998"/>
    <n v="1277554159.3300004"/>
    <x v="1"/>
    <n v="4143.12"/>
  </r>
  <r>
    <s v="LN00622"/>
    <x v="621"/>
    <n v="48"/>
    <s v="Male"/>
    <s v="Divorced"/>
    <s v="Self-Employed"/>
    <n v="151457"/>
    <n v="644"/>
    <n v="81203"/>
    <n v="5.33"/>
    <n v="24"/>
    <s v="Education"/>
    <n v="48.89"/>
    <n v="7633"/>
    <n v="24389"/>
    <x v="220"/>
    <s v="Rejected"/>
    <s v="Yes"/>
    <x v="4"/>
    <x v="620"/>
    <x v="621"/>
    <n v="505"/>
    <n v="438"/>
    <n v="0.35149999999999998"/>
    <n v="71128578"/>
    <n v="51579.824510514867"/>
    <n v="99996"/>
    <n v="5091"/>
    <n v="1845412.7300000002"/>
    <n v="1338.2253299492388"/>
    <n v="0.35149999999999998"/>
    <n v="1275708401.3400004"/>
    <x v="1"/>
    <n v="42765.600000000006"/>
  </r>
  <r>
    <s v="LN00623"/>
    <x v="622"/>
    <n v="24"/>
    <s v="Male"/>
    <s v="Single"/>
    <s v="Unemployed"/>
    <n v="89101"/>
    <n v="665"/>
    <n v="93086"/>
    <n v="22.71"/>
    <n v="36"/>
    <s v="Personal"/>
    <n v="26.22"/>
    <n v="15079"/>
    <n v="16690"/>
    <x v="477"/>
    <s v="Rejected"/>
    <s v="Yes"/>
    <x v="1"/>
    <x v="621"/>
    <x v="622"/>
    <n v="505"/>
    <n v="437"/>
    <n v="0.35149999999999998"/>
    <n v="71047375"/>
    <n v="51558.327285921623"/>
    <n v="99996"/>
    <n v="5091"/>
    <n v="1841848.9300000002"/>
    <n v="1336.6102539912918"/>
    <n v="0.35149999999999998"/>
    <n v="1273862988.6100001"/>
    <x v="1"/>
    <n v="38075.279999999999"/>
  </r>
  <r>
    <s v="LN00624"/>
    <x v="623"/>
    <n v="31"/>
    <s v="Male"/>
    <s v="Single"/>
    <s v="Employed"/>
    <n v="184166"/>
    <n v="491"/>
    <n v="84749"/>
    <n v="20.239999999999998"/>
    <n v="240"/>
    <s v="Education"/>
    <n v="36.22"/>
    <n v="69516"/>
    <n v="172894"/>
    <x v="111"/>
    <s v="Approved"/>
    <s v="Yes"/>
    <x v="4"/>
    <x v="622"/>
    <x v="623"/>
    <n v="505"/>
    <n v="436"/>
    <n v="0.35149999999999998"/>
    <n v="70954289"/>
    <n v="51528.169208424108"/>
    <n v="99996"/>
    <n v="5091"/>
    <n v="1838675.99"/>
    <n v="1335.2766811909949"/>
    <n v="0.35149999999999998"/>
    <n v="1272021139.6800001"/>
    <x v="1"/>
    <n v="5095.08"/>
  </r>
  <r>
    <s v="LN00625"/>
    <x v="624"/>
    <n v="30"/>
    <s v="Male"/>
    <s v="Single"/>
    <s v="Unemployed"/>
    <n v="134113"/>
    <n v="584"/>
    <n v="38195"/>
    <n v="11.22"/>
    <n v="48"/>
    <s v="Mortgage"/>
    <n v="8.89"/>
    <n v="23363"/>
    <n v="133089"/>
    <x v="508"/>
    <s v="Pending"/>
    <s v="No"/>
    <x v="2"/>
    <x v="623"/>
    <x v="624"/>
    <n v="504"/>
    <n v="436"/>
    <n v="0.35149999999999998"/>
    <n v="70869540"/>
    <n v="51504.026162790695"/>
    <n v="99996"/>
    <n v="5091"/>
    <n v="1838251.4"/>
    <n v="1335.9385174418603"/>
    <n v="0.35149999999999998"/>
    <n v="1270182463.6899998"/>
    <x v="1"/>
    <n v="10620.119999999999"/>
  </r>
  <r>
    <s v="LN00626"/>
    <x v="625"/>
    <n v="35"/>
    <s v="Male"/>
    <s v="Married"/>
    <s v="Employed"/>
    <n v="168337"/>
    <n v="729"/>
    <n v="22208"/>
    <n v="4.0599999999999996"/>
    <n v="360"/>
    <s v="Education"/>
    <n v="8.5"/>
    <n v="16655"/>
    <n v="114272"/>
    <x v="292"/>
    <s v="Rejected"/>
    <s v="No"/>
    <x v="1"/>
    <x v="624"/>
    <x v="625"/>
    <n v="504"/>
    <n v="436"/>
    <n v="0.35149999999999998"/>
    <n v="70831345"/>
    <n v="51513.705454545452"/>
    <n v="99996"/>
    <n v="5091"/>
    <n v="1837366.39"/>
    <n v="1336.2664654545454"/>
    <n v="0.35149999999999998"/>
    <n v="1268344212.29"/>
    <x v="1"/>
    <n v="770.28"/>
  </r>
  <r>
    <s v="LN00627"/>
    <x v="626"/>
    <n v="54"/>
    <s v="Male"/>
    <s v="Single"/>
    <s v="Self-Employed"/>
    <n v="195912"/>
    <n v="743"/>
    <n v="32014"/>
    <n v="11.14"/>
    <n v="60"/>
    <s v="Personal"/>
    <n v="14.95"/>
    <n v="64895"/>
    <n v="114963"/>
    <x v="331"/>
    <s v="Pending"/>
    <s v="Yes"/>
    <x v="0"/>
    <x v="625"/>
    <x v="626"/>
    <n v="504"/>
    <n v="435"/>
    <n v="0.35149999999999998"/>
    <n v="70809137"/>
    <n v="51535.034206695782"/>
    <n v="99996"/>
    <n v="5091"/>
    <n v="1837302.2"/>
    <n v="1337.1922852983987"/>
    <n v="0.35149999999999998"/>
    <n v="1266506845.8999999"/>
    <x v="1"/>
    <n v="7116.12"/>
  </r>
  <r>
    <s v="LN00628"/>
    <x v="627"/>
    <n v="50"/>
    <s v="Female"/>
    <s v="Married"/>
    <s v="Unemployed"/>
    <n v="190791"/>
    <n v="680"/>
    <n v="62082"/>
    <n v="5.88"/>
    <n v="24"/>
    <s v="Mortgage"/>
    <n v="27.3"/>
    <n v="55183"/>
    <n v="106959"/>
    <x v="509"/>
    <s v="Pending"/>
    <s v="No"/>
    <x v="2"/>
    <x v="626"/>
    <x v="627"/>
    <n v="504"/>
    <n v="435"/>
    <n v="0.35149999999999998"/>
    <n v="70777123"/>
    <n v="51549.25200291333"/>
    <n v="99996"/>
    <n v="5091"/>
    <n v="1836709.19"/>
    <n v="1337.7342971595046"/>
    <n v="0.35149999999999998"/>
    <n v="1264669543.7"/>
    <x v="1"/>
    <n v="32866.199999999997"/>
  </r>
  <r>
    <s v="LN00629"/>
    <x v="628"/>
    <n v="45"/>
    <s v="Male"/>
    <s v="Divorced"/>
    <s v="Employed"/>
    <n v="90813"/>
    <n v="361"/>
    <n v="28459"/>
    <n v="14.66"/>
    <n v="360"/>
    <s v="Auto"/>
    <n v="23.11"/>
    <n v="11214"/>
    <n v="65320"/>
    <x v="510"/>
    <s v="Approved"/>
    <s v="No"/>
    <x v="0"/>
    <x v="627"/>
    <x v="628"/>
    <n v="504"/>
    <n v="435"/>
    <n v="0.35149999999999998"/>
    <n v="70715041"/>
    <n v="51541.575072886299"/>
    <n v="99996"/>
    <n v="5091"/>
    <n v="1833970.3399999996"/>
    <n v="1336.713075801749"/>
    <n v="0.35149999999999998"/>
    <n v="1262832834.5099998"/>
    <x v="1"/>
    <n v="1087.68"/>
  </r>
  <r>
    <s v="LN00630"/>
    <x v="629"/>
    <n v="27"/>
    <s v="Male"/>
    <s v="Divorced"/>
    <s v="Unemployed"/>
    <n v="41154"/>
    <n v="427"/>
    <n v="51406"/>
    <n v="4.54"/>
    <n v="60"/>
    <s v="Personal"/>
    <n v="15.41"/>
    <n v="56066"/>
    <n v="91229"/>
    <x v="25"/>
    <s v="Pending"/>
    <s v="Yes"/>
    <x v="1"/>
    <x v="628"/>
    <x v="629"/>
    <n v="503"/>
    <n v="435"/>
    <n v="0.35149999999999998"/>
    <n v="70686582"/>
    <n v="51558.4113785558"/>
    <n v="99996"/>
    <n v="5091"/>
    <n v="1833879.6999999997"/>
    <n v="1337.6219547775345"/>
    <n v="0.35149999999999998"/>
    <n v="1260998864.1699998"/>
    <x v="1"/>
    <n v="10747.92"/>
  </r>
  <r>
    <s v="LN00631"/>
    <x v="630"/>
    <n v="37"/>
    <s v="Female"/>
    <s v="Divorced"/>
    <s v="Unemployed"/>
    <n v="27758"/>
    <n v="745"/>
    <n v="59146"/>
    <n v="18.18"/>
    <n v="36"/>
    <s v="Business"/>
    <n v="18.18"/>
    <n v="14161"/>
    <n v="91920"/>
    <x v="511"/>
    <s v="Pending"/>
    <s v="No"/>
    <x v="0"/>
    <x v="629"/>
    <x v="630"/>
    <n v="503"/>
    <n v="435"/>
    <n v="0.35149999999999998"/>
    <n v="70635176"/>
    <n v="51558.522627737228"/>
    <n v="99996"/>
    <n v="5091"/>
    <n v="1832984.0399999996"/>
    <n v="1337.9445547445252"/>
    <n v="0.35149999999999998"/>
    <n v="1259164984.4699996"/>
    <x v="1"/>
    <n v="23299.56"/>
  </r>
  <r>
    <s v="LN00632"/>
    <x v="631"/>
    <n v="57"/>
    <s v="Female"/>
    <s v="Single"/>
    <s v="Self-Employed"/>
    <n v="103876"/>
    <n v="567"/>
    <n v="46449"/>
    <n v="10.85"/>
    <n v="36"/>
    <s v="Personal"/>
    <n v="28.91"/>
    <n v="48328"/>
    <n v="190086"/>
    <x v="465"/>
    <s v="Approved"/>
    <s v="Yes"/>
    <x v="0"/>
    <x v="630"/>
    <x v="631"/>
    <n v="503"/>
    <n v="435"/>
    <n v="0.35149999999999998"/>
    <n v="70576030"/>
    <n v="51552.980277574876"/>
    <n v="99996"/>
    <n v="5091"/>
    <n v="1831042.4099999992"/>
    <n v="1337.5035865595319"/>
    <n v="0.35149999999999998"/>
    <n v="1257332000.4299996"/>
    <x v="1"/>
    <n v="17162.88"/>
  </r>
  <r>
    <s v="LN00633"/>
    <x v="632"/>
    <n v="59"/>
    <s v="Male"/>
    <s v="Single"/>
    <s v="Self-Employed"/>
    <n v="196327"/>
    <n v="470"/>
    <n v="62971"/>
    <n v="5.01"/>
    <n v="120"/>
    <s v="Auto"/>
    <n v="6.69"/>
    <n v="1095"/>
    <n v="135710"/>
    <x v="469"/>
    <s v="Approved"/>
    <s v="No"/>
    <x v="3"/>
    <x v="631"/>
    <x v="632"/>
    <n v="502"/>
    <n v="435"/>
    <n v="0.35149999999999998"/>
    <n v="70529581"/>
    <n v="51556.711257309944"/>
    <n v="99996"/>
    <n v="5091"/>
    <n v="1829612.1699999995"/>
    <n v="1337.4357967836254"/>
    <n v="0.35149999999999998"/>
    <n v="1255500958.0199993"/>
    <x v="1"/>
    <n v="6612.5999999999995"/>
  </r>
  <r>
    <s v="LN00634"/>
    <x v="633"/>
    <n v="29"/>
    <s v="Male"/>
    <s v="Divorced"/>
    <s v="Employed"/>
    <n v="147922"/>
    <n v="797"/>
    <n v="27191"/>
    <n v="3.5"/>
    <n v="180"/>
    <s v="Mortgage"/>
    <n v="37.15"/>
    <n v="52047"/>
    <n v="175423"/>
    <x v="385"/>
    <s v="Rejected"/>
    <s v="No"/>
    <x v="1"/>
    <x v="632"/>
    <x v="633"/>
    <n v="501"/>
    <n v="435"/>
    <n v="0.35149999999999998"/>
    <n v="70466610"/>
    <n v="51548.361375274326"/>
    <n v="99996"/>
    <n v="5091"/>
    <n v="1829061.1199999992"/>
    <n v="1338.0110607168976"/>
    <n v="0.35149999999999998"/>
    <n v="1253671345.8499992"/>
    <x v="1"/>
    <n v="1876.1999999999998"/>
  </r>
  <r>
    <s v="LN00635"/>
    <x v="634"/>
    <n v="48"/>
    <s v="Female"/>
    <s v="Divorced"/>
    <s v="Employed"/>
    <n v="126720"/>
    <n v="552"/>
    <n v="64441"/>
    <n v="10.94"/>
    <n v="180"/>
    <s v="Mortgage"/>
    <n v="9.5"/>
    <n v="59772"/>
    <n v="113874"/>
    <x v="512"/>
    <s v="Rejected"/>
    <s v="Yes"/>
    <x v="4"/>
    <x v="633"/>
    <x v="634"/>
    <n v="501"/>
    <n v="434"/>
    <n v="0.35149999999999998"/>
    <n v="70439419"/>
    <n v="51566.1925329429"/>
    <n v="99996"/>
    <n v="5091"/>
    <n v="1828904.7699999993"/>
    <n v="1338.8761127379205"/>
    <n v="0.35149999999999998"/>
    <n v="1251842284.7299991"/>
    <x v="1"/>
    <n v="4766.04"/>
  </r>
  <r>
    <s v="LN00636"/>
    <x v="635"/>
    <n v="48"/>
    <s v="Male"/>
    <s v="Single"/>
    <s v="Unemployed"/>
    <n v="70110"/>
    <n v="665"/>
    <n v="91946"/>
    <n v="13.57"/>
    <n v="60"/>
    <s v="Business"/>
    <n v="20.47"/>
    <n v="61733"/>
    <n v="158332"/>
    <x v="484"/>
    <s v="Rejected"/>
    <s v="No"/>
    <x v="3"/>
    <x v="634"/>
    <x v="635"/>
    <n v="501"/>
    <n v="433"/>
    <n v="0.35149999999999998"/>
    <n v="70374978"/>
    <n v="51556.760439560443"/>
    <n v="99996"/>
    <n v="5091"/>
    <n v="1828507.5999999992"/>
    <n v="1339.5660073260067"/>
    <n v="0.35149999999999998"/>
    <n v="1250013379.9599988"/>
    <x v="1"/>
    <n v="20884.560000000001"/>
  </r>
  <r>
    <s v="LN00637"/>
    <x v="636"/>
    <n v="65"/>
    <s v="Male"/>
    <s v="Single"/>
    <s v="Unemployed"/>
    <n v="29563"/>
    <n v="609"/>
    <n v="97692"/>
    <n v="21.47"/>
    <n v="24"/>
    <s v="Personal"/>
    <n v="31.33"/>
    <n v="17331"/>
    <n v="115073"/>
    <x v="88"/>
    <s v="Pending"/>
    <s v="Yes"/>
    <x v="4"/>
    <x v="635"/>
    <x v="636"/>
    <n v="501"/>
    <n v="432"/>
    <n v="0.35149999999999998"/>
    <n v="70283032"/>
    <n v="51527.149560117301"/>
    <n v="99996"/>
    <n v="5091"/>
    <n v="1826767.2199999993"/>
    <n v="1339.2721554252194"/>
    <n v="0.35149999999999998"/>
    <n v="1248184872.3599989"/>
    <x v="1"/>
    <n v="59333.279999999999"/>
  </r>
  <r>
    <s v="LN00638"/>
    <x v="637"/>
    <n v="61"/>
    <s v="Female"/>
    <s v="Married"/>
    <s v="Employed"/>
    <n v="196181"/>
    <n v="597"/>
    <n v="83775"/>
    <n v="7.75"/>
    <n v="24"/>
    <s v="Personal"/>
    <n v="36.72"/>
    <n v="48855"/>
    <n v="29728"/>
    <x v="513"/>
    <s v="Approved"/>
    <s v="No"/>
    <x v="2"/>
    <x v="636"/>
    <x v="637"/>
    <n v="501"/>
    <n v="432"/>
    <n v="0.35149999999999998"/>
    <n v="70185340"/>
    <n v="51493.279530447544"/>
    <n v="99996"/>
    <n v="5091"/>
    <n v="1821822.7799999993"/>
    <n v="1336.6271313279526"/>
    <n v="0.35149999999999998"/>
    <n v="1246358105.1399987"/>
    <x v="1"/>
    <n v="45133.8"/>
  </r>
  <r>
    <s v="LN00639"/>
    <x v="638"/>
    <n v="31"/>
    <s v="Male"/>
    <s v="Married"/>
    <s v="Self-Employed"/>
    <n v="63842"/>
    <n v="626"/>
    <n v="88905"/>
    <n v="7.53"/>
    <n v="240"/>
    <s v="Personal"/>
    <n v="11.49"/>
    <n v="27818"/>
    <n v="181094"/>
    <x v="514"/>
    <s v="Pending"/>
    <s v="No"/>
    <x v="3"/>
    <x v="637"/>
    <x v="638"/>
    <n v="500"/>
    <n v="432"/>
    <n v="0.35149999999999998"/>
    <n v="70101565"/>
    <n v="51469.577826725406"/>
    <n v="99996"/>
    <n v="5091"/>
    <n v="1818061.6299999992"/>
    <n v="1334.8470117474296"/>
    <n v="0.35149999999999998"/>
    <n v="1244536282.3599985"/>
    <x v="1"/>
    <n v="4779.96"/>
  </r>
  <r>
    <s v="LN00640"/>
    <x v="639"/>
    <n v="41"/>
    <s v="Male"/>
    <s v="Divorced"/>
    <s v="Employed"/>
    <n v="175762"/>
    <n v="626"/>
    <n v="45512"/>
    <n v="10.34"/>
    <n v="240"/>
    <s v="Business"/>
    <n v="29.98"/>
    <n v="31351"/>
    <n v="84016"/>
    <x v="515"/>
    <s v="Rejected"/>
    <s v="No"/>
    <x v="3"/>
    <x v="638"/>
    <x v="639"/>
    <n v="500"/>
    <n v="432"/>
    <n v="0.35149999999999998"/>
    <n v="70012660"/>
    <n v="51442.072005878028"/>
    <n v="99996"/>
    <n v="5091"/>
    <n v="1817663.2999999991"/>
    <n v="1335.5351212343858"/>
    <n v="0.35149999999999998"/>
    <n v="1242718220.7299984"/>
    <x v="1"/>
    <n v="2510.88"/>
  </r>
  <r>
    <s v="LN00641"/>
    <x v="640"/>
    <n v="51"/>
    <s v="Female"/>
    <s v="Divorced"/>
    <s v="Unemployed"/>
    <n v="29389"/>
    <n v="659"/>
    <n v="64083"/>
    <n v="5.59"/>
    <n v="240"/>
    <s v="Auto"/>
    <n v="9.81"/>
    <n v="79627"/>
    <n v="15082"/>
    <x v="334"/>
    <s v="Rejected"/>
    <s v="Yes"/>
    <x v="4"/>
    <x v="639"/>
    <x v="640"/>
    <n v="500"/>
    <n v="431"/>
    <n v="0.35149999999999998"/>
    <n v="69967148"/>
    <n v="51446.432352941178"/>
    <n v="99996"/>
    <n v="5091"/>
    <n v="1817454.0599999991"/>
    <n v="1336.3632794117641"/>
    <n v="0.35149999999999998"/>
    <n v="1240900557.4299984"/>
    <x v="1"/>
    <n v="3383.2799999999997"/>
  </r>
  <r>
    <s v="LN00642"/>
    <x v="641"/>
    <n v="55"/>
    <s v="Male"/>
    <s v="Married"/>
    <s v="Self-Employed"/>
    <n v="25739"/>
    <n v="767"/>
    <n v="8449"/>
    <n v="22.18"/>
    <n v="36"/>
    <s v="Auto"/>
    <n v="51.45"/>
    <n v="29995"/>
    <n v="156074"/>
    <x v="516"/>
    <s v="Pending"/>
    <s v="No"/>
    <x v="0"/>
    <x v="640"/>
    <x v="641"/>
    <n v="500"/>
    <n v="430"/>
    <n v="0.35149999999999998"/>
    <n v="69903065"/>
    <n v="51437.133922001471"/>
    <n v="99996"/>
    <n v="5091"/>
    <n v="1817172.1199999989"/>
    <n v="1337.1391611479021"/>
    <n v="0.35149999999999998"/>
    <n v="1239083103.3699985"/>
    <x v="1"/>
    <n v="3441"/>
  </r>
  <r>
    <s v="LN00643"/>
    <x v="642"/>
    <n v="21"/>
    <s v="Male"/>
    <s v="Divorced"/>
    <s v="Self-Employed"/>
    <n v="97020"/>
    <n v="484"/>
    <n v="13722"/>
    <n v="16.71"/>
    <n v="24"/>
    <s v="Mortgage"/>
    <n v="50.27"/>
    <n v="74780"/>
    <n v="145209"/>
    <x v="517"/>
    <s v="Rejected"/>
    <s v="No"/>
    <x v="3"/>
    <x v="641"/>
    <x v="642"/>
    <n v="500"/>
    <n v="430"/>
    <n v="0.35149999999999998"/>
    <n v="69894616"/>
    <n v="51468.78939617084"/>
    <n v="99996"/>
    <n v="5091"/>
    <n v="1816885.3699999989"/>
    <n v="1337.9126435935191"/>
    <n v="0.35149999999999998"/>
    <n v="1237265931.2499983"/>
    <x v="1"/>
    <n v="8007.48"/>
  </r>
  <r>
    <s v="LN00644"/>
    <x v="643"/>
    <n v="54"/>
    <s v="Female"/>
    <s v="Divorced"/>
    <s v="Self-Employed"/>
    <n v="127505"/>
    <n v="406"/>
    <n v="35628"/>
    <n v="21.59"/>
    <n v="48"/>
    <s v="Education"/>
    <n v="47.59"/>
    <n v="59458"/>
    <n v="141962"/>
    <x v="518"/>
    <s v="Rejected"/>
    <s v="Yes"/>
    <x v="2"/>
    <x v="642"/>
    <x v="643"/>
    <n v="500"/>
    <n v="429"/>
    <n v="0.35149999999999998"/>
    <n v="69880894"/>
    <n v="51496.605747973474"/>
    <n v="99996"/>
    <n v="5091"/>
    <n v="1816218.0799999991"/>
    <n v="1338.4068386145905"/>
    <n v="0.35149999999999998"/>
    <n v="1235449045.8799984"/>
    <x v="1"/>
    <n v="10830"/>
  </r>
  <r>
    <s v="LN00645"/>
    <x v="644"/>
    <n v="62"/>
    <s v="Female"/>
    <s v="Divorced"/>
    <s v="Self-Employed"/>
    <n v="143306"/>
    <n v="483"/>
    <n v="49165"/>
    <n v="21.94"/>
    <n v="120"/>
    <s v="Business"/>
    <n v="12.77"/>
    <n v="5242"/>
    <n v="146859"/>
    <x v="513"/>
    <s v="Pending"/>
    <s v="No"/>
    <x v="0"/>
    <x v="643"/>
    <x v="644"/>
    <n v="500"/>
    <n v="428"/>
    <n v="0.35149999999999998"/>
    <n v="69845266"/>
    <n v="51508.308259587022"/>
    <n v="99996"/>
    <n v="5091"/>
    <n v="1815315.5799999989"/>
    <n v="1338.7283038348075"/>
    <n v="0.35149999999999998"/>
    <n v="1233632827.7999985"/>
    <x v="1"/>
    <n v="5995.2000000000007"/>
  </r>
  <r>
    <s v="LN00646"/>
    <x v="645"/>
    <n v="21"/>
    <s v="Male"/>
    <s v="Divorced"/>
    <s v="Employed"/>
    <n v="159819"/>
    <n v="431"/>
    <n v="52284"/>
    <n v="21.71"/>
    <n v="120"/>
    <s v="Business"/>
    <n v="38.21"/>
    <n v="49994"/>
    <n v="193671"/>
    <x v="519"/>
    <s v="Approved"/>
    <s v="No"/>
    <x v="4"/>
    <x v="644"/>
    <x v="645"/>
    <n v="500"/>
    <n v="428"/>
    <n v="0.35149999999999998"/>
    <n v="69796101"/>
    <n v="51510.037638376387"/>
    <n v="99996"/>
    <n v="5091"/>
    <n v="1814815.9799999991"/>
    <n v="1339.3475867158666"/>
    <n v="0.35149999999999998"/>
    <n v="1231817512.2199988"/>
    <x v="1"/>
    <n v="6363.48"/>
  </r>
  <r>
    <s v="LN00647"/>
    <x v="646"/>
    <n v="46"/>
    <s v="Male"/>
    <s v="Divorced"/>
    <s v="Self-Employed"/>
    <n v="157190"/>
    <n v="366"/>
    <n v="48283"/>
    <n v="7.98"/>
    <n v="60"/>
    <s v="Mortgage"/>
    <n v="47.7"/>
    <n v="6155"/>
    <n v="165511"/>
    <x v="520"/>
    <s v="Approved"/>
    <s v="Yes"/>
    <x v="0"/>
    <x v="645"/>
    <x v="646"/>
    <n v="499"/>
    <n v="428"/>
    <n v="0.35149999999999998"/>
    <n v="69743817"/>
    <n v="51509.466026587885"/>
    <n v="99996"/>
    <n v="5091"/>
    <n v="1814285.689999999"/>
    <n v="1339.9451181683892"/>
    <n v="0.35149999999999998"/>
    <n v="1230002696.2399988"/>
    <x v="1"/>
    <n v="10427.16"/>
  </r>
  <r>
    <s v="LN00648"/>
    <x v="647"/>
    <n v="61"/>
    <s v="Female"/>
    <s v="Divorced"/>
    <s v="Employed"/>
    <n v="112650"/>
    <n v="786"/>
    <n v="41039"/>
    <n v="21.37"/>
    <n v="180"/>
    <s v="Personal"/>
    <n v="56.48"/>
    <n v="26097"/>
    <n v="200714"/>
    <x v="393"/>
    <s v="Rejected"/>
    <s v="Yes"/>
    <x v="1"/>
    <x v="646"/>
    <x v="647"/>
    <n v="498"/>
    <n v="428"/>
    <n v="0.35149999999999998"/>
    <n v="69695534"/>
    <n v="51511.850702143383"/>
    <n v="99996"/>
    <n v="5091"/>
    <n v="1813416.7599999988"/>
    <n v="1340.2932446415364"/>
    <n v="0.35149999999999998"/>
    <n v="1228188410.5499988"/>
    <x v="1"/>
    <n v="3320.6400000000003"/>
  </r>
  <r>
    <s v="LN00649"/>
    <x v="648"/>
    <n v="28"/>
    <s v="Male"/>
    <s v="Married"/>
    <s v="Unemployed"/>
    <n v="128151"/>
    <n v="822"/>
    <n v="39041"/>
    <n v="23.47"/>
    <n v="36"/>
    <s v="Education"/>
    <n v="32.270000000000003"/>
    <n v="11971"/>
    <n v="133789"/>
    <x v="521"/>
    <s v="Pending"/>
    <s v="Yes"/>
    <x v="2"/>
    <x v="647"/>
    <x v="648"/>
    <n v="498"/>
    <n v="427"/>
    <n v="0.35149999999999998"/>
    <n v="69654495"/>
    <n v="51519.596893491122"/>
    <n v="99996"/>
    <n v="5091"/>
    <n v="1813140.0399999989"/>
    <n v="1341.0799112426027"/>
    <n v="0.35149999999999998"/>
    <n v="1226374993.7899988"/>
    <x v="1"/>
    <n v="16068"/>
  </r>
  <r>
    <s v="LN00650"/>
    <x v="649"/>
    <n v="41"/>
    <s v="Male"/>
    <s v="Divorced"/>
    <s v="Employed"/>
    <n v="151037"/>
    <n v="416"/>
    <n v="33235"/>
    <n v="21.1"/>
    <n v="360"/>
    <s v="Auto"/>
    <n v="34.11"/>
    <n v="44916"/>
    <n v="56522"/>
    <x v="522"/>
    <s v="Rejected"/>
    <s v="Yes"/>
    <x v="1"/>
    <x v="648"/>
    <x v="649"/>
    <n v="498"/>
    <n v="427"/>
    <n v="0.35149999999999998"/>
    <n v="69615454"/>
    <n v="51528.83345669874"/>
    <n v="99996"/>
    <n v="5091"/>
    <n v="1811801.0399999989"/>
    <n v="1341.0814507772013"/>
    <n v="0.35149999999999998"/>
    <n v="1224561853.7499988"/>
    <x v="1"/>
    <n v="1341.6"/>
  </r>
  <r>
    <s v="LN00651"/>
    <x v="650"/>
    <n v="58"/>
    <s v="Female"/>
    <s v="Married"/>
    <s v="Self-Employed"/>
    <n v="132556"/>
    <n v="332"/>
    <n v="59939"/>
    <n v="17.989999999999998"/>
    <n v="120"/>
    <s v="Mortgage"/>
    <n v="11.84"/>
    <n v="41535"/>
    <n v="186053"/>
    <x v="184"/>
    <s v="Pending"/>
    <s v="No"/>
    <x v="4"/>
    <x v="649"/>
    <x v="650"/>
    <n v="498"/>
    <n v="426"/>
    <n v="0.35149999999999998"/>
    <n v="69582219"/>
    <n v="51542.384444444448"/>
    <n v="99996"/>
    <n v="5091"/>
    <n v="1811689.2399999988"/>
    <n v="1341.9920296296289"/>
    <n v="0.35149999999999998"/>
    <n v="1222750052.7099988"/>
    <x v="1"/>
    <n v="7072.2000000000007"/>
  </r>
  <r>
    <s v="LN00652"/>
    <x v="651"/>
    <n v="46"/>
    <s v="Male"/>
    <s v="Divorced"/>
    <s v="Self-Employed"/>
    <n v="155427"/>
    <n v="574"/>
    <n v="10058"/>
    <n v="15.64"/>
    <n v="60"/>
    <s v="Personal"/>
    <n v="20.079999999999998"/>
    <n v="11704"/>
    <n v="68979"/>
    <x v="507"/>
    <s v="Approved"/>
    <s v="No"/>
    <x v="3"/>
    <x v="650"/>
    <x v="651"/>
    <n v="498"/>
    <n v="426"/>
    <n v="0.35149999999999998"/>
    <n v="69522280"/>
    <n v="51536.160118606378"/>
    <n v="99996"/>
    <n v="5091"/>
    <n v="1811099.889999999"/>
    <n v="1342.5499555226086"/>
    <n v="0.35149999999999998"/>
    <n v="1220938363.4699988"/>
    <x v="1"/>
    <n v="2326.1999999999998"/>
  </r>
  <r>
    <s v="LN00653"/>
    <x v="652"/>
    <n v="46"/>
    <s v="Female"/>
    <s v="Divorced"/>
    <s v="Employed"/>
    <n v="39368"/>
    <n v="461"/>
    <n v="75843"/>
    <n v="21.56"/>
    <n v="48"/>
    <s v="Personal"/>
    <n v="55.09"/>
    <n v="56705"/>
    <n v="189680"/>
    <x v="443"/>
    <s v="Approved"/>
    <s v="No"/>
    <x v="0"/>
    <x v="651"/>
    <x v="652"/>
    <n v="497"/>
    <n v="426"/>
    <n v="0.35149999999999998"/>
    <n v="69512222"/>
    <n v="51566.930267062315"/>
    <n v="99996"/>
    <n v="5091"/>
    <n v="1810906.0399999989"/>
    <n v="1343.4021068249249"/>
    <n v="0.35149999999999998"/>
    <n v="1219127263.579999"/>
    <x v="1"/>
    <n v="23048.639999999999"/>
  </r>
  <r>
    <s v="LN00654"/>
    <x v="653"/>
    <n v="29"/>
    <s v="Male"/>
    <s v="Single"/>
    <s v="Employed"/>
    <n v="154358"/>
    <n v="429"/>
    <n v="35249"/>
    <n v="19.38"/>
    <n v="12"/>
    <s v="Personal"/>
    <n v="37.69"/>
    <n v="4031"/>
    <n v="102270"/>
    <x v="327"/>
    <s v="Pending"/>
    <s v="No"/>
    <x v="3"/>
    <x v="652"/>
    <x v="653"/>
    <n v="496"/>
    <n v="426"/>
    <n v="0.35149999999999998"/>
    <n v="69436379"/>
    <n v="51548.907943578321"/>
    <n v="99996"/>
    <n v="5091"/>
    <n v="1808985.3199999989"/>
    <n v="1342.9735115070519"/>
    <n v="0.35149999999999998"/>
    <n v="1217316357.5399992"/>
    <x v="1"/>
    <n v="42080.28"/>
  </r>
  <r>
    <s v="LN00655"/>
    <x v="654"/>
    <n v="52"/>
    <s v="Female"/>
    <s v="Divorced"/>
    <s v="Unemployed"/>
    <n v="30570"/>
    <n v="651"/>
    <n v="47738"/>
    <n v="17.03"/>
    <n v="360"/>
    <s v="Mortgage"/>
    <n v="14.09"/>
    <n v="22454"/>
    <n v="106822"/>
    <x v="460"/>
    <s v="Approved"/>
    <s v="No"/>
    <x v="0"/>
    <x v="653"/>
    <x v="654"/>
    <n v="496"/>
    <n v="426"/>
    <n v="0.35149999999999998"/>
    <n v="69401130"/>
    <n v="51561.017830609213"/>
    <n v="99996"/>
    <n v="5091"/>
    <n v="1805478.629999999"/>
    <n v="1341.3659955423468"/>
    <n v="0.35149999999999998"/>
    <n v="1215507372.2199988"/>
    <x v="0"/>
    <n v="1862.28"/>
  </r>
  <r>
    <s v="LN00656"/>
    <x v="655"/>
    <n v="59"/>
    <s v="Female"/>
    <s v="Divorced"/>
    <s v="Unemployed"/>
    <n v="36669"/>
    <n v="623"/>
    <n v="81239"/>
    <n v="12.78"/>
    <n v="48"/>
    <s v="Business"/>
    <n v="30.91"/>
    <n v="59309"/>
    <n v="53098"/>
    <x v="523"/>
    <s v="Rejected"/>
    <s v="Yes"/>
    <x v="1"/>
    <x v="654"/>
    <x v="655"/>
    <n v="495"/>
    <n v="426"/>
    <n v="0.35149999999999998"/>
    <n v="69353392"/>
    <n v="51563.86022304833"/>
    <n v="99996"/>
    <n v="5091"/>
    <n v="1805323.4399999988"/>
    <n v="1342.2479107806682"/>
    <n v="0.35149999999999998"/>
    <n v="1213701893.5899985"/>
    <x v="1"/>
    <n v="22905.360000000001"/>
  </r>
  <r>
    <s v="LN00657"/>
    <x v="656"/>
    <n v="38"/>
    <s v="Female"/>
    <s v="Single"/>
    <s v="Unemployed"/>
    <n v="148374"/>
    <n v="463"/>
    <n v="5381"/>
    <n v="16.93"/>
    <n v="12"/>
    <s v="Business"/>
    <n v="19.899999999999999"/>
    <n v="79691"/>
    <n v="183517"/>
    <x v="375"/>
    <s v="Rejected"/>
    <s v="Yes"/>
    <x v="3"/>
    <x v="655"/>
    <x v="656"/>
    <n v="495"/>
    <n v="425"/>
    <n v="0.35149999999999998"/>
    <n v="69272153"/>
    <n v="51541.780505952382"/>
    <n v="99996"/>
    <n v="5091"/>
    <n v="1803414.6599999988"/>
    <n v="1341.8263839285705"/>
    <n v="0.35149999999999998"/>
    <n v="1211896570.1499987"/>
    <x v="1"/>
    <n v="6291.9600000000009"/>
  </r>
  <r>
    <s v="LN00658"/>
    <x v="657"/>
    <n v="29"/>
    <s v="Male"/>
    <s v="Divorced"/>
    <s v="Unemployed"/>
    <n v="137275"/>
    <n v="545"/>
    <n v="37763"/>
    <n v="14.64"/>
    <n v="180"/>
    <s v="Personal"/>
    <n v="10.49"/>
    <n v="32139"/>
    <n v="122571"/>
    <x v="524"/>
    <s v="Approved"/>
    <s v="Yes"/>
    <x v="1"/>
    <x v="656"/>
    <x v="657"/>
    <n v="495"/>
    <n v="424"/>
    <n v="0.35149999999999998"/>
    <n v="69266772"/>
    <n v="51576.151898734177"/>
    <n v="99996"/>
    <n v="5091"/>
    <n v="1802890.3299999987"/>
    <n v="1342.4350930752037"/>
    <n v="0.35149999999999998"/>
    <n v="1210093155.4899986"/>
    <x v="0"/>
    <n v="2886.12"/>
  </r>
  <r>
    <s v="LN00659"/>
    <x v="658"/>
    <n v="28"/>
    <s v="Female"/>
    <s v="Single"/>
    <s v="Unemployed"/>
    <n v="21878"/>
    <n v="796"/>
    <n v="67280"/>
    <n v="20.67"/>
    <n v="12"/>
    <s v="Education"/>
    <n v="20.66"/>
    <n v="54585"/>
    <n v="3080"/>
    <x v="163"/>
    <s v="Rejected"/>
    <s v="No"/>
    <x v="4"/>
    <x v="657"/>
    <x v="658"/>
    <n v="494"/>
    <n v="424"/>
    <n v="0.35149999999999998"/>
    <n v="69229009"/>
    <n v="51586.444858420269"/>
    <n v="99996"/>
    <n v="5091"/>
    <n v="1802649.8199999987"/>
    <n v="1343.2561997019363"/>
    <n v="0.35149999999999998"/>
    <n v="1208290265.1599984"/>
    <x v="1"/>
    <n v="81186.720000000001"/>
  </r>
  <r>
    <s v="LN00660"/>
    <x v="659"/>
    <n v="45"/>
    <s v="Male"/>
    <s v="Married"/>
    <s v="Unemployed"/>
    <n v="57813"/>
    <n v="500"/>
    <n v="6817"/>
    <n v="15.61"/>
    <n v="120"/>
    <s v="Auto"/>
    <n v="25.76"/>
    <n v="40197"/>
    <n v="206877"/>
    <x v="428"/>
    <s v="Rejected"/>
    <s v="Yes"/>
    <x v="2"/>
    <x v="658"/>
    <x v="659"/>
    <n v="494"/>
    <n v="423"/>
    <n v="0.35149999999999998"/>
    <n v="69161729"/>
    <n v="51574.741983594329"/>
    <n v="99996"/>
    <n v="5091"/>
    <n v="1795884.2599999986"/>
    <n v="1339.2127218493652"/>
    <n v="0.35149999999999998"/>
    <n v="1206487615.3399982"/>
    <x v="0"/>
    <n v="788.16000000000008"/>
  </r>
  <r>
    <s v="LN00661"/>
    <x v="660"/>
    <n v="38"/>
    <s v="Female"/>
    <s v="Divorced"/>
    <s v="Unemployed"/>
    <n v="54358"/>
    <n v="436"/>
    <n v="41965"/>
    <n v="16.2"/>
    <n v="120"/>
    <s v="Education"/>
    <n v="22.83"/>
    <n v="19250"/>
    <n v="86544"/>
    <x v="525"/>
    <s v="Pending"/>
    <s v="Yes"/>
    <x v="1"/>
    <x v="659"/>
    <x v="660"/>
    <n v="494"/>
    <n v="422"/>
    <n v="0.35149999999999998"/>
    <n v="69154912"/>
    <n v="51608.143283582089"/>
    <n v="99996"/>
    <n v="5091"/>
    <n v="1795818.5799999987"/>
    <n v="1340.1631194029842"/>
    <n v="0.35149999999999998"/>
    <n v="1204691731.0799985"/>
    <x v="1"/>
    <n v="4876.32"/>
  </r>
  <r>
    <s v="LN00662"/>
    <x v="661"/>
    <n v="58"/>
    <s v="Male"/>
    <s v="Divorced"/>
    <s v="Unemployed"/>
    <n v="35967"/>
    <n v="494"/>
    <n v="11377"/>
    <n v="18.32"/>
    <n v="12"/>
    <s v="Education"/>
    <n v="32.19"/>
    <n v="18074"/>
    <n v="111330"/>
    <x v="526"/>
    <s v="Approved"/>
    <s v="No"/>
    <x v="0"/>
    <x v="660"/>
    <x v="661"/>
    <n v="494"/>
    <n v="422"/>
    <n v="0.35149999999999998"/>
    <n v="69112947"/>
    <n v="51615.345033607169"/>
    <n v="99996"/>
    <n v="5091"/>
    <n v="1795412.2199999986"/>
    <n v="1340.8605078416717"/>
    <n v="0.35149999999999998"/>
    <n v="1202895912.4999986"/>
    <x v="1"/>
    <n v="13461.24"/>
  </r>
  <r>
    <s v="LN00663"/>
    <x v="662"/>
    <n v="44"/>
    <s v="Female"/>
    <s v="Single"/>
    <s v="Employed"/>
    <n v="99117"/>
    <n v="306"/>
    <n v="20900"/>
    <n v="3.59"/>
    <n v="180"/>
    <s v="Business"/>
    <n v="39.479999999999997"/>
    <n v="51609"/>
    <n v="151812"/>
    <x v="527"/>
    <s v="Pending"/>
    <s v="No"/>
    <x v="4"/>
    <x v="661"/>
    <x v="662"/>
    <n v="493"/>
    <n v="422"/>
    <n v="0.35149999999999998"/>
    <n v="69101570"/>
    <n v="51645.418535127057"/>
    <n v="99996"/>
    <n v="5091"/>
    <n v="1794290.4499999986"/>
    <n v="1341.0242526158434"/>
    <n v="0.35149999999999998"/>
    <n v="1201100500.2799988"/>
    <x v="0"/>
    <n v="1443.3600000000001"/>
  </r>
  <r>
    <s v="LN00664"/>
    <x v="663"/>
    <n v="43"/>
    <s v="Female"/>
    <s v="Divorced"/>
    <s v="Employed"/>
    <n v="100619"/>
    <n v="615"/>
    <n v="47224"/>
    <n v="3.5"/>
    <n v="360"/>
    <s v="Personal"/>
    <n v="43.38"/>
    <n v="79992"/>
    <n v="1006"/>
    <x v="86"/>
    <s v="Rejected"/>
    <s v="Yes"/>
    <x v="1"/>
    <x v="662"/>
    <x v="663"/>
    <n v="493"/>
    <n v="422"/>
    <n v="0.35149999999999998"/>
    <n v="69080670"/>
    <n v="51668.414360508599"/>
    <n v="99996"/>
    <n v="5091"/>
    <n v="1794170.1699999985"/>
    <n v="1341.9372999252046"/>
    <n v="0.35149999999999998"/>
    <n v="1199306209.8299992"/>
    <x v="1"/>
    <n v="1629.2400000000002"/>
  </r>
  <r>
    <s v="LN00665"/>
    <x v="664"/>
    <n v="37"/>
    <s v="Female"/>
    <s v="Married"/>
    <s v="Employed"/>
    <n v="189432"/>
    <n v="765"/>
    <n v="41246"/>
    <n v="20.82"/>
    <n v="360"/>
    <s v="Auto"/>
    <n v="11.86"/>
    <n v="73797"/>
    <n v="23392"/>
    <x v="528"/>
    <s v="Rejected"/>
    <s v="Yes"/>
    <x v="4"/>
    <x v="663"/>
    <x v="664"/>
    <n v="493"/>
    <n v="421"/>
    <n v="0.35149999999999998"/>
    <n v="69033446"/>
    <n v="51671.741017964072"/>
    <n v="99996"/>
    <n v="5091"/>
    <n v="1794034.3999999985"/>
    <n v="1342.8401197604778"/>
    <n v="0.35149999999999998"/>
    <n v="1197512039.6599989"/>
    <x v="1"/>
    <n v="1661.16"/>
  </r>
  <r>
    <s v="LN00666"/>
    <x v="665"/>
    <n v="47"/>
    <s v="Male"/>
    <s v="Married"/>
    <s v="Unemployed"/>
    <n v="82130"/>
    <n v="607"/>
    <n v="61360"/>
    <n v="21.81"/>
    <n v="360"/>
    <s v="Mortgage"/>
    <n v="35.950000000000003"/>
    <n v="19730"/>
    <n v="159610"/>
    <x v="529"/>
    <s v="Approved"/>
    <s v="Yes"/>
    <x v="0"/>
    <x v="664"/>
    <x v="665"/>
    <n v="493"/>
    <n v="420"/>
    <n v="0.35149999999999998"/>
    <n v="68992200"/>
    <n v="51679.550561797754"/>
    <n v="99996"/>
    <n v="5091"/>
    <n v="1793895.9699999986"/>
    <n v="1343.742299625467"/>
    <n v="0.35149999999999998"/>
    <n v="1195718005.2599988"/>
    <x v="1"/>
    <n v="2491.44"/>
  </r>
  <r>
    <s v="LN00667"/>
    <x v="666"/>
    <n v="25"/>
    <s v="Female"/>
    <s v="Married"/>
    <s v="Unemployed"/>
    <n v="105187"/>
    <n v="372"/>
    <n v="30381"/>
    <n v="8.48"/>
    <n v="48"/>
    <s v="Business"/>
    <n v="48.69"/>
    <n v="16020"/>
    <n v="55994"/>
    <x v="218"/>
    <s v="Pending"/>
    <s v="No"/>
    <x v="1"/>
    <x v="665"/>
    <x v="666"/>
    <n v="492"/>
    <n v="420"/>
    <n v="0.35149999999999998"/>
    <n v="68930840"/>
    <n v="51672.293853073461"/>
    <n v="99996"/>
    <n v="5091"/>
    <n v="1793688.3499999987"/>
    <n v="1344.5939655172403"/>
    <n v="0.35149999999999998"/>
    <n v="1193924109.289999"/>
    <x v="1"/>
    <n v="8239.32"/>
  </r>
  <r>
    <s v="LN00668"/>
    <x v="667"/>
    <n v="33"/>
    <s v="Male"/>
    <s v="Married"/>
    <s v="Employed"/>
    <n v="173824"/>
    <n v="813"/>
    <n v="13781"/>
    <n v="16.649999999999999"/>
    <n v="240"/>
    <s v="Personal"/>
    <n v="7.75"/>
    <n v="77864"/>
    <n v="96306"/>
    <x v="530"/>
    <s v="Approved"/>
    <s v="Yes"/>
    <x v="3"/>
    <x v="666"/>
    <x v="667"/>
    <n v="492"/>
    <n v="420"/>
    <n v="0.35149999999999998"/>
    <n v="68900459"/>
    <n v="51688.266316579145"/>
    <n v="99996"/>
    <n v="5091"/>
    <n v="1793001.7399999986"/>
    <n v="1345.0875768942226"/>
    <n v="0.35149999999999998"/>
    <n v="1192130420.9399991"/>
    <x v="1"/>
    <n v="803.76"/>
  </r>
  <r>
    <s v="LN00669"/>
    <x v="668"/>
    <n v="48"/>
    <s v="Male"/>
    <s v="Married"/>
    <s v="Employed"/>
    <n v="102004"/>
    <n v="560"/>
    <n v="31021"/>
    <n v="8.6"/>
    <n v="12"/>
    <s v="Personal"/>
    <n v="26.42"/>
    <n v="42898"/>
    <n v="36379"/>
    <x v="531"/>
    <s v="Pending"/>
    <s v="No"/>
    <x v="0"/>
    <x v="667"/>
    <x v="668"/>
    <n v="491"/>
    <n v="420"/>
    <n v="0.35149999999999998"/>
    <n v="68886678"/>
    <n v="51716.725225225222"/>
    <n v="99996"/>
    <n v="5091"/>
    <n v="1792934.7599999986"/>
    <n v="1346.0471171171162"/>
    <n v="0.35149999999999998"/>
    <n v="1190337419.1999991"/>
    <x v="1"/>
    <n v="33688.800000000003"/>
  </r>
  <r>
    <s v="LN00670"/>
    <x v="669"/>
    <n v="42"/>
    <s v="Male"/>
    <s v="Single"/>
    <s v="Employed"/>
    <n v="174577"/>
    <n v="709"/>
    <n v="97801"/>
    <n v="10.26"/>
    <n v="36"/>
    <s v="Auto"/>
    <n v="5.6"/>
    <n v="16082"/>
    <n v="20361"/>
    <x v="305"/>
    <s v="Approved"/>
    <s v="No"/>
    <x v="3"/>
    <x v="668"/>
    <x v="669"/>
    <n v="491"/>
    <n v="420"/>
    <n v="0.35149999999999998"/>
    <n v="68855657"/>
    <n v="51732.27422990233"/>
    <n v="99996"/>
    <n v="5091"/>
    <n v="1790127.3599999985"/>
    <n v="1344.9491810668658"/>
    <n v="0.35149999999999998"/>
    <n v="1188544484.4399993"/>
    <x v="0"/>
    <n v="35945.159999999996"/>
  </r>
  <r>
    <s v="LN00671"/>
    <x v="670"/>
    <n v="35"/>
    <s v="Male"/>
    <s v="Married"/>
    <s v="Unemployed"/>
    <n v="141090"/>
    <n v="431"/>
    <n v="88417"/>
    <n v="7.3"/>
    <n v="240"/>
    <s v="Business"/>
    <n v="57.47"/>
    <n v="13600"/>
    <n v="204518"/>
    <x v="532"/>
    <s v="Approved"/>
    <s v="No"/>
    <x v="0"/>
    <x v="669"/>
    <x v="670"/>
    <n v="490"/>
    <n v="420"/>
    <n v="0.35149999999999998"/>
    <n v="68757856"/>
    <n v="51697.636090225562"/>
    <n v="99996"/>
    <n v="5091"/>
    <n v="1787131.9299999983"/>
    <n v="1343.7082180451116"/>
    <n v="0.35149999999999998"/>
    <n v="1186754357.0799992"/>
    <x v="1"/>
    <n v="4743.6000000000004"/>
  </r>
  <r>
    <s v="LN00672"/>
    <x v="671"/>
    <n v="39"/>
    <s v="Male"/>
    <s v="Divorced"/>
    <s v="Employed"/>
    <n v="84852"/>
    <n v="371"/>
    <n v="82002"/>
    <n v="17.64"/>
    <n v="180"/>
    <s v="Mortgage"/>
    <n v="16.95"/>
    <n v="50767"/>
    <n v="22284"/>
    <x v="88"/>
    <s v="Pending"/>
    <s v="Yes"/>
    <x v="1"/>
    <x v="670"/>
    <x v="671"/>
    <n v="489"/>
    <n v="420"/>
    <n v="0.35149999999999998"/>
    <n v="68669439"/>
    <n v="51670.00677200903"/>
    <n v="99996"/>
    <n v="5091"/>
    <n v="1786736.6299999983"/>
    <n v="1344.4218434913455"/>
    <n v="0.35149999999999998"/>
    <n v="1184967225.1499994"/>
    <x v="1"/>
    <n v="6431.16"/>
  </r>
  <r>
    <s v="LN00673"/>
    <x v="672"/>
    <n v="65"/>
    <s v="Male"/>
    <s v="Single"/>
    <s v="Employed"/>
    <n v="40454"/>
    <n v="838"/>
    <n v="15436"/>
    <n v="15.52"/>
    <n v="36"/>
    <s v="Personal"/>
    <n v="23.23"/>
    <n v="21729"/>
    <n v="14541"/>
    <x v="500"/>
    <s v="Approved"/>
    <s v="No"/>
    <x v="4"/>
    <x v="671"/>
    <x v="672"/>
    <n v="489"/>
    <n v="420"/>
    <n v="0.35149999999999998"/>
    <n v="68587437"/>
    <n v="51647.16641566265"/>
    <n v="99996"/>
    <n v="5091"/>
    <n v="1786200.6999999983"/>
    <n v="1345.0306475903601"/>
    <n v="0.35149999999999998"/>
    <n v="1183180488.519999"/>
    <x v="1"/>
    <n v="5943.84"/>
  </r>
  <r>
    <s v="LN00674"/>
    <x v="673"/>
    <n v="28"/>
    <s v="Male"/>
    <s v="Divorced"/>
    <s v="Unemployed"/>
    <n v="159335"/>
    <n v="390"/>
    <n v="43445"/>
    <n v="24"/>
    <n v="180"/>
    <s v="Business"/>
    <n v="45.19"/>
    <n v="16803"/>
    <n v="109991"/>
    <x v="533"/>
    <s v="Pending"/>
    <s v="No"/>
    <x v="0"/>
    <x v="672"/>
    <x v="673"/>
    <n v="488"/>
    <n v="420"/>
    <n v="0.35149999999999998"/>
    <n v="68572001"/>
    <n v="51674.454408440091"/>
    <n v="99996"/>
    <n v="5091"/>
    <n v="1785705.3799999983"/>
    <n v="1345.6709721175571"/>
    <n v="0.35149999999999998"/>
    <n v="1181394287.819999"/>
    <x v="1"/>
    <n v="3591.4800000000005"/>
  </r>
  <r>
    <s v="LN00675"/>
    <x v="674"/>
    <n v="38"/>
    <s v="Female"/>
    <s v="Divorced"/>
    <s v="Self-Employed"/>
    <n v="64940"/>
    <n v="841"/>
    <n v="91352"/>
    <n v="9"/>
    <n v="36"/>
    <s v="Personal"/>
    <n v="44.5"/>
    <n v="77667"/>
    <n v="79754"/>
    <x v="534"/>
    <s v="Pending"/>
    <s v="Yes"/>
    <x v="4"/>
    <x v="673"/>
    <x v="674"/>
    <n v="488"/>
    <n v="420"/>
    <n v="0.35149999999999998"/>
    <n v="68528556"/>
    <n v="51680.660633484164"/>
    <n v="99996"/>
    <n v="5091"/>
    <n v="1785406.0899999982"/>
    <n v="1346.4600980392142"/>
    <n v="0.35149999999999998"/>
    <n v="1179608582.4399993"/>
    <x v="1"/>
    <n v="33191.279999999999"/>
  </r>
  <r>
    <s v="LN00676"/>
    <x v="675"/>
    <n v="38"/>
    <s v="Male"/>
    <s v="Married"/>
    <s v="Unemployed"/>
    <n v="24637"/>
    <n v="462"/>
    <n v="16578"/>
    <n v="18.170000000000002"/>
    <n v="60"/>
    <s v="Education"/>
    <n v="45.12"/>
    <n v="67821"/>
    <n v="174294"/>
    <x v="336"/>
    <s v="Approved"/>
    <s v="No"/>
    <x v="3"/>
    <x v="674"/>
    <x v="675"/>
    <n v="488"/>
    <n v="420"/>
    <n v="0.35149999999999998"/>
    <n v="68437204"/>
    <n v="51650.720000000001"/>
    <n v="99996"/>
    <n v="5091"/>
    <n v="1782640.1499999978"/>
    <n v="1345.3887924528285"/>
    <n v="0.35149999999999998"/>
    <n v="1177823176.3499994"/>
    <x v="1"/>
    <n v="3918"/>
  </r>
  <r>
    <s v="LN00677"/>
    <x v="676"/>
    <n v="30"/>
    <s v="Female"/>
    <s v="Divorced"/>
    <s v="Employed"/>
    <n v="75437"/>
    <n v="320"/>
    <n v="98636"/>
    <n v="4.3499999999999996"/>
    <n v="60"/>
    <s v="Mortgage"/>
    <n v="32.57"/>
    <n v="41354"/>
    <n v="65048"/>
    <x v="391"/>
    <s v="Rejected"/>
    <s v="No"/>
    <x v="4"/>
    <x v="675"/>
    <x v="676"/>
    <n v="487"/>
    <n v="420"/>
    <n v="0.35149999999999998"/>
    <n v="68420626"/>
    <n v="51677.209969788521"/>
    <n v="99996"/>
    <n v="5091"/>
    <n v="1782313.6499999978"/>
    <n v="1346.1583459214485"/>
    <n v="0.35149999999999998"/>
    <n v="1176040536.1999993"/>
    <x v="1"/>
    <n v="20585.28"/>
  </r>
  <r>
    <s v="LN00678"/>
    <x v="677"/>
    <n v="38"/>
    <s v="Female"/>
    <s v="Married"/>
    <s v="Unemployed"/>
    <n v="93193"/>
    <n v="810"/>
    <n v="72985"/>
    <n v="20.89"/>
    <n v="360"/>
    <s v="Personal"/>
    <n v="25.77"/>
    <n v="20387"/>
    <n v="72929"/>
    <x v="535"/>
    <s v="Rejected"/>
    <s v="Yes"/>
    <x v="4"/>
    <x v="676"/>
    <x v="677"/>
    <n v="487"/>
    <n v="419"/>
    <n v="0.35149999999999998"/>
    <n v="68321990"/>
    <n v="51641.715797430086"/>
    <n v="99996"/>
    <n v="5091"/>
    <n v="1780598.2099999979"/>
    <n v="1345.8792214663627"/>
    <n v="0.35149999999999998"/>
    <n v="1174258222.5499995"/>
    <x v="1"/>
    <n v="2941.08"/>
  </r>
  <r>
    <s v="LN00679"/>
    <x v="678"/>
    <n v="51"/>
    <s v="Male"/>
    <s v="Married"/>
    <s v="Self-Employed"/>
    <n v="46306"/>
    <n v="829"/>
    <n v="44624"/>
    <n v="8.52"/>
    <n v="12"/>
    <s v="Personal"/>
    <n v="25.86"/>
    <n v="74920"/>
    <n v="199652"/>
    <x v="170"/>
    <s v="Rejected"/>
    <s v="No"/>
    <x v="3"/>
    <x v="677"/>
    <x v="678"/>
    <n v="487"/>
    <n v="418"/>
    <n v="0.35149999999999998"/>
    <n v="68249005"/>
    <n v="51625.571104387294"/>
    <n v="99996"/>
    <n v="5091"/>
    <n v="1780353.1199999978"/>
    <n v="1346.7118910741285"/>
    <n v="0.35149999999999998"/>
    <n v="1172477624.3399994"/>
    <x v="1"/>
    <n v="48426"/>
  </r>
  <r>
    <s v="LN00680"/>
    <x v="679"/>
    <n v="64"/>
    <s v="Male"/>
    <s v="Divorced"/>
    <s v="Unemployed"/>
    <n v="134329"/>
    <n v="347"/>
    <n v="94117"/>
    <n v="14.64"/>
    <n v="24"/>
    <s v="Personal"/>
    <n v="14.25"/>
    <n v="28451"/>
    <n v="180353"/>
    <x v="536"/>
    <s v="Pending"/>
    <s v="No"/>
    <x v="1"/>
    <x v="678"/>
    <x v="679"/>
    <n v="487"/>
    <n v="417"/>
    <n v="0.35149999999999998"/>
    <n v="68204381"/>
    <n v="51630.871309613925"/>
    <n v="99996"/>
    <n v="5091"/>
    <n v="1776317.6199999978"/>
    <n v="1344.6764723694155"/>
    <n v="0.35149999999999998"/>
    <n v="1170697271.2199998"/>
    <x v="0"/>
    <n v="53947.92"/>
  </r>
  <r>
    <s v="LN00681"/>
    <x v="680"/>
    <n v="44"/>
    <s v="Female"/>
    <s v="Divorced"/>
    <s v="Employed"/>
    <n v="194939"/>
    <n v="358"/>
    <n v="51735"/>
    <n v="10.93"/>
    <n v="120"/>
    <s v="Education"/>
    <n v="57.53"/>
    <n v="12220"/>
    <n v="126691"/>
    <x v="537"/>
    <s v="Rejected"/>
    <s v="Yes"/>
    <x v="2"/>
    <x v="679"/>
    <x v="680"/>
    <n v="487"/>
    <n v="417"/>
    <n v="0.35149999999999998"/>
    <n v="68110264"/>
    <n v="51598.684848484845"/>
    <n v="99996"/>
    <n v="5091"/>
    <n v="1771821.9599999979"/>
    <n v="1342.2893636363619"/>
    <n v="0.35149999999999998"/>
    <n v="1168920953.6000001"/>
    <x v="1"/>
    <n v="5739"/>
  </r>
  <r>
    <s v="LN00682"/>
    <x v="681"/>
    <n v="65"/>
    <s v="Male"/>
    <s v="Married"/>
    <s v="Unemployed"/>
    <n v="163766"/>
    <n v="425"/>
    <n v="77466"/>
    <n v="15.2"/>
    <n v="120"/>
    <s v="Education"/>
    <n v="51.83"/>
    <n v="79952"/>
    <n v="13737"/>
    <x v="538"/>
    <s v="Approved"/>
    <s v="No"/>
    <x v="2"/>
    <x v="680"/>
    <x v="681"/>
    <n v="487"/>
    <n v="416"/>
    <n v="0.35149999999999998"/>
    <n v="68058529"/>
    <n v="51598.581501137225"/>
    <n v="99996"/>
    <n v="5091"/>
    <n v="1771343.7099999979"/>
    <n v="1342.9444351781638"/>
    <n v="0.35149999999999998"/>
    <n v="1167149131.6400003"/>
    <x v="1"/>
    <n v="8924.0399999999991"/>
  </r>
  <r>
    <s v="LN00683"/>
    <x v="682"/>
    <n v="25"/>
    <s v="Female"/>
    <s v="Divorced"/>
    <s v="Employed"/>
    <n v="187722"/>
    <n v="443"/>
    <n v="97506"/>
    <n v="12.96"/>
    <n v="240"/>
    <s v="Auto"/>
    <n v="41.69"/>
    <n v="72177"/>
    <n v="237472"/>
    <x v="539"/>
    <s v="Pending"/>
    <s v="No"/>
    <x v="3"/>
    <x v="681"/>
    <x v="682"/>
    <n v="486"/>
    <n v="416"/>
    <n v="0.35149999999999998"/>
    <n v="67981063"/>
    <n v="51578.955235204856"/>
    <n v="99996"/>
    <n v="5091"/>
    <n v="1770600.0399999979"/>
    <n v="1343.3991198786023"/>
    <n v="0.35149999999999998"/>
    <n v="1165377787.9300001"/>
    <x v="1"/>
    <n v="5507.16"/>
  </r>
  <r>
    <s v="LN00684"/>
    <x v="683"/>
    <n v="25"/>
    <s v="Male"/>
    <s v="Married"/>
    <s v="Unemployed"/>
    <n v="102691"/>
    <n v="332"/>
    <n v="91514"/>
    <n v="21.42"/>
    <n v="360"/>
    <s v="Auto"/>
    <n v="43.22"/>
    <n v="11934"/>
    <n v="149878"/>
    <x v="69"/>
    <s v="Rejected"/>
    <s v="No"/>
    <x v="2"/>
    <x v="682"/>
    <x v="683"/>
    <n v="486"/>
    <n v="416"/>
    <n v="0.35149999999999998"/>
    <n v="67883557"/>
    <n v="51544.082763857252"/>
    <n v="99996"/>
    <n v="5091"/>
    <n v="1770141.109999998"/>
    <n v="1344.0706985573258"/>
    <n v="0.35149999999999998"/>
    <n v="1163607187.8900001"/>
    <x v="1"/>
    <n v="3703.92"/>
  </r>
  <r>
    <s v="LN00685"/>
    <x v="684"/>
    <n v="45"/>
    <s v="Male"/>
    <s v="Divorced"/>
    <s v="Unemployed"/>
    <n v="182650"/>
    <n v="347"/>
    <n v="94937"/>
    <n v="15.58"/>
    <n v="60"/>
    <s v="Mortgage"/>
    <n v="49.44"/>
    <n v="79050"/>
    <n v="236011"/>
    <x v="186"/>
    <s v="Approved"/>
    <s v="No"/>
    <x v="0"/>
    <x v="683"/>
    <x v="684"/>
    <n v="486"/>
    <n v="415"/>
    <n v="0.35149999999999998"/>
    <n v="67792043"/>
    <n v="51513.71048632219"/>
    <n v="99996"/>
    <n v="5091"/>
    <n v="1769832.4499999979"/>
    <n v="1344.85748480243"/>
    <n v="0.35149999999999998"/>
    <n v="1161837046.7800002"/>
    <x v="1"/>
    <n v="21945.599999999999"/>
  </r>
  <r>
    <s v="LN00686"/>
    <x v="685"/>
    <n v="41"/>
    <s v="Female"/>
    <s v="Single"/>
    <s v="Unemployed"/>
    <n v="133806"/>
    <n v="772"/>
    <n v="70590"/>
    <n v="9.09"/>
    <n v="360"/>
    <s v="Education"/>
    <n v="18.21"/>
    <n v="38383"/>
    <n v="122078"/>
    <x v="540"/>
    <s v="Pending"/>
    <s v="Yes"/>
    <x v="0"/>
    <x v="684"/>
    <x v="685"/>
    <n v="485"/>
    <n v="415"/>
    <n v="0.35149999999999998"/>
    <n v="67697106"/>
    <n v="51480.688973384029"/>
    <n v="99996"/>
    <n v="5091"/>
    <n v="1768003.6499999978"/>
    <n v="1344.4894676806066"/>
    <n v="0.35149999999999998"/>
    <n v="1160067214.3300002"/>
    <x v="1"/>
    <n v="2566.92"/>
  </r>
  <r>
    <s v="LN00687"/>
    <x v="686"/>
    <n v="57"/>
    <s v="Male"/>
    <s v="Divorced"/>
    <s v="Self-Employed"/>
    <n v="36182"/>
    <n v="791"/>
    <n v="64785"/>
    <n v="18.52"/>
    <n v="180"/>
    <s v="Personal"/>
    <n v="15.35"/>
    <n v="73911"/>
    <n v="199364"/>
    <x v="541"/>
    <s v="Approved"/>
    <s v="Yes"/>
    <x v="2"/>
    <x v="685"/>
    <x v="686"/>
    <n v="485"/>
    <n v="415"/>
    <n v="0.35149999999999998"/>
    <n v="67626516"/>
    <n v="51466.146118721459"/>
    <n v="99996"/>
    <n v="5091"/>
    <n v="1767789.7399999979"/>
    <n v="1345.3498782343972"/>
    <n v="0.35149999999999998"/>
    <n v="1158299210.6800003"/>
    <x v="1"/>
    <n v="5118.84"/>
  </r>
  <r>
    <s v="LN00688"/>
    <x v="687"/>
    <n v="31"/>
    <s v="Female"/>
    <s v="Divorced"/>
    <s v="Self-Employed"/>
    <n v="113897"/>
    <n v="334"/>
    <n v="47143"/>
    <n v="20.04"/>
    <n v="48"/>
    <s v="Mortgage"/>
    <n v="30.71"/>
    <n v="67252"/>
    <n v="245917"/>
    <x v="542"/>
    <s v="Approved"/>
    <s v="Yes"/>
    <x v="0"/>
    <x v="686"/>
    <x v="687"/>
    <n v="484"/>
    <n v="415"/>
    <n v="0.35149999999999998"/>
    <n v="67561731"/>
    <n v="51456.002284843868"/>
    <n v="99996"/>
    <n v="5091"/>
    <n v="1767363.1699999978"/>
    <n v="1346.0496344249793"/>
    <n v="0.35149999999999998"/>
    <n v="1156531420.9400003"/>
    <x v="1"/>
    <n v="14147.64"/>
  </r>
  <r>
    <s v="LN00689"/>
    <x v="688"/>
    <n v="24"/>
    <s v="Female"/>
    <s v="Single"/>
    <s v="Employed"/>
    <n v="144789"/>
    <n v="479"/>
    <n v="6034"/>
    <n v="8.1199999999999992"/>
    <n v="360"/>
    <s v="Business"/>
    <n v="39.799999999999997"/>
    <n v="40989"/>
    <n v="51609"/>
    <x v="543"/>
    <s v="Approved"/>
    <s v="No"/>
    <x v="3"/>
    <x v="687"/>
    <x v="688"/>
    <n v="483"/>
    <n v="415"/>
    <n v="0.35149999999999998"/>
    <n v="67514588"/>
    <n v="51459.289634146342"/>
    <n v="99996"/>
    <n v="5091"/>
    <n v="1766184.1999999979"/>
    <n v="1346.1769817073155"/>
    <n v="0.35149999999999998"/>
    <n v="1154764057.7700005"/>
    <x v="1"/>
    <n v="217.44"/>
  </r>
  <r>
    <s v="LN00690"/>
    <x v="689"/>
    <n v="32"/>
    <s v="Male"/>
    <s v="Married"/>
    <s v="Employed"/>
    <n v="25409"/>
    <n v="368"/>
    <n v="49246"/>
    <n v="13.75"/>
    <n v="24"/>
    <s v="Mortgage"/>
    <n v="13.56"/>
    <n v="996"/>
    <n v="82207"/>
    <x v="428"/>
    <s v="Approved"/>
    <s v="Yes"/>
    <x v="4"/>
    <x v="688"/>
    <x v="689"/>
    <n v="482"/>
    <n v="415"/>
    <n v="0.35149999999999998"/>
    <n v="67508554"/>
    <n v="51493.938977879479"/>
    <n v="99996"/>
    <n v="5091"/>
    <n v="1766166.0799999977"/>
    <n v="1347.1899923722333"/>
    <n v="0.35149999999999998"/>
    <n v="1152997873.5700004"/>
    <x v="1"/>
    <n v="28008.720000000001"/>
  </r>
  <r>
    <s v="LN00691"/>
    <x v="690"/>
    <n v="44"/>
    <s v="Male"/>
    <s v="Married"/>
    <s v="Unemployed"/>
    <n v="192860"/>
    <n v="687"/>
    <n v="64992"/>
    <n v="15.9"/>
    <n v="36"/>
    <s v="Auto"/>
    <n v="26.87"/>
    <n v="60860"/>
    <n v="77890"/>
    <x v="6"/>
    <s v="Pending"/>
    <s v="No"/>
    <x v="0"/>
    <x v="689"/>
    <x v="690"/>
    <n v="481"/>
    <n v="415"/>
    <n v="0.35149999999999998"/>
    <n v="67459308"/>
    <n v="51495.654961832064"/>
    <n v="99996"/>
    <n v="5091"/>
    <n v="1763832.0199999977"/>
    <n v="1346.4366564885479"/>
    <n v="0.35149999999999998"/>
    <n v="1151231707.4900002"/>
    <x v="1"/>
    <n v="25108.560000000001"/>
  </r>
  <r>
    <s v="LN00692"/>
    <x v="691"/>
    <n v="62"/>
    <s v="Female"/>
    <s v="Married"/>
    <s v="Unemployed"/>
    <n v="179915"/>
    <n v="593"/>
    <n v="27604"/>
    <n v="3.88"/>
    <n v="60"/>
    <s v="Mortgage"/>
    <n v="8.73"/>
    <n v="77857"/>
    <n v="235443"/>
    <x v="544"/>
    <s v="Pending"/>
    <s v="Yes"/>
    <x v="2"/>
    <x v="690"/>
    <x v="691"/>
    <n v="481"/>
    <n v="415"/>
    <n v="0.35149999999999998"/>
    <n v="67394316"/>
    <n v="51485.344537815123"/>
    <n v="99996"/>
    <n v="5091"/>
    <n v="1761739.6399999978"/>
    <n v="1345.866799083268"/>
    <n v="0.35149999999999998"/>
    <n v="1149467875.4700003"/>
    <x v="1"/>
    <n v="5735.04"/>
  </r>
  <r>
    <s v="LN00693"/>
    <x v="692"/>
    <n v="56"/>
    <s v="Male"/>
    <s v="Divorced"/>
    <s v="Employed"/>
    <n v="91287"/>
    <n v="401"/>
    <n v="39407"/>
    <n v="12.08"/>
    <n v="36"/>
    <s v="Mortgage"/>
    <n v="38.65"/>
    <n v="71925"/>
    <n v="25875"/>
    <x v="545"/>
    <s v="Pending"/>
    <s v="No"/>
    <x v="1"/>
    <x v="691"/>
    <x v="692"/>
    <n v="481"/>
    <n v="415"/>
    <n v="0.35149999999999998"/>
    <n v="67366712"/>
    <n v="51503.602446483179"/>
    <n v="99996"/>
    <n v="5091"/>
    <n v="1761261.7199999979"/>
    <n v="1346.5303669724753"/>
    <n v="0.35149999999999998"/>
    <n v="1147706135.8299999"/>
    <x v="1"/>
    <n v="14722.439999999999"/>
  </r>
  <r>
    <s v="LN00694"/>
    <x v="693"/>
    <n v="48"/>
    <s v="Female"/>
    <s v="Married"/>
    <s v="Self-Employed"/>
    <n v="184695"/>
    <n v="841"/>
    <n v="75521"/>
    <n v="8.57"/>
    <n v="240"/>
    <s v="Auto"/>
    <n v="28.23"/>
    <n v="73312"/>
    <n v="95976"/>
    <x v="546"/>
    <s v="Approved"/>
    <s v="No"/>
    <x v="3"/>
    <x v="692"/>
    <x v="693"/>
    <n v="481"/>
    <n v="415"/>
    <n v="0.35149999999999998"/>
    <n v="67327305"/>
    <n v="51512.857689364959"/>
    <n v="99996"/>
    <n v="5091"/>
    <n v="1760034.8499999978"/>
    <n v="1346.6219204284605"/>
    <n v="0.35149999999999998"/>
    <n v="1145944874.1100001"/>
    <x v="1"/>
    <n v="4099.68"/>
  </r>
  <r>
    <s v="LN00695"/>
    <x v="694"/>
    <n v="50"/>
    <s v="Female"/>
    <s v="Single"/>
    <s v="Employed"/>
    <n v="84829"/>
    <n v="456"/>
    <n v="43900"/>
    <n v="12.44"/>
    <n v="240"/>
    <s v="Auto"/>
    <n v="50.33"/>
    <n v="23524"/>
    <n v="61758"/>
    <x v="547"/>
    <s v="Pending"/>
    <s v="No"/>
    <x v="1"/>
    <x v="693"/>
    <x v="694"/>
    <n v="480"/>
    <n v="415"/>
    <n v="0.35149999999999998"/>
    <n v="67251784"/>
    <n v="51494.474732006129"/>
    <n v="99996"/>
    <n v="5091"/>
    <n v="1759693.2099999979"/>
    <n v="1347.3914318529846"/>
    <n v="0.35149999999999998"/>
    <n v="1144184839.2599998"/>
    <x v="1"/>
    <n v="2468.04"/>
  </r>
  <r>
    <s v="LN00696"/>
    <x v="695"/>
    <n v="52"/>
    <s v="Male"/>
    <s v="Single"/>
    <s v="Self-Employed"/>
    <n v="173738"/>
    <n v="436"/>
    <n v="94663"/>
    <n v="22.72"/>
    <n v="24"/>
    <s v="Auto"/>
    <n v="47.01"/>
    <n v="8676"/>
    <n v="85310"/>
    <x v="539"/>
    <s v="Rejected"/>
    <s v="Yes"/>
    <x v="0"/>
    <x v="694"/>
    <x v="695"/>
    <n v="480"/>
    <n v="415"/>
    <n v="0.35149999999999998"/>
    <n v="67207884"/>
    <n v="51500.294252873566"/>
    <n v="99996"/>
    <n v="5091"/>
    <n v="1759487.5399999977"/>
    <n v="1348.2663141762434"/>
    <n v="0.35149999999999998"/>
    <n v="1142425146.05"/>
    <x v="1"/>
    <n v="58085.16"/>
  </r>
  <r>
    <s v="LN00697"/>
    <x v="696"/>
    <n v="37"/>
    <s v="Male"/>
    <s v="Divorced"/>
    <s v="Employed"/>
    <n v="75420"/>
    <n v="567"/>
    <n v="87023"/>
    <n v="19.149999999999999"/>
    <n v="24"/>
    <s v="Auto"/>
    <n v="30.63"/>
    <n v="24213"/>
    <n v="209011"/>
    <x v="548"/>
    <s v="Rejected"/>
    <s v="Yes"/>
    <x v="2"/>
    <x v="695"/>
    <x v="696"/>
    <n v="480"/>
    <n v="414"/>
    <n v="0.35149999999999998"/>
    <n v="67113221"/>
    <n v="51467.194018404909"/>
    <n v="99996"/>
    <n v="5091"/>
    <n v="1754647.1099999978"/>
    <n v="1345.5882745398756"/>
    <n v="0.35149999999999998"/>
    <n v="1140665658.5099998"/>
    <x v="1"/>
    <n v="51843.96"/>
  </r>
  <r>
    <s v="LN00698"/>
    <x v="697"/>
    <n v="24"/>
    <s v="Female"/>
    <s v="Married"/>
    <s v="Self-Employed"/>
    <n v="169641"/>
    <n v="555"/>
    <n v="92594"/>
    <n v="7.77"/>
    <n v="36"/>
    <s v="Auto"/>
    <n v="7.19"/>
    <n v="4147"/>
    <n v="42107"/>
    <x v="419"/>
    <s v="Rejected"/>
    <s v="No"/>
    <x v="2"/>
    <x v="696"/>
    <x v="697"/>
    <n v="480"/>
    <n v="413"/>
    <n v="0.35149999999999998"/>
    <n v="67026198"/>
    <n v="51439.906369915581"/>
    <n v="99996"/>
    <n v="5091"/>
    <n v="1750326.7799999977"/>
    <n v="1343.3052801227918"/>
    <n v="0.35149999999999998"/>
    <n v="1138911011.3999996"/>
    <x v="1"/>
    <n v="33262.800000000003"/>
  </r>
  <r>
    <s v="LN00699"/>
    <x v="698"/>
    <n v="35"/>
    <s v="Male"/>
    <s v="Married"/>
    <s v="Employed"/>
    <n v="53571"/>
    <n v="784"/>
    <n v="79665"/>
    <n v="6.96"/>
    <n v="120"/>
    <s v="Education"/>
    <n v="59.1"/>
    <n v="22216"/>
    <n v="246750"/>
    <x v="549"/>
    <s v="Pending"/>
    <s v="No"/>
    <x v="0"/>
    <x v="697"/>
    <x v="698"/>
    <n v="480"/>
    <n v="412"/>
    <n v="0.35149999999999998"/>
    <n v="66933604"/>
    <n v="51408.298003072196"/>
    <n v="99996"/>
    <n v="5091"/>
    <n v="1747554.8799999978"/>
    <n v="1342.2080491551442"/>
    <n v="0.35149999999999998"/>
    <n v="1137160684.6199992"/>
    <x v="1"/>
    <n v="8520.9600000000009"/>
  </r>
  <r>
    <s v="LN00700"/>
    <x v="699"/>
    <n v="33"/>
    <s v="Male"/>
    <s v="Single"/>
    <s v="Unemployed"/>
    <n v="159473"/>
    <n v="606"/>
    <n v="34450"/>
    <n v="8.9600000000000009"/>
    <n v="180"/>
    <s v="Personal"/>
    <n v="53.31"/>
    <n v="21115"/>
    <n v="202844"/>
    <x v="550"/>
    <s v="Rejected"/>
    <s v="No"/>
    <x v="3"/>
    <x v="698"/>
    <x v="699"/>
    <n v="480"/>
    <n v="412"/>
    <n v="0.35149999999999998"/>
    <n v="66853939"/>
    <n v="51386.57878554958"/>
    <n v="99996"/>
    <n v="5091"/>
    <n v="1746844.7999999977"/>
    <n v="1342.6939277478846"/>
    <n v="0.35149999999999998"/>
    <n v="1135413129.7399995"/>
    <x v="1"/>
    <n v="2502.48"/>
  </r>
  <r>
    <s v="LN00701"/>
    <x v="700"/>
    <n v="44"/>
    <s v="Male"/>
    <s v="Divorced"/>
    <s v="Employed"/>
    <n v="35684"/>
    <n v="451"/>
    <n v="80777"/>
    <n v="12.26"/>
    <n v="48"/>
    <s v="Auto"/>
    <n v="24.39"/>
    <n v="13288"/>
    <n v="125625"/>
    <x v="551"/>
    <s v="Approved"/>
    <s v="Yes"/>
    <x v="4"/>
    <x v="699"/>
    <x v="700"/>
    <n v="480"/>
    <n v="411"/>
    <n v="0.35149999999999998"/>
    <n v="66819489"/>
    <n v="51399.606923076921"/>
    <n v="99996"/>
    <n v="5091"/>
    <n v="1746636.2599999977"/>
    <n v="1343.566353846152"/>
    <n v="0.35149999999999998"/>
    <n v="1133666284.9399993"/>
    <x v="1"/>
    <n v="22670.04"/>
  </r>
  <r>
    <s v="LN00702"/>
    <x v="701"/>
    <n v="62"/>
    <s v="Female"/>
    <s v="Single"/>
    <s v="Unemployed"/>
    <n v="166428"/>
    <n v="624"/>
    <n v="57133"/>
    <n v="16.55"/>
    <n v="48"/>
    <s v="Personal"/>
    <n v="14.72"/>
    <n v="70846"/>
    <n v="7409"/>
    <x v="552"/>
    <s v="Approved"/>
    <s v="Yes"/>
    <x v="2"/>
    <x v="700"/>
    <x v="701"/>
    <n v="479"/>
    <n v="411"/>
    <n v="0.35149999999999998"/>
    <n v="66738712"/>
    <n v="51376.991531947649"/>
    <n v="99996"/>
    <n v="5091"/>
    <n v="1744747.0899999978"/>
    <n v="1343.1463356428005"/>
    <n v="0.35149999999999998"/>
    <n v="1131919648.6799994"/>
    <x v="1"/>
    <n v="16647.12"/>
  </r>
  <r>
    <s v="LN00703"/>
    <x v="702"/>
    <n v="40"/>
    <s v="Male"/>
    <s v="Married"/>
    <s v="Unemployed"/>
    <n v="57625"/>
    <n v="719"/>
    <n v="78640"/>
    <n v="9.36"/>
    <n v="60"/>
    <s v="Auto"/>
    <n v="35.340000000000003"/>
    <n v="5208"/>
    <n v="78543"/>
    <x v="553"/>
    <s v="Pending"/>
    <s v="No"/>
    <x v="3"/>
    <x v="701"/>
    <x v="702"/>
    <n v="478"/>
    <n v="411"/>
    <n v="0.35149999999999998"/>
    <n v="66681579"/>
    <n v="51372.557010785822"/>
    <n v="99996"/>
    <n v="5091"/>
    <n v="1743359.829999998"/>
    <n v="1343.1123497688736"/>
    <n v="0.35149999999999998"/>
    <n v="1130174901.5899992"/>
    <x v="1"/>
    <n v="17200.199999999997"/>
  </r>
  <r>
    <s v="LN00704"/>
    <x v="703"/>
    <n v="60"/>
    <s v="Male"/>
    <s v="Married"/>
    <s v="Unemployed"/>
    <n v="91400"/>
    <n v="397"/>
    <n v="25008"/>
    <n v="23.94"/>
    <n v="60"/>
    <s v="Mortgage"/>
    <n v="46.97"/>
    <n v="56632"/>
    <n v="108131"/>
    <x v="554"/>
    <s v="Rejected"/>
    <s v="No"/>
    <x v="2"/>
    <x v="702"/>
    <x v="703"/>
    <n v="478"/>
    <n v="411"/>
    <n v="0.35149999999999998"/>
    <n v="66602939"/>
    <n v="51351.533538936004"/>
    <n v="99996"/>
    <n v="5091"/>
    <n v="1741926.4799999979"/>
    <n v="1343.0427756360816"/>
    <n v="0.35149999999999998"/>
    <n v="1128431541.759999"/>
    <x v="1"/>
    <n v="6198.9600000000009"/>
  </r>
  <r>
    <s v="LN00705"/>
    <x v="704"/>
    <n v="26"/>
    <s v="Female"/>
    <s v="Divorced"/>
    <s v="Self-Employed"/>
    <n v="161514"/>
    <n v="712"/>
    <n v="42311"/>
    <n v="20.190000000000001"/>
    <n v="180"/>
    <s v="Business"/>
    <n v="22.29"/>
    <n v="38177"/>
    <n v="93885"/>
    <x v="520"/>
    <s v="Pending"/>
    <s v="Yes"/>
    <x v="4"/>
    <x v="703"/>
    <x v="704"/>
    <n v="478"/>
    <n v="410"/>
    <n v="0.35149999999999998"/>
    <n v="66577931"/>
    <n v="51371.860339506173"/>
    <n v="99996"/>
    <n v="5091"/>
    <n v="1741409.899999998"/>
    <n v="1343.6804783950602"/>
    <n v="0.35149999999999998"/>
    <n v="1126689615.2799988"/>
    <x v="1"/>
    <n v="3390.24"/>
  </r>
  <r>
    <s v="LN00706"/>
    <x v="705"/>
    <n v="22"/>
    <s v="Male"/>
    <s v="Single"/>
    <s v="Unemployed"/>
    <n v="35604"/>
    <n v="457"/>
    <n v="38306"/>
    <n v="22.52"/>
    <n v="360"/>
    <s v="Business"/>
    <n v="31"/>
    <n v="61134"/>
    <n v="225612"/>
    <x v="434"/>
    <s v="Rejected"/>
    <s v="Yes"/>
    <x v="3"/>
    <x v="704"/>
    <x v="705"/>
    <n v="478"/>
    <n v="410"/>
    <n v="0.35149999999999998"/>
    <n v="66535620"/>
    <n v="51378.857142857145"/>
    <n v="99996"/>
    <n v="5091"/>
    <n v="1741127.379999998"/>
    <n v="1344.4999073359058"/>
    <n v="0.35149999999999998"/>
    <n v="1124948205.3799992"/>
    <x v="1"/>
    <n v="1564.44"/>
  </r>
  <r>
    <s v="LN00707"/>
    <x v="706"/>
    <n v="45"/>
    <s v="Female"/>
    <s v="Single"/>
    <s v="Unemployed"/>
    <n v="171337"/>
    <n v="828"/>
    <n v="98580"/>
    <n v="4.4400000000000004"/>
    <n v="360"/>
    <s v="Auto"/>
    <n v="5.99"/>
    <n v="9714"/>
    <n v="72567"/>
    <x v="230"/>
    <s v="Pending"/>
    <s v="No"/>
    <x v="3"/>
    <x v="705"/>
    <x v="706"/>
    <n v="478"/>
    <n v="409"/>
    <n v="0.35149999999999998"/>
    <n v="66497314"/>
    <n v="51388.959814528593"/>
    <n v="99996"/>
    <n v="5091"/>
    <n v="1740997.0099999979"/>
    <n v="1345.4381839258099"/>
    <n v="0.35149999999999998"/>
    <n v="1123207077.9999995"/>
    <x v="1"/>
    <n v="3431.88"/>
  </r>
  <r>
    <s v="LN00708"/>
    <x v="707"/>
    <n v="52"/>
    <s v="Female"/>
    <s v="Single"/>
    <s v="Unemployed"/>
    <n v="94233"/>
    <n v="350"/>
    <n v="48691"/>
    <n v="8.67"/>
    <n v="240"/>
    <s v="Education"/>
    <n v="30.37"/>
    <n v="2839"/>
    <n v="36934"/>
    <x v="555"/>
    <s v="Rejected"/>
    <s v="Yes"/>
    <x v="2"/>
    <x v="706"/>
    <x v="707"/>
    <n v="478"/>
    <n v="409"/>
    <n v="0.35149999999999998"/>
    <n v="66398734"/>
    <n v="51352.46249033256"/>
    <n v="99996"/>
    <n v="5091"/>
    <n v="1740711.0199999979"/>
    <n v="1346.2575560711507"/>
    <n v="0.35149999999999998"/>
    <n v="1121466080.9899995"/>
    <x v="1"/>
    <n v="2645.64"/>
  </r>
  <r>
    <s v="LN00709"/>
    <x v="708"/>
    <n v="21"/>
    <s v="Male"/>
    <s v="Single"/>
    <s v="Unemployed"/>
    <n v="117373"/>
    <n v="842"/>
    <n v="81330"/>
    <n v="19.73"/>
    <n v="180"/>
    <s v="Auto"/>
    <n v="51.31"/>
    <n v="7127"/>
    <n v="5333"/>
    <x v="408"/>
    <s v="Pending"/>
    <s v="No"/>
    <x v="2"/>
    <x v="707"/>
    <x v="708"/>
    <n v="478"/>
    <n v="408"/>
    <n v="0.35149999999999998"/>
    <n v="66350043"/>
    <n v="51354.522445820432"/>
    <n v="99996"/>
    <n v="5091"/>
    <n v="1740490.549999998"/>
    <n v="1347.1289086687291"/>
    <n v="0.35149999999999998"/>
    <n v="1119725369.9699996"/>
    <x v="1"/>
    <n v="6491.76"/>
  </r>
  <r>
    <s v="LN00710"/>
    <x v="709"/>
    <n v="62"/>
    <s v="Male"/>
    <s v="Married"/>
    <s v="Self-Employed"/>
    <n v="170230"/>
    <n v="361"/>
    <n v="21056"/>
    <n v="10.33"/>
    <n v="60"/>
    <s v="Business"/>
    <n v="18.87"/>
    <n v="55111"/>
    <n v="163"/>
    <x v="365"/>
    <s v="Pending"/>
    <s v="Yes"/>
    <x v="2"/>
    <x v="708"/>
    <x v="709"/>
    <n v="478"/>
    <n v="408"/>
    <n v="0.35149999999999998"/>
    <n v="66268713"/>
    <n v="51331.303640588689"/>
    <n v="99996"/>
    <n v="5091"/>
    <n v="1739949.569999998"/>
    <n v="1347.7533462432207"/>
    <n v="0.35149999999999998"/>
    <n v="1117984879.4199994"/>
    <x v="1"/>
    <n v="4646.16"/>
  </r>
  <r>
    <s v="LN00711"/>
    <x v="710"/>
    <n v="33"/>
    <s v="Male"/>
    <s v="Divorced"/>
    <s v="Unemployed"/>
    <n v="64961"/>
    <n v="494"/>
    <n v="73012"/>
    <n v="7.88"/>
    <n v="24"/>
    <s v="Business"/>
    <n v="6.8"/>
    <n v="13014"/>
    <n v="4055"/>
    <x v="556"/>
    <s v="Rejected"/>
    <s v="No"/>
    <x v="1"/>
    <x v="709"/>
    <x v="710"/>
    <n v="478"/>
    <n v="408"/>
    <n v="0.35149999999999998"/>
    <n v="66247657"/>
    <n v="51354.772868217056"/>
    <n v="99996"/>
    <n v="5091"/>
    <n v="1739562.389999998"/>
    <n v="1348.4979767441846"/>
    <n v="0.35149999999999998"/>
    <n v="1116244929.8499992"/>
    <x v="1"/>
    <n v="39382.68"/>
  </r>
  <r>
    <s v="LN00712"/>
    <x v="711"/>
    <n v="24"/>
    <s v="Female"/>
    <s v="Married"/>
    <s v="Unemployed"/>
    <n v="183832"/>
    <n v="702"/>
    <n v="5637"/>
    <n v="22.75"/>
    <n v="36"/>
    <s v="Auto"/>
    <n v="10.71"/>
    <n v="46112"/>
    <n v="35261"/>
    <x v="473"/>
    <s v="Approved"/>
    <s v="No"/>
    <x v="0"/>
    <x v="710"/>
    <x v="711"/>
    <n v="478"/>
    <n v="407"/>
    <n v="0.35149999999999998"/>
    <n v="66174645"/>
    <n v="51337.971295577969"/>
    <n v="99996"/>
    <n v="5091"/>
    <n v="1736280.4999999979"/>
    <n v="1346.9980605120231"/>
    <n v="0.35149999999999998"/>
    <n v="1114505367.4599991"/>
    <x v="1"/>
    <n v="2306.52"/>
  </r>
  <r>
    <s v="LN00713"/>
    <x v="712"/>
    <n v="49"/>
    <s v="Male"/>
    <s v="Married"/>
    <s v="Employed"/>
    <n v="42511"/>
    <n v="480"/>
    <n v="97418"/>
    <n v="17.190000000000001"/>
    <n v="12"/>
    <s v="Business"/>
    <n v="7.05"/>
    <n v="76491"/>
    <n v="137569"/>
    <x v="557"/>
    <s v="Approved"/>
    <s v="No"/>
    <x v="2"/>
    <x v="711"/>
    <x v="712"/>
    <n v="477"/>
    <n v="407"/>
    <n v="0.35149999999999998"/>
    <n v="66169008"/>
    <n v="51373.453416149066"/>
    <n v="99996"/>
    <n v="5091"/>
    <n v="1736088.2899999977"/>
    <n v="1347.894635093166"/>
    <n v="0.35149999999999998"/>
    <n v="1112769086.9599988"/>
    <x v="1"/>
    <n v="114164.16"/>
  </r>
  <r>
    <s v="LN00714"/>
    <x v="713"/>
    <n v="27"/>
    <s v="Female"/>
    <s v="Single"/>
    <s v="Unemployed"/>
    <n v="181005"/>
    <n v="773"/>
    <n v="87043"/>
    <n v="7.01"/>
    <n v="24"/>
    <s v="Auto"/>
    <n v="45.28"/>
    <n v="3700"/>
    <n v="225510"/>
    <x v="212"/>
    <s v="Pending"/>
    <s v="Yes"/>
    <x v="2"/>
    <x v="712"/>
    <x v="713"/>
    <n v="476"/>
    <n v="407"/>
    <n v="0.35149999999999998"/>
    <n v="66071590"/>
    <n v="51337.67676767677"/>
    <n v="99996"/>
    <n v="5091"/>
    <n v="1726574.609999998"/>
    <n v="1341.549813519812"/>
    <n v="0.35149999999999998"/>
    <n v="1111032998.6699986"/>
    <x v="0"/>
    <n v="46572.36"/>
  </r>
  <r>
    <s v="LN00715"/>
    <x v="714"/>
    <n v="46"/>
    <s v="Male"/>
    <s v="Single"/>
    <s v="Unemployed"/>
    <n v="91647"/>
    <n v="381"/>
    <n v="82605"/>
    <n v="23.6"/>
    <n v="12"/>
    <s v="Business"/>
    <n v="14.3"/>
    <n v="42908"/>
    <n v="18512"/>
    <x v="139"/>
    <s v="Approved"/>
    <s v="Yes"/>
    <x v="2"/>
    <x v="713"/>
    <x v="714"/>
    <n v="476"/>
    <n v="407"/>
    <n v="0.35149999999999998"/>
    <n v="65984547"/>
    <n v="51309.912130637633"/>
    <n v="99996"/>
    <n v="5091"/>
    <n v="1722693.579999998"/>
    <n v="1339.5751010886454"/>
    <n v="0.35149999999999998"/>
    <n v="1109306424.059999"/>
    <x v="1"/>
    <n v="102099.84"/>
  </r>
  <r>
    <s v="LN00716"/>
    <x v="715"/>
    <n v="30"/>
    <s v="Female"/>
    <s v="Single"/>
    <s v="Employed"/>
    <n v="189322"/>
    <n v="430"/>
    <n v="66459"/>
    <n v="4"/>
    <n v="36"/>
    <s v="Mortgage"/>
    <n v="13.67"/>
    <n v="22739"/>
    <n v="20752"/>
    <x v="122"/>
    <s v="Rejected"/>
    <s v="No"/>
    <x v="0"/>
    <x v="714"/>
    <x v="715"/>
    <n v="475"/>
    <n v="407"/>
    <n v="0.35149999999999998"/>
    <n v="65901942"/>
    <n v="51285.557976653698"/>
    <n v="99996"/>
    <n v="5091"/>
    <n v="1714185.2599999979"/>
    <n v="1333.9963112840451"/>
    <n v="0.35149999999999998"/>
    <n v="1107583730.4799991"/>
    <x v="0"/>
    <n v="23039.16"/>
  </r>
  <r>
    <s v="LN00717"/>
    <x v="716"/>
    <n v="34"/>
    <s v="Female"/>
    <s v="Married"/>
    <s v="Employed"/>
    <n v="108395"/>
    <n v="713"/>
    <n v="44166"/>
    <n v="5.55"/>
    <n v="240"/>
    <s v="Mortgage"/>
    <n v="45.17"/>
    <n v="17467"/>
    <n v="172541"/>
    <x v="558"/>
    <s v="Approved"/>
    <s v="No"/>
    <x v="1"/>
    <x v="715"/>
    <x v="716"/>
    <n v="475"/>
    <n v="406"/>
    <n v="0.35149999999999998"/>
    <n v="65835483"/>
    <n v="51273.740654205605"/>
    <n v="99996"/>
    <n v="5091"/>
    <n v="1712265.329999998"/>
    <n v="1333.5399766355124"/>
    <n v="0.35149999999999998"/>
    <n v="1105869545.2199988"/>
    <x v="1"/>
    <n v="2330.88"/>
  </r>
  <r>
    <s v="LN00718"/>
    <x v="717"/>
    <n v="65"/>
    <s v="Female"/>
    <s v="Single"/>
    <s v="Self-Employed"/>
    <n v="164425"/>
    <n v="597"/>
    <n v="30371"/>
    <n v="15.64"/>
    <n v="24"/>
    <s v="Personal"/>
    <n v="53.47"/>
    <n v="49489"/>
    <n v="142108"/>
    <x v="330"/>
    <s v="Approved"/>
    <s v="No"/>
    <x v="1"/>
    <x v="716"/>
    <x v="717"/>
    <n v="474"/>
    <n v="406"/>
    <n v="0.35149999999999998"/>
    <n v="65791317"/>
    <n v="51279.280592361654"/>
    <n v="99996"/>
    <n v="5091"/>
    <n v="1712071.089999998"/>
    <n v="1334.4279734996087"/>
    <n v="0.35149999999999998"/>
    <n v="1104157279.8899987"/>
    <x v="1"/>
    <n v="17560.560000000001"/>
  </r>
  <r>
    <s v="LN00719"/>
    <x v="718"/>
    <n v="56"/>
    <s v="Male"/>
    <s v="Single"/>
    <s v="Employed"/>
    <n v="76096"/>
    <n v="300"/>
    <n v="50543"/>
    <n v="15.29"/>
    <n v="48"/>
    <s v="Education"/>
    <n v="22.56"/>
    <n v="11379"/>
    <n v="197464"/>
    <x v="559"/>
    <s v="Pending"/>
    <s v="Yes"/>
    <x v="3"/>
    <x v="717"/>
    <x v="718"/>
    <n v="473"/>
    <n v="406"/>
    <n v="0.35149999999999998"/>
    <n v="65760946"/>
    <n v="51295.589703588143"/>
    <n v="99996"/>
    <n v="5091"/>
    <n v="1710607.7099999981"/>
    <n v="1334.3273868954743"/>
    <n v="0.35149999999999998"/>
    <n v="1102445208.7999985"/>
    <x v="1"/>
    <n v="14567.76"/>
  </r>
  <r>
    <s v="LN00720"/>
    <x v="719"/>
    <n v="51"/>
    <s v="Female"/>
    <s v="Married"/>
    <s v="Self-Employed"/>
    <n v="90086"/>
    <n v="351"/>
    <n v="71576"/>
    <n v="11.43"/>
    <n v="360"/>
    <s v="Business"/>
    <n v="17.41"/>
    <n v="64676"/>
    <n v="144772"/>
    <x v="451"/>
    <s v="Approved"/>
    <s v="Yes"/>
    <x v="0"/>
    <x v="718"/>
    <x v="719"/>
    <n v="473"/>
    <n v="406"/>
    <n v="0.35149999999999998"/>
    <n v="65710403"/>
    <n v="51296.177205308355"/>
    <n v="99996"/>
    <n v="5091"/>
    <n v="1709393.7299999981"/>
    <n v="1334.4213348946121"/>
    <n v="0.35149999999999998"/>
    <n v="1100734601.0899982"/>
    <x v="1"/>
    <n v="2658.6000000000004"/>
  </r>
  <r>
    <s v="LN00721"/>
    <x v="720"/>
    <n v="52"/>
    <s v="Male"/>
    <s v="Single"/>
    <s v="Self-Employed"/>
    <n v="164468"/>
    <n v="378"/>
    <n v="65291"/>
    <n v="15.06"/>
    <n v="36"/>
    <s v="Education"/>
    <n v="38.03"/>
    <n v="49811"/>
    <n v="210193"/>
    <x v="560"/>
    <s v="Approved"/>
    <s v="No"/>
    <x v="3"/>
    <x v="719"/>
    <x v="720"/>
    <n v="472"/>
    <n v="406"/>
    <n v="0.35149999999999998"/>
    <n v="65638827"/>
    <n v="51280.333593750001"/>
    <n v="99996"/>
    <n v="5091"/>
    <n v="1709172.1799999981"/>
    <n v="1335.2907656249986"/>
    <n v="0.35149999999999998"/>
    <n v="1099025207.3599982"/>
    <x v="1"/>
    <n v="25041.239999999998"/>
  </r>
  <r>
    <s v="LN00722"/>
    <x v="721"/>
    <n v="44"/>
    <s v="Male"/>
    <s v="Divorced"/>
    <s v="Self-Employed"/>
    <n v="81585"/>
    <n v="405"/>
    <n v="6506"/>
    <n v="11.99"/>
    <n v="48"/>
    <s v="Personal"/>
    <n v="58.02"/>
    <n v="38704"/>
    <n v="77215"/>
    <x v="561"/>
    <s v="Approved"/>
    <s v="No"/>
    <x v="0"/>
    <x v="720"/>
    <x v="721"/>
    <n v="471"/>
    <n v="406"/>
    <n v="0.35149999999999998"/>
    <n v="65573536"/>
    <n v="51269.379202501957"/>
    <n v="99996"/>
    <n v="5091"/>
    <n v="1707085.4099999978"/>
    <n v="1334.7032134480046"/>
    <n v="0.35149999999999998"/>
    <n v="1097316035.1799982"/>
    <x v="1"/>
    <n v="1821.48"/>
  </r>
  <r>
    <s v="LN00723"/>
    <x v="722"/>
    <n v="56"/>
    <s v="Male"/>
    <s v="Married"/>
    <s v="Employed"/>
    <n v="81964"/>
    <n v="577"/>
    <n v="42788"/>
    <n v="7.33"/>
    <n v="180"/>
    <s v="Personal"/>
    <n v="27.97"/>
    <n v="48725"/>
    <n v="6739"/>
    <x v="309"/>
    <s v="Rejected"/>
    <s v="Yes"/>
    <x v="3"/>
    <x v="721"/>
    <x v="722"/>
    <n v="470"/>
    <n v="406"/>
    <n v="0.35149999999999998"/>
    <n v="65567030"/>
    <n v="51304.40532081377"/>
    <n v="99996"/>
    <n v="5091"/>
    <n v="1706933.6199999978"/>
    <n v="1335.6288106416257"/>
    <n v="0.35149999999999998"/>
    <n v="1095608949.7699981"/>
    <x v="1"/>
    <n v="3061.68"/>
  </r>
  <r>
    <s v="LN00724"/>
    <x v="723"/>
    <n v="26"/>
    <s v="Male"/>
    <s v="Married"/>
    <s v="Self-Employed"/>
    <n v="171551"/>
    <n v="801"/>
    <n v="54315"/>
    <n v="18.78"/>
    <n v="360"/>
    <s v="Business"/>
    <n v="25.73"/>
    <n v="1671"/>
    <n v="7455"/>
    <x v="421"/>
    <s v="Rejected"/>
    <s v="Yes"/>
    <x v="4"/>
    <x v="722"/>
    <x v="723"/>
    <n v="470"/>
    <n v="405"/>
    <n v="0.35149999999999998"/>
    <n v="65524242"/>
    <n v="51311.074393108851"/>
    <n v="99996"/>
    <n v="5091"/>
    <n v="1706678.4799999979"/>
    <n v="1336.4749256068894"/>
    <n v="0.35149999999999998"/>
    <n v="1093902016.1499979"/>
    <x v="1"/>
    <n v="2150.52"/>
  </r>
  <r>
    <s v="LN00725"/>
    <x v="724"/>
    <n v="49"/>
    <s v="Female"/>
    <s v="Single"/>
    <s v="Employed"/>
    <n v="124986"/>
    <n v="667"/>
    <n v="69201"/>
    <n v="4.03"/>
    <n v="12"/>
    <s v="Auto"/>
    <n v="31.51"/>
    <n v="18979"/>
    <n v="183931"/>
    <x v="145"/>
    <s v="Rejected"/>
    <s v="Yes"/>
    <x v="1"/>
    <x v="723"/>
    <x v="724"/>
    <n v="470"/>
    <n v="404"/>
    <n v="0.35149999999999998"/>
    <n v="65469927"/>
    <n v="51308.720219435738"/>
    <n v="99996"/>
    <n v="5091"/>
    <n v="1706499.2699999977"/>
    <n v="1337.3818730407506"/>
    <n v="0.35149999999999998"/>
    <n v="1092195337.6699977"/>
    <x v="1"/>
    <n v="71989.799999999988"/>
  </r>
  <r>
    <s v="LN00726"/>
    <x v="725"/>
    <n v="51"/>
    <s v="Male"/>
    <s v="Divorced"/>
    <s v="Unemployed"/>
    <n v="198371"/>
    <n v="687"/>
    <n v="72382"/>
    <n v="12.42"/>
    <n v="48"/>
    <s v="Auto"/>
    <n v="26.97"/>
    <n v="20026"/>
    <n v="48290"/>
    <x v="562"/>
    <s v="Approved"/>
    <s v="Yes"/>
    <x v="3"/>
    <x v="724"/>
    <x v="725"/>
    <n v="470"/>
    <n v="403"/>
    <n v="0.35149999999999998"/>
    <n v="65400726"/>
    <n v="51294.687058823532"/>
    <n v="99996"/>
    <n v="5091"/>
    <n v="1700500.1199999978"/>
    <n v="1333.7255843137239"/>
    <n v="0.35149999999999998"/>
    <n v="1090488838.3999977"/>
    <x v="0"/>
    <n v="20343"/>
  </r>
  <r>
    <s v="LN00727"/>
    <x v="726"/>
    <n v="62"/>
    <s v="Male"/>
    <s v="Divorced"/>
    <s v="Employed"/>
    <n v="22709"/>
    <n v="763"/>
    <n v="75378"/>
    <n v="3.6"/>
    <n v="24"/>
    <s v="Mortgage"/>
    <n v="10.17"/>
    <n v="57795"/>
    <n v="131199"/>
    <x v="563"/>
    <s v="Pending"/>
    <s v="No"/>
    <x v="2"/>
    <x v="725"/>
    <x v="726"/>
    <n v="469"/>
    <n v="403"/>
    <n v="0.35149999999999998"/>
    <n v="65328344"/>
    <n v="51278.135007849291"/>
    <n v="99996"/>
    <n v="5091"/>
    <n v="1698804.8699999978"/>
    <n v="1333.4418131868115"/>
    <n v="0.35149999999999998"/>
    <n v="1088788338.2799976"/>
    <x v="1"/>
    <n v="39045.840000000004"/>
  </r>
  <r>
    <s v="LN00728"/>
    <x v="727"/>
    <n v="56"/>
    <s v="Female"/>
    <s v="Married"/>
    <s v="Unemployed"/>
    <n v="127681"/>
    <n v="541"/>
    <n v="92661"/>
    <n v="4.4800000000000004"/>
    <n v="12"/>
    <s v="Education"/>
    <n v="12.16"/>
    <n v="13210"/>
    <n v="110055"/>
    <x v="316"/>
    <s v="Approved"/>
    <s v="Yes"/>
    <x v="1"/>
    <x v="726"/>
    <x v="727"/>
    <n v="469"/>
    <n v="403"/>
    <n v="0.35149999999999998"/>
    <n v="65252966"/>
    <n v="51259.203456402196"/>
    <n v="99996"/>
    <n v="5091"/>
    <n v="1695551.0499999977"/>
    <n v="1331.9332678711687"/>
    <n v="0.35149999999999998"/>
    <n v="1087089533.4099975"/>
    <x v="1"/>
    <n v="96812.160000000003"/>
  </r>
  <r>
    <s v="LN00729"/>
    <x v="728"/>
    <n v="29"/>
    <s v="Female"/>
    <s v="Divorced"/>
    <s v="Unemployed"/>
    <n v="158244"/>
    <n v="414"/>
    <n v="26347"/>
    <n v="22.24"/>
    <n v="120"/>
    <s v="Business"/>
    <n v="33.520000000000003"/>
    <n v="61562"/>
    <n v="160763"/>
    <x v="564"/>
    <s v="Rejected"/>
    <s v="No"/>
    <x v="4"/>
    <x v="727"/>
    <x v="728"/>
    <n v="468"/>
    <n v="403"/>
    <n v="0.35149999999999998"/>
    <n v="65160305"/>
    <n v="51226.654874213833"/>
    <n v="99996"/>
    <n v="5091"/>
    <n v="1687483.369999998"/>
    <n v="1326.6378694968537"/>
    <n v="0.35149999999999998"/>
    <n v="1085393982.3599975"/>
    <x v="0"/>
    <n v="3220.68"/>
  </r>
  <r>
    <s v="LN00730"/>
    <x v="729"/>
    <n v="57"/>
    <s v="Male"/>
    <s v="Divorced"/>
    <s v="Unemployed"/>
    <n v="25816"/>
    <n v="684"/>
    <n v="90290"/>
    <n v="11.46"/>
    <n v="180"/>
    <s v="Mortgage"/>
    <n v="16.03"/>
    <n v="38776"/>
    <n v="142640"/>
    <x v="171"/>
    <s v="Approved"/>
    <s v="No"/>
    <x v="2"/>
    <x v="728"/>
    <x v="729"/>
    <n v="468"/>
    <n v="402"/>
    <n v="0.35149999999999998"/>
    <n v="65133958"/>
    <n v="51246.229740361923"/>
    <n v="99996"/>
    <n v="5091"/>
    <n v="1687214.9799999981"/>
    <n v="1327.4704799370559"/>
    <n v="0.35149999999999998"/>
    <n v="1083706498.9899976"/>
    <x v="1"/>
    <n v="6709.2000000000007"/>
  </r>
  <r>
    <s v="LN00731"/>
    <x v="730"/>
    <n v="40"/>
    <s v="Female"/>
    <s v="Married"/>
    <s v="Employed"/>
    <n v="157834"/>
    <n v="674"/>
    <n v="50506"/>
    <n v="19.22"/>
    <n v="36"/>
    <s v="Mortgage"/>
    <n v="53.74"/>
    <n v="31510"/>
    <n v="54708"/>
    <x v="565"/>
    <s v="Rejected"/>
    <s v="No"/>
    <x v="1"/>
    <x v="729"/>
    <x v="730"/>
    <n v="467"/>
    <n v="402"/>
    <n v="0.35149999999999998"/>
    <n v="65043668"/>
    <n v="51215.486614173227"/>
    <n v="99996"/>
    <n v="5091"/>
    <n v="1686655.879999998"/>
    <n v="1328.0754960629906"/>
    <n v="0.35149999999999998"/>
    <n v="1082019284.0099974"/>
    <x v="1"/>
    <n v="20071.079999999998"/>
  </r>
  <r>
    <s v="LN00732"/>
    <x v="731"/>
    <n v="55"/>
    <s v="Male"/>
    <s v="Married"/>
    <s v="Self-Employed"/>
    <n v="172374"/>
    <n v="742"/>
    <n v="56161"/>
    <n v="15.31"/>
    <n v="60"/>
    <s v="Personal"/>
    <n v="11.6"/>
    <n v="77243"/>
    <n v="194967"/>
    <x v="566"/>
    <s v="Rejected"/>
    <s v="No"/>
    <x v="3"/>
    <x v="730"/>
    <x v="731"/>
    <n v="467"/>
    <n v="401"/>
    <n v="0.35149999999999998"/>
    <n v="64993162"/>
    <n v="51216.04570527975"/>
    <n v="99996"/>
    <n v="5091"/>
    <n v="1684983.2899999979"/>
    <n v="1327.8040110323072"/>
    <n v="0.35149999999999998"/>
    <n v="1080332628.129998"/>
    <x v="1"/>
    <n v="12951.84"/>
  </r>
  <r>
    <s v="LN00733"/>
    <x v="732"/>
    <n v="50"/>
    <s v="Male"/>
    <s v="Married"/>
    <s v="Employed"/>
    <n v="113783"/>
    <n v="766"/>
    <n v="14590"/>
    <n v="10.24"/>
    <n v="120"/>
    <s v="Mortgage"/>
    <n v="58.93"/>
    <n v="27701"/>
    <n v="35713"/>
    <x v="152"/>
    <s v="Rejected"/>
    <s v="Yes"/>
    <x v="3"/>
    <x v="731"/>
    <x v="732"/>
    <n v="467"/>
    <n v="400"/>
    <n v="0.35149999999999998"/>
    <n v="64937001"/>
    <n v="51212.145899053627"/>
    <n v="99996"/>
    <n v="5091"/>
    <n v="1683903.9699999979"/>
    <n v="1327.9999763406922"/>
    <n v="0.35149999999999998"/>
    <n v="1078647644.8399987"/>
    <x v="1"/>
    <n v="1608.3600000000001"/>
  </r>
  <r>
    <s v="LN00734"/>
    <x v="733"/>
    <n v="54"/>
    <s v="Female"/>
    <s v="Divorced"/>
    <s v="Employed"/>
    <n v="43141"/>
    <n v="311"/>
    <n v="73488"/>
    <n v="12.09"/>
    <n v="360"/>
    <s v="Mortgage"/>
    <n v="6.55"/>
    <n v="62692"/>
    <n v="70002"/>
    <x v="567"/>
    <s v="Pending"/>
    <s v="Yes"/>
    <x v="4"/>
    <x v="732"/>
    <x v="733"/>
    <n v="467"/>
    <n v="399"/>
    <n v="0.35149999999999998"/>
    <n v="64922411"/>
    <n v="51241.050513022892"/>
    <n v="99996"/>
    <n v="5091"/>
    <n v="1683769.9399999978"/>
    <n v="1328.9423362273069"/>
    <n v="0.35149999999999998"/>
    <n v="1076963740.8699989"/>
    <x v="1"/>
    <n v="2745.7200000000003"/>
  </r>
  <r>
    <s v="LN00735"/>
    <x v="734"/>
    <n v="24"/>
    <s v="Female"/>
    <s v="Married"/>
    <s v="Employed"/>
    <n v="62423"/>
    <n v="609"/>
    <n v="57778"/>
    <n v="15.64"/>
    <n v="36"/>
    <s v="Mortgage"/>
    <n v="34.74"/>
    <n v="52816"/>
    <n v="84585"/>
    <x v="568"/>
    <s v="Rejected"/>
    <s v="Yes"/>
    <x v="0"/>
    <x v="733"/>
    <x v="734"/>
    <n v="467"/>
    <n v="399"/>
    <n v="0.35149999999999998"/>
    <n v="64848923"/>
    <n v="51223.47788309637"/>
    <n v="99996"/>
    <n v="5091"/>
    <n v="1683541.129999998"/>
    <n v="1329.8113191153222"/>
    <n v="0.35149999999999998"/>
    <n v="1075279970.9299991"/>
    <x v="1"/>
    <n v="22271.52"/>
  </r>
  <r>
    <s v="LN00736"/>
    <x v="735"/>
    <n v="35"/>
    <s v="Male"/>
    <s v="Single"/>
    <s v="Self-Employed"/>
    <n v="122462"/>
    <n v="575"/>
    <n v="98975"/>
    <n v="22.22"/>
    <n v="48"/>
    <s v="Mortgage"/>
    <n v="41.3"/>
    <n v="20898"/>
    <n v="217090"/>
    <x v="469"/>
    <s v="Pending"/>
    <s v="No"/>
    <x v="1"/>
    <x v="734"/>
    <x v="735"/>
    <n v="467"/>
    <n v="398"/>
    <n v="0.35149999999999998"/>
    <n v="64791145"/>
    <n v="51218.296442687744"/>
    <n v="99996"/>
    <n v="5091"/>
    <n v="1681685.1699999981"/>
    <n v="1329.3953913043463"/>
    <n v="0.35149999999999998"/>
    <n v="1073596429.7999991"/>
    <x v="1"/>
    <n v="30241.800000000003"/>
  </r>
  <r>
    <s v="LN00737"/>
    <x v="736"/>
    <n v="22"/>
    <s v="Male"/>
    <s v="Single"/>
    <s v="Unemployed"/>
    <n v="25800"/>
    <n v="402"/>
    <n v="65711"/>
    <n v="6.32"/>
    <n v="36"/>
    <s v="Personal"/>
    <n v="28.12"/>
    <n v="60111"/>
    <n v="86593"/>
    <x v="344"/>
    <s v="Rejected"/>
    <s v="Yes"/>
    <x v="3"/>
    <x v="735"/>
    <x v="736"/>
    <n v="467"/>
    <n v="398"/>
    <n v="0.35149999999999998"/>
    <n v="64692170"/>
    <n v="51180.514240506331"/>
    <n v="99996"/>
    <n v="5091"/>
    <n v="1679165.0199999982"/>
    <n v="1328.4533386075934"/>
    <n v="0.35149999999999998"/>
    <n v="1071914744.629999"/>
    <x v="1"/>
    <n v="23287.920000000002"/>
  </r>
  <r>
    <s v="LN00738"/>
    <x v="737"/>
    <n v="33"/>
    <s v="Female"/>
    <s v="Married"/>
    <s v="Unemployed"/>
    <n v="45308"/>
    <n v="594"/>
    <n v="77157"/>
    <n v="23.37"/>
    <n v="36"/>
    <s v="Business"/>
    <n v="5.27"/>
    <n v="26400"/>
    <n v="51067"/>
    <x v="569"/>
    <s v="Rejected"/>
    <s v="No"/>
    <x v="1"/>
    <x v="736"/>
    <x v="737"/>
    <n v="467"/>
    <n v="397"/>
    <n v="0.35149999999999998"/>
    <n v="64626459"/>
    <n v="51169.009501187647"/>
    <n v="99996"/>
    <n v="5091"/>
    <n v="1677224.3599999982"/>
    <n v="1327.9686144101331"/>
    <n v="0.35149999999999998"/>
    <n v="1070235579.6099991"/>
    <x v="1"/>
    <n v="31729.56"/>
  </r>
  <r>
    <s v="LN00739"/>
    <x v="738"/>
    <n v="33"/>
    <s v="Male"/>
    <s v="Married"/>
    <s v="Employed"/>
    <n v="158530"/>
    <n v="557"/>
    <n v="47406"/>
    <n v="5.42"/>
    <n v="24"/>
    <s v="Auto"/>
    <n v="38.69"/>
    <n v="11443"/>
    <n v="241052"/>
    <x v="19"/>
    <s v="Approved"/>
    <s v="Yes"/>
    <x v="0"/>
    <x v="737"/>
    <x v="738"/>
    <n v="467"/>
    <n v="396"/>
    <n v="0.35149999999999998"/>
    <n v="64549302"/>
    <n v="51148.416798732171"/>
    <n v="99996"/>
    <n v="5091"/>
    <n v="1674580.2299999981"/>
    <n v="1326.9256973058623"/>
    <n v="0.35149999999999998"/>
    <n v="1068558355.249999"/>
    <x v="1"/>
    <n v="24987.72"/>
  </r>
  <r>
    <s v="LN00740"/>
    <x v="739"/>
    <n v="30"/>
    <s v="Female"/>
    <s v="Divorced"/>
    <s v="Unemployed"/>
    <n v="82489"/>
    <n v="612"/>
    <n v="28254"/>
    <n v="9.89"/>
    <n v="360"/>
    <s v="Auto"/>
    <n v="57.48"/>
    <n v="19204"/>
    <n v="170034"/>
    <x v="570"/>
    <s v="Rejected"/>
    <s v="No"/>
    <x v="3"/>
    <x v="738"/>
    <x v="739"/>
    <n v="466"/>
    <n v="396"/>
    <n v="0.35149999999999998"/>
    <n v="64501896"/>
    <n v="51151.384615384617"/>
    <n v="99996"/>
    <n v="5091"/>
    <n v="1672497.9199999981"/>
    <n v="1326.3266613798558"/>
    <n v="0.35149999999999998"/>
    <n v="1066883775.0199991"/>
    <x v="1"/>
    <n v="1035"/>
  </r>
  <r>
    <s v="LN00741"/>
    <x v="740"/>
    <n v="50"/>
    <s v="Male"/>
    <s v="Single"/>
    <s v="Unemployed"/>
    <n v="159383"/>
    <n v="747"/>
    <n v="7495"/>
    <n v="17.04"/>
    <n v="240"/>
    <s v="Mortgage"/>
    <n v="10.93"/>
    <n v="75472"/>
    <n v="29463"/>
    <x v="530"/>
    <s v="Pending"/>
    <s v="Yes"/>
    <x v="1"/>
    <x v="739"/>
    <x v="740"/>
    <n v="466"/>
    <n v="395"/>
    <n v="0.35149999999999998"/>
    <n v="64473642"/>
    <n v="51169.557142857142"/>
    <n v="99996"/>
    <n v="5091"/>
    <n v="1672411.6699999981"/>
    <n v="1327.3108492063477"/>
    <n v="0.35149999999999998"/>
    <n v="1065211277.0999992"/>
    <x v="1"/>
    <n v="438.59999999999997"/>
  </r>
  <r>
    <s v="LN00742"/>
    <x v="741"/>
    <n v="65"/>
    <s v="Female"/>
    <s v="Married"/>
    <s v="Employed"/>
    <n v="100112"/>
    <n v="673"/>
    <n v="46260"/>
    <n v="10.85"/>
    <n v="24"/>
    <s v="Mortgage"/>
    <n v="40.35"/>
    <n v="10586"/>
    <n v="56427"/>
    <x v="256"/>
    <s v="Rejected"/>
    <s v="Yes"/>
    <x v="2"/>
    <x v="740"/>
    <x v="741"/>
    <n v="466"/>
    <n v="395"/>
    <n v="0.35149999999999998"/>
    <n v="64466147"/>
    <n v="51204.24702144559"/>
    <n v="99996"/>
    <n v="5091"/>
    <n v="1672375.119999998"/>
    <n v="1328.3360762509913"/>
    <n v="0.35149999999999998"/>
    <n v="1063538865.4299994"/>
    <x v="1"/>
    <n v="25639.56"/>
  </r>
  <r>
    <s v="LN00743"/>
    <x v="742"/>
    <n v="30"/>
    <s v="Female"/>
    <s v="Single"/>
    <s v="Employed"/>
    <n v="121741"/>
    <n v="588"/>
    <n v="45978"/>
    <n v="4.54"/>
    <n v="360"/>
    <s v="Auto"/>
    <n v="40.549999999999997"/>
    <n v="3975"/>
    <n v="171884"/>
    <x v="571"/>
    <s v="Rejected"/>
    <s v="No"/>
    <x v="3"/>
    <x v="741"/>
    <x v="742"/>
    <n v="466"/>
    <n v="394"/>
    <n v="0.35149999999999998"/>
    <n v="64419887"/>
    <n v="51208.177265500795"/>
    <n v="99996"/>
    <n v="5091"/>
    <n v="1670238.4899999979"/>
    <n v="1327.6935532591399"/>
    <n v="0.35149999999999998"/>
    <n v="1061866490.3099993"/>
    <x v="1"/>
    <n v="1602.2400000000002"/>
  </r>
  <r>
    <s v="LN00744"/>
    <x v="743"/>
    <n v="32"/>
    <s v="Male"/>
    <s v="Divorced"/>
    <s v="Unemployed"/>
    <n v="57708"/>
    <n v="468"/>
    <n v="63785"/>
    <n v="13.67"/>
    <n v="360"/>
    <s v="Education"/>
    <n v="22.79"/>
    <n v="61091"/>
    <n v="190211"/>
    <x v="572"/>
    <s v="Rejected"/>
    <s v="No"/>
    <x v="0"/>
    <x v="742"/>
    <x v="743"/>
    <n v="466"/>
    <n v="393"/>
    <n v="0.35149999999999998"/>
    <n v="64373909"/>
    <n v="51212.33810660302"/>
    <n v="99996"/>
    <n v="5091"/>
    <n v="1670104.9699999979"/>
    <n v="1328.643571996816"/>
    <n v="0.35149999999999998"/>
    <n v="1060196251.8199993"/>
    <x v="1"/>
    <n v="2416.8000000000002"/>
  </r>
  <r>
    <s v="LN00745"/>
    <x v="744"/>
    <n v="43"/>
    <s v="Female"/>
    <s v="Married"/>
    <s v="Employed"/>
    <n v="127491"/>
    <n v="795"/>
    <n v="92398"/>
    <n v="6.2"/>
    <n v="120"/>
    <s v="Business"/>
    <n v="12.13"/>
    <n v="31523"/>
    <n v="177835"/>
    <x v="573"/>
    <s v="Rejected"/>
    <s v="Yes"/>
    <x v="4"/>
    <x v="743"/>
    <x v="744"/>
    <n v="466"/>
    <n v="392"/>
    <n v="0.35149999999999998"/>
    <n v="64310124"/>
    <n v="51202.328025477706"/>
    <n v="99996"/>
    <n v="5091"/>
    <n v="1669903.569999998"/>
    <n v="1329.5410589171959"/>
    <n v="0.35149999999999998"/>
    <n v="1058526146.8499993"/>
    <x v="1"/>
    <n v="9812.64"/>
  </r>
  <r>
    <s v="LN00746"/>
    <x v="745"/>
    <n v="53"/>
    <s v="Female"/>
    <s v="Single"/>
    <s v="Employed"/>
    <n v="144347"/>
    <n v="415"/>
    <n v="36919"/>
    <n v="7.48"/>
    <n v="48"/>
    <s v="Mortgage"/>
    <n v="33.520000000000003"/>
    <n v="79916"/>
    <n v="184047"/>
    <x v="574"/>
    <s v="Rejected"/>
    <s v="Yes"/>
    <x v="0"/>
    <x v="744"/>
    <x v="745"/>
    <n v="466"/>
    <n v="391"/>
    <n v="0.35149999999999998"/>
    <n v="64217726"/>
    <n v="51169.50278884462"/>
    <n v="99996"/>
    <n v="5091"/>
    <n v="1669085.8499999982"/>
    <n v="1329.9488844621501"/>
    <n v="0.35149999999999998"/>
    <n v="1056856243.2799994"/>
    <x v="1"/>
    <n v="9920.16"/>
  </r>
  <r>
    <s v="LN00747"/>
    <x v="746"/>
    <n v="59"/>
    <s v="Male"/>
    <s v="Married"/>
    <s v="Employed"/>
    <n v="97647"/>
    <n v="501"/>
    <n v="12194"/>
    <n v="12.46"/>
    <n v="360"/>
    <s v="Education"/>
    <n v="20.21"/>
    <n v="3436"/>
    <n v="154865"/>
    <x v="575"/>
    <s v="Rejected"/>
    <s v="No"/>
    <x v="0"/>
    <x v="745"/>
    <x v="746"/>
    <n v="466"/>
    <n v="390"/>
    <n v="0.35149999999999998"/>
    <n v="64180807"/>
    <n v="51180.8668261563"/>
    <n v="99996"/>
    <n v="5091"/>
    <n v="1668259.1699999983"/>
    <n v="1330.3502153110035"/>
    <n v="0.35149999999999998"/>
    <n v="1055187157.4299994"/>
    <x v="1"/>
    <n v="457.08000000000004"/>
  </r>
  <r>
    <s v="LN00748"/>
    <x v="747"/>
    <n v="50"/>
    <s v="Male"/>
    <s v="Married"/>
    <s v="Unemployed"/>
    <n v="179131"/>
    <n v="677"/>
    <n v="85540"/>
    <n v="19.64"/>
    <n v="360"/>
    <s v="Business"/>
    <n v="35.840000000000003"/>
    <n v="65855"/>
    <n v="155353"/>
    <x v="576"/>
    <s v="Rejected"/>
    <s v="Yes"/>
    <x v="0"/>
    <x v="746"/>
    <x v="747"/>
    <n v="466"/>
    <n v="389"/>
    <n v="0.35149999999999998"/>
    <n v="64168613"/>
    <n v="51211.981644054271"/>
    <n v="99996"/>
    <n v="5091"/>
    <n v="1668221.0799999982"/>
    <n v="1331.3815482841167"/>
    <n v="0.35149999999999998"/>
    <n v="1053518898.2599995"/>
    <x v="1"/>
    <n v="3411.3599999999997"/>
  </r>
  <r>
    <s v="LN00749"/>
    <x v="748"/>
    <n v="28"/>
    <s v="Female"/>
    <s v="Divorced"/>
    <s v="Employed"/>
    <n v="103244"/>
    <n v="488"/>
    <n v="79263"/>
    <n v="20.059999999999999"/>
    <n v="60"/>
    <s v="Business"/>
    <n v="20.25"/>
    <n v="3509"/>
    <n v="233295"/>
    <x v="577"/>
    <s v="Rejected"/>
    <s v="Yes"/>
    <x v="1"/>
    <x v="747"/>
    <x v="748"/>
    <n v="466"/>
    <n v="388"/>
    <n v="0.35149999999999998"/>
    <n v="64083073"/>
    <n v="51184.56309904153"/>
    <n v="99996"/>
    <n v="5091"/>
    <n v="1667936.7999999982"/>
    <n v="1332.2178913738005"/>
    <n v="0.35149999999999998"/>
    <n v="1051850677.1799995"/>
    <x v="1"/>
    <n v="19032.599999999999"/>
  </r>
  <r>
    <s v="LN00750"/>
    <x v="749"/>
    <n v="29"/>
    <s v="Male"/>
    <s v="Single"/>
    <s v="Self-Employed"/>
    <n v="31113"/>
    <n v="410"/>
    <n v="31627"/>
    <n v="10.95"/>
    <n v="120"/>
    <s v="Auto"/>
    <n v="52.23"/>
    <n v="12155"/>
    <n v="86634"/>
    <x v="578"/>
    <s v="Rejected"/>
    <s v="No"/>
    <x v="4"/>
    <x v="748"/>
    <x v="749"/>
    <n v="466"/>
    <n v="387"/>
    <n v="0.35149999999999998"/>
    <n v="64003810"/>
    <n v="51162.118305355718"/>
    <n v="99996"/>
    <n v="5091"/>
    <n v="1666350.7499999981"/>
    <n v="1332.0149880095908"/>
    <n v="0.35149999999999998"/>
    <n v="1050182740.3799994"/>
    <x v="1"/>
    <n v="3509.04"/>
  </r>
  <r>
    <s v="LN00751"/>
    <x v="750"/>
    <n v="29"/>
    <s v="Male"/>
    <s v="Married"/>
    <s v="Employed"/>
    <n v="187951"/>
    <n v="723"/>
    <n v="41016"/>
    <n v="23.37"/>
    <n v="360"/>
    <s v="Auto"/>
    <n v="53.17"/>
    <n v="44394"/>
    <n v="63734"/>
    <x v="579"/>
    <s v="Approved"/>
    <s v="Yes"/>
    <x v="0"/>
    <x v="749"/>
    <x v="750"/>
    <n v="466"/>
    <n v="386"/>
    <n v="0.35149999999999998"/>
    <n v="63972183"/>
    <n v="51177.746400000004"/>
    <n v="99996"/>
    <n v="5091"/>
    <n v="1666058.329999998"/>
    <n v="1332.8466639999983"/>
    <n v="0.35149999999999998"/>
    <n v="1048516389.6299994"/>
    <x v="1"/>
    <n v="1686.72"/>
  </r>
  <r>
    <s v="LN00752"/>
    <x v="751"/>
    <n v="54"/>
    <s v="Female"/>
    <s v="Married"/>
    <s v="Self-Employed"/>
    <n v="150215"/>
    <n v="782"/>
    <n v="14479"/>
    <n v="13.42"/>
    <n v="240"/>
    <s v="Business"/>
    <n v="37.83"/>
    <n v="38937"/>
    <n v="165405"/>
    <x v="580"/>
    <s v="Rejected"/>
    <s v="No"/>
    <x v="4"/>
    <x v="750"/>
    <x v="751"/>
    <n v="465"/>
    <n v="386"/>
    <n v="0.35149999999999998"/>
    <n v="63931167"/>
    <n v="51185.882305844672"/>
    <n v="99996"/>
    <n v="5091"/>
    <n v="1665917.7699999982"/>
    <n v="1333.801257005603"/>
    <n v="0.35149999999999998"/>
    <n v="1046850331.2999995"/>
    <x v="1"/>
    <n v="821.16000000000008"/>
  </r>
  <r>
    <s v="LN00753"/>
    <x v="752"/>
    <n v="55"/>
    <s v="Male"/>
    <s v="Divorced"/>
    <s v="Unemployed"/>
    <n v="77486"/>
    <n v="395"/>
    <n v="76924"/>
    <n v="10.07"/>
    <n v="120"/>
    <s v="Auto"/>
    <n v="6.83"/>
    <n v="15872"/>
    <n v="111398"/>
    <x v="581"/>
    <s v="Pending"/>
    <s v="Yes"/>
    <x v="1"/>
    <x v="751"/>
    <x v="752"/>
    <n v="465"/>
    <n v="385"/>
    <n v="0.35149999999999998"/>
    <n v="63916688"/>
    <n v="51215.294871794875"/>
    <n v="99996"/>
    <n v="5091"/>
    <n v="1665849.3399999982"/>
    <n v="1334.8151762820498"/>
    <n v="0.35149999999999998"/>
    <n v="1045184413.5299996"/>
    <x v="1"/>
    <n v="8467.08"/>
  </r>
  <r>
    <s v="LN00754"/>
    <x v="753"/>
    <n v="43"/>
    <s v="Male"/>
    <s v="Married"/>
    <s v="Self-Employed"/>
    <n v="36016"/>
    <n v="787"/>
    <n v="55795"/>
    <n v="10.89"/>
    <n v="180"/>
    <s v="Education"/>
    <n v="59.33"/>
    <n v="73395"/>
    <n v="25619"/>
    <x v="582"/>
    <s v="Pending"/>
    <s v="Yes"/>
    <x v="4"/>
    <x v="752"/>
    <x v="753"/>
    <n v="465"/>
    <n v="385"/>
    <n v="0.35149999999999998"/>
    <n v="63839764"/>
    <n v="51194.678428227744"/>
    <n v="99996"/>
    <n v="5091"/>
    <n v="1665143.7499999981"/>
    <n v="1335.3197674418591"/>
    <n v="0.35149999999999998"/>
    <n v="1043518564.1899996"/>
    <x v="1"/>
    <n v="4124.76"/>
  </r>
  <r>
    <s v="LN00755"/>
    <x v="754"/>
    <n v="34"/>
    <s v="Female"/>
    <s v="Single"/>
    <s v="Unemployed"/>
    <n v="87102"/>
    <n v="843"/>
    <n v="11698"/>
    <n v="3.87"/>
    <n v="180"/>
    <s v="Auto"/>
    <n v="46.97"/>
    <n v="41218"/>
    <n v="18423"/>
    <x v="583"/>
    <s v="Rejected"/>
    <s v="No"/>
    <x v="3"/>
    <x v="753"/>
    <x v="754"/>
    <n v="465"/>
    <n v="385"/>
    <n v="0.35149999999999998"/>
    <n v="63783969"/>
    <n v="51190.986356340291"/>
    <n v="99996"/>
    <n v="5091"/>
    <n v="1664800.0199999982"/>
    <n v="1336.1155858747979"/>
    <n v="0.35149999999999998"/>
    <n v="1041853420.4399996"/>
    <x v="1"/>
    <n v="810"/>
  </r>
  <r>
    <s v="LN00756"/>
    <x v="755"/>
    <n v="49"/>
    <s v="Female"/>
    <s v="Divorced"/>
    <s v="Unemployed"/>
    <n v="31656"/>
    <n v="843"/>
    <n v="38023"/>
    <n v="15.17"/>
    <n v="12"/>
    <s v="Mortgage"/>
    <n v="18.989999999999998"/>
    <n v="53879"/>
    <n v="38874"/>
    <x v="112"/>
    <s v="Pending"/>
    <s v="No"/>
    <x v="1"/>
    <x v="754"/>
    <x v="755"/>
    <n v="465"/>
    <n v="384"/>
    <n v="0.35149999999999998"/>
    <n v="63772271"/>
    <n v="51222.707630522091"/>
    <n v="99996"/>
    <n v="5091"/>
    <n v="1664732.5199999982"/>
    <n v="1337.134554216866"/>
    <n v="0.35149999999999998"/>
    <n v="1040188620.4199996"/>
    <x v="1"/>
    <n v="43791.12"/>
  </r>
  <r>
    <s v="LN00757"/>
    <x v="756"/>
    <n v="26"/>
    <s v="Male"/>
    <s v="Divorced"/>
    <s v="Unemployed"/>
    <n v="188377"/>
    <n v="328"/>
    <n v="52760"/>
    <n v="11.4"/>
    <n v="240"/>
    <s v="Education"/>
    <n v="57.33"/>
    <n v="36558"/>
    <n v="88497"/>
    <x v="584"/>
    <s v="Pending"/>
    <s v="No"/>
    <x v="1"/>
    <x v="755"/>
    <x v="756"/>
    <n v="465"/>
    <n v="384"/>
    <n v="0.35149999999999998"/>
    <n v="63734248"/>
    <n v="51233.318327974273"/>
    <n v="99996"/>
    <n v="5091"/>
    <n v="1661083.2599999981"/>
    <n v="1335.2759324758827"/>
    <n v="0.35149999999999998"/>
    <n v="1038523887.8999995"/>
    <x v="0"/>
    <n v="2938.68"/>
  </r>
  <r>
    <s v="LN00758"/>
    <x v="757"/>
    <n v="27"/>
    <s v="Female"/>
    <s v="Single"/>
    <s v="Unemployed"/>
    <n v="75311"/>
    <n v="667"/>
    <n v="16933"/>
    <n v="3.94"/>
    <n v="60"/>
    <s v="Education"/>
    <n v="9.24"/>
    <n v="56884"/>
    <n v="167703"/>
    <x v="585"/>
    <s v="Pending"/>
    <s v="No"/>
    <x v="2"/>
    <x v="756"/>
    <x v="757"/>
    <n v="465"/>
    <n v="384"/>
    <n v="0.35149999999999998"/>
    <n v="63681488"/>
    <n v="51232.090104585681"/>
    <n v="99996"/>
    <n v="5091"/>
    <n v="1660838.3699999982"/>
    <n v="1336.1531536604973"/>
    <n v="0.35149999999999998"/>
    <n v="1036862804.6399995"/>
    <x v="1"/>
    <n v="3520.08"/>
  </r>
  <r>
    <s v="LN00759"/>
    <x v="758"/>
    <n v="29"/>
    <s v="Male"/>
    <s v="Single"/>
    <s v="Employed"/>
    <n v="182256"/>
    <n v="416"/>
    <n v="52815"/>
    <n v="22.07"/>
    <n v="12"/>
    <s v="Auto"/>
    <n v="14.59"/>
    <n v="59487"/>
    <n v="165749"/>
    <x v="586"/>
    <s v="Pending"/>
    <s v="Yes"/>
    <x v="2"/>
    <x v="757"/>
    <x v="758"/>
    <n v="465"/>
    <n v="384"/>
    <n v="0.35149999999999998"/>
    <n v="63664555"/>
    <n v="51259.706119162642"/>
    <n v="99996"/>
    <n v="5091"/>
    <n v="1660545.0299999984"/>
    <n v="1336.9927777777764"/>
    <n v="0.35149999999999998"/>
    <n v="1035201966.2699995"/>
    <x v="1"/>
    <n v="64471.319999999992"/>
  </r>
  <r>
    <s v="LN00760"/>
    <x v="759"/>
    <n v="45"/>
    <s v="Female"/>
    <s v="Married"/>
    <s v="Employed"/>
    <n v="194097"/>
    <n v="728"/>
    <n v="83666"/>
    <n v="16.48"/>
    <n v="24"/>
    <s v="Business"/>
    <n v="16.829999999999998"/>
    <n v="73254"/>
    <n v="139110"/>
    <x v="248"/>
    <s v="Pending"/>
    <s v="Yes"/>
    <x v="1"/>
    <x v="758"/>
    <x v="759"/>
    <n v="465"/>
    <n v="384"/>
    <n v="0.35149999999999998"/>
    <n v="63611740"/>
    <n v="51258.452860596291"/>
    <n v="99996"/>
    <n v="5091"/>
    <n v="1655172.4199999985"/>
    <n v="1333.7408702659134"/>
    <n v="0.35149999999999998"/>
    <n v="1033541421.2399995"/>
    <x v="0"/>
    <n v="48727.08"/>
  </r>
  <r>
    <s v="LN00761"/>
    <x v="760"/>
    <n v="27"/>
    <s v="Female"/>
    <s v="Single"/>
    <s v="Employed"/>
    <n v="170775"/>
    <n v="840"/>
    <n v="19683"/>
    <n v="18.809999999999999"/>
    <n v="120"/>
    <s v="Auto"/>
    <n v="15.91"/>
    <n v="74069"/>
    <n v="168422"/>
    <x v="587"/>
    <s v="Pending"/>
    <s v="No"/>
    <x v="1"/>
    <x v="759"/>
    <x v="760"/>
    <n v="465"/>
    <n v="384"/>
    <n v="0.35149999999999998"/>
    <n v="63528074"/>
    <n v="51232.317741935483"/>
    <n v="99996"/>
    <n v="5091"/>
    <n v="1651111.8299999984"/>
    <n v="1331.5417983870955"/>
    <n v="0.35149999999999998"/>
    <n v="1031886248.8199995"/>
    <x v="1"/>
    <n v="2338.56"/>
  </r>
  <r>
    <s v="LN00762"/>
    <x v="761"/>
    <n v="52"/>
    <s v="Female"/>
    <s v="Married"/>
    <s v="Self-Employed"/>
    <n v="196944"/>
    <n v="376"/>
    <n v="60249"/>
    <n v="5.74"/>
    <n v="360"/>
    <s v="Mortgage"/>
    <n v="44.73"/>
    <n v="54753"/>
    <n v="107124"/>
    <x v="588"/>
    <s v="Rejected"/>
    <s v="Yes"/>
    <x v="3"/>
    <x v="760"/>
    <x v="761"/>
    <n v="465"/>
    <n v="384"/>
    <n v="0.35149999999999998"/>
    <n v="63508391"/>
    <n v="51257.781275221954"/>
    <n v="99996"/>
    <n v="5091"/>
    <n v="1650916.9499999983"/>
    <n v="1332.4592009685216"/>
    <n v="0.35149999999999998"/>
    <n v="1030235136.9899994"/>
    <x v="1"/>
    <n v="2123.52"/>
  </r>
  <r>
    <s v="LN00763"/>
    <x v="762"/>
    <n v="48"/>
    <s v="Male"/>
    <s v="Single"/>
    <s v="Employed"/>
    <n v="110362"/>
    <n v="453"/>
    <n v="25587"/>
    <n v="21.57"/>
    <n v="12"/>
    <s v="Auto"/>
    <n v="49.14"/>
    <n v="30159"/>
    <n v="16881"/>
    <x v="232"/>
    <s v="Approved"/>
    <s v="No"/>
    <x v="0"/>
    <x v="761"/>
    <x v="762"/>
    <n v="465"/>
    <n v="383"/>
    <n v="0.35149999999999998"/>
    <n v="63448142"/>
    <n v="51250.518578352181"/>
    <n v="99996"/>
    <n v="5091"/>
    <n v="1650739.9899999984"/>
    <n v="1333.3925605815818"/>
    <n v="0.35149999999999998"/>
    <n v="1028584220.0399994"/>
    <x v="1"/>
    <n v="31106.159999999996"/>
  </r>
  <r>
    <s v="LN00764"/>
    <x v="763"/>
    <n v="47"/>
    <s v="Male"/>
    <s v="Single"/>
    <s v="Unemployed"/>
    <n v="59245"/>
    <n v="841"/>
    <n v="49965"/>
    <n v="9.27"/>
    <n v="360"/>
    <s v="Mortgage"/>
    <n v="53.63"/>
    <n v="15847"/>
    <n v="249280"/>
    <x v="249"/>
    <s v="Pending"/>
    <s v="Yes"/>
    <x v="0"/>
    <x v="762"/>
    <x v="763"/>
    <n v="464"/>
    <n v="383"/>
    <n v="0.35149999999999998"/>
    <n v="63422555"/>
    <n v="51271.265157639449"/>
    <n v="99996"/>
    <n v="5091"/>
    <n v="1648147.8099999984"/>
    <n v="1332.3749474535152"/>
    <n v="0.35149999999999998"/>
    <n v="1026933480.0499994"/>
    <x v="0"/>
    <n v="1819.92"/>
  </r>
  <r>
    <s v="LN00765"/>
    <x v="764"/>
    <n v="39"/>
    <s v="Male"/>
    <s v="Divorced"/>
    <s v="Unemployed"/>
    <n v="120855"/>
    <n v="547"/>
    <n v="79559"/>
    <n v="4.59"/>
    <n v="360"/>
    <s v="Education"/>
    <n v="14.26"/>
    <n v="68680"/>
    <n v="226959"/>
    <x v="26"/>
    <s v="Rejected"/>
    <s v="Yes"/>
    <x v="2"/>
    <x v="763"/>
    <x v="764"/>
    <n v="464"/>
    <n v="383"/>
    <n v="0.35149999999999998"/>
    <n v="63372590"/>
    <n v="51272.322006472488"/>
    <n v="99996"/>
    <n v="5091"/>
    <n v="1647996.1499999985"/>
    <n v="1333.3302184466008"/>
    <n v="0.35149999999999998"/>
    <n v="1025285332.2399993"/>
    <x v="1"/>
    <n v="2773.68"/>
  </r>
  <r>
    <s v="LN00766"/>
    <x v="765"/>
    <n v="62"/>
    <s v="Male"/>
    <s v="Single"/>
    <s v="Employed"/>
    <n v="163555"/>
    <n v="571"/>
    <n v="32607"/>
    <n v="14.09"/>
    <n v="120"/>
    <s v="Education"/>
    <n v="47.04"/>
    <n v="22110"/>
    <n v="25714"/>
    <x v="589"/>
    <s v="Rejected"/>
    <s v="No"/>
    <x v="4"/>
    <x v="764"/>
    <x v="765"/>
    <n v="464"/>
    <n v="382"/>
    <n v="0.35149999999999998"/>
    <n v="63293031"/>
    <n v="51249.417813765183"/>
    <n v="99996"/>
    <n v="5091"/>
    <n v="1647765.0099999984"/>
    <n v="1334.222680161942"/>
    <n v="0.35149999999999998"/>
    <n v="1023637336.0899993"/>
    <x v="1"/>
    <n v="3720.12"/>
  </r>
  <r>
    <s v="LN00767"/>
    <x v="766"/>
    <n v="62"/>
    <s v="Female"/>
    <s v="Single"/>
    <s v="Self-Employed"/>
    <n v="177798"/>
    <n v="567"/>
    <n v="51324"/>
    <n v="23.03"/>
    <n v="12"/>
    <s v="Business"/>
    <n v="48.65"/>
    <n v="6481"/>
    <n v="100900"/>
    <x v="466"/>
    <s v="Approved"/>
    <s v="Yes"/>
    <x v="4"/>
    <x v="765"/>
    <x v="766"/>
    <n v="464"/>
    <n v="381"/>
    <n v="0.35149999999999998"/>
    <n v="63260424"/>
    <n v="51264.525121555918"/>
    <n v="99996"/>
    <n v="5091"/>
    <n v="1647454.9999999984"/>
    <n v="1335.0526742301445"/>
    <n v="0.35149999999999998"/>
    <n v="1021989571.0799993"/>
    <x v="1"/>
    <n v="63143.88"/>
  </r>
  <r>
    <s v="LN00768"/>
    <x v="767"/>
    <n v="64"/>
    <s v="Female"/>
    <s v="Divorced"/>
    <s v="Employed"/>
    <n v="86387"/>
    <n v="633"/>
    <n v="16646"/>
    <n v="15.69"/>
    <n v="36"/>
    <s v="Auto"/>
    <n v="28.28"/>
    <n v="43226"/>
    <n v="50905"/>
    <x v="590"/>
    <s v="Pending"/>
    <s v="Yes"/>
    <x v="3"/>
    <x v="766"/>
    <x v="767"/>
    <n v="463"/>
    <n v="381"/>
    <n v="0.35149999999999998"/>
    <n v="63209100"/>
    <n v="51264.47688564477"/>
    <n v="99996"/>
    <n v="5091"/>
    <n v="1642193.0099999981"/>
    <n v="1331.8678102189765"/>
    <n v="0.35149999999999998"/>
    <n v="1020342116.0799994"/>
    <x v="0"/>
    <n v="6419.2800000000007"/>
  </r>
  <r>
    <s v="LN00769"/>
    <x v="768"/>
    <n v="30"/>
    <s v="Female"/>
    <s v="Single"/>
    <s v="Employed"/>
    <n v="65951"/>
    <n v="542"/>
    <n v="24416"/>
    <n v="7.47"/>
    <n v="24"/>
    <s v="Mortgage"/>
    <n v="42.59"/>
    <n v="6839"/>
    <n v="48553"/>
    <x v="339"/>
    <s v="Approved"/>
    <s v="Yes"/>
    <x v="3"/>
    <x v="767"/>
    <x v="768"/>
    <n v="463"/>
    <n v="381"/>
    <n v="0.35149999999999998"/>
    <n v="63192454"/>
    <n v="51292.5762987013"/>
    <n v="99996"/>
    <n v="5091"/>
    <n v="1641658.0699999982"/>
    <n v="1332.5146672077908"/>
    <n v="0.35149999999999998"/>
    <n v="1018699923.0699995"/>
    <x v="1"/>
    <n v="13119.96"/>
  </r>
  <r>
    <s v="LN00770"/>
    <x v="769"/>
    <n v="27"/>
    <s v="Male"/>
    <s v="Divorced"/>
    <s v="Employed"/>
    <n v="133957"/>
    <n v="386"/>
    <n v="33625"/>
    <n v="7.75"/>
    <n v="36"/>
    <s v="Auto"/>
    <n v="18.98"/>
    <n v="396"/>
    <n v="44989"/>
    <x v="591"/>
    <s v="Rejected"/>
    <s v="Yes"/>
    <x v="4"/>
    <x v="768"/>
    <x v="769"/>
    <n v="462"/>
    <n v="381"/>
    <n v="0.35149999999999998"/>
    <n v="63168038"/>
    <n v="51314.409423233141"/>
    <n v="99996"/>
    <n v="5091"/>
    <n v="1640564.7399999984"/>
    <n v="1332.708968318439"/>
    <n v="0.35149999999999998"/>
    <n v="1017058264.9999995"/>
    <x v="1"/>
    <n v="12076.92"/>
  </r>
  <r>
    <s v="LN00771"/>
    <x v="770"/>
    <n v="38"/>
    <s v="Male"/>
    <s v="Divorced"/>
    <s v="Unemployed"/>
    <n v="70523"/>
    <n v="502"/>
    <n v="79995"/>
    <n v="17.579999999999998"/>
    <n v="36"/>
    <s v="Education"/>
    <n v="11.44"/>
    <n v="64405"/>
    <n v="221659"/>
    <x v="592"/>
    <s v="Approved"/>
    <s v="Yes"/>
    <x v="2"/>
    <x v="769"/>
    <x v="770"/>
    <n v="462"/>
    <n v="380"/>
    <n v="0.35149999999999998"/>
    <n v="63134413"/>
    <n v="51328.791056910566"/>
    <n v="99996"/>
    <n v="5091"/>
    <n v="1639558.3299999982"/>
    <n v="1332.974252032519"/>
    <n v="0.35149999999999998"/>
    <n v="1015417700.2599995"/>
    <x v="1"/>
    <n v="31352.760000000002"/>
  </r>
  <r>
    <s v="LN00772"/>
    <x v="771"/>
    <n v="49"/>
    <s v="Female"/>
    <s v="Divorced"/>
    <s v="Self-Employed"/>
    <n v="141450"/>
    <n v="591"/>
    <n v="85930"/>
    <n v="12.14"/>
    <n v="120"/>
    <s v="Auto"/>
    <n v="59.11"/>
    <n v="70440"/>
    <n v="51408"/>
    <x v="532"/>
    <s v="Rejected"/>
    <s v="Yes"/>
    <x v="4"/>
    <x v="770"/>
    <x v="771"/>
    <n v="461"/>
    <n v="380"/>
    <n v="0.35149999999999998"/>
    <n v="63054418"/>
    <n v="51305.466232709521"/>
    <n v="99996"/>
    <n v="5091"/>
    <n v="1636945.5999999982"/>
    <n v="1331.9329536208286"/>
    <n v="0.35149999999999998"/>
    <n v="1013778141.9299996"/>
    <x v="1"/>
    <n v="9636.24"/>
  </r>
  <r>
    <s v="LN00773"/>
    <x v="772"/>
    <n v="57"/>
    <s v="Male"/>
    <s v="Married"/>
    <s v="Employed"/>
    <n v="118956"/>
    <n v="787"/>
    <n v="19850"/>
    <n v="15.75"/>
    <n v="48"/>
    <s v="Business"/>
    <n v="16.059999999999999"/>
    <n v="73617"/>
    <n v="49953"/>
    <x v="236"/>
    <s v="Rejected"/>
    <s v="Yes"/>
    <x v="3"/>
    <x v="771"/>
    <x v="772"/>
    <n v="461"/>
    <n v="379"/>
    <n v="0.35149999999999998"/>
    <n v="62968488"/>
    <n v="51277.270358306188"/>
    <n v="99996"/>
    <n v="5091"/>
    <n v="1636142.5799999984"/>
    <n v="1332.3636644951127"/>
    <n v="0.35149999999999998"/>
    <n v="1012141196.3299996"/>
    <x v="1"/>
    <n v="5744.04"/>
  </r>
  <r>
    <s v="LN00774"/>
    <x v="773"/>
    <n v="22"/>
    <s v="Female"/>
    <s v="Divorced"/>
    <s v="Employed"/>
    <n v="132009"/>
    <n v="652"/>
    <n v="44203"/>
    <n v="22.89"/>
    <n v="24"/>
    <s v="Education"/>
    <n v="8.15"/>
    <n v="37030"/>
    <n v="41055"/>
    <x v="593"/>
    <s v="Pending"/>
    <s v="No"/>
    <x v="0"/>
    <x v="772"/>
    <x v="773"/>
    <n v="461"/>
    <n v="378"/>
    <n v="0.35149999999999998"/>
    <n v="62948638"/>
    <n v="51302.88345558272"/>
    <n v="99996"/>
    <n v="5091"/>
    <n v="1635663.9099999983"/>
    <n v="1333.0594213528918"/>
    <n v="0.35149999999999998"/>
    <n v="1010505053.7499996"/>
    <x v="1"/>
    <n v="27160.560000000001"/>
  </r>
  <r>
    <s v="LN00775"/>
    <x v="774"/>
    <n v="48"/>
    <s v="Female"/>
    <s v="Married"/>
    <s v="Employed"/>
    <n v="143264"/>
    <n v="691"/>
    <n v="49389"/>
    <n v="9.76"/>
    <n v="180"/>
    <s v="Business"/>
    <n v="16.55"/>
    <n v="75243"/>
    <n v="133307"/>
    <x v="86"/>
    <s v="Rejected"/>
    <s v="No"/>
    <x v="3"/>
    <x v="773"/>
    <x v="774"/>
    <n v="461"/>
    <n v="378"/>
    <n v="0.35149999999999998"/>
    <n v="62904435"/>
    <n v="51308.674551386626"/>
    <n v="99996"/>
    <n v="5091"/>
    <n v="1633400.5299999986"/>
    <n v="1332.3005954322991"/>
    <n v="0.35149999999999998"/>
    <n v="1008869389.8399997"/>
    <x v="1"/>
    <n v="3613.92"/>
  </r>
  <r>
    <s v="LN00776"/>
    <x v="775"/>
    <n v="50"/>
    <s v="Male"/>
    <s v="Single"/>
    <s v="Employed"/>
    <n v="131198"/>
    <n v="766"/>
    <n v="8334"/>
    <n v="7.81"/>
    <n v="48"/>
    <s v="Education"/>
    <n v="15.79"/>
    <n v="61505"/>
    <n v="190046"/>
    <x v="473"/>
    <s v="Rejected"/>
    <s v="No"/>
    <x v="1"/>
    <x v="774"/>
    <x v="775"/>
    <n v="461"/>
    <n v="377"/>
    <n v="0.35149999999999998"/>
    <n v="62855046"/>
    <n v="51310.241632653058"/>
    <n v="99996"/>
    <n v="5091"/>
    <n v="1633099.3699999987"/>
    <n v="1333.1423428571418"/>
    <n v="0.35149999999999998"/>
    <n v="1007235989.3099997"/>
    <x v="1"/>
    <n v="2246.2799999999997"/>
  </r>
  <r>
    <s v="LN00777"/>
    <x v="776"/>
    <n v="23"/>
    <s v="Female"/>
    <s v="Married"/>
    <s v="Employed"/>
    <n v="78949"/>
    <n v="455"/>
    <n v="88286"/>
    <n v="21"/>
    <n v="120"/>
    <s v="Business"/>
    <n v="14.02"/>
    <n v="33165"/>
    <n v="203350"/>
    <x v="594"/>
    <s v="Rejected"/>
    <s v="No"/>
    <x v="1"/>
    <x v="775"/>
    <x v="776"/>
    <n v="461"/>
    <n v="376"/>
    <n v="0.35149999999999998"/>
    <n v="62846712"/>
    <n v="51345.352941176468"/>
    <n v="99996"/>
    <n v="5091"/>
    <n v="1632912.1799999988"/>
    <n v="1334.0785784313716"/>
    <n v="0.35149999999999998"/>
    <n v="1005602889.9399996"/>
    <x v="1"/>
    <n v="10682.64"/>
  </r>
  <r>
    <s v="LN00778"/>
    <x v="777"/>
    <n v="55"/>
    <s v="Female"/>
    <s v="Married"/>
    <s v="Unemployed"/>
    <n v="158403"/>
    <n v="606"/>
    <n v="7207"/>
    <n v="5.97"/>
    <n v="60"/>
    <s v="Mortgage"/>
    <n v="41.5"/>
    <n v="56170"/>
    <n v="46318"/>
    <x v="595"/>
    <s v="Approved"/>
    <s v="Yes"/>
    <x v="1"/>
    <x v="776"/>
    <x v="777"/>
    <n v="461"/>
    <n v="375"/>
    <n v="0.35149999999999998"/>
    <n v="62758426"/>
    <n v="51315.147996729356"/>
    <n v="99996"/>
    <n v="5091"/>
    <n v="1632021.959999999"/>
    <n v="1334.4415044971374"/>
    <n v="0.35149999999999998"/>
    <n v="1003969977.7599995"/>
    <x v="1"/>
    <n v="1527.48"/>
  </r>
  <r>
    <s v="LN00779"/>
    <x v="778"/>
    <n v="28"/>
    <s v="Male"/>
    <s v="Divorced"/>
    <s v="Unemployed"/>
    <n v="66987"/>
    <n v="436"/>
    <n v="40091"/>
    <n v="16.29"/>
    <n v="36"/>
    <s v="Auto"/>
    <n v="27.83"/>
    <n v="21090"/>
    <n v="241086"/>
    <x v="478"/>
    <s v="Pending"/>
    <s v="No"/>
    <x v="4"/>
    <x v="777"/>
    <x v="778"/>
    <n v="460"/>
    <n v="375"/>
    <n v="0.35149999999999998"/>
    <n v="62751219"/>
    <n v="51351.243044189854"/>
    <n v="99996"/>
    <n v="5091"/>
    <n v="1631894.669999999"/>
    <n v="1335.4293535188208"/>
    <n v="0.35149999999999998"/>
    <n v="1002337955.7999995"/>
    <x v="1"/>
    <n v="15540.599999999999"/>
  </r>
  <r>
    <s v="LN00780"/>
    <x v="779"/>
    <n v="61"/>
    <s v="Male"/>
    <s v="Single"/>
    <s v="Employed"/>
    <n v="151248"/>
    <n v="576"/>
    <n v="37467"/>
    <n v="19.89"/>
    <n v="240"/>
    <s v="Education"/>
    <n v="7.85"/>
    <n v="44254"/>
    <n v="119508"/>
    <x v="95"/>
    <s v="Rejected"/>
    <s v="No"/>
    <x v="3"/>
    <x v="778"/>
    <x v="779"/>
    <n v="460"/>
    <n v="375"/>
    <n v="0.35149999999999998"/>
    <n v="62711128"/>
    <n v="51360.465192465192"/>
    <n v="99996"/>
    <n v="5091"/>
    <n v="1630599.6199999989"/>
    <n v="1335.4624242424234"/>
    <n v="0.35149999999999998"/>
    <n v="1000706061.1299996"/>
    <x v="1"/>
    <n v="2245.92"/>
  </r>
  <r>
    <s v="LN00781"/>
    <x v="780"/>
    <n v="28"/>
    <s v="Female"/>
    <s v="Divorced"/>
    <s v="Unemployed"/>
    <n v="199247"/>
    <n v="325"/>
    <n v="64171"/>
    <n v="7.56"/>
    <n v="12"/>
    <s v="Auto"/>
    <n v="16.260000000000002"/>
    <n v="23150"/>
    <n v="243417"/>
    <x v="566"/>
    <s v="Rejected"/>
    <s v="Yes"/>
    <x v="3"/>
    <x v="779"/>
    <x v="780"/>
    <n v="460"/>
    <n v="374"/>
    <n v="0.35149999999999998"/>
    <n v="62673661"/>
    <n v="51371.853278688526"/>
    <n v="99996"/>
    <n v="5091"/>
    <n v="1630412.459999999"/>
    <n v="1336.4036557377042"/>
    <n v="0.35149999999999998"/>
    <n v="999075461.50999963"/>
    <x v="1"/>
    <n v="69022.319999999992"/>
  </r>
  <r>
    <s v="LN00782"/>
    <x v="781"/>
    <n v="43"/>
    <s v="Male"/>
    <s v="Single"/>
    <s v="Unemployed"/>
    <n v="197210"/>
    <n v="340"/>
    <n v="84128"/>
    <n v="5.31"/>
    <n v="240"/>
    <s v="Business"/>
    <n v="57.22"/>
    <n v="16425"/>
    <n v="79480"/>
    <x v="596"/>
    <s v="Approved"/>
    <s v="Yes"/>
    <x v="1"/>
    <x v="780"/>
    <x v="781"/>
    <n v="460"/>
    <n v="373"/>
    <n v="0.35149999999999998"/>
    <n v="62609490"/>
    <n v="51361.353568498773"/>
    <n v="99996"/>
    <n v="5091"/>
    <n v="1624660.5999999994"/>
    <n v="1332.7814602132892"/>
    <n v="0.35149999999999998"/>
    <n v="997445049.04999959"/>
    <x v="0"/>
    <n v="4429.7999999999993"/>
  </r>
  <r>
    <s v="LN00783"/>
    <x v="782"/>
    <n v="40"/>
    <s v="Female"/>
    <s v="Single"/>
    <s v="Unemployed"/>
    <n v="177231"/>
    <n v="340"/>
    <n v="55368"/>
    <n v="22.98"/>
    <n v="60"/>
    <s v="Mortgage"/>
    <n v="5.43"/>
    <n v="66583"/>
    <n v="140269"/>
    <x v="551"/>
    <s v="Pending"/>
    <s v="Yes"/>
    <x v="2"/>
    <x v="781"/>
    <x v="782"/>
    <n v="459"/>
    <n v="373"/>
    <n v="0.35149999999999998"/>
    <n v="62525362"/>
    <n v="51334.451559934321"/>
    <n v="99996"/>
    <n v="5091"/>
    <n v="1624291.4499999993"/>
    <n v="1333.5726190476184"/>
    <n v="0.35149999999999998"/>
    <n v="995820388.44999957"/>
    <x v="1"/>
    <n v="13618.32"/>
  </r>
  <r>
    <s v="LN00784"/>
    <x v="783"/>
    <n v="36"/>
    <s v="Male"/>
    <s v="Single"/>
    <s v="Self-Employed"/>
    <n v="42068"/>
    <n v="435"/>
    <n v="20643"/>
    <n v="9.5299999999999994"/>
    <n v="36"/>
    <s v="Personal"/>
    <n v="33.79"/>
    <n v="49657"/>
    <n v="24362"/>
    <x v="231"/>
    <s v="Approved"/>
    <s v="Yes"/>
    <x v="0"/>
    <x v="782"/>
    <x v="783"/>
    <n v="459"/>
    <n v="373"/>
    <n v="0.35149999999999998"/>
    <n v="62469994"/>
    <n v="51331.137222678721"/>
    <n v="99996"/>
    <n v="5091"/>
    <n v="1623156.5899999994"/>
    <n v="1333.7358997534916"/>
    <n v="0.35149999999999998"/>
    <n v="994196096.99999964"/>
    <x v="1"/>
    <n v="7536.7199999999993"/>
  </r>
  <r>
    <s v="LN00785"/>
    <x v="784"/>
    <n v="50"/>
    <s v="Male"/>
    <s v="Divorced"/>
    <s v="Unemployed"/>
    <n v="98009"/>
    <n v="823"/>
    <n v="42205"/>
    <n v="10.85"/>
    <n v="180"/>
    <s v="Business"/>
    <n v="7.32"/>
    <n v="79092"/>
    <n v="147964"/>
    <x v="597"/>
    <s v="Approved"/>
    <s v="No"/>
    <x v="2"/>
    <x v="783"/>
    <x v="784"/>
    <n v="458"/>
    <n v="373"/>
    <n v="0.35149999999999998"/>
    <n v="62449351"/>
    <n v="51356.37417763158"/>
    <n v="99996"/>
    <n v="5091"/>
    <n v="1622528.5299999993"/>
    <n v="1334.3162253289468"/>
    <n v="0.35149999999999998"/>
    <n v="992572940.40999961"/>
    <x v="1"/>
    <n v="3118.92"/>
  </r>
  <r>
    <s v="LN00786"/>
    <x v="785"/>
    <n v="41"/>
    <s v="Female"/>
    <s v="Single"/>
    <s v="Employed"/>
    <n v="183320"/>
    <n v="736"/>
    <n v="60726"/>
    <n v="23.07"/>
    <n v="360"/>
    <s v="Business"/>
    <n v="35.76"/>
    <n v="14860"/>
    <n v="72701"/>
    <x v="367"/>
    <s v="Pending"/>
    <s v="Yes"/>
    <x v="1"/>
    <x v="784"/>
    <x v="785"/>
    <n v="457"/>
    <n v="373"/>
    <n v="0.35149999999999998"/>
    <n v="62407146"/>
    <n v="51363.906172839503"/>
    <n v="99996"/>
    <n v="5091"/>
    <n v="1622268.6199999992"/>
    <n v="1335.2005102880651"/>
    <n v="0.35149999999999998"/>
    <n v="990950411.87999952"/>
    <x v="1"/>
    <n v="2491.1999999999998"/>
  </r>
  <r>
    <s v="LN00787"/>
    <x v="786"/>
    <n v="62"/>
    <s v="Male"/>
    <s v="Single"/>
    <s v="Self-Employed"/>
    <n v="90518"/>
    <n v="439"/>
    <n v="37783"/>
    <n v="19.62"/>
    <n v="60"/>
    <s v="Personal"/>
    <n v="42.86"/>
    <n v="6582"/>
    <n v="127810"/>
    <x v="598"/>
    <s v="Rejected"/>
    <s v="Yes"/>
    <x v="1"/>
    <x v="785"/>
    <x v="786"/>
    <n v="457"/>
    <n v="373"/>
    <n v="0.35149999999999998"/>
    <n v="62346420"/>
    <n v="51356.194398682041"/>
    <n v="99996"/>
    <n v="5091"/>
    <n v="1622061.0199999993"/>
    <n v="1336.1293410214162"/>
    <n v="0.35149999999999998"/>
    <n v="989328143.25999951"/>
    <x v="1"/>
    <n v="9039.24"/>
  </r>
  <r>
    <s v="LN00788"/>
    <x v="787"/>
    <n v="22"/>
    <s v="Male"/>
    <s v="Married"/>
    <s v="Unemployed"/>
    <n v="51995"/>
    <n v="612"/>
    <n v="48899"/>
    <n v="23.7"/>
    <n v="48"/>
    <s v="Personal"/>
    <n v="48.63"/>
    <n v="61753"/>
    <n v="112519"/>
    <x v="193"/>
    <s v="Pending"/>
    <s v="Yes"/>
    <x v="2"/>
    <x v="786"/>
    <x v="787"/>
    <n v="457"/>
    <n v="372"/>
    <n v="0.35149999999999998"/>
    <n v="62308637"/>
    <n v="51367.384171475678"/>
    <n v="99996"/>
    <n v="5091"/>
    <n v="1621307.7499999993"/>
    <n v="1336.609851607584"/>
    <n v="0.35149999999999998"/>
    <n v="987706082.23999953"/>
    <x v="1"/>
    <n v="15122.04"/>
  </r>
  <r>
    <s v="LN00789"/>
    <x v="788"/>
    <n v="61"/>
    <s v="Male"/>
    <s v="Married"/>
    <s v="Employed"/>
    <n v="38662"/>
    <n v="417"/>
    <n v="7051"/>
    <n v="4.18"/>
    <n v="12"/>
    <s v="Business"/>
    <n v="15.07"/>
    <n v="4506"/>
    <n v="128886"/>
    <x v="599"/>
    <s v="Rejected"/>
    <s v="Yes"/>
    <x v="4"/>
    <x v="787"/>
    <x v="788"/>
    <n v="457"/>
    <n v="372"/>
    <n v="0.35149999999999998"/>
    <n v="62259738"/>
    <n v="51369.420792079211"/>
    <n v="99996"/>
    <n v="5091"/>
    <n v="1620047.5799999991"/>
    <n v="1336.6729207920785"/>
    <n v="0.35149999999999998"/>
    <n v="986084774.48999953"/>
    <x v="1"/>
    <n v="7345.68"/>
  </r>
  <r>
    <s v="LN00790"/>
    <x v="789"/>
    <n v="54"/>
    <s v="Male"/>
    <s v="Divorced"/>
    <s v="Unemployed"/>
    <n v="110955"/>
    <n v="826"/>
    <n v="60023"/>
    <n v="9.31"/>
    <n v="36"/>
    <s v="Education"/>
    <n v="42.38"/>
    <n v="2101"/>
    <n v="135859"/>
    <x v="204"/>
    <s v="Approved"/>
    <s v="No"/>
    <x v="2"/>
    <x v="788"/>
    <x v="789"/>
    <n v="457"/>
    <n v="371"/>
    <n v="0.35149999999999998"/>
    <n v="62252687"/>
    <n v="51406.01734104046"/>
    <n v="99996"/>
    <n v="5091"/>
    <n v="1619435.4399999992"/>
    <n v="1337.2712138728318"/>
    <n v="0.35149999999999998"/>
    <n v="984464726.90999961"/>
    <x v="0"/>
    <n v="21870.36"/>
  </r>
  <r>
    <s v="LN00791"/>
    <x v="790"/>
    <n v="28"/>
    <s v="Female"/>
    <s v="Divorced"/>
    <s v="Employed"/>
    <n v="177635"/>
    <n v="714"/>
    <n v="41119"/>
    <n v="23.47"/>
    <n v="60"/>
    <s v="Personal"/>
    <n v="8.42"/>
    <n v="1073"/>
    <n v="40282"/>
    <x v="600"/>
    <s v="Rejected"/>
    <s v="No"/>
    <x v="2"/>
    <x v="789"/>
    <x v="790"/>
    <n v="456"/>
    <n v="371"/>
    <n v="0.35149999999999998"/>
    <n v="62192664"/>
    <n v="51398.895867768595"/>
    <n v="99996"/>
    <n v="5091"/>
    <n v="1617612.9099999995"/>
    <n v="1336.8701735537186"/>
    <n v="0.35149999999999998"/>
    <n v="982845291.46999955"/>
    <x v="1"/>
    <n v="10153.92"/>
  </r>
  <r>
    <s v="LN00792"/>
    <x v="791"/>
    <n v="35"/>
    <s v="Female"/>
    <s v="Married"/>
    <s v="Self-Employed"/>
    <n v="109589"/>
    <n v="460"/>
    <n v="32730"/>
    <n v="20.46"/>
    <n v="36"/>
    <s v="Mortgage"/>
    <n v="6.24"/>
    <n v="37043"/>
    <n v="151905"/>
    <x v="150"/>
    <s v="Pending"/>
    <s v="No"/>
    <x v="2"/>
    <x v="790"/>
    <x v="791"/>
    <n v="456"/>
    <n v="370"/>
    <n v="0.35149999999999998"/>
    <n v="62151545"/>
    <n v="51407.398676592224"/>
    <n v="99996"/>
    <n v="5091"/>
    <n v="1616766.7499999995"/>
    <n v="1337.2760545905703"/>
    <n v="0.35149999999999998"/>
    <n v="981227678.55999947"/>
    <x v="1"/>
    <n v="13142.16"/>
  </r>
  <r>
    <s v="LN00793"/>
    <x v="792"/>
    <n v="30"/>
    <s v="Male"/>
    <s v="Single"/>
    <s v="Employed"/>
    <n v="95639"/>
    <n v="318"/>
    <n v="17008"/>
    <n v="18.86"/>
    <n v="24"/>
    <s v="Education"/>
    <n v="31.57"/>
    <n v="511"/>
    <n v="170618"/>
    <x v="294"/>
    <s v="Approved"/>
    <s v="Yes"/>
    <x v="2"/>
    <x v="791"/>
    <x v="792"/>
    <n v="456"/>
    <n v="370"/>
    <n v="0.35149999999999998"/>
    <n v="62118815"/>
    <n v="51422.860099337748"/>
    <n v="99996"/>
    <n v="5091"/>
    <n v="1615671.5699999994"/>
    <n v="1337.4764652317876"/>
    <n v="0.35149999999999998"/>
    <n v="979610911.80999947"/>
    <x v="1"/>
    <n v="10107.84"/>
  </r>
  <r>
    <s v="LN00794"/>
    <x v="793"/>
    <n v="46"/>
    <s v="Female"/>
    <s v="Divorced"/>
    <s v="Unemployed"/>
    <n v="143926"/>
    <n v="513"/>
    <n v="5316"/>
    <n v="4.67"/>
    <n v="240"/>
    <s v="Business"/>
    <n v="35.81"/>
    <n v="54674"/>
    <n v="63024"/>
    <x v="601"/>
    <s v="Approved"/>
    <s v="No"/>
    <x v="2"/>
    <x v="792"/>
    <x v="793"/>
    <n v="455"/>
    <n v="370"/>
    <n v="0.35149999999999998"/>
    <n v="62101807"/>
    <n v="51451.372825186416"/>
    <n v="99996"/>
    <n v="5091"/>
    <n v="1614829.2499999993"/>
    <n v="1337.8867025683508"/>
    <n v="0.35149999999999998"/>
    <n v="977995240.23999953"/>
    <x v="1"/>
    <n v="278.15999999999997"/>
  </r>
  <r>
    <s v="LN00795"/>
    <x v="794"/>
    <n v="33"/>
    <s v="Male"/>
    <s v="Single"/>
    <s v="Unemployed"/>
    <n v="134448"/>
    <n v="514"/>
    <n v="12601"/>
    <n v="19.53"/>
    <n v="36"/>
    <s v="Personal"/>
    <n v="56.13"/>
    <n v="36264"/>
    <n v="214329"/>
    <x v="602"/>
    <s v="Pending"/>
    <s v="Yes"/>
    <x v="3"/>
    <x v="793"/>
    <x v="794"/>
    <n v="454"/>
    <n v="370"/>
    <n v="0.35149999999999998"/>
    <n v="62096491"/>
    <n v="51489.627694859038"/>
    <n v="99996"/>
    <n v="5091"/>
    <n v="1614806.0699999994"/>
    <n v="1338.9768407960194"/>
    <n v="0.35149999999999998"/>
    <n v="976380410.98999953"/>
    <x v="1"/>
    <n v="5020.68"/>
  </r>
  <r>
    <s v="LN00796"/>
    <x v="795"/>
    <n v="21"/>
    <s v="Female"/>
    <s v="Single"/>
    <s v="Self-Employed"/>
    <n v="22352"/>
    <n v="395"/>
    <n v="80325"/>
    <n v="16.88"/>
    <n v="12"/>
    <s v="Auto"/>
    <n v="15.77"/>
    <n v="3672"/>
    <n v="113388"/>
    <x v="603"/>
    <s v="Approved"/>
    <s v="No"/>
    <x v="0"/>
    <x v="794"/>
    <x v="795"/>
    <n v="454"/>
    <n v="370"/>
    <n v="0.35149999999999998"/>
    <n v="62083890"/>
    <n v="51521.900414937758"/>
    <n v="99996"/>
    <n v="5091"/>
    <n v="1614387.6799999995"/>
    <n v="1339.7408132780079"/>
    <n v="0.35149999999999998"/>
    <n v="974765604.91999948"/>
    <x v="1"/>
    <n v="93883.799999999988"/>
  </r>
  <r>
    <s v="LN00797"/>
    <x v="796"/>
    <n v="65"/>
    <s v="Male"/>
    <s v="Single"/>
    <s v="Employed"/>
    <n v="98248"/>
    <n v="353"/>
    <n v="47711"/>
    <n v="22.72"/>
    <n v="180"/>
    <s v="Auto"/>
    <n v="38.17"/>
    <n v="43226"/>
    <n v="186573"/>
    <x v="220"/>
    <s v="Approved"/>
    <s v="No"/>
    <x v="1"/>
    <x v="795"/>
    <x v="796"/>
    <n v="453"/>
    <n v="370"/>
    <n v="0.35149999999999998"/>
    <n v="62003565"/>
    <n v="51497.977574750832"/>
    <n v="99996"/>
    <n v="5091"/>
    <n v="1606564.0299999996"/>
    <n v="1334.3555066445178"/>
    <n v="0.35149999999999998"/>
    <n v="973151217.23999953"/>
    <x v="0"/>
    <n v="3903.3599999999997"/>
  </r>
  <r>
    <s v="LN00798"/>
    <x v="797"/>
    <n v="26"/>
    <s v="Male"/>
    <s v="Married"/>
    <s v="Unemployed"/>
    <n v="121610"/>
    <n v="454"/>
    <n v="99463"/>
    <n v="12.31"/>
    <n v="180"/>
    <s v="Business"/>
    <n v="56.79"/>
    <n v="55077"/>
    <n v="190698"/>
    <x v="604"/>
    <s v="Pending"/>
    <s v="Yes"/>
    <x v="0"/>
    <x v="796"/>
    <x v="797"/>
    <n v="452"/>
    <n v="370"/>
    <n v="0.35149999999999998"/>
    <n v="61955854"/>
    <n v="51501.1255195345"/>
    <n v="99996"/>
    <n v="5091"/>
    <n v="1606238.7499999995"/>
    <n v="1335.1943059019115"/>
    <n v="0.35149999999999998"/>
    <n v="971544653.20999944"/>
    <x v="1"/>
    <n v="7447.08"/>
  </r>
  <r>
    <s v="LN00799"/>
    <x v="798"/>
    <n v="55"/>
    <s v="Female"/>
    <s v="Single"/>
    <s v="Unemployed"/>
    <n v="22735"/>
    <n v="529"/>
    <n v="95177"/>
    <n v="6.25"/>
    <n v="24"/>
    <s v="Education"/>
    <n v="41.51"/>
    <n v="31711"/>
    <n v="29081"/>
    <x v="605"/>
    <s v="Approved"/>
    <s v="Yes"/>
    <x v="2"/>
    <x v="797"/>
    <x v="798"/>
    <n v="452"/>
    <n v="370"/>
    <n v="0.35149999999999998"/>
    <n v="61856391"/>
    <n v="51461.223793677207"/>
    <n v="99996"/>
    <n v="5091"/>
    <n v="1605618.1599999997"/>
    <n v="1335.788818635607"/>
    <n v="0.35149999999999998"/>
    <n v="969938414.45999944"/>
    <x v="1"/>
    <n v="50562.84"/>
  </r>
  <r>
    <s v="LN00800"/>
    <x v="799"/>
    <n v="56"/>
    <s v="Male"/>
    <s v="Divorced"/>
    <s v="Employed"/>
    <n v="44237"/>
    <n v="628"/>
    <n v="49120"/>
    <n v="15.21"/>
    <n v="180"/>
    <s v="Auto"/>
    <n v="21.15"/>
    <n v="44335"/>
    <n v="165301"/>
    <x v="606"/>
    <s v="Pending"/>
    <s v="No"/>
    <x v="3"/>
    <x v="798"/>
    <x v="799"/>
    <n v="451"/>
    <n v="370"/>
    <n v="0.35149999999999998"/>
    <n v="61761214"/>
    <n v="51424.824313072437"/>
    <n v="99996"/>
    <n v="5091"/>
    <n v="1601404.5899999994"/>
    <n v="1333.3926644462942"/>
    <n v="0.35149999999999998"/>
    <n v="968332796.29999948"/>
    <x v="1"/>
    <n v="3772.7999999999997"/>
  </r>
  <r>
    <s v="LN00801"/>
    <x v="800"/>
    <n v="31"/>
    <s v="Female"/>
    <s v="Married"/>
    <s v="Employed"/>
    <n v="62932"/>
    <n v="325"/>
    <n v="74665"/>
    <n v="14.31"/>
    <n v="120"/>
    <s v="Personal"/>
    <n v="12.06"/>
    <n v="17469"/>
    <n v="157884"/>
    <x v="607"/>
    <s v="Rejected"/>
    <s v="No"/>
    <x v="3"/>
    <x v="799"/>
    <x v="800"/>
    <n v="451"/>
    <n v="370"/>
    <n v="0.35149999999999998"/>
    <n v="61712094"/>
    <n v="51426.745000000003"/>
    <n v="99996"/>
    <n v="5091"/>
    <n v="1601090.1899999995"/>
    <n v="1334.2418249999996"/>
    <n v="0.35149999999999998"/>
    <n v="966731391.70999944"/>
    <x v="1"/>
    <n v="8535"/>
  </r>
  <r>
    <s v="LN00802"/>
    <x v="801"/>
    <n v="28"/>
    <s v="Male"/>
    <s v="Single"/>
    <s v="Employed"/>
    <n v="113297"/>
    <n v="441"/>
    <n v="51066"/>
    <n v="5.53"/>
    <n v="60"/>
    <s v="Personal"/>
    <n v="26.19"/>
    <n v="20918"/>
    <n v="129120"/>
    <x v="439"/>
    <s v="Pending"/>
    <s v="Yes"/>
    <x v="3"/>
    <x v="800"/>
    <x v="801"/>
    <n v="451"/>
    <n v="369"/>
    <n v="0.35149999999999998"/>
    <n v="61637429"/>
    <n v="51407.36363636364"/>
    <n v="99996"/>
    <n v="5091"/>
    <n v="1600378.9399999997"/>
    <n v="1334.7614178482065"/>
    <n v="0.35149999999999998"/>
    <n v="965130301.5199995"/>
    <x v="1"/>
    <n v="10778.039999999999"/>
  </r>
  <r>
    <s v="LN00803"/>
    <x v="802"/>
    <n v="40"/>
    <s v="Female"/>
    <s v="Divorced"/>
    <s v="Self-Employed"/>
    <n v="149586"/>
    <n v="652"/>
    <n v="87155"/>
    <n v="17.440000000000001"/>
    <n v="36"/>
    <s v="Mortgage"/>
    <n v="41.64"/>
    <n v="35927"/>
    <n v="214362"/>
    <x v="77"/>
    <s v="Rejected"/>
    <s v="Yes"/>
    <x v="4"/>
    <x v="801"/>
    <x v="802"/>
    <n v="451"/>
    <n v="369"/>
    <n v="0.35149999999999998"/>
    <n v="61586363"/>
    <n v="51407.648580968278"/>
    <n v="99996"/>
    <n v="5091"/>
    <n v="1599480.7699999996"/>
    <n v="1335.1258514190313"/>
    <n v="0.35149999999999998"/>
    <n v="963529922.57999957"/>
    <x v="1"/>
    <n v="34118.28"/>
  </r>
  <r>
    <s v="LN00804"/>
    <x v="803"/>
    <n v="49"/>
    <s v="Female"/>
    <s v="Married"/>
    <s v="Employed"/>
    <n v="134590"/>
    <n v="516"/>
    <n v="51346"/>
    <n v="14.79"/>
    <n v="240"/>
    <s v="Auto"/>
    <n v="6.89"/>
    <n v="11875"/>
    <n v="29815"/>
    <x v="608"/>
    <s v="Rejected"/>
    <s v="Yes"/>
    <x v="2"/>
    <x v="802"/>
    <x v="803"/>
    <n v="451"/>
    <n v="368"/>
    <n v="0.35149999999999998"/>
    <n v="61499208"/>
    <n v="51377.784461152885"/>
    <n v="99996"/>
    <n v="5091"/>
    <n v="1596637.5799999996"/>
    <n v="1333.8659816207182"/>
    <n v="0.35149999999999998"/>
    <n v="961930441.80999959"/>
    <x v="1"/>
    <n v="2946.96"/>
  </r>
  <r>
    <s v="LN00805"/>
    <x v="804"/>
    <n v="49"/>
    <s v="Female"/>
    <s v="Single"/>
    <s v="Self-Employed"/>
    <n v="99097"/>
    <n v="788"/>
    <n v="90968"/>
    <n v="13.91"/>
    <n v="24"/>
    <s v="Education"/>
    <n v="28.13"/>
    <n v="78122"/>
    <n v="169463"/>
    <x v="609"/>
    <s v="Approved"/>
    <s v="Yes"/>
    <x v="4"/>
    <x v="803"/>
    <x v="804"/>
    <n v="451"/>
    <n v="367"/>
    <n v="0.35149999999999998"/>
    <n v="61447862"/>
    <n v="51377.811036789295"/>
    <n v="99996"/>
    <n v="5091"/>
    <n v="1596391.9999999995"/>
    <n v="1334.775919732441"/>
    <n v="0.35149999999999998"/>
    <n v="960333804.22999954"/>
    <x v="1"/>
    <n v="51810.84"/>
  </r>
  <r>
    <s v="LN00806"/>
    <x v="805"/>
    <n v="28"/>
    <s v="Female"/>
    <s v="Single"/>
    <s v="Unemployed"/>
    <n v="125331"/>
    <n v="523"/>
    <n v="60614"/>
    <n v="9.9700000000000006"/>
    <n v="36"/>
    <s v="Business"/>
    <n v="14.23"/>
    <n v="17064"/>
    <n v="43828"/>
    <x v="79"/>
    <s v="Pending"/>
    <s v="No"/>
    <x v="3"/>
    <x v="804"/>
    <x v="805"/>
    <n v="450"/>
    <n v="367"/>
    <n v="0.35149999999999998"/>
    <n v="61356894"/>
    <n v="51344.681171548116"/>
    <n v="99996"/>
    <n v="5091"/>
    <n v="1592074.4299999995"/>
    <n v="1332.2798577405854"/>
    <n v="0.35149999999999998"/>
    <n v="958737412.22999954"/>
    <x v="1"/>
    <n v="22219.079999999998"/>
  </r>
  <r>
    <s v="LN00807"/>
    <x v="806"/>
    <n v="50"/>
    <s v="Male"/>
    <s v="Single"/>
    <s v="Unemployed"/>
    <n v="139652"/>
    <n v="496"/>
    <n v="7547"/>
    <n v="5.56"/>
    <n v="60"/>
    <s v="Business"/>
    <n v="18.12"/>
    <n v="37785"/>
    <n v="106710"/>
    <x v="610"/>
    <s v="Approved"/>
    <s v="No"/>
    <x v="4"/>
    <x v="805"/>
    <x v="806"/>
    <n v="450"/>
    <n v="367"/>
    <n v="0.35149999999999998"/>
    <n v="61296280"/>
    <n v="51336.917922948072"/>
    <n v="99996"/>
    <n v="5091"/>
    <n v="1590222.8399999994"/>
    <n v="1331.844924623115"/>
    <n v="0.35149999999999998"/>
    <n v="957145337.79999948"/>
    <x v="1"/>
    <n v="1593.3600000000001"/>
  </r>
  <r>
    <s v="LN00808"/>
    <x v="807"/>
    <n v="24"/>
    <s v="Female"/>
    <s v="Married"/>
    <s v="Unemployed"/>
    <n v="191770"/>
    <n v="733"/>
    <n v="33440"/>
    <n v="7.5"/>
    <n v="360"/>
    <s v="Business"/>
    <n v="43.98"/>
    <n v="732"/>
    <n v="137586"/>
    <x v="611"/>
    <s v="Approved"/>
    <s v="No"/>
    <x v="4"/>
    <x v="806"/>
    <x v="807"/>
    <n v="449"/>
    <n v="367"/>
    <n v="0.35149999999999998"/>
    <n v="61288733"/>
    <n v="51373.623637887678"/>
    <n v="99996"/>
    <n v="5091"/>
    <n v="1590090.0599999994"/>
    <n v="1332.8500083822291"/>
    <n v="0.35149999999999998"/>
    <n v="955555114.95999944"/>
    <x v="1"/>
    <n v="1198.32"/>
  </r>
  <r>
    <s v="LN00809"/>
    <x v="808"/>
    <n v="63"/>
    <s v="Male"/>
    <s v="Single"/>
    <s v="Self-Employed"/>
    <n v="177196"/>
    <n v="382"/>
    <n v="94303"/>
    <n v="15.93"/>
    <n v="48"/>
    <s v="Mortgage"/>
    <n v="24.06"/>
    <n v="78802"/>
    <n v="36318"/>
    <x v="612"/>
    <s v="Approved"/>
    <s v="No"/>
    <x v="1"/>
    <x v="807"/>
    <x v="808"/>
    <n v="448"/>
    <n v="367"/>
    <n v="0.35149999999999998"/>
    <n v="61255293"/>
    <n v="51388.668624161073"/>
    <n v="99996"/>
    <n v="5091"/>
    <n v="1589990.1999999995"/>
    <n v="1333.8843959731539"/>
    <n v="0.35149999999999998"/>
    <n v="953965024.8999995"/>
    <x v="1"/>
    <n v="27331.32"/>
  </r>
  <r>
    <s v="LN00810"/>
    <x v="809"/>
    <n v="64"/>
    <s v="Female"/>
    <s v="Divorced"/>
    <s v="Self-Employed"/>
    <n v="100948"/>
    <n v="366"/>
    <n v="68750"/>
    <n v="5.37"/>
    <n v="12"/>
    <s v="Education"/>
    <n v="48.03"/>
    <n v="15797"/>
    <n v="203500"/>
    <x v="336"/>
    <s v="Pending"/>
    <s v="No"/>
    <x v="1"/>
    <x v="808"/>
    <x v="809"/>
    <n v="447"/>
    <n v="367"/>
    <n v="0.35149999999999998"/>
    <n v="61160990"/>
    <n v="51352.636439966416"/>
    <n v="99996"/>
    <n v="5091"/>
    <n v="1587712.5899999996"/>
    <n v="1333.0920151133498"/>
    <n v="0.35149999999999998"/>
    <n v="952375034.69999957"/>
    <x v="1"/>
    <n v="72441.84"/>
  </r>
  <r>
    <s v="LN00811"/>
    <x v="810"/>
    <n v="28"/>
    <s v="Female"/>
    <s v="Single"/>
    <s v="Employed"/>
    <n v="98010"/>
    <n v="577"/>
    <n v="35476"/>
    <n v="8.75"/>
    <n v="36"/>
    <s v="Auto"/>
    <n v="33.42"/>
    <n v="28177"/>
    <n v="133830"/>
    <x v="594"/>
    <s v="Approved"/>
    <s v="No"/>
    <x v="2"/>
    <x v="809"/>
    <x v="810"/>
    <n v="447"/>
    <n v="367"/>
    <n v="0.35149999999999998"/>
    <n v="61092240"/>
    <n v="51338.016806722691"/>
    <n v="99996"/>
    <n v="5091"/>
    <n v="1581675.7699999993"/>
    <n v="1329.1393025210077"/>
    <n v="0.35149999999999998"/>
    <n v="950787322.10999966"/>
    <x v="0"/>
    <n v="12860.04"/>
  </r>
  <r>
    <s v="LN00812"/>
    <x v="811"/>
    <n v="33"/>
    <s v="Female"/>
    <s v="Married"/>
    <s v="Unemployed"/>
    <n v="102249"/>
    <n v="727"/>
    <n v="78182"/>
    <n v="17.23"/>
    <n v="24"/>
    <s v="Personal"/>
    <n v="51.11"/>
    <n v="57000"/>
    <n v="179843"/>
    <x v="613"/>
    <s v="Rejected"/>
    <s v="No"/>
    <x v="0"/>
    <x v="810"/>
    <x v="811"/>
    <n v="446"/>
    <n v="367"/>
    <n v="0.35149999999999998"/>
    <n v="61056764"/>
    <n v="51351.357443229608"/>
    <n v="99996"/>
    <n v="5091"/>
    <n v="1580604.0999999994"/>
    <n v="1329.3558452481072"/>
    <n v="0.35149999999999998"/>
    <n v="949205646.33999956"/>
    <x v="1"/>
    <n v="45826.32"/>
  </r>
  <r>
    <s v="LN00813"/>
    <x v="812"/>
    <n v="28"/>
    <s v="Female"/>
    <s v="Married"/>
    <s v="Employed"/>
    <n v="138143"/>
    <n v="641"/>
    <n v="24002"/>
    <n v="18.47"/>
    <n v="36"/>
    <s v="Auto"/>
    <n v="55.27"/>
    <n v="49720"/>
    <n v="177707"/>
    <x v="614"/>
    <s v="Pending"/>
    <s v="Yes"/>
    <x v="4"/>
    <x v="811"/>
    <x v="812"/>
    <n v="446"/>
    <n v="366"/>
    <n v="0.35149999999999998"/>
    <n v="60978582"/>
    <n v="51328.772727272728"/>
    <n v="99996"/>
    <n v="5091"/>
    <n v="1576785.2399999993"/>
    <n v="1327.2603030303023"/>
    <n v="0.35149999999999998"/>
    <n v="947625042.23999953"/>
    <x v="1"/>
    <n v="9478.44"/>
  </r>
  <r>
    <s v="LN00814"/>
    <x v="813"/>
    <n v="40"/>
    <s v="Female"/>
    <s v="Married"/>
    <s v="Employed"/>
    <n v="34030"/>
    <n v="472"/>
    <n v="20661"/>
    <n v="16.75"/>
    <n v="60"/>
    <s v="Business"/>
    <n v="12.74"/>
    <n v="15797"/>
    <n v="184090"/>
    <x v="615"/>
    <s v="Pending"/>
    <s v="Yes"/>
    <x v="0"/>
    <x v="812"/>
    <x v="813"/>
    <n v="446"/>
    <n v="366"/>
    <n v="0.35149999999999998"/>
    <n v="60954580"/>
    <n v="51351.794439764111"/>
    <n v="99996"/>
    <n v="5091"/>
    <n v="1575995.3699999994"/>
    <n v="1327.7130328559388"/>
    <n v="0.35149999999999998"/>
    <n v="946048256.99999964"/>
    <x v="1"/>
    <n v="4824.3599999999997"/>
  </r>
  <r>
    <s v="LN00815"/>
    <x v="814"/>
    <n v="65"/>
    <s v="Female"/>
    <s v="Single"/>
    <s v="Unemployed"/>
    <n v="190770"/>
    <n v="587"/>
    <n v="78627"/>
    <n v="4.7"/>
    <n v="60"/>
    <s v="Business"/>
    <n v="13.84"/>
    <n v="44007"/>
    <n v="75576"/>
    <x v="616"/>
    <s v="Approved"/>
    <s v="No"/>
    <x v="0"/>
    <x v="813"/>
    <x v="814"/>
    <n v="446"/>
    <n v="366"/>
    <n v="0.35149999999999998"/>
    <n v="60933919"/>
    <n v="51377.672006745364"/>
    <n v="99996"/>
    <n v="5091"/>
    <n v="1575593.3399999994"/>
    <n v="1328.4935413153453"/>
    <n v="0.35149999999999998"/>
    <n v="944472261.62999964"/>
    <x v="1"/>
    <n v="16464.48"/>
  </r>
  <r>
    <s v="LN00816"/>
    <x v="815"/>
    <n v="55"/>
    <s v="Male"/>
    <s v="Divorced"/>
    <s v="Employed"/>
    <n v="92471"/>
    <n v="402"/>
    <n v="51670"/>
    <n v="3.82"/>
    <n v="36"/>
    <s v="Education"/>
    <n v="40.97"/>
    <n v="10062"/>
    <n v="41022"/>
    <x v="617"/>
    <s v="Rejected"/>
    <s v="No"/>
    <x v="1"/>
    <x v="814"/>
    <x v="815"/>
    <n v="445"/>
    <n v="366"/>
    <n v="0.35149999999999998"/>
    <n v="60855292"/>
    <n v="51354.676793248946"/>
    <n v="99996"/>
    <n v="5091"/>
    <n v="1574221.2999999993"/>
    <n v="1328.4567932489447"/>
    <n v="0.35149999999999998"/>
    <n v="942896668.28999972"/>
    <x v="1"/>
    <n v="17881.32"/>
  </r>
  <r>
    <s v="LN00817"/>
    <x v="816"/>
    <n v="56"/>
    <s v="Male"/>
    <s v="Married"/>
    <s v="Unemployed"/>
    <n v="107579"/>
    <n v="660"/>
    <n v="33834"/>
    <n v="10.97"/>
    <n v="24"/>
    <s v="Personal"/>
    <n v="27.74"/>
    <n v="4392"/>
    <n v="64877"/>
    <x v="241"/>
    <s v="Approved"/>
    <s v="Yes"/>
    <x v="1"/>
    <x v="815"/>
    <x v="816"/>
    <n v="445"/>
    <n v="365"/>
    <n v="0.35149999999999998"/>
    <n v="60803622"/>
    <n v="51354.410472972973"/>
    <n v="99996"/>
    <n v="5091"/>
    <n v="1572731.1899999995"/>
    <n v="1328.3202618243238"/>
    <n v="0.35149999999999998"/>
    <n v="941322446.98999953"/>
    <x v="1"/>
    <n v="18772.800000000003"/>
  </r>
  <r>
    <s v="LN00818"/>
    <x v="817"/>
    <n v="46"/>
    <s v="Male"/>
    <s v="Married"/>
    <s v="Unemployed"/>
    <n v="48459"/>
    <n v="373"/>
    <n v="99289"/>
    <n v="20.39"/>
    <n v="360"/>
    <s v="Auto"/>
    <n v="28.68"/>
    <n v="6328"/>
    <n v="142716"/>
    <x v="208"/>
    <s v="Pending"/>
    <s v="No"/>
    <x v="0"/>
    <x v="816"/>
    <x v="817"/>
    <n v="444"/>
    <n v="365"/>
    <n v="0.35149999999999998"/>
    <n v="60769788"/>
    <n v="51369.220625528316"/>
    <n v="99996"/>
    <n v="5091"/>
    <n v="1571166.7899999993"/>
    <n v="1328.1207016060857"/>
    <n v="0.35149999999999998"/>
    <n v="939749715.79999959"/>
    <x v="1"/>
    <n v="3984.4800000000005"/>
  </r>
  <r>
    <s v="LN00819"/>
    <x v="818"/>
    <n v="55"/>
    <s v="Male"/>
    <s v="Single"/>
    <s v="Self-Employed"/>
    <n v="68656"/>
    <n v="482"/>
    <n v="95100"/>
    <n v="14.76"/>
    <n v="240"/>
    <s v="Education"/>
    <n v="13.85"/>
    <n v="37749"/>
    <n v="87277"/>
    <x v="363"/>
    <s v="Approved"/>
    <s v="Yes"/>
    <x v="4"/>
    <x v="817"/>
    <x v="818"/>
    <n v="444"/>
    <n v="365"/>
    <n v="0.35149999999999998"/>
    <n v="60670499"/>
    <n v="51328.679357021996"/>
    <n v="99996"/>
    <n v="5091"/>
    <n v="1570834.7499999995"/>
    <n v="1328.9634094754649"/>
    <n v="0.35149999999999998"/>
    <n v="938178549.00999963"/>
    <x v="1"/>
    <n v="5456.88"/>
  </r>
  <r>
    <s v="LN00820"/>
    <x v="819"/>
    <n v="47"/>
    <s v="Male"/>
    <s v="Single"/>
    <s v="Employed"/>
    <n v="57206"/>
    <n v="411"/>
    <n v="81068"/>
    <n v="20.52"/>
    <n v="360"/>
    <s v="Mortgage"/>
    <n v="43.79"/>
    <n v="64654"/>
    <n v="149702"/>
    <x v="512"/>
    <s v="Pending"/>
    <s v="Yes"/>
    <x v="4"/>
    <x v="818"/>
    <x v="819"/>
    <n v="443"/>
    <n v="365"/>
    <n v="0.35149999999999998"/>
    <n v="60575399"/>
    <n v="51291.616426756984"/>
    <n v="99996"/>
    <n v="5091"/>
    <n v="1570380.0099999995"/>
    <n v="1329.7036494496185"/>
    <n v="0.35149999999999998"/>
    <n v="936607714.25999963"/>
    <x v="1"/>
    <n v="3256.7999999999997"/>
  </r>
  <r>
    <s v="LN00821"/>
    <x v="820"/>
    <n v="52"/>
    <s v="Male"/>
    <s v="Married"/>
    <s v="Self-Employed"/>
    <n v="53777"/>
    <n v="797"/>
    <n v="78927"/>
    <n v="14.79"/>
    <n v="48"/>
    <s v="Mortgage"/>
    <n v="12.55"/>
    <n v="58606"/>
    <n v="198526"/>
    <x v="618"/>
    <s v="Rejected"/>
    <s v="Yes"/>
    <x v="3"/>
    <x v="819"/>
    <x v="820"/>
    <n v="443"/>
    <n v="365"/>
    <n v="0.35149999999999998"/>
    <n v="60494331"/>
    <n v="51266.382203389832"/>
    <n v="99996"/>
    <n v="5091"/>
    <n v="1570108.6099999994"/>
    <n v="1330.6005169491521"/>
    <n v="0.35149999999999998"/>
    <n v="935037334.24999964"/>
    <x v="1"/>
    <n v="22650.12"/>
  </r>
  <r>
    <s v="LN00822"/>
    <x v="821"/>
    <n v="42"/>
    <s v="Male"/>
    <s v="Married"/>
    <s v="Unemployed"/>
    <n v="109962"/>
    <n v="444"/>
    <n v="68532"/>
    <n v="7.12"/>
    <n v="48"/>
    <s v="Personal"/>
    <n v="11.86"/>
    <n v="61642"/>
    <n v="226320"/>
    <x v="619"/>
    <s v="Approved"/>
    <s v="No"/>
    <x v="0"/>
    <x v="820"/>
    <x v="821"/>
    <n v="443"/>
    <n v="364"/>
    <n v="0.35149999999999998"/>
    <n v="60415404"/>
    <n v="51242.921119592873"/>
    <n v="99996"/>
    <n v="5091"/>
    <n v="1568221.0999999994"/>
    <n v="1330.1281594571665"/>
    <n v="0.35149999999999998"/>
    <n v="933467225.63999963"/>
    <x v="1"/>
    <n v="18352.920000000002"/>
  </r>
  <r>
    <s v="LN00823"/>
    <x v="822"/>
    <n v="58"/>
    <s v="Female"/>
    <s v="Single"/>
    <s v="Self-Employed"/>
    <n v="148817"/>
    <n v="440"/>
    <n v="67516"/>
    <n v="20.12"/>
    <n v="48"/>
    <s v="Business"/>
    <n v="5.4"/>
    <n v="20098"/>
    <n v="169427"/>
    <x v="94"/>
    <s v="Rejected"/>
    <s v="No"/>
    <x v="2"/>
    <x v="821"/>
    <x v="822"/>
    <n v="442"/>
    <n v="364"/>
    <n v="0.35149999999999998"/>
    <n v="60346872"/>
    <n v="51228.244482173177"/>
    <n v="99996"/>
    <n v="5091"/>
    <n v="1566691.6899999995"/>
    <n v="1329.9589898132424"/>
    <n v="0.35149999999999998"/>
    <n v="931899004.5399996"/>
    <x v="1"/>
    <n v="20275.079999999998"/>
  </r>
  <r>
    <s v="LN00824"/>
    <x v="823"/>
    <n v="51"/>
    <s v="Male"/>
    <s v="Divorced"/>
    <s v="Employed"/>
    <n v="149291"/>
    <n v="474"/>
    <n v="90251"/>
    <n v="21.43"/>
    <n v="24"/>
    <s v="Mortgage"/>
    <n v="44.73"/>
    <n v="32380"/>
    <n v="13303"/>
    <x v="620"/>
    <s v="Approved"/>
    <s v="No"/>
    <x v="2"/>
    <x v="822"/>
    <x v="823"/>
    <n v="442"/>
    <n v="363"/>
    <n v="0.35149999999999998"/>
    <n v="60279356"/>
    <n v="51214.406117247236"/>
    <n v="99996"/>
    <n v="5091"/>
    <n v="1565002.0999999994"/>
    <n v="1329.6534409515714"/>
    <n v="0.35149999999999998"/>
    <n v="930332312.84999955"/>
    <x v="1"/>
    <n v="54795.839999999997"/>
  </r>
  <r>
    <s v="LN00825"/>
    <x v="824"/>
    <n v="56"/>
    <s v="Female"/>
    <s v="Single"/>
    <s v="Unemployed"/>
    <n v="181946"/>
    <n v="616"/>
    <n v="63006"/>
    <n v="9.73"/>
    <n v="60"/>
    <s v="Education"/>
    <n v="59.53"/>
    <n v="61066"/>
    <n v="90430"/>
    <x v="621"/>
    <s v="Pending"/>
    <s v="No"/>
    <x v="4"/>
    <x v="823"/>
    <x v="824"/>
    <n v="441"/>
    <n v="363"/>
    <n v="0.35149999999999998"/>
    <n v="60189105"/>
    <n v="51181.211734693876"/>
    <n v="99996"/>
    <n v="5091"/>
    <n v="1560435.7799999991"/>
    <n v="1326.901173469387"/>
    <n v="0.35149999999999998"/>
    <n v="928767310.74999964"/>
    <x v="1"/>
    <n v="13827.24"/>
  </r>
  <r>
    <s v="LN00826"/>
    <x v="825"/>
    <n v="50"/>
    <s v="Male"/>
    <s v="Divorced"/>
    <s v="Unemployed"/>
    <n v="112605"/>
    <n v="576"/>
    <n v="6323"/>
    <n v="17.97"/>
    <n v="180"/>
    <s v="Mortgage"/>
    <n v="31.12"/>
    <n v="70935"/>
    <n v="182658"/>
    <x v="622"/>
    <s v="Rejected"/>
    <s v="No"/>
    <x v="1"/>
    <x v="824"/>
    <x v="825"/>
    <n v="441"/>
    <n v="363"/>
    <n v="0.35149999999999998"/>
    <n v="60126099"/>
    <n v="51171.148085106382"/>
    <n v="99996"/>
    <n v="5091"/>
    <n v="1559283.5099999991"/>
    <n v="1327.0497957446801"/>
    <n v="0.35149999999999998"/>
    <n v="927206874.96999967"/>
    <x v="1"/>
    <n v="497.28"/>
  </r>
  <r>
    <s v="LN00827"/>
    <x v="826"/>
    <n v="58"/>
    <s v="Male"/>
    <s v="Single"/>
    <s v="Unemployed"/>
    <n v="43688"/>
    <n v="537"/>
    <n v="38972"/>
    <n v="9.06"/>
    <n v="180"/>
    <s v="Personal"/>
    <n v="28.79"/>
    <n v="11878"/>
    <n v="109304"/>
    <x v="623"/>
    <s v="Approved"/>
    <s v="Yes"/>
    <x v="4"/>
    <x v="825"/>
    <x v="826"/>
    <n v="441"/>
    <n v="362"/>
    <n v="0.35149999999999998"/>
    <n v="60119776"/>
    <n v="51209.349233390116"/>
    <n v="99996"/>
    <n v="5091"/>
    <n v="1559242.0699999991"/>
    <n v="1328.1448637137983"/>
    <n v="0.35149999999999998"/>
    <n v="925647591.45999956"/>
    <x v="1"/>
    <n v="2833.56"/>
  </r>
  <r>
    <s v="LN00828"/>
    <x v="827"/>
    <n v="65"/>
    <s v="Female"/>
    <s v="Married"/>
    <s v="Employed"/>
    <n v="102685"/>
    <n v="675"/>
    <n v="17996"/>
    <n v="3.78"/>
    <n v="360"/>
    <s v="Education"/>
    <n v="57.84"/>
    <n v="43456"/>
    <n v="64152"/>
    <x v="624"/>
    <s v="Approved"/>
    <s v="Yes"/>
    <x v="1"/>
    <x v="826"/>
    <x v="827"/>
    <n v="440"/>
    <n v="362"/>
    <n v="0.35149999999999998"/>
    <n v="60080804"/>
    <n v="51219.781756180731"/>
    <n v="99996"/>
    <n v="5091"/>
    <n v="1559005.9399999992"/>
    <n v="1329.0758226768962"/>
    <n v="0.35149999999999998"/>
    <n v="924088349.38999963"/>
    <x v="1"/>
    <n v="622.56000000000006"/>
  </r>
  <r>
    <s v="LN00829"/>
    <x v="828"/>
    <n v="50"/>
    <s v="Female"/>
    <s v="Divorced"/>
    <s v="Self-Employed"/>
    <n v="109054"/>
    <n v="591"/>
    <n v="37116"/>
    <n v="16.28"/>
    <n v="36"/>
    <s v="Auto"/>
    <n v="35.58"/>
    <n v="73563"/>
    <n v="89908"/>
    <x v="530"/>
    <s v="Pending"/>
    <s v="No"/>
    <x v="4"/>
    <x v="827"/>
    <x v="828"/>
    <n v="439"/>
    <n v="362"/>
    <n v="0.35149999999999998"/>
    <n v="60062808"/>
    <n v="51248.129692832765"/>
    <n v="99996"/>
    <n v="5091"/>
    <n v="1558954.0599999991"/>
    <n v="1330.1655802047774"/>
    <n v="0.35149999999999998"/>
    <n v="922529343.44999957"/>
    <x v="1"/>
    <n v="14386.199999999999"/>
  </r>
  <r>
    <s v="LN00830"/>
    <x v="829"/>
    <n v="29"/>
    <s v="Female"/>
    <s v="Divorced"/>
    <s v="Unemployed"/>
    <n v="87312"/>
    <n v="303"/>
    <n v="72883"/>
    <n v="23.09"/>
    <n v="240"/>
    <s v="Business"/>
    <n v="13.77"/>
    <n v="43235"/>
    <n v="221667"/>
    <x v="625"/>
    <s v="Pending"/>
    <s v="Yes"/>
    <x v="3"/>
    <x v="828"/>
    <x v="829"/>
    <n v="439"/>
    <n v="362"/>
    <n v="0.35149999999999998"/>
    <n v="60025692"/>
    <n v="51260.198121263878"/>
    <n v="99996"/>
    <n v="5091"/>
    <n v="1557755.209999999"/>
    <n v="1330.2777198975227"/>
    <n v="0.35149999999999998"/>
    <n v="920970389.38999963"/>
    <x v="1"/>
    <n v="4485.6000000000004"/>
  </r>
  <r>
    <s v="LN00831"/>
    <x v="830"/>
    <n v="46"/>
    <s v="Female"/>
    <s v="Divorced"/>
    <s v="Self-Employed"/>
    <n v="127107"/>
    <n v="486"/>
    <n v="13227"/>
    <n v="11.47"/>
    <n v="12"/>
    <s v="Mortgage"/>
    <n v="41.34"/>
    <n v="53459"/>
    <n v="173425"/>
    <x v="514"/>
    <s v="Rejected"/>
    <s v="Yes"/>
    <x v="4"/>
    <x v="829"/>
    <x v="830"/>
    <n v="439"/>
    <n v="362"/>
    <n v="0.35149999999999998"/>
    <n v="59952809"/>
    <n v="51241.717094017091"/>
    <n v="99996"/>
    <n v="5091"/>
    <n v="1557381.409999999"/>
    <n v="1331.0952222222213"/>
    <n v="0.35149999999999998"/>
    <n v="919412634.17999959"/>
    <x v="1"/>
    <n v="14744.16"/>
  </r>
  <r>
    <s v="LN00832"/>
    <x v="831"/>
    <n v="55"/>
    <s v="Male"/>
    <s v="Divorced"/>
    <s v="Unemployed"/>
    <n v="174182"/>
    <n v="578"/>
    <n v="60458"/>
    <n v="23.77"/>
    <n v="360"/>
    <s v="Business"/>
    <n v="6.61"/>
    <n v="22050"/>
    <n v="104043"/>
    <x v="252"/>
    <s v="Approved"/>
    <s v="No"/>
    <x v="3"/>
    <x v="830"/>
    <x v="831"/>
    <n v="439"/>
    <n v="361"/>
    <n v="0.35149999999999998"/>
    <n v="59939582"/>
    <n v="51274.236099230111"/>
    <n v="99996"/>
    <n v="5091"/>
    <n v="1556152.7299999993"/>
    <n v="1331.1828314798968"/>
    <n v="0.35149999999999998"/>
    <n v="917855252.76999974"/>
    <x v="0"/>
    <n v="2494.3200000000002"/>
  </r>
  <r>
    <s v="LN00833"/>
    <x v="832"/>
    <n v="25"/>
    <s v="Female"/>
    <s v="Divorced"/>
    <s v="Self-Employed"/>
    <n v="132146"/>
    <n v="620"/>
    <n v="63526"/>
    <n v="21.98"/>
    <n v="60"/>
    <s v="Mortgage"/>
    <n v="58.27"/>
    <n v="5812"/>
    <n v="7219"/>
    <x v="626"/>
    <s v="Pending"/>
    <s v="Yes"/>
    <x v="4"/>
    <x v="831"/>
    <x v="832"/>
    <n v="438"/>
    <n v="361"/>
    <n v="0.35149999999999998"/>
    <n v="59879124"/>
    <n v="51266.373287671231"/>
    <n v="99996"/>
    <n v="5091"/>
    <n v="1555944.8699999992"/>
    <n v="1332.1445804794514"/>
    <n v="0.35149999999999998"/>
    <n v="916299100.03999972"/>
    <x v="1"/>
    <n v="15497.76"/>
  </r>
  <r>
    <s v="LN00834"/>
    <x v="833"/>
    <n v="23"/>
    <s v="Male"/>
    <s v="Married"/>
    <s v="Employed"/>
    <n v="117775"/>
    <n v="306"/>
    <n v="60975"/>
    <n v="4.1500000000000004"/>
    <n v="240"/>
    <s v="Business"/>
    <n v="59.1"/>
    <n v="3681"/>
    <n v="86940"/>
    <x v="548"/>
    <s v="Pending"/>
    <s v="No"/>
    <x v="1"/>
    <x v="832"/>
    <x v="833"/>
    <n v="438"/>
    <n v="361"/>
    <n v="0.35149999999999998"/>
    <n v="59815598"/>
    <n v="51255.868037703513"/>
    <n v="99996"/>
    <n v="5091"/>
    <n v="1554653.3899999994"/>
    <n v="1332.17942587832"/>
    <n v="0.35149999999999998"/>
    <n v="914743155.16999984"/>
    <x v="1"/>
    <n v="3175.32"/>
  </r>
  <r>
    <s v="LN00835"/>
    <x v="834"/>
    <n v="34"/>
    <s v="Female"/>
    <s v="Married"/>
    <s v="Unemployed"/>
    <n v="182161"/>
    <n v="599"/>
    <n v="90500"/>
    <n v="17.52"/>
    <n v="48"/>
    <s v="Auto"/>
    <n v="18.84"/>
    <n v="74088"/>
    <n v="17028"/>
    <x v="81"/>
    <s v="Pending"/>
    <s v="No"/>
    <x v="0"/>
    <x v="833"/>
    <x v="834"/>
    <n v="438"/>
    <n v="361"/>
    <n v="0.35149999999999998"/>
    <n v="59754623"/>
    <n v="51247.532590051458"/>
    <n v="99996"/>
    <n v="5091"/>
    <n v="1554388.7799999993"/>
    <n v="1333.0950085763288"/>
    <n v="0.35149999999999998"/>
    <n v="913188501.77999985"/>
    <x v="1"/>
    <n v="26588.879999999997"/>
  </r>
  <r>
    <s v="LN00836"/>
    <x v="835"/>
    <n v="50"/>
    <s v="Male"/>
    <s v="Married"/>
    <s v="Unemployed"/>
    <n v="190865"/>
    <n v="474"/>
    <n v="84616"/>
    <n v="7.79"/>
    <n v="12"/>
    <s v="Education"/>
    <n v="5.64"/>
    <n v="24998"/>
    <n v="151454"/>
    <x v="627"/>
    <s v="Pending"/>
    <s v="No"/>
    <x v="1"/>
    <x v="834"/>
    <x v="835"/>
    <n v="438"/>
    <n v="361"/>
    <n v="0.35149999999999998"/>
    <n v="59664123"/>
    <n v="51213.83948497854"/>
    <n v="99996"/>
    <n v="5091"/>
    <n v="1552173.0399999993"/>
    <n v="1332.3373733905573"/>
    <n v="0.35149999999999998"/>
    <n v="911634112.99999988"/>
    <x v="1"/>
    <n v="91207.56"/>
  </r>
  <r>
    <s v="LN00837"/>
    <x v="836"/>
    <n v="27"/>
    <s v="Female"/>
    <s v="Divorced"/>
    <s v="Unemployed"/>
    <n v="34290"/>
    <n v="847"/>
    <n v="10303"/>
    <n v="14.38"/>
    <n v="36"/>
    <s v="Auto"/>
    <n v="7.55"/>
    <n v="5131"/>
    <n v="156350"/>
    <x v="524"/>
    <s v="Approved"/>
    <s v="Yes"/>
    <x v="1"/>
    <x v="835"/>
    <x v="836"/>
    <n v="438"/>
    <n v="361"/>
    <n v="0.35149999999999998"/>
    <n v="59579507"/>
    <n v="51185.143470790375"/>
    <n v="99996"/>
    <n v="5091"/>
    <n v="1544572.41"/>
    <n v="1326.9522422680411"/>
    <n v="0.35149999999999998"/>
    <n v="910081939.95999992"/>
    <x v="0"/>
    <n v="3928.2000000000003"/>
  </r>
  <r>
    <s v="LN00838"/>
    <x v="837"/>
    <n v="22"/>
    <s v="Female"/>
    <s v="Divorced"/>
    <s v="Unemployed"/>
    <n v="114923"/>
    <n v="844"/>
    <n v="94189"/>
    <n v="19.23"/>
    <n v="360"/>
    <s v="Education"/>
    <n v="8.08"/>
    <n v="40253"/>
    <n v="191797"/>
    <x v="628"/>
    <s v="Rejected"/>
    <s v="Yes"/>
    <x v="0"/>
    <x v="836"/>
    <x v="837"/>
    <n v="437"/>
    <n v="361"/>
    <n v="0.35149999999999998"/>
    <n v="59569204"/>
    <n v="51220.295786758383"/>
    <n v="99996"/>
    <n v="5091"/>
    <n v="1544245.06"/>
    <n v="1327.8117454858127"/>
    <n v="0.35149999999999998"/>
    <n v="908537367.54999995"/>
    <x v="1"/>
    <n v="3743.3999999999996"/>
  </r>
  <r>
    <s v="LN00839"/>
    <x v="838"/>
    <n v="50"/>
    <s v="Male"/>
    <s v="Single"/>
    <s v="Employed"/>
    <n v="124923"/>
    <n v="822"/>
    <n v="82202"/>
    <n v="23.69"/>
    <n v="36"/>
    <s v="Personal"/>
    <n v="15.07"/>
    <n v="3771"/>
    <n v="196570"/>
    <x v="533"/>
    <s v="Approved"/>
    <s v="Yes"/>
    <x v="1"/>
    <x v="837"/>
    <x v="838"/>
    <n v="437"/>
    <n v="360"/>
    <n v="0.35149999999999998"/>
    <n v="59475015"/>
    <n v="51183.31755593804"/>
    <n v="99996"/>
    <n v="5091"/>
    <n v="1543933.1099999999"/>
    <n v="1328.6859810671256"/>
    <n v="0.35149999999999998"/>
    <n v="906993122.49000001"/>
    <x v="1"/>
    <n v="33891.840000000004"/>
  </r>
  <r>
    <s v="LN00840"/>
    <x v="839"/>
    <n v="46"/>
    <s v="Male"/>
    <s v="Single"/>
    <s v="Employed"/>
    <n v="137011"/>
    <n v="511"/>
    <n v="38861"/>
    <n v="11.46"/>
    <n v="360"/>
    <s v="Business"/>
    <n v="34.9"/>
    <n v="63940"/>
    <n v="73363"/>
    <x v="629"/>
    <s v="Rejected"/>
    <s v="No"/>
    <x v="2"/>
    <x v="838"/>
    <x v="839"/>
    <n v="436"/>
    <n v="360"/>
    <n v="0.35149999999999998"/>
    <n v="59392813"/>
    <n v="51156.600344530576"/>
    <n v="99996"/>
    <n v="5091"/>
    <n v="1541108.7899999998"/>
    <n v="1327.3977519379844"/>
    <n v="0.35149999999999998"/>
    <n v="905449189.37999976"/>
    <x v="1"/>
    <n v="1443.84"/>
  </r>
  <r>
    <s v="LN00841"/>
    <x v="840"/>
    <n v="32"/>
    <s v="Female"/>
    <s v="Married"/>
    <s v="Self-Employed"/>
    <n v="193132"/>
    <n v="405"/>
    <n v="95413"/>
    <n v="9.36"/>
    <n v="24"/>
    <s v="Personal"/>
    <n v="16.13"/>
    <n v="70533"/>
    <n v="24666"/>
    <x v="630"/>
    <s v="Pending"/>
    <s v="Yes"/>
    <x v="0"/>
    <x v="839"/>
    <x v="840"/>
    <n v="436"/>
    <n v="359"/>
    <n v="0.35149999999999998"/>
    <n v="59353952"/>
    <n v="51167.199999999997"/>
    <n v="99996"/>
    <n v="5091"/>
    <n v="1540988.4699999997"/>
    <n v="1328.4383362068963"/>
    <n v="0.35149999999999998"/>
    <n v="903908080.58999968"/>
    <x v="1"/>
    <n v="52171.799999999996"/>
  </r>
  <r>
    <s v="LN00842"/>
    <x v="841"/>
    <n v="57"/>
    <s v="Female"/>
    <s v="Single"/>
    <s v="Unemployed"/>
    <n v="71997"/>
    <n v="516"/>
    <n v="26895"/>
    <n v="20.89"/>
    <n v="24"/>
    <s v="Education"/>
    <n v="21.2"/>
    <n v="77600"/>
    <n v="171292"/>
    <x v="436"/>
    <s v="Rejected"/>
    <s v="Yes"/>
    <x v="2"/>
    <x v="840"/>
    <x v="841"/>
    <n v="436"/>
    <n v="359"/>
    <n v="0.35149999999999998"/>
    <n v="59258539"/>
    <n v="51129.024158757551"/>
    <n v="99996"/>
    <n v="5091"/>
    <n v="1536640.8199999998"/>
    <n v="1325.833321829163"/>
    <n v="0.35149999999999998"/>
    <n v="902367092.11999977"/>
    <x v="1"/>
    <n v="16256.64"/>
  </r>
  <r>
    <s v="LN00843"/>
    <x v="842"/>
    <n v="30"/>
    <s v="Male"/>
    <s v="Married"/>
    <s v="Unemployed"/>
    <n v="32497"/>
    <n v="383"/>
    <n v="70364"/>
    <n v="4.1900000000000004"/>
    <n v="12"/>
    <s v="Personal"/>
    <n v="7.32"/>
    <n v="51022"/>
    <n v="139110"/>
    <x v="631"/>
    <s v="Rejected"/>
    <s v="No"/>
    <x v="3"/>
    <x v="841"/>
    <x v="842"/>
    <n v="436"/>
    <n v="358"/>
    <n v="0.35149999999999998"/>
    <n v="59231644"/>
    <n v="51149.951640759929"/>
    <n v="99996"/>
    <n v="5091"/>
    <n v="1535286.0999999999"/>
    <n v="1325.8083765112262"/>
    <n v="0.35149999999999998"/>
    <n v="900830451.29999983"/>
    <x v="1"/>
    <n v="73312.200000000012"/>
  </r>
  <r>
    <s v="LN00844"/>
    <x v="843"/>
    <n v="21"/>
    <s v="Female"/>
    <s v="Single"/>
    <s v="Employed"/>
    <n v="43955"/>
    <n v="386"/>
    <n v="31327"/>
    <n v="7.05"/>
    <n v="60"/>
    <s v="Auto"/>
    <n v="37.9"/>
    <n v="25901"/>
    <n v="70959"/>
    <x v="427"/>
    <s v="Rejected"/>
    <s v="No"/>
    <x v="4"/>
    <x v="842"/>
    <x v="843"/>
    <n v="436"/>
    <n v="357"/>
    <n v="0.35149999999999998"/>
    <n v="59161280"/>
    <n v="51133.344857389799"/>
    <n v="99996"/>
    <n v="5091"/>
    <n v="1529176.7499999998"/>
    <n v="1321.6739412273118"/>
    <n v="0.35149999999999998"/>
    <n v="899295165.19999993"/>
    <x v="0"/>
    <n v="6707.16"/>
  </r>
  <r>
    <s v="LN00845"/>
    <x v="844"/>
    <n v="40"/>
    <s v="Male"/>
    <s v="Single"/>
    <s v="Employed"/>
    <n v="73952"/>
    <n v="446"/>
    <n v="50748"/>
    <n v="22.22"/>
    <n v="24"/>
    <s v="Mortgage"/>
    <n v="5.7"/>
    <n v="24925"/>
    <n v="148910"/>
    <x v="632"/>
    <s v="Pending"/>
    <s v="No"/>
    <x v="3"/>
    <x v="843"/>
    <x v="844"/>
    <n v="436"/>
    <n v="356"/>
    <n v="0.35149999999999998"/>
    <n v="59129953"/>
    <n v="51150.478373702419"/>
    <n v="99996"/>
    <n v="5091"/>
    <n v="1528617.8199999996"/>
    <n v="1322.3337543252592"/>
    <n v="0.35149999999999998"/>
    <n v="897765988.44999993"/>
    <x v="1"/>
    <n v="31012.080000000002"/>
  </r>
  <r>
    <s v="LN00846"/>
    <x v="845"/>
    <n v="63"/>
    <s v="Male"/>
    <s v="Married"/>
    <s v="Unemployed"/>
    <n v="146353"/>
    <n v="613"/>
    <n v="15742"/>
    <n v="20.46"/>
    <n v="48"/>
    <s v="Auto"/>
    <n v="55.85"/>
    <n v="30466"/>
    <n v="230453"/>
    <x v="633"/>
    <s v="Approved"/>
    <s v="Yes"/>
    <x v="4"/>
    <x v="844"/>
    <x v="845"/>
    <n v="436"/>
    <n v="356"/>
    <n v="0.35149999999999998"/>
    <n v="59079205"/>
    <n v="51150.826839826841"/>
    <n v="99996"/>
    <n v="5091"/>
    <n v="1526033.48"/>
    <n v="1321.2411082251083"/>
    <n v="0.35149999999999998"/>
    <n v="896237370.62999988"/>
    <x v="1"/>
    <n v="4740.72"/>
  </r>
  <r>
    <s v="LN00847"/>
    <x v="846"/>
    <n v="49"/>
    <s v="Female"/>
    <s v="Married"/>
    <s v="Unemployed"/>
    <n v="67249"/>
    <n v="340"/>
    <n v="58854"/>
    <n v="13.06"/>
    <n v="48"/>
    <s v="Business"/>
    <n v="14.42"/>
    <n v="59090"/>
    <n v="234967"/>
    <x v="634"/>
    <s v="Approved"/>
    <s v="No"/>
    <x v="2"/>
    <x v="845"/>
    <x v="846"/>
    <n v="435"/>
    <n v="356"/>
    <n v="0.35149999999999998"/>
    <n v="59063463"/>
    <n v="51181.510398613522"/>
    <n v="99996"/>
    <n v="5091"/>
    <n v="1525638.42"/>
    <n v="1322.0436915077989"/>
    <n v="0.35149999999999998"/>
    <n v="894711337.14999986"/>
    <x v="1"/>
    <n v="16635.12"/>
  </r>
  <r>
    <s v="LN00848"/>
    <x v="847"/>
    <n v="32"/>
    <s v="Female"/>
    <s v="Married"/>
    <s v="Employed"/>
    <n v="115351"/>
    <n v="331"/>
    <n v="27292"/>
    <n v="9.42"/>
    <n v="48"/>
    <s v="Personal"/>
    <n v="55.16"/>
    <n v="55421"/>
    <n v="150700"/>
    <x v="466"/>
    <s v="Pending"/>
    <s v="No"/>
    <x v="0"/>
    <x v="846"/>
    <x v="847"/>
    <n v="434"/>
    <n v="356"/>
    <n v="0.35149999999999998"/>
    <n v="59004609"/>
    <n v="51174.856027753689"/>
    <n v="99996"/>
    <n v="5091"/>
    <n v="1524252.16"/>
    <n v="1321.9879965307891"/>
    <n v="0.35149999999999998"/>
    <n v="893185698.72999978"/>
    <x v="1"/>
    <n v="7465.68"/>
  </r>
  <r>
    <s v="LN00849"/>
    <x v="848"/>
    <n v="32"/>
    <s v="Male"/>
    <s v="Single"/>
    <s v="Self-Employed"/>
    <n v="95905"/>
    <n v="589"/>
    <n v="61161"/>
    <n v="16.62"/>
    <n v="180"/>
    <s v="Auto"/>
    <n v="48.13"/>
    <n v="16272"/>
    <n v="238540"/>
    <x v="635"/>
    <s v="Approved"/>
    <s v="No"/>
    <x v="0"/>
    <x v="847"/>
    <x v="848"/>
    <n v="434"/>
    <n v="356"/>
    <n v="0.35149999999999998"/>
    <n v="58977317"/>
    <n v="51195.587673611109"/>
    <n v="99996"/>
    <n v="5091"/>
    <n v="1523630.02"/>
    <n v="1322.5955034722222"/>
    <n v="0.35149999999999998"/>
    <n v="891661446.56999969"/>
    <x v="1"/>
    <n v="4755.12"/>
  </r>
  <r>
    <s v="LN00850"/>
    <x v="849"/>
    <n v="41"/>
    <s v="Female"/>
    <s v="Single"/>
    <s v="Self-Employed"/>
    <n v="125454"/>
    <n v="301"/>
    <n v="61535"/>
    <n v="8.9"/>
    <n v="360"/>
    <s v="Personal"/>
    <n v="18.29"/>
    <n v="73413"/>
    <n v="8384"/>
    <x v="89"/>
    <s v="Pending"/>
    <s v="No"/>
    <x v="4"/>
    <x v="848"/>
    <x v="849"/>
    <n v="433"/>
    <n v="356"/>
    <n v="0.35149999999999998"/>
    <n v="58916156"/>
    <n v="51186.929626411817"/>
    <n v="99996"/>
    <n v="5091"/>
    <n v="1523233.76"/>
    <n v="1323.400312771503"/>
    <n v="0.35149999999999998"/>
    <n v="890137816.54999971"/>
    <x v="1"/>
    <n v="2233.6799999999998"/>
  </r>
  <r>
    <s v="LN00851"/>
    <x v="850"/>
    <n v="63"/>
    <s v="Male"/>
    <s v="Divorced"/>
    <s v="Employed"/>
    <n v="84267"/>
    <n v="374"/>
    <n v="40088"/>
    <n v="18.37"/>
    <n v="120"/>
    <s v="Auto"/>
    <n v="17.760000000000002"/>
    <n v="57655"/>
    <n v="199860"/>
    <x v="282"/>
    <s v="Approved"/>
    <s v="No"/>
    <x v="1"/>
    <x v="849"/>
    <x v="850"/>
    <n v="433"/>
    <n v="356"/>
    <n v="0.35149999999999998"/>
    <n v="58854621"/>
    <n v="51177.931304347825"/>
    <n v="99996"/>
    <n v="5091"/>
    <n v="1523047.6199999999"/>
    <n v="1324.3892347826086"/>
    <n v="0.35149999999999998"/>
    <n v="888614582.78999972"/>
    <x v="1"/>
    <n v="4745.16"/>
  </r>
  <r>
    <s v="LN00852"/>
    <x v="851"/>
    <n v="62"/>
    <s v="Female"/>
    <s v="Married"/>
    <s v="Employed"/>
    <n v="33775"/>
    <n v="577"/>
    <n v="72649"/>
    <n v="11.31"/>
    <n v="240"/>
    <s v="Business"/>
    <n v="17.399999999999999"/>
    <n v="58204"/>
    <n v="183750"/>
    <x v="636"/>
    <s v="Rejected"/>
    <s v="No"/>
    <x v="4"/>
    <x v="850"/>
    <x v="851"/>
    <n v="432"/>
    <n v="356"/>
    <n v="0.35149999999999998"/>
    <n v="58814533"/>
    <n v="51187.58311575283"/>
    <n v="99996"/>
    <n v="5091"/>
    <n v="1522652.19"/>
    <n v="1325.19772845953"/>
    <n v="0.35149999999999998"/>
    <n v="887091535.16999972"/>
    <x v="1"/>
    <n v="4043.2799999999997"/>
  </r>
  <r>
    <s v="LN00853"/>
    <x v="852"/>
    <n v="51"/>
    <s v="Female"/>
    <s v="Married"/>
    <s v="Employed"/>
    <n v="61288"/>
    <n v="636"/>
    <n v="42245"/>
    <n v="6.18"/>
    <n v="180"/>
    <s v="Personal"/>
    <n v="7.81"/>
    <n v="65561"/>
    <n v="133101"/>
    <x v="637"/>
    <s v="Approved"/>
    <s v="No"/>
    <x v="3"/>
    <x v="851"/>
    <x v="852"/>
    <n v="432"/>
    <n v="355"/>
    <n v="0.35149999999999998"/>
    <n v="58741884"/>
    <n v="51168.888501742163"/>
    <n v="99996"/>
    <n v="5091"/>
    <n v="1522315.25"/>
    <n v="1326.0585801393729"/>
    <n v="0.35149999999999998"/>
    <n v="885568882.97999966"/>
    <x v="1"/>
    <n v="2990.3999999999996"/>
  </r>
  <r>
    <s v="LN00854"/>
    <x v="853"/>
    <n v="27"/>
    <s v="Male"/>
    <s v="Married"/>
    <s v="Employed"/>
    <n v="111384"/>
    <n v="412"/>
    <n v="75433"/>
    <n v="13.47"/>
    <n v="120"/>
    <s v="Mortgage"/>
    <n v="9.58"/>
    <n v="35597"/>
    <n v="127609"/>
    <x v="590"/>
    <s v="Pending"/>
    <s v="No"/>
    <x v="3"/>
    <x v="852"/>
    <x v="853"/>
    <n v="431"/>
    <n v="355"/>
    <n v="0.35149999999999998"/>
    <n v="58699639"/>
    <n v="51176.668700959024"/>
    <n v="99996"/>
    <n v="5091"/>
    <n v="1522066.05"/>
    <n v="1326.9974280732345"/>
    <n v="0.35149999999999998"/>
    <n v="884046567.72999966"/>
    <x v="1"/>
    <n v="8559.36"/>
  </r>
  <r>
    <s v="LN00855"/>
    <x v="854"/>
    <n v="36"/>
    <s v="Male"/>
    <s v="Married"/>
    <s v="Employed"/>
    <n v="80057"/>
    <n v="842"/>
    <n v="60460"/>
    <n v="13.61"/>
    <n v="240"/>
    <s v="Mortgage"/>
    <n v="57.57"/>
    <n v="36660"/>
    <n v="89708"/>
    <x v="189"/>
    <s v="Rejected"/>
    <s v="No"/>
    <x v="0"/>
    <x v="853"/>
    <x v="854"/>
    <n v="431"/>
    <n v="355"/>
    <n v="0.35149999999999998"/>
    <n v="58624206"/>
    <n v="51155.502617801045"/>
    <n v="99996"/>
    <n v="5091"/>
    <n v="1521352.77"/>
    <n v="1327.5329581151832"/>
    <n v="0.35149999999999998"/>
    <n v="882524501.67999971"/>
    <x v="1"/>
    <n v="3434.3999999999996"/>
  </r>
  <r>
    <s v="LN00856"/>
    <x v="855"/>
    <n v="33"/>
    <s v="Female"/>
    <s v="Married"/>
    <s v="Self-Employed"/>
    <n v="65929"/>
    <n v="694"/>
    <n v="19157"/>
    <n v="8.4499999999999993"/>
    <n v="36"/>
    <s v="Mortgage"/>
    <n v="34.450000000000003"/>
    <n v="48124"/>
    <n v="205896"/>
    <x v="638"/>
    <s v="Rejected"/>
    <s v="No"/>
    <x v="4"/>
    <x v="854"/>
    <x v="855"/>
    <n v="431"/>
    <n v="354"/>
    <n v="0.35149999999999998"/>
    <n v="58563746"/>
    <n v="51147.376419213972"/>
    <n v="99996"/>
    <n v="5091"/>
    <n v="1521066.57"/>
    <n v="1328.4424192139738"/>
    <n v="0.35149999999999998"/>
    <n v="881003148.90999973"/>
    <x v="1"/>
    <n v="6925.2000000000007"/>
  </r>
  <r>
    <s v="LN00857"/>
    <x v="856"/>
    <n v="29"/>
    <s v="Male"/>
    <s v="Married"/>
    <s v="Unemployed"/>
    <n v="70120"/>
    <n v="729"/>
    <n v="31394"/>
    <n v="15.17"/>
    <n v="36"/>
    <s v="Auto"/>
    <n v="13.68"/>
    <n v="11834"/>
    <n v="192472"/>
    <x v="462"/>
    <s v="Approved"/>
    <s v="No"/>
    <x v="0"/>
    <x v="855"/>
    <x v="856"/>
    <n v="431"/>
    <n v="353"/>
    <n v="0.35149999999999998"/>
    <n v="58544589"/>
    <n v="51175.340034965033"/>
    <n v="99996"/>
    <n v="5091"/>
    <n v="1520489.47"/>
    <n v="1329.0991870629371"/>
    <n v="0.35149999999999998"/>
    <n v="879482082.33999968"/>
    <x v="1"/>
    <n v="12052.2"/>
  </r>
  <r>
    <s v="LN00858"/>
    <x v="857"/>
    <n v="53"/>
    <s v="Female"/>
    <s v="Married"/>
    <s v="Employed"/>
    <n v="113009"/>
    <n v="626"/>
    <n v="89730"/>
    <n v="16.670000000000002"/>
    <n v="240"/>
    <s v="Personal"/>
    <n v="50.05"/>
    <n v="37797"/>
    <n v="210329"/>
    <x v="489"/>
    <s v="Approved"/>
    <s v="Yes"/>
    <x v="2"/>
    <x v="856"/>
    <x v="857"/>
    <n v="430"/>
    <n v="353"/>
    <n v="0.35149999999999998"/>
    <n v="58513195"/>
    <n v="51192.646544181975"/>
    <n v="99996"/>
    <n v="5091"/>
    <n v="1519485.1199999999"/>
    <n v="1329.383307086614"/>
    <n v="0.35149999999999998"/>
    <n v="877961592.86999965"/>
    <x v="1"/>
    <n v="5234.3999999999996"/>
  </r>
  <r>
    <s v="LN00859"/>
    <x v="858"/>
    <n v="30"/>
    <s v="Female"/>
    <s v="Single"/>
    <s v="Self-Employed"/>
    <n v="166890"/>
    <n v="473"/>
    <n v="46345"/>
    <n v="19.46"/>
    <n v="12"/>
    <s v="Education"/>
    <n v="59.39"/>
    <n v="79493"/>
    <n v="129130"/>
    <x v="255"/>
    <s v="Rejected"/>
    <s v="Yes"/>
    <x v="4"/>
    <x v="857"/>
    <x v="858"/>
    <n v="429"/>
    <n v="353"/>
    <n v="0.35149999999999998"/>
    <n v="58423465"/>
    <n v="51158.901050788088"/>
    <n v="99996"/>
    <n v="5091"/>
    <n v="1519048.92"/>
    <n v="1330.1654290718038"/>
    <n v="0.35149999999999998"/>
    <n v="876442107.74999976"/>
    <x v="1"/>
    <n v="55363.680000000008"/>
  </r>
  <r>
    <s v="LN00860"/>
    <x v="859"/>
    <n v="43"/>
    <s v="Male"/>
    <s v="Single"/>
    <s v="Unemployed"/>
    <n v="180647"/>
    <n v="742"/>
    <n v="86815"/>
    <n v="15.23"/>
    <n v="36"/>
    <s v="Personal"/>
    <n v="16"/>
    <n v="22282"/>
    <n v="145077"/>
    <x v="18"/>
    <s v="Approved"/>
    <s v="No"/>
    <x v="2"/>
    <x v="858"/>
    <x v="859"/>
    <n v="429"/>
    <n v="352"/>
    <n v="0.35149999999999998"/>
    <n v="58377120"/>
    <n v="51163.120070113939"/>
    <n v="99996"/>
    <n v="5091"/>
    <n v="1514435.2799999998"/>
    <n v="1327.2877125328657"/>
    <n v="0.35149999999999998"/>
    <n v="874923058.82999969"/>
    <x v="0"/>
    <n v="33345.600000000006"/>
  </r>
  <r>
    <s v="LN00861"/>
    <x v="860"/>
    <n v="64"/>
    <s v="Female"/>
    <s v="Divorced"/>
    <s v="Self-Employed"/>
    <n v="143570"/>
    <n v="484"/>
    <n v="30079"/>
    <n v="10.199999999999999"/>
    <n v="360"/>
    <s v="Personal"/>
    <n v="13.49"/>
    <n v="58199"/>
    <n v="139456"/>
    <x v="639"/>
    <s v="Approved"/>
    <s v="Yes"/>
    <x v="0"/>
    <x v="859"/>
    <x v="860"/>
    <n v="428"/>
    <n v="352"/>
    <n v="0.35149999999999998"/>
    <n v="58290305"/>
    <n v="51131.846491228069"/>
    <n v="99996"/>
    <n v="5091"/>
    <n v="1511656.4800000002"/>
    <n v="1326.0144561403511"/>
    <n v="0.35149999999999998"/>
    <n v="873408623.54999971"/>
    <x v="1"/>
    <n v="1104.96"/>
  </r>
  <r>
    <s v="LN00862"/>
    <x v="861"/>
    <n v="51"/>
    <s v="Male"/>
    <s v="Single"/>
    <s v="Unemployed"/>
    <n v="132719"/>
    <n v="832"/>
    <n v="38418"/>
    <n v="10.79"/>
    <n v="120"/>
    <s v="Personal"/>
    <n v="35.65"/>
    <n v="23179"/>
    <n v="25322"/>
    <x v="389"/>
    <s v="Approved"/>
    <s v="Yes"/>
    <x v="1"/>
    <x v="860"/>
    <x v="861"/>
    <n v="427"/>
    <n v="352"/>
    <n v="0.35149999999999998"/>
    <n v="58260226"/>
    <n v="51150.330114135206"/>
    <n v="99996"/>
    <n v="5091"/>
    <n v="1511564.4000000001"/>
    <n v="1327.0978050921863"/>
    <n v="0.35149999999999998"/>
    <n v="871896967.06999969"/>
    <x v="1"/>
    <n v="4256.28"/>
  </r>
  <r>
    <s v="LN00863"/>
    <x v="862"/>
    <n v="60"/>
    <s v="Male"/>
    <s v="Divorced"/>
    <s v="Unemployed"/>
    <n v="197107"/>
    <n v="324"/>
    <n v="50777"/>
    <n v="12.38"/>
    <n v="36"/>
    <s v="Education"/>
    <n v="43.1"/>
    <n v="43444"/>
    <n v="39570"/>
    <x v="640"/>
    <s v="Approved"/>
    <s v="No"/>
    <x v="2"/>
    <x v="861"/>
    <x v="862"/>
    <n v="426"/>
    <n v="352"/>
    <n v="0.35149999999999998"/>
    <n v="58221808"/>
    <n v="51161.518453427067"/>
    <n v="99996"/>
    <n v="5091"/>
    <n v="1511209.7100000002"/>
    <n v="1327.9522934973641"/>
    <n v="0.35149999999999998"/>
    <n v="870385402.6699996"/>
    <x v="1"/>
    <n v="19021.079999999998"/>
  </r>
  <r>
    <s v="LN00864"/>
    <x v="863"/>
    <n v="39"/>
    <s v="Male"/>
    <s v="Single"/>
    <s v="Employed"/>
    <n v="142930"/>
    <n v="842"/>
    <n v="17586"/>
    <n v="8.02"/>
    <n v="24"/>
    <s v="Mortgage"/>
    <n v="30.97"/>
    <n v="31229"/>
    <n v="212659"/>
    <x v="641"/>
    <s v="Pending"/>
    <s v="Yes"/>
    <x v="2"/>
    <x v="862"/>
    <x v="863"/>
    <n v="425"/>
    <n v="352"/>
    <n v="0.35149999999999998"/>
    <n v="58171031"/>
    <n v="51161.856640281439"/>
    <n v="99996"/>
    <n v="5091"/>
    <n v="1509624.62"/>
    <n v="1327.7261389621813"/>
    <n v="0.35149999999999998"/>
    <n v="868874192.95999968"/>
    <x v="1"/>
    <n v="9498.24"/>
  </r>
  <r>
    <s v="LN00865"/>
    <x v="864"/>
    <n v="33"/>
    <s v="Female"/>
    <s v="Married"/>
    <s v="Unemployed"/>
    <n v="174735"/>
    <n v="427"/>
    <n v="80094"/>
    <n v="7.53"/>
    <n v="24"/>
    <s v="Business"/>
    <n v="7.95"/>
    <n v="38699"/>
    <n v="70215"/>
    <x v="642"/>
    <s v="Pending"/>
    <s v="No"/>
    <x v="1"/>
    <x v="863"/>
    <x v="864"/>
    <n v="425"/>
    <n v="352"/>
    <n v="0.35149999999999998"/>
    <n v="58153445"/>
    <n v="51191.412852112677"/>
    <n v="99996"/>
    <n v="5091"/>
    <n v="1508833.1"/>
    <n v="1328.1981514084507"/>
    <n v="0.35149999999999998"/>
    <n v="867364568.33999968"/>
    <x v="1"/>
    <n v="43062.479999999996"/>
  </r>
  <r>
    <s v="LN00866"/>
    <x v="865"/>
    <n v="34"/>
    <s v="Male"/>
    <s v="Married"/>
    <s v="Employed"/>
    <n v="55888"/>
    <n v="544"/>
    <n v="60523"/>
    <n v="11.64"/>
    <n v="24"/>
    <s v="Education"/>
    <n v="58.26"/>
    <n v="16714"/>
    <n v="104958"/>
    <x v="643"/>
    <s v="Pending"/>
    <s v="No"/>
    <x v="2"/>
    <x v="864"/>
    <x v="865"/>
    <n v="425"/>
    <n v="352"/>
    <n v="0.35149999999999998"/>
    <n v="58073351"/>
    <n v="51165.948017621144"/>
    <n v="99996"/>
    <n v="5091"/>
    <n v="1505244.56"/>
    <n v="1326.2066607929517"/>
    <n v="0.35149999999999998"/>
    <n v="865855735.23999965"/>
    <x v="1"/>
    <n v="33783.96"/>
  </r>
  <r>
    <s v="LN00867"/>
    <x v="866"/>
    <n v="50"/>
    <s v="Female"/>
    <s v="Married"/>
    <s v="Unemployed"/>
    <n v="123902"/>
    <n v="677"/>
    <n v="66119"/>
    <n v="21.28"/>
    <n v="120"/>
    <s v="Education"/>
    <n v="23.26"/>
    <n v="50339"/>
    <n v="241065"/>
    <x v="557"/>
    <s v="Approved"/>
    <s v="Yes"/>
    <x v="0"/>
    <x v="865"/>
    <x v="866"/>
    <n v="425"/>
    <n v="352"/>
    <n v="0.35149999999999998"/>
    <n v="58012828"/>
    <n v="51157.696649029982"/>
    <n v="99996"/>
    <n v="5091"/>
    <n v="1502429.23"/>
    <n v="1324.8935008818341"/>
    <n v="0.35149999999999998"/>
    <n v="864350490.67999971"/>
    <x v="1"/>
    <n v="8018.88"/>
  </r>
  <r>
    <s v="LN00868"/>
    <x v="867"/>
    <n v="58"/>
    <s v="Female"/>
    <s v="Married"/>
    <s v="Self-Employed"/>
    <n v="167069"/>
    <n v="656"/>
    <n v="55689"/>
    <n v="18.77"/>
    <n v="60"/>
    <s v="Education"/>
    <n v="11.19"/>
    <n v="33007"/>
    <n v="23026"/>
    <x v="389"/>
    <s v="Approved"/>
    <s v="Yes"/>
    <x v="3"/>
    <x v="866"/>
    <x v="867"/>
    <n v="424"/>
    <n v="352"/>
    <n v="0.35149999999999998"/>
    <n v="57946709"/>
    <n v="51144.491615180938"/>
    <n v="99996"/>
    <n v="5091"/>
    <n v="1501760.99"/>
    <n v="1325.4730714916152"/>
    <n v="0.35149999999999998"/>
    <n v="862848061.44999969"/>
    <x v="1"/>
    <n v="13228.32"/>
  </r>
  <r>
    <s v="LN00869"/>
    <x v="868"/>
    <n v="57"/>
    <s v="Male"/>
    <s v="Divorced"/>
    <s v="Unemployed"/>
    <n v="134023"/>
    <n v="497"/>
    <n v="66934"/>
    <n v="6.97"/>
    <n v="180"/>
    <s v="Business"/>
    <n v="5.7"/>
    <n v="56657"/>
    <n v="192046"/>
    <x v="573"/>
    <s v="Rejected"/>
    <s v="No"/>
    <x v="4"/>
    <x v="867"/>
    <x v="868"/>
    <n v="423"/>
    <n v="352"/>
    <n v="0.35149999999999998"/>
    <n v="57891020"/>
    <n v="51140.477031802118"/>
    <n v="99996"/>
    <n v="5091"/>
    <n v="1500658.63"/>
    <n v="1325.6701678445229"/>
    <n v="0.35149999999999998"/>
    <n v="861346300.45999956"/>
    <x v="1"/>
    <n v="4773.24"/>
  </r>
  <r>
    <s v="LN00870"/>
    <x v="869"/>
    <n v="46"/>
    <s v="Male"/>
    <s v="Married"/>
    <s v="Employed"/>
    <n v="51756"/>
    <n v="492"/>
    <n v="43783"/>
    <n v="11.37"/>
    <n v="240"/>
    <s v="Business"/>
    <n v="27.79"/>
    <n v="16869"/>
    <n v="102808"/>
    <x v="523"/>
    <s v="Approved"/>
    <s v="No"/>
    <x v="2"/>
    <x v="868"/>
    <x v="869"/>
    <n v="423"/>
    <n v="351"/>
    <n v="0.35149999999999998"/>
    <n v="57824086"/>
    <n v="51126.51282051282"/>
    <n v="99996"/>
    <n v="5091"/>
    <n v="1500260.86"/>
    <n v="1326.4905923961098"/>
    <n v="0.35149999999999998"/>
    <n v="859845641.82999957"/>
    <x v="1"/>
    <n v="2438.04"/>
  </r>
  <r>
    <s v="LN00871"/>
    <x v="870"/>
    <n v="23"/>
    <s v="Male"/>
    <s v="Divorced"/>
    <s v="Unemployed"/>
    <n v="54402"/>
    <n v="483"/>
    <n v="57293"/>
    <n v="16.53"/>
    <n v="240"/>
    <s v="Auto"/>
    <n v="45.2"/>
    <n v="67072"/>
    <n v="26843"/>
    <x v="419"/>
    <s v="Pending"/>
    <s v="Yes"/>
    <x v="4"/>
    <x v="869"/>
    <x v="870"/>
    <n v="422"/>
    <n v="351"/>
    <n v="0.35149999999999998"/>
    <n v="57780303"/>
    <n v="51133.01150442478"/>
    <n v="99996"/>
    <n v="5091"/>
    <n v="1500057.69"/>
    <n v="1327.4846814159291"/>
    <n v="0.35149999999999998"/>
    <n v="858345380.96999967"/>
    <x v="1"/>
    <n v="3338.16"/>
  </r>
  <r>
    <s v="LN00872"/>
    <x v="871"/>
    <n v="24"/>
    <s v="Male"/>
    <s v="Single"/>
    <s v="Employed"/>
    <n v="164630"/>
    <n v="814"/>
    <n v="74918"/>
    <n v="18.91"/>
    <n v="240"/>
    <s v="Personal"/>
    <n v="50.03"/>
    <n v="43503"/>
    <n v="211056"/>
    <x v="364"/>
    <s v="Rejected"/>
    <s v="Yes"/>
    <x v="0"/>
    <x v="870"/>
    <x v="871"/>
    <n v="422"/>
    <n v="351"/>
    <n v="0.35149999999999998"/>
    <n v="57723010"/>
    <n v="51127.555358724538"/>
    <n v="99996"/>
    <n v="5091"/>
    <n v="1499779.51"/>
    <n v="1328.4140921169176"/>
    <n v="0.35149999999999998"/>
    <n v="856845323.27999961"/>
    <x v="1"/>
    <n v="4454.28"/>
  </r>
  <r>
    <s v="LN00873"/>
    <x v="872"/>
    <n v="52"/>
    <s v="Male"/>
    <s v="Divorced"/>
    <s v="Self-Employed"/>
    <n v="128867"/>
    <n v="469"/>
    <n v="44519"/>
    <n v="17.8"/>
    <n v="180"/>
    <s v="Education"/>
    <n v="31.36"/>
    <n v="50538"/>
    <n v="206998"/>
    <x v="140"/>
    <s v="Rejected"/>
    <s v="Yes"/>
    <x v="0"/>
    <x v="871"/>
    <x v="872"/>
    <n v="422"/>
    <n v="350"/>
    <n v="0.35149999999999998"/>
    <n v="57648092"/>
    <n v="51106.464539007095"/>
    <n v="99996"/>
    <n v="5091"/>
    <n v="1499408.3200000003"/>
    <n v="1329.2626950354613"/>
    <n v="0.35149999999999998"/>
    <n v="855345543.7699995"/>
    <x v="1"/>
    <n v="3496.2000000000003"/>
  </r>
  <r>
    <s v="LN00874"/>
    <x v="873"/>
    <n v="65"/>
    <s v="Female"/>
    <s v="Divorced"/>
    <s v="Self-Employed"/>
    <n v="98219"/>
    <n v="340"/>
    <n v="32352"/>
    <n v="4.33"/>
    <n v="48"/>
    <s v="Education"/>
    <n v="11.92"/>
    <n v="36599"/>
    <n v="241870"/>
    <x v="644"/>
    <s v="Approved"/>
    <s v="No"/>
    <x v="1"/>
    <x v="872"/>
    <x v="873"/>
    <n v="422"/>
    <n v="349"/>
    <n v="0.35149999999999998"/>
    <n v="57603573"/>
    <n v="51112.309671694762"/>
    <n v="99996"/>
    <n v="5091"/>
    <n v="1499116.9700000002"/>
    <n v="1330.1836468500446"/>
    <n v="0.35149999999999998"/>
    <n v="853846135.44999957"/>
    <x v="1"/>
    <n v="8438.16"/>
  </r>
  <r>
    <s v="LN00875"/>
    <x v="874"/>
    <n v="64"/>
    <s v="Female"/>
    <s v="Divorced"/>
    <s v="Employed"/>
    <n v="92837"/>
    <n v="484"/>
    <n v="27048"/>
    <n v="13.76"/>
    <n v="12"/>
    <s v="Auto"/>
    <n v="42.89"/>
    <n v="34677"/>
    <n v="23513"/>
    <x v="645"/>
    <s v="Pending"/>
    <s v="No"/>
    <x v="3"/>
    <x v="873"/>
    <x v="874"/>
    <n v="421"/>
    <n v="349"/>
    <n v="0.35149999999999998"/>
    <n v="57571221"/>
    <n v="51128.970692717587"/>
    <n v="99996"/>
    <n v="5091"/>
    <n v="1498413.7900000003"/>
    <n v="1330.7404884547072"/>
    <n v="0.35149999999999998"/>
    <n v="852347018.47999954"/>
    <x v="1"/>
    <n v="30769.800000000003"/>
  </r>
  <r>
    <s v="LN00876"/>
    <x v="875"/>
    <n v="44"/>
    <s v="Female"/>
    <s v="Single"/>
    <s v="Employed"/>
    <n v="120362"/>
    <n v="685"/>
    <n v="50348"/>
    <n v="23.47"/>
    <n v="60"/>
    <s v="Education"/>
    <n v="15.6"/>
    <n v="50233"/>
    <n v="159330"/>
    <x v="545"/>
    <s v="Rejected"/>
    <s v="No"/>
    <x v="2"/>
    <x v="874"/>
    <x v="875"/>
    <n v="421"/>
    <n v="349"/>
    <n v="0.35149999999999998"/>
    <n v="57544173"/>
    <n v="51150.375999999997"/>
    <n v="99996"/>
    <n v="5091"/>
    <n v="1495849.6400000004"/>
    <n v="1329.6441244444447"/>
    <n v="0.35149999999999998"/>
    <n v="850848604.68999958"/>
    <x v="0"/>
    <n v="12432.96"/>
  </r>
  <r>
    <s v="LN00877"/>
    <x v="876"/>
    <n v="34"/>
    <s v="Male"/>
    <s v="Divorced"/>
    <s v="Self-Employed"/>
    <n v="61840"/>
    <n v="685"/>
    <n v="53646"/>
    <n v="12"/>
    <n v="12"/>
    <s v="Personal"/>
    <n v="18.149999999999999"/>
    <n v="7052"/>
    <n v="210730"/>
    <x v="67"/>
    <s v="Pending"/>
    <s v="No"/>
    <x v="0"/>
    <x v="875"/>
    <x v="876"/>
    <n v="421"/>
    <n v="348"/>
    <n v="0.35149999999999998"/>
    <n v="57493825"/>
    <n v="51151.089857651248"/>
    <n v="99996"/>
    <n v="5091"/>
    <n v="1494813.5600000005"/>
    <n v="1329.9053024911036"/>
    <n v="0.35149999999999998"/>
    <n v="849352755.04999959"/>
    <x v="1"/>
    <n v="60083.520000000004"/>
  </r>
  <r>
    <s v="LN00878"/>
    <x v="877"/>
    <n v="46"/>
    <s v="Female"/>
    <s v="Divorced"/>
    <s v="Unemployed"/>
    <n v="155185"/>
    <n v="657"/>
    <n v="86831"/>
    <n v="11.89"/>
    <n v="120"/>
    <s v="Mortgage"/>
    <n v="36.31"/>
    <n v="16503"/>
    <n v="234482"/>
    <x v="646"/>
    <s v="Pending"/>
    <s v="Yes"/>
    <x v="2"/>
    <x v="876"/>
    <x v="877"/>
    <n v="421"/>
    <n v="348"/>
    <n v="0.35149999999999998"/>
    <n v="57440179"/>
    <n v="51148.868210151377"/>
    <n v="99996"/>
    <n v="5091"/>
    <n v="1489806.6000000006"/>
    <n v="1326.6309884238651"/>
    <n v="0.35149999999999998"/>
    <n v="847857941.48999965"/>
    <x v="0"/>
    <n v="9715.56"/>
  </r>
  <r>
    <s v="LN00879"/>
    <x v="878"/>
    <n v="40"/>
    <s v="Female"/>
    <s v="Married"/>
    <s v="Self-Employed"/>
    <n v="111998"/>
    <n v="431"/>
    <n v="15341"/>
    <n v="4.07"/>
    <n v="24"/>
    <s v="Mortgage"/>
    <n v="25.33"/>
    <n v="71436"/>
    <n v="137065"/>
    <x v="647"/>
    <s v="Rejected"/>
    <s v="Yes"/>
    <x v="3"/>
    <x v="877"/>
    <x v="878"/>
    <n v="421"/>
    <n v="348"/>
    <n v="0.35149999999999998"/>
    <n v="57353348"/>
    <n v="51117.065953654186"/>
    <n v="99996"/>
    <n v="5091"/>
    <n v="1488996.9700000007"/>
    <n v="1327.0917736185388"/>
    <n v="0.35149999999999998"/>
    <n v="846368134.88999951"/>
    <x v="1"/>
    <n v="7982.64"/>
  </r>
  <r>
    <s v="LN00880"/>
    <x v="879"/>
    <n v="39"/>
    <s v="Female"/>
    <s v="Married"/>
    <s v="Self-Employed"/>
    <n v="65780"/>
    <n v="615"/>
    <n v="29419"/>
    <n v="14.61"/>
    <n v="60"/>
    <s v="Personal"/>
    <n v="38.89"/>
    <n v="78077"/>
    <n v="12206"/>
    <x v="648"/>
    <s v="Approved"/>
    <s v="No"/>
    <x v="0"/>
    <x v="878"/>
    <x v="879"/>
    <n v="421"/>
    <n v="347"/>
    <n v="0.35149999999999998"/>
    <n v="57338007"/>
    <n v="51148.98037466548"/>
    <n v="99996"/>
    <n v="5091"/>
    <n v="1488331.7500000007"/>
    <n v="1327.6822033898311"/>
    <n v="0.35149999999999998"/>
    <n v="844879137.91999972"/>
    <x v="1"/>
    <n v="6743.4000000000005"/>
  </r>
  <r>
    <s v="LN00881"/>
    <x v="880"/>
    <n v="37"/>
    <s v="Male"/>
    <s v="Single"/>
    <s v="Self-Employed"/>
    <n v="97789"/>
    <n v="640"/>
    <n v="63685"/>
    <n v="16.37"/>
    <n v="12"/>
    <s v="Education"/>
    <n v="44.65"/>
    <n v="51585"/>
    <n v="230472"/>
    <x v="58"/>
    <s v="Pending"/>
    <s v="Yes"/>
    <x v="0"/>
    <x v="879"/>
    <x v="880"/>
    <n v="420"/>
    <n v="347"/>
    <n v="0.35149999999999998"/>
    <n v="57308588"/>
    <n v="51168.382142857146"/>
    <n v="99996"/>
    <n v="5091"/>
    <n v="1487769.8000000005"/>
    <n v="1328.3658928571433"/>
    <n v="0.35149999999999998"/>
    <n v="843390806.16999972"/>
    <x v="1"/>
    <n v="74110.200000000012"/>
  </r>
  <r>
    <s v="LN00882"/>
    <x v="881"/>
    <n v="26"/>
    <s v="Male"/>
    <s v="Single"/>
    <s v="Self-Employed"/>
    <n v="131680"/>
    <n v="351"/>
    <n v="87066"/>
    <n v="8.8000000000000007"/>
    <n v="48"/>
    <s v="Personal"/>
    <n v="8.7200000000000006"/>
    <n v="47241"/>
    <n v="52943"/>
    <x v="649"/>
    <s v="Approved"/>
    <s v="No"/>
    <x v="2"/>
    <x v="880"/>
    <x v="881"/>
    <n v="420"/>
    <n v="347"/>
    <n v="0.35149999999999998"/>
    <n v="57244903"/>
    <n v="51157.19660411081"/>
    <n v="99996"/>
    <n v="5091"/>
    <n v="1481593.9500000009"/>
    <n v="1324.0339142091161"/>
    <n v="0.35149999999999998"/>
    <n v="841903036.36999977"/>
    <x v="0"/>
    <n v="23682"/>
  </r>
  <r>
    <s v="LN00883"/>
    <x v="882"/>
    <n v="32"/>
    <s v="Female"/>
    <s v="Divorced"/>
    <s v="Self-Employed"/>
    <n v="177955"/>
    <n v="385"/>
    <n v="46138"/>
    <n v="14.14"/>
    <n v="24"/>
    <s v="Education"/>
    <n v="5.59"/>
    <n v="6862"/>
    <n v="243527"/>
    <x v="650"/>
    <s v="Pending"/>
    <s v="No"/>
    <x v="3"/>
    <x v="881"/>
    <x v="882"/>
    <n v="419"/>
    <n v="347"/>
    <n v="0.35149999999999998"/>
    <n v="57157837"/>
    <n v="51125.077817531303"/>
    <n v="99996"/>
    <n v="5091"/>
    <n v="1479620.4500000009"/>
    <n v="1323.4529964221833"/>
    <n v="0.35149999999999998"/>
    <n v="840421442.41999972"/>
    <x v="1"/>
    <n v="26331"/>
  </r>
  <r>
    <s v="LN00884"/>
    <x v="883"/>
    <n v="54"/>
    <s v="Female"/>
    <s v="Divorced"/>
    <s v="Employed"/>
    <n v="164888"/>
    <n v="522"/>
    <n v="78592"/>
    <n v="3.67"/>
    <n v="120"/>
    <s v="Mortgage"/>
    <n v="30.59"/>
    <n v="47323"/>
    <n v="109834"/>
    <x v="65"/>
    <s v="Pending"/>
    <s v="Yes"/>
    <x v="4"/>
    <x v="882"/>
    <x v="883"/>
    <n v="419"/>
    <n v="347"/>
    <n v="0.35149999999999998"/>
    <n v="57111699"/>
    <n v="51129.542524619515"/>
    <n v="99996"/>
    <n v="5091"/>
    <n v="1477426.2000000009"/>
    <n v="1322.6734109221136"/>
    <n v="0.35149999999999998"/>
    <n v="838941821.96999979"/>
    <x v="1"/>
    <n v="8147.64"/>
  </r>
  <r>
    <s v="LN00885"/>
    <x v="884"/>
    <n v="38"/>
    <s v="Male"/>
    <s v="Single"/>
    <s v="Employed"/>
    <n v="199989"/>
    <n v="479"/>
    <n v="48047"/>
    <n v="15.44"/>
    <n v="12"/>
    <s v="Auto"/>
    <n v="27.6"/>
    <n v="62987"/>
    <n v="126669"/>
    <x v="244"/>
    <s v="Approved"/>
    <s v="No"/>
    <x v="0"/>
    <x v="883"/>
    <x v="884"/>
    <n v="419"/>
    <n v="347"/>
    <n v="0.35149999999999998"/>
    <n v="57033107"/>
    <n v="51104.934587813623"/>
    <n v="99996"/>
    <n v="5091"/>
    <n v="1476747.2300000009"/>
    <n v="1323.2502060931909"/>
    <n v="0.35149999999999998"/>
    <n v="837464395.76999974"/>
    <x v="1"/>
    <n v="55465.440000000002"/>
  </r>
  <r>
    <s v="LN00886"/>
    <x v="885"/>
    <n v="39"/>
    <s v="Female"/>
    <s v="Married"/>
    <s v="Unemployed"/>
    <n v="190100"/>
    <n v="414"/>
    <n v="59318"/>
    <n v="19.43"/>
    <n v="24"/>
    <s v="Personal"/>
    <n v="19.86"/>
    <n v="41111"/>
    <n v="32999"/>
    <x v="651"/>
    <s v="Approved"/>
    <s v="No"/>
    <x v="1"/>
    <x v="884"/>
    <x v="885"/>
    <n v="418"/>
    <n v="347"/>
    <n v="0.35149999999999998"/>
    <n v="56985060"/>
    <n v="51107.677130044845"/>
    <n v="99996"/>
    <n v="5091"/>
    <n v="1472125.110000001"/>
    <n v="1320.2915784753372"/>
    <n v="0.35149999999999998"/>
    <n v="835987648.53999972"/>
    <x v="0"/>
    <n v="35421.72"/>
  </r>
  <r>
    <s v="LN00887"/>
    <x v="886"/>
    <n v="64"/>
    <s v="Female"/>
    <s v="Married"/>
    <s v="Employed"/>
    <n v="128912"/>
    <n v="667"/>
    <n v="87101"/>
    <n v="22.42"/>
    <n v="60"/>
    <s v="Education"/>
    <n v="47.82"/>
    <n v="78270"/>
    <n v="99031"/>
    <x v="652"/>
    <s v="Approved"/>
    <s v="No"/>
    <x v="4"/>
    <x v="885"/>
    <x v="886"/>
    <n v="417"/>
    <n v="347"/>
    <n v="0.35149999999999998"/>
    <n v="56925742"/>
    <n v="51100.307001795329"/>
    <n v="99996"/>
    <n v="5091"/>
    <n v="1469173.300000001"/>
    <n v="1318.8270197486543"/>
    <n v="0.35149999999999998"/>
    <n v="834515523.42999971"/>
    <x v="1"/>
    <n v="21325.800000000003"/>
  </r>
  <r>
    <s v="LN00888"/>
    <x v="887"/>
    <n v="49"/>
    <s v="Male"/>
    <s v="Divorced"/>
    <s v="Employed"/>
    <n v="101875"/>
    <n v="624"/>
    <n v="68201"/>
    <n v="12.34"/>
    <n v="180"/>
    <s v="Mortgage"/>
    <n v="59.97"/>
    <n v="57317"/>
    <n v="10814"/>
    <x v="653"/>
    <s v="Rejected"/>
    <s v="No"/>
    <x v="2"/>
    <x v="886"/>
    <x v="887"/>
    <n v="416"/>
    <n v="347"/>
    <n v="0.35149999999999998"/>
    <n v="56838641"/>
    <n v="51067.961365678348"/>
    <n v="99996"/>
    <n v="5091"/>
    <n v="1467396.1500000011"/>
    <n v="1318.4152291105131"/>
    <n v="0.35149999999999998"/>
    <n v="833046350.12999988"/>
    <x v="1"/>
    <n v="5107.7999999999993"/>
  </r>
  <r>
    <s v="LN00889"/>
    <x v="888"/>
    <n v="26"/>
    <s v="Female"/>
    <s v="Married"/>
    <s v="Unemployed"/>
    <n v="192202"/>
    <n v="304"/>
    <n v="5372"/>
    <n v="13.17"/>
    <n v="24"/>
    <s v="Mortgage"/>
    <n v="12.15"/>
    <n v="20712"/>
    <n v="182226"/>
    <x v="654"/>
    <s v="Approved"/>
    <s v="No"/>
    <x v="1"/>
    <x v="887"/>
    <x v="888"/>
    <n v="416"/>
    <n v="346"/>
    <n v="0.35149999999999998"/>
    <n v="56770440"/>
    <n v="51052.553956834534"/>
    <n v="99996"/>
    <n v="5091"/>
    <n v="1466970.5000000009"/>
    <n v="1319.2180755395691"/>
    <n v="0.35149999999999998"/>
    <n v="831578953.9799999"/>
    <x v="1"/>
    <n v="3039.7200000000003"/>
  </r>
  <r>
    <s v="LN00890"/>
    <x v="889"/>
    <n v="41"/>
    <s v="Male"/>
    <s v="Married"/>
    <s v="Unemployed"/>
    <n v="142538"/>
    <n v="359"/>
    <n v="25330"/>
    <n v="14.57"/>
    <n v="24"/>
    <s v="Auto"/>
    <n v="47.24"/>
    <n v="24042"/>
    <n v="139614"/>
    <x v="655"/>
    <s v="Pending"/>
    <s v="No"/>
    <x v="4"/>
    <x v="888"/>
    <x v="889"/>
    <n v="415"/>
    <n v="346"/>
    <n v="0.35149999999999998"/>
    <n v="56765068"/>
    <n v="51093.670567056703"/>
    <n v="99996"/>
    <n v="5091"/>
    <n v="1466717.1900000009"/>
    <n v="1320.1774887488757"/>
    <n v="0.35149999999999998"/>
    <n v="830111983.47999978"/>
    <x v="1"/>
    <n v="14510.28"/>
  </r>
  <r>
    <s v="LN00891"/>
    <x v="890"/>
    <n v="29"/>
    <s v="Male"/>
    <s v="Divorced"/>
    <s v="Employed"/>
    <n v="27033"/>
    <n v="399"/>
    <n v="5291"/>
    <n v="16.73"/>
    <n v="36"/>
    <s v="Personal"/>
    <n v="19.12"/>
    <n v="43532"/>
    <n v="45998"/>
    <x v="287"/>
    <s v="Rejected"/>
    <s v="No"/>
    <x v="3"/>
    <x v="889"/>
    <x v="890"/>
    <n v="415"/>
    <n v="346"/>
    <n v="0.35149999999999998"/>
    <n v="56739738"/>
    <n v="51116.881081081083"/>
    <n v="99996"/>
    <n v="5091"/>
    <n v="1465508.0000000007"/>
    <n v="1320.2774774774782"/>
    <n v="0.35149999999999998"/>
    <n v="828645266.28999972"/>
    <x v="1"/>
    <n v="2058.7200000000003"/>
  </r>
  <r>
    <s v="LN00892"/>
    <x v="891"/>
    <n v="60"/>
    <s v="Female"/>
    <s v="Married"/>
    <s v="Unemployed"/>
    <n v="73069"/>
    <n v="481"/>
    <n v="94466"/>
    <n v="22.25"/>
    <n v="24"/>
    <s v="Mortgage"/>
    <n v="31.03"/>
    <n v="13876"/>
    <n v="40073"/>
    <x v="568"/>
    <s v="Pending"/>
    <s v="No"/>
    <x v="0"/>
    <x v="890"/>
    <x v="891"/>
    <n v="415"/>
    <n v="345"/>
    <n v="0.35149999999999998"/>
    <n v="56734447"/>
    <n v="51158.202885482417"/>
    <n v="99996"/>
    <n v="5091"/>
    <n v="1465336.4400000006"/>
    <n v="1321.313291253382"/>
    <n v="0.35149999999999998"/>
    <n v="827179758.28999972"/>
    <x v="1"/>
    <n v="57742.319999999992"/>
  </r>
  <r>
    <s v="LN00893"/>
    <x v="892"/>
    <n v="48"/>
    <s v="Female"/>
    <s v="Divorced"/>
    <s v="Employed"/>
    <n v="77102"/>
    <n v="488"/>
    <n v="95191"/>
    <n v="9.1199999999999992"/>
    <n v="180"/>
    <s v="Mortgage"/>
    <n v="53.17"/>
    <n v="62957"/>
    <n v="34579"/>
    <x v="656"/>
    <s v="Approved"/>
    <s v="No"/>
    <x v="4"/>
    <x v="891"/>
    <x v="892"/>
    <n v="415"/>
    <n v="345"/>
    <n v="0.35149999999999998"/>
    <n v="56639981"/>
    <n v="51119.116425992783"/>
    <n v="99996"/>
    <n v="5091"/>
    <n v="1460524.580000001"/>
    <n v="1318.1629783393512"/>
    <n v="0.35149999999999998"/>
    <n v="825714421.84999967"/>
    <x v="1"/>
    <n v="6924.84"/>
  </r>
  <r>
    <s v="LN00894"/>
    <x v="893"/>
    <n v="35"/>
    <s v="Female"/>
    <s v="Married"/>
    <s v="Self-Employed"/>
    <n v="154706"/>
    <n v="676"/>
    <n v="87795"/>
    <n v="15.06"/>
    <n v="180"/>
    <s v="Personal"/>
    <n v="49.74"/>
    <n v="42073"/>
    <n v="115915"/>
    <x v="657"/>
    <s v="Pending"/>
    <s v="Yes"/>
    <x v="2"/>
    <x v="892"/>
    <x v="893"/>
    <n v="414"/>
    <n v="345"/>
    <n v="0.35149999999999998"/>
    <n v="56544790"/>
    <n v="51079.304426377596"/>
    <n v="99996"/>
    <n v="5091"/>
    <n v="1459947.5100000009"/>
    <n v="1318.8324390243911"/>
    <n v="0.35149999999999998"/>
    <n v="824253897.26999974"/>
    <x v="1"/>
    <n v="6734.52"/>
  </r>
  <r>
    <s v="LN00895"/>
    <x v="894"/>
    <n v="59"/>
    <s v="Female"/>
    <s v="Single"/>
    <s v="Self-Employed"/>
    <n v="164052"/>
    <n v="453"/>
    <n v="16039"/>
    <n v="20.64"/>
    <n v="24"/>
    <s v="Mortgage"/>
    <n v="10.84"/>
    <n v="47438"/>
    <n v="24268"/>
    <x v="658"/>
    <s v="Pending"/>
    <s v="Yes"/>
    <x v="1"/>
    <x v="893"/>
    <x v="894"/>
    <n v="414"/>
    <n v="345"/>
    <n v="0.35149999999999998"/>
    <n v="56456995"/>
    <n v="51046.107594936708"/>
    <n v="99996"/>
    <n v="5091"/>
    <n v="1459386.3000000007"/>
    <n v="1319.5174502712484"/>
    <n v="0.35149999999999998"/>
    <n v="822793949.75999987"/>
    <x v="1"/>
    <n v="9674.76"/>
  </r>
  <r>
    <s v="LN00896"/>
    <x v="895"/>
    <n v="62"/>
    <s v="Male"/>
    <s v="Single"/>
    <s v="Employed"/>
    <n v="86139"/>
    <n v="534"/>
    <n v="83177"/>
    <n v="15.08"/>
    <n v="36"/>
    <s v="Education"/>
    <n v="37.72"/>
    <n v="49576"/>
    <n v="43899"/>
    <x v="659"/>
    <s v="Approved"/>
    <s v="Yes"/>
    <x v="1"/>
    <x v="894"/>
    <x v="895"/>
    <n v="414"/>
    <n v="345"/>
    <n v="0.35149999999999998"/>
    <n v="56440956"/>
    <n v="51077.788235294116"/>
    <n v="99996"/>
    <n v="5091"/>
    <n v="1458580.0700000008"/>
    <n v="1319.9819638009058"/>
    <n v="0.35149999999999998"/>
    <n v="821334563.45999992"/>
    <x v="1"/>
    <n v="31906.68"/>
  </r>
  <r>
    <s v="LN00897"/>
    <x v="896"/>
    <n v="54"/>
    <s v="Female"/>
    <s v="Divorced"/>
    <s v="Unemployed"/>
    <n v="58037"/>
    <n v="717"/>
    <n v="18200"/>
    <n v="4.26"/>
    <n v="60"/>
    <s v="Education"/>
    <n v="25.87"/>
    <n v="68325"/>
    <n v="246297"/>
    <x v="275"/>
    <s v="Rejected"/>
    <s v="No"/>
    <x v="2"/>
    <x v="895"/>
    <x v="896"/>
    <n v="413"/>
    <n v="345"/>
    <n v="0.35149999999999998"/>
    <n v="56357779"/>
    <n v="51048.71286231884"/>
    <n v="99996"/>
    <n v="5091"/>
    <n v="1455921.1800000006"/>
    <n v="1318.7691847826093"/>
    <n v="0.35149999999999998"/>
    <n v="819875983.38999987"/>
    <x v="1"/>
    <n v="3795.12"/>
  </r>
  <r>
    <s v="LN00898"/>
    <x v="897"/>
    <n v="64"/>
    <s v="Male"/>
    <s v="Married"/>
    <s v="Self-Employed"/>
    <n v="53303"/>
    <n v="824"/>
    <n v="44922"/>
    <n v="7.01"/>
    <n v="12"/>
    <s v="Mortgage"/>
    <n v="12.9"/>
    <n v="30992"/>
    <n v="163544"/>
    <x v="385"/>
    <s v="Rejected"/>
    <s v="Yes"/>
    <x v="3"/>
    <x v="896"/>
    <x v="897"/>
    <n v="413"/>
    <n v="344"/>
    <n v="0.35149999999999998"/>
    <n v="56339579"/>
    <n v="51078.494106980957"/>
    <n v="99996"/>
    <n v="5091"/>
    <n v="1455604.9200000006"/>
    <n v="1319.6780779691755"/>
    <n v="0.35149999999999998"/>
    <n v="818420062.20999992"/>
    <x v="1"/>
    <n v="48071.040000000001"/>
  </r>
  <r>
    <s v="LN00899"/>
    <x v="898"/>
    <n v="48"/>
    <s v="Female"/>
    <s v="Divorced"/>
    <s v="Self-Employed"/>
    <n v="60256"/>
    <n v="432"/>
    <n v="91256"/>
    <n v="23.58"/>
    <n v="36"/>
    <s v="Mortgage"/>
    <n v="7.59"/>
    <n v="38424"/>
    <n v="35167"/>
    <x v="241"/>
    <s v="Pending"/>
    <s v="Yes"/>
    <x v="0"/>
    <x v="897"/>
    <x v="898"/>
    <n v="413"/>
    <n v="343"/>
    <n v="0.35149999999999998"/>
    <n v="56294657"/>
    <n v="51084.080762250451"/>
    <n v="99996"/>
    <n v="5091"/>
    <n v="1451599.0000000005"/>
    <n v="1317.240471869329"/>
    <n v="0.35149999999999998"/>
    <n v="816964457.28999984"/>
    <x v="0"/>
    <n v="37591.440000000002"/>
  </r>
  <r>
    <s v="LN00900"/>
    <x v="899"/>
    <n v="37"/>
    <s v="Female"/>
    <s v="Single"/>
    <s v="Self-Employed"/>
    <n v="159795"/>
    <n v="553"/>
    <n v="10437"/>
    <n v="12.34"/>
    <n v="24"/>
    <s v="Business"/>
    <n v="24.08"/>
    <n v="45903"/>
    <n v="59361"/>
    <x v="660"/>
    <s v="Approved"/>
    <s v="Yes"/>
    <x v="2"/>
    <x v="898"/>
    <x v="899"/>
    <n v="413"/>
    <n v="343"/>
    <n v="0.35149999999999998"/>
    <n v="56203401"/>
    <n v="51047.594005449588"/>
    <n v="99996"/>
    <n v="5091"/>
    <n v="1448466.3800000006"/>
    <n v="1315.5916257947326"/>
    <n v="0.35149999999999998"/>
    <n v="815512858.28999984"/>
    <x v="1"/>
    <n v="5862.4800000000005"/>
  </r>
  <r>
    <s v="LN00901"/>
    <x v="900"/>
    <n v="54"/>
    <s v="Male"/>
    <s v="Married"/>
    <s v="Employed"/>
    <n v="38962"/>
    <n v="381"/>
    <n v="76269"/>
    <n v="16.989999999999998"/>
    <n v="120"/>
    <s v="Education"/>
    <n v="52.17"/>
    <n v="60252"/>
    <n v="220105"/>
    <x v="661"/>
    <s v="Rejected"/>
    <s v="No"/>
    <x v="0"/>
    <x v="899"/>
    <x v="900"/>
    <n v="412"/>
    <n v="343"/>
    <n v="0.35149999999999998"/>
    <n v="56192964"/>
    <n v="51084.512727272726"/>
    <n v="99996"/>
    <n v="5091"/>
    <n v="1447977.8400000005"/>
    <n v="1316.3434909090913"/>
    <n v="0.35149999999999998"/>
    <n v="814064391.90999985"/>
    <x v="1"/>
    <n v="8922.7199999999993"/>
  </r>
  <r>
    <s v="LN00902"/>
    <x v="901"/>
    <n v="50"/>
    <s v="Male"/>
    <s v="Married"/>
    <s v="Employed"/>
    <n v="91943"/>
    <n v="488"/>
    <n v="8302"/>
    <n v="12.81"/>
    <n v="360"/>
    <s v="Personal"/>
    <n v="59.97"/>
    <n v="63237"/>
    <n v="52649"/>
    <x v="662"/>
    <s v="Approved"/>
    <s v="No"/>
    <x v="2"/>
    <x v="900"/>
    <x v="901"/>
    <n v="412"/>
    <n v="342"/>
    <n v="0.35149999999999998"/>
    <n v="56116695"/>
    <n v="51061.596906278435"/>
    <n v="99996"/>
    <n v="5091"/>
    <n v="1447234.2800000007"/>
    <n v="1316.8646769790726"/>
    <n v="0.35149999999999998"/>
    <n v="812616414.06999993"/>
    <x v="1"/>
    <n v="312.24"/>
  </r>
  <r>
    <s v="LN00903"/>
    <x v="902"/>
    <n v="63"/>
    <s v="Female"/>
    <s v="Married"/>
    <s v="Self-Employed"/>
    <n v="186783"/>
    <n v="683"/>
    <n v="20994"/>
    <n v="23.93"/>
    <n v="180"/>
    <s v="Education"/>
    <n v="32.479999999999997"/>
    <n v="15415"/>
    <n v="4007"/>
    <x v="663"/>
    <s v="Approved"/>
    <s v="Yes"/>
    <x v="2"/>
    <x v="901"/>
    <x v="902"/>
    <n v="411"/>
    <n v="342"/>
    <n v="0.35149999999999998"/>
    <n v="56108393"/>
    <n v="51100.540072859745"/>
    <n v="99996"/>
    <n v="5091"/>
    <n v="1447208.2600000007"/>
    <n v="1318.0403096539169"/>
    <n v="0.35149999999999998"/>
    <n v="811169179.78999984"/>
    <x v="1"/>
    <n v="1734.48"/>
  </r>
  <r>
    <s v="LN00904"/>
    <x v="903"/>
    <n v="30"/>
    <s v="Female"/>
    <s v="Single"/>
    <s v="Employed"/>
    <n v="144555"/>
    <n v="766"/>
    <n v="13404"/>
    <n v="7.37"/>
    <n v="120"/>
    <s v="Mortgage"/>
    <n v="53.67"/>
    <n v="24169"/>
    <n v="33682"/>
    <x v="590"/>
    <s v="Rejected"/>
    <s v="Yes"/>
    <x v="0"/>
    <x v="902"/>
    <x v="903"/>
    <n v="410"/>
    <n v="342"/>
    <n v="0.35149999999999998"/>
    <n v="56087399"/>
    <n v="51127.984503190521"/>
    <n v="99996"/>
    <n v="5091"/>
    <n v="1447063.7200000007"/>
    <n v="1319.1100455788521"/>
    <n v="0.35149999999999998"/>
    <n v="809721971.52999985"/>
    <x v="1"/>
    <n v="1439.16"/>
  </r>
  <r>
    <s v="LN00905"/>
    <x v="904"/>
    <n v="24"/>
    <s v="Female"/>
    <s v="Single"/>
    <s v="Employed"/>
    <n v="60710"/>
    <n v="379"/>
    <n v="84006"/>
    <n v="9.1"/>
    <n v="360"/>
    <s v="Mortgage"/>
    <n v="55.42"/>
    <n v="12875"/>
    <n v="15999"/>
    <x v="264"/>
    <s v="Approved"/>
    <s v="Yes"/>
    <x v="2"/>
    <x v="903"/>
    <x v="904"/>
    <n v="410"/>
    <n v="341"/>
    <n v="0.35149999999999998"/>
    <n v="56073995"/>
    <n v="51162.404197080294"/>
    <n v="99996"/>
    <n v="5091"/>
    <n v="1446943.7900000007"/>
    <n v="1320.204187956205"/>
    <n v="0.35149999999999998"/>
    <n v="808274907.80999994"/>
    <x v="1"/>
    <n v="3054.96"/>
  </r>
  <r>
    <s v="LN00906"/>
    <x v="905"/>
    <n v="44"/>
    <s v="Male"/>
    <s v="Divorced"/>
    <s v="Employed"/>
    <n v="124255"/>
    <n v="552"/>
    <n v="68364"/>
    <n v="23.05"/>
    <n v="180"/>
    <s v="Business"/>
    <n v="22.67"/>
    <n v="31088"/>
    <n v="20103"/>
    <x v="512"/>
    <s v="Approved"/>
    <s v="Yes"/>
    <x v="0"/>
    <x v="904"/>
    <x v="905"/>
    <n v="409"/>
    <n v="341"/>
    <n v="0.35149999999999998"/>
    <n v="55989989"/>
    <n v="51132.410045662102"/>
    <n v="99996"/>
    <n v="5091"/>
    <n v="1446689.2100000009"/>
    <n v="1321.1773607305945"/>
    <n v="0.35149999999999998"/>
    <n v="806827964.01999998"/>
    <x v="1"/>
    <n v="5608.08"/>
  </r>
  <r>
    <s v="LN00907"/>
    <x v="906"/>
    <n v="46"/>
    <s v="Female"/>
    <s v="Married"/>
    <s v="Self-Employed"/>
    <n v="119295"/>
    <n v="417"/>
    <n v="66842"/>
    <n v="22.68"/>
    <n v="36"/>
    <s v="Business"/>
    <n v="41.04"/>
    <n v="25693"/>
    <n v="69941"/>
    <x v="664"/>
    <s v="Approved"/>
    <s v="No"/>
    <x v="2"/>
    <x v="905"/>
    <x v="906"/>
    <n v="408"/>
    <n v="341"/>
    <n v="0.35149999999999998"/>
    <n v="55921625"/>
    <n v="51116.659049360147"/>
    <n v="99996"/>
    <n v="5091"/>
    <n v="1446221.8700000008"/>
    <n v="1321.9578336380264"/>
    <n v="0.35149999999999998"/>
    <n v="805381274.80999994"/>
    <x v="1"/>
    <n v="27333.96"/>
  </r>
  <r>
    <s v="LN00908"/>
    <x v="907"/>
    <n v="34"/>
    <s v="Male"/>
    <s v="Single"/>
    <s v="Unemployed"/>
    <n v="98364"/>
    <n v="517"/>
    <n v="43909"/>
    <n v="16.329999999999998"/>
    <n v="12"/>
    <s v="Auto"/>
    <n v="12.31"/>
    <n v="34747"/>
    <n v="159647"/>
    <x v="432"/>
    <s v="Approved"/>
    <s v="Yes"/>
    <x v="2"/>
    <x v="906"/>
    <x v="907"/>
    <n v="407"/>
    <n v="341"/>
    <n v="0.35149999999999998"/>
    <n v="55854783"/>
    <n v="51102.271729185726"/>
    <n v="99996"/>
    <n v="5091"/>
    <n v="1443944.040000001"/>
    <n v="1321.0832936871006"/>
    <n v="0.35149999999999998"/>
    <n v="803935052.94000006"/>
    <x v="1"/>
    <n v="51079.319999999992"/>
  </r>
  <r>
    <s v="LN00909"/>
    <x v="908"/>
    <n v="64"/>
    <s v="Male"/>
    <s v="Single"/>
    <s v="Employed"/>
    <n v="41876"/>
    <n v="339"/>
    <n v="26407"/>
    <n v="11.16"/>
    <n v="24"/>
    <s v="Auto"/>
    <n v="22.57"/>
    <n v="23920"/>
    <n v="49510"/>
    <x v="83"/>
    <s v="Approved"/>
    <s v="No"/>
    <x v="4"/>
    <x v="907"/>
    <x v="908"/>
    <n v="406"/>
    <n v="341"/>
    <n v="0.35149999999999998"/>
    <n v="55810874"/>
    <n v="51108.858974358976"/>
    <n v="99996"/>
    <n v="5091"/>
    <n v="1439687.4300000009"/>
    <n v="1318.3950824175831"/>
    <n v="0.35149999999999998"/>
    <n v="802491108.89999998"/>
    <x v="0"/>
    <n v="14676.96"/>
  </r>
  <r>
    <s v="LN00910"/>
    <x v="909"/>
    <n v="63"/>
    <s v="Male"/>
    <s v="Divorced"/>
    <s v="Unemployed"/>
    <n v="57448"/>
    <n v="703"/>
    <n v="14439"/>
    <n v="19.96"/>
    <n v="240"/>
    <s v="Education"/>
    <n v="27.47"/>
    <n v="26653"/>
    <n v="18119"/>
    <x v="665"/>
    <s v="Rejected"/>
    <s v="No"/>
    <x v="0"/>
    <x v="908"/>
    <x v="909"/>
    <n v="405"/>
    <n v="341"/>
    <n v="0.35149999999999998"/>
    <n v="55784467"/>
    <n v="51131.500458295144"/>
    <n v="99996"/>
    <n v="5091"/>
    <n v="1438464.350000001"/>
    <n v="1318.4824472960595"/>
    <n v="0.35149999999999998"/>
    <n v="801051421.47000003"/>
    <x v="1"/>
    <n v="866.04"/>
  </r>
  <r>
    <s v="LN00911"/>
    <x v="910"/>
    <n v="55"/>
    <s v="Female"/>
    <s v="Single"/>
    <s v="Self-Employed"/>
    <n v="158163"/>
    <n v="670"/>
    <n v="32147"/>
    <n v="10.29"/>
    <n v="360"/>
    <s v="Business"/>
    <n v="38.19"/>
    <n v="55842"/>
    <n v="76077"/>
    <x v="666"/>
    <s v="Pending"/>
    <s v="No"/>
    <x v="3"/>
    <x v="909"/>
    <x v="910"/>
    <n v="405"/>
    <n v="340"/>
    <n v="0.35149999999999998"/>
    <n v="55770028"/>
    <n v="51165.163302752291"/>
    <n v="99996"/>
    <n v="5091"/>
    <n v="1438392.1800000009"/>
    <n v="1319.6258532110101"/>
    <n v="0.35149999999999998"/>
    <n v="799612957.11999989"/>
    <x v="1"/>
    <n v="1181.8799999999999"/>
  </r>
  <r>
    <s v="LN00912"/>
    <x v="911"/>
    <n v="41"/>
    <s v="Male"/>
    <s v="Married"/>
    <s v="Unemployed"/>
    <n v="57498"/>
    <n v="670"/>
    <n v="64326"/>
    <n v="23.72"/>
    <n v="240"/>
    <s v="Education"/>
    <n v="7.64"/>
    <n v="76530"/>
    <n v="65441"/>
    <x v="667"/>
    <s v="Approved"/>
    <s v="Yes"/>
    <x v="2"/>
    <x v="910"/>
    <x v="911"/>
    <n v="405"/>
    <n v="340"/>
    <n v="0.35149999999999998"/>
    <n v="55737881"/>
    <n v="51182.627180899908"/>
    <n v="99996"/>
    <n v="5091"/>
    <n v="1438293.6900000009"/>
    <n v="1320.7471900826454"/>
    <n v="0.35149999999999998"/>
    <n v="798174564.93999994"/>
    <x v="1"/>
    <n v="3979.2000000000003"/>
  </r>
  <r>
    <s v="LN00913"/>
    <x v="912"/>
    <n v="65"/>
    <s v="Male"/>
    <s v="Single"/>
    <s v="Unemployed"/>
    <n v="27320"/>
    <n v="434"/>
    <n v="53022"/>
    <n v="5.9"/>
    <n v="120"/>
    <s v="Auto"/>
    <n v="58.03"/>
    <n v="18901"/>
    <n v="184189"/>
    <x v="668"/>
    <s v="Rejected"/>
    <s v="No"/>
    <x v="1"/>
    <x v="911"/>
    <x v="912"/>
    <n v="404"/>
    <n v="340"/>
    <n v="0.35149999999999998"/>
    <n v="55673555"/>
    <n v="51170.546875"/>
    <n v="99996"/>
    <n v="5091"/>
    <n v="1437962.090000001"/>
    <n v="1321.6563327205893"/>
    <n v="0.35149999999999998"/>
    <n v="796736271.25"/>
    <x v="1"/>
    <n v="5615.04"/>
  </r>
  <r>
    <s v="LN00914"/>
    <x v="913"/>
    <n v="41"/>
    <s v="Male"/>
    <s v="Single"/>
    <s v="Self-Employed"/>
    <n v="195547"/>
    <n v="368"/>
    <n v="50683"/>
    <n v="15.41"/>
    <n v="120"/>
    <s v="Auto"/>
    <n v="15.7"/>
    <n v="36184"/>
    <n v="97351"/>
    <x v="669"/>
    <s v="Pending"/>
    <s v="Yes"/>
    <x v="1"/>
    <x v="912"/>
    <x v="913"/>
    <n v="404"/>
    <n v="339"/>
    <n v="0.35149999999999998"/>
    <n v="55620533"/>
    <n v="51168.843606255752"/>
    <n v="99996"/>
    <n v="5091"/>
    <n v="1437494.1700000009"/>
    <n v="1322.4417387304516"/>
    <n v="0.35149999999999998"/>
    <n v="795298309.15999997"/>
    <x v="1"/>
    <n v="5849.28"/>
  </r>
  <r>
    <s v="LN00915"/>
    <x v="914"/>
    <n v="63"/>
    <s v="Female"/>
    <s v="Divorced"/>
    <s v="Employed"/>
    <n v="60606"/>
    <n v="327"/>
    <n v="51083"/>
    <n v="11.82"/>
    <n v="48"/>
    <s v="Mortgage"/>
    <n v="14.12"/>
    <n v="15863"/>
    <n v="246278"/>
    <x v="670"/>
    <s v="Approved"/>
    <s v="No"/>
    <x v="3"/>
    <x v="913"/>
    <x v="914"/>
    <n v="404"/>
    <n v="339"/>
    <n v="0.35149999999999998"/>
    <n v="55569850"/>
    <n v="51169.290976058932"/>
    <n v="99996"/>
    <n v="5091"/>
    <n v="1437006.7300000009"/>
    <n v="1323.2106169429105"/>
    <n v="0.35149999999999998"/>
    <n v="793860814.98999989"/>
    <x v="1"/>
    <n v="14280.24"/>
  </r>
  <r>
    <s v="LN00916"/>
    <x v="915"/>
    <n v="61"/>
    <s v="Female"/>
    <s v="Single"/>
    <s v="Unemployed"/>
    <n v="82897"/>
    <n v="509"/>
    <n v="58695"/>
    <n v="21.3"/>
    <n v="240"/>
    <s v="Education"/>
    <n v="53.71"/>
    <n v="66924"/>
    <n v="105363"/>
    <x v="671"/>
    <s v="Pending"/>
    <s v="No"/>
    <x v="2"/>
    <x v="914"/>
    <x v="915"/>
    <n v="403"/>
    <n v="339"/>
    <n v="0.35149999999999998"/>
    <n v="55518767"/>
    <n v="51169.370506912441"/>
    <n v="99996"/>
    <n v="5091"/>
    <n v="1435816.7100000009"/>
    <n v="1323.3333732718902"/>
    <n v="0.35149999999999998"/>
    <n v="792423808.25999987"/>
    <x v="1"/>
    <n v="3559.7999999999997"/>
  </r>
  <r>
    <s v="LN00917"/>
    <x v="916"/>
    <n v="35"/>
    <s v="Female"/>
    <s v="Divorced"/>
    <s v="Self-Employed"/>
    <n v="188494"/>
    <n v="472"/>
    <n v="19780"/>
    <n v="12.16"/>
    <n v="36"/>
    <s v="Auto"/>
    <n v="28.35"/>
    <n v="53159"/>
    <n v="121464"/>
    <x v="672"/>
    <s v="Rejected"/>
    <s v="Yes"/>
    <x v="2"/>
    <x v="915"/>
    <x v="916"/>
    <n v="403"/>
    <n v="339"/>
    <n v="0.35149999999999998"/>
    <n v="55460072"/>
    <n v="51162.428044280445"/>
    <n v="99996"/>
    <n v="5091"/>
    <n v="1435520.060000001"/>
    <n v="1324.2804981549825"/>
    <n v="0.35149999999999998"/>
    <n v="790987991.54999995"/>
    <x v="1"/>
    <n v="7395.12"/>
  </r>
  <r>
    <s v="LN00918"/>
    <x v="917"/>
    <n v="40"/>
    <s v="Female"/>
    <s v="Married"/>
    <s v="Self-Employed"/>
    <n v="167518"/>
    <n v="612"/>
    <n v="23986"/>
    <n v="17.38"/>
    <n v="360"/>
    <s v="Personal"/>
    <n v="45.52"/>
    <n v="36194"/>
    <n v="38081"/>
    <x v="673"/>
    <s v="Rejected"/>
    <s v="No"/>
    <x v="4"/>
    <x v="916"/>
    <x v="917"/>
    <n v="403"/>
    <n v="338"/>
    <n v="0.35149999999999998"/>
    <n v="55440292"/>
    <n v="51191.405355493996"/>
    <n v="99996"/>
    <n v="5091"/>
    <n v="1434903.8000000007"/>
    <n v="1324.9342566943683"/>
    <n v="0.35149999999999998"/>
    <n v="789552471.49000001"/>
    <x v="1"/>
    <n v="938.52"/>
  </r>
  <r>
    <s v="LN00919"/>
    <x v="918"/>
    <n v="64"/>
    <s v="Female"/>
    <s v="Married"/>
    <s v="Employed"/>
    <n v="109378"/>
    <n v="459"/>
    <n v="66635"/>
    <n v="16.89"/>
    <n v="24"/>
    <s v="Personal"/>
    <n v="32"/>
    <n v="12784"/>
    <n v="179892"/>
    <x v="674"/>
    <s v="Approved"/>
    <s v="No"/>
    <x v="1"/>
    <x v="917"/>
    <x v="918"/>
    <n v="403"/>
    <n v="337"/>
    <n v="0.35149999999999998"/>
    <n v="55416306"/>
    <n v="51216.54898336414"/>
    <n v="99996"/>
    <n v="5091"/>
    <n v="1434825.5900000008"/>
    <n v="1326.0864972273575"/>
    <n v="0.35149999999999998"/>
    <n v="788117567.69000006"/>
    <x v="1"/>
    <n v="38944.800000000003"/>
  </r>
  <r>
    <s v="LN00920"/>
    <x v="919"/>
    <n v="61"/>
    <s v="Female"/>
    <s v="Divorced"/>
    <s v="Unemployed"/>
    <n v="35801"/>
    <n v="696"/>
    <n v="25781"/>
    <n v="9.34"/>
    <n v="120"/>
    <s v="Auto"/>
    <n v="12.19"/>
    <n v="19645"/>
    <n v="173275"/>
    <x v="675"/>
    <s v="Pending"/>
    <s v="Yes"/>
    <x v="2"/>
    <x v="918"/>
    <x v="919"/>
    <n v="402"/>
    <n v="337"/>
    <n v="0.35149999999999998"/>
    <n v="55349671"/>
    <n v="51202.285846438484"/>
    <n v="99996"/>
    <n v="5091"/>
    <n v="1431580.1900000006"/>
    <n v="1324.3109990749313"/>
    <n v="0.35149999999999998"/>
    <n v="786682742.10000014"/>
    <x v="1"/>
    <n v="2818.92"/>
  </r>
  <r>
    <s v="LN00921"/>
    <x v="920"/>
    <n v="21"/>
    <s v="Male"/>
    <s v="Divorced"/>
    <s v="Self-Employed"/>
    <n v="83526"/>
    <n v="736"/>
    <n v="19026"/>
    <n v="23.34"/>
    <n v="240"/>
    <s v="Education"/>
    <n v="26.98"/>
    <n v="26136"/>
    <n v="23285"/>
    <x v="676"/>
    <s v="Rejected"/>
    <s v="No"/>
    <x v="2"/>
    <x v="919"/>
    <x v="920"/>
    <n v="402"/>
    <n v="337"/>
    <n v="0.35149999999999998"/>
    <n v="55323890"/>
    <n v="51225.824074074073"/>
    <n v="99996"/>
    <n v="5091"/>
    <n v="1431345.2800000007"/>
    <n v="1325.3197037037044"/>
    <n v="0.35149999999999998"/>
    <n v="785251161.91000021"/>
    <x v="1"/>
    <n v="1173.3600000000001"/>
  </r>
  <r>
    <s v="LN00922"/>
    <x v="921"/>
    <n v="41"/>
    <s v="Male"/>
    <s v="Single"/>
    <s v="Employed"/>
    <n v="50422"/>
    <n v="349"/>
    <n v="95441"/>
    <n v="9.58"/>
    <n v="24"/>
    <s v="Personal"/>
    <n v="16.78"/>
    <n v="64011"/>
    <n v="104977"/>
    <x v="677"/>
    <s v="Approved"/>
    <s v="No"/>
    <x v="3"/>
    <x v="920"/>
    <x v="921"/>
    <n v="402"/>
    <n v="336"/>
    <n v="0.35149999999999998"/>
    <n v="55304864"/>
    <n v="51255.66635773865"/>
    <n v="99996"/>
    <n v="5091"/>
    <n v="1431247.5000000007"/>
    <n v="1326.4573679332723"/>
    <n v="0.35149999999999998"/>
    <n v="783819816.63000023"/>
    <x v="1"/>
    <n v="52292.160000000003"/>
  </r>
  <r>
    <s v="LN00923"/>
    <x v="922"/>
    <n v="25"/>
    <s v="Female"/>
    <s v="Single"/>
    <s v="Self-Employed"/>
    <n v="97631"/>
    <n v="611"/>
    <n v="19892"/>
    <n v="13.63"/>
    <n v="24"/>
    <s v="Business"/>
    <n v="51.76"/>
    <n v="24115"/>
    <n v="237946"/>
    <x v="678"/>
    <s v="Pending"/>
    <s v="No"/>
    <x v="4"/>
    <x v="921"/>
    <x v="922"/>
    <n v="401"/>
    <n v="336"/>
    <n v="0.35149999999999998"/>
    <n v="55209423"/>
    <n v="51214.678107606676"/>
    <n v="99996"/>
    <n v="5091"/>
    <n v="1426889.8200000005"/>
    <n v="1323.6454730983307"/>
    <n v="0.35149999999999998"/>
    <n v="782388569.13000023"/>
    <x v="1"/>
    <n v="11301.599999999999"/>
  </r>
  <r>
    <s v="LN00924"/>
    <x v="923"/>
    <n v="26"/>
    <s v="Male"/>
    <s v="Married"/>
    <s v="Unemployed"/>
    <n v="89943"/>
    <n v="349"/>
    <n v="82053"/>
    <n v="18.02"/>
    <n v="180"/>
    <s v="Mortgage"/>
    <n v="21.91"/>
    <n v="78638"/>
    <n v="241753"/>
    <x v="316"/>
    <s v="Rejected"/>
    <s v="Yes"/>
    <x v="1"/>
    <x v="922"/>
    <x v="923"/>
    <n v="401"/>
    <n v="336"/>
    <n v="0.35149999999999998"/>
    <n v="55189531"/>
    <n v="51243.761374187561"/>
    <n v="99996"/>
    <n v="5091"/>
    <n v="1425948.0200000005"/>
    <n v="1324.0000185701026"/>
    <n v="0.35149999999999998"/>
    <n v="780961679.3100003"/>
    <x v="1"/>
    <n v="6455.88"/>
  </r>
  <r>
    <s v="LN00925"/>
    <x v="924"/>
    <n v="33"/>
    <s v="Male"/>
    <s v="Single"/>
    <s v="Employed"/>
    <n v="155085"/>
    <n v="495"/>
    <n v="24618"/>
    <n v="19.04"/>
    <n v="24"/>
    <s v="Business"/>
    <n v="20.78"/>
    <n v="2899"/>
    <n v="97961"/>
    <x v="679"/>
    <s v="Rejected"/>
    <s v="Yes"/>
    <x v="3"/>
    <x v="923"/>
    <x v="924"/>
    <n v="401"/>
    <n v="335"/>
    <n v="0.35149999999999998"/>
    <n v="55107478"/>
    <n v="51215.128252788105"/>
    <n v="99996"/>
    <n v="5091"/>
    <n v="1425410.0300000005"/>
    <n v="1324.7305111524167"/>
    <n v="0.35149999999999998"/>
    <n v="779535731.29000032"/>
    <x v="1"/>
    <n v="14652.599999999999"/>
  </r>
  <r>
    <s v="LN00926"/>
    <x v="925"/>
    <n v="58"/>
    <s v="Female"/>
    <s v="Divorced"/>
    <s v="Employed"/>
    <n v="143158"/>
    <n v="310"/>
    <n v="22113"/>
    <n v="3.69"/>
    <n v="12"/>
    <s v="Education"/>
    <n v="55.48"/>
    <n v="23535"/>
    <n v="24667"/>
    <x v="429"/>
    <s v="Pending"/>
    <s v="Yes"/>
    <x v="4"/>
    <x v="924"/>
    <x v="925"/>
    <n v="401"/>
    <n v="334"/>
    <n v="0.35149999999999998"/>
    <n v="55082860"/>
    <n v="51239.869767441858"/>
    <n v="99996"/>
    <n v="5091"/>
    <n v="1424188.9800000004"/>
    <n v="1324.8269581395352"/>
    <n v="0.35149999999999998"/>
    <n v="778110321.26000023"/>
    <x v="1"/>
    <n v="22929"/>
  </r>
  <r>
    <s v="LN00927"/>
    <x v="926"/>
    <n v="65"/>
    <s v="Female"/>
    <s v="Divorced"/>
    <s v="Employed"/>
    <n v="102086"/>
    <n v="387"/>
    <n v="72662"/>
    <n v="15.73"/>
    <n v="48"/>
    <s v="Education"/>
    <n v="31.16"/>
    <n v="79557"/>
    <n v="24415"/>
    <x v="680"/>
    <s v="Rejected"/>
    <s v="Yes"/>
    <x v="3"/>
    <x v="925"/>
    <x v="926"/>
    <n v="401"/>
    <n v="334"/>
    <n v="0.35149999999999998"/>
    <n v="55060747"/>
    <n v="51266.989757914336"/>
    <n v="99996"/>
    <n v="5091"/>
    <n v="1422278.2300000004"/>
    <n v="1324.2814059590321"/>
    <n v="0.35149999999999998"/>
    <n v="776686132.28000033"/>
    <x v="0"/>
    <n v="21022.920000000002"/>
  </r>
  <r>
    <s v="LN00928"/>
    <x v="927"/>
    <n v="32"/>
    <s v="Male"/>
    <s v="Single"/>
    <s v="Unemployed"/>
    <n v="181083"/>
    <n v="329"/>
    <n v="35043"/>
    <n v="10.73"/>
    <n v="60"/>
    <s v="Mortgage"/>
    <n v="49.63"/>
    <n v="48168"/>
    <n v="84010"/>
    <x v="191"/>
    <s v="Approved"/>
    <s v="No"/>
    <x v="4"/>
    <x v="926"/>
    <x v="927"/>
    <n v="401"/>
    <n v="333"/>
    <n v="0.35149999999999998"/>
    <n v="54988085"/>
    <n v="51247.050326188255"/>
    <n v="99996"/>
    <n v="5091"/>
    <n v="1420526.3200000003"/>
    <n v="1323.8828704566638"/>
    <n v="0.35149999999999998"/>
    <n v="775263854.05000031"/>
    <x v="1"/>
    <n v="7760.64"/>
  </r>
  <r>
    <s v="LN00929"/>
    <x v="928"/>
    <n v="31"/>
    <s v="Female"/>
    <s v="Divorced"/>
    <s v="Self-Employed"/>
    <n v="32709"/>
    <n v="509"/>
    <n v="34435"/>
    <n v="7.64"/>
    <n v="48"/>
    <s v="Personal"/>
    <n v="31.83"/>
    <n v="70033"/>
    <n v="107825"/>
    <x v="649"/>
    <s v="Rejected"/>
    <s v="Yes"/>
    <x v="4"/>
    <x v="927"/>
    <x v="928"/>
    <n v="400"/>
    <n v="333"/>
    <n v="0.35149999999999998"/>
    <n v="54953042"/>
    <n v="51262.166044776117"/>
    <n v="99996"/>
    <n v="5091"/>
    <n v="1419879.6"/>
    <n v="1324.5145522388061"/>
    <n v="0.35149999999999998"/>
    <n v="773843327.7300005"/>
    <x v="1"/>
    <n v="9266.4000000000015"/>
  </r>
  <r>
    <s v="LN00930"/>
    <x v="929"/>
    <n v="56"/>
    <s v="Female"/>
    <s v="Divorced"/>
    <s v="Unemployed"/>
    <n v="58076"/>
    <n v="457"/>
    <n v="50701"/>
    <n v="12.79"/>
    <n v="24"/>
    <s v="Personal"/>
    <n v="19.579999999999998"/>
    <n v="7442"/>
    <n v="11115"/>
    <x v="671"/>
    <s v="Pending"/>
    <s v="Yes"/>
    <x v="0"/>
    <x v="928"/>
    <x v="929"/>
    <n v="400"/>
    <n v="332"/>
    <n v="0.35149999999999998"/>
    <n v="54918607"/>
    <n v="51277.877684407096"/>
    <n v="99996"/>
    <n v="5091"/>
    <n v="1419107.4000000001"/>
    <n v="1325.0302521008405"/>
    <n v="0.35149999999999998"/>
    <n v="772423448.13000059"/>
    <x v="1"/>
    <n v="28592.879999999997"/>
  </r>
  <r>
    <s v="LN00931"/>
    <x v="930"/>
    <n v="48"/>
    <s v="Male"/>
    <s v="Married"/>
    <s v="Employed"/>
    <n v="20969"/>
    <n v="741"/>
    <n v="34239"/>
    <n v="14.17"/>
    <n v="12"/>
    <s v="Auto"/>
    <n v="56.45"/>
    <n v="27912"/>
    <n v="55106"/>
    <x v="356"/>
    <s v="Rejected"/>
    <s v="Yes"/>
    <x v="3"/>
    <x v="929"/>
    <x v="930"/>
    <n v="400"/>
    <n v="332"/>
    <n v="0.35149999999999998"/>
    <n v="54867906"/>
    <n v="51278.416822429906"/>
    <n v="99996"/>
    <n v="5091"/>
    <n v="1416724.6600000001"/>
    <n v="1324.0417383177571"/>
    <n v="0.35149999999999998"/>
    <n v="771004340.7300005"/>
    <x v="1"/>
    <n v="39090.720000000001"/>
  </r>
  <r>
    <s v="LN00932"/>
    <x v="931"/>
    <n v="62"/>
    <s v="Male"/>
    <s v="Divorced"/>
    <s v="Employed"/>
    <n v="59859"/>
    <n v="428"/>
    <n v="25862"/>
    <n v="8.84"/>
    <n v="12"/>
    <s v="Mortgage"/>
    <n v="44.78"/>
    <n v="77968"/>
    <n v="2879"/>
    <x v="104"/>
    <s v="Pending"/>
    <s v="No"/>
    <x v="3"/>
    <x v="930"/>
    <x v="931"/>
    <n v="400"/>
    <n v="331"/>
    <n v="0.35149999999999998"/>
    <n v="54833667"/>
    <n v="51294.356407857813"/>
    <n v="99996"/>
    <n v="5091"/>
    <n v="1413467.1000000003"/>
    <n v="1322.2330215154352"/>
    <n v="0.35149999999999998"/>
    <n v="769587616.07000053"/>
    <x v="0"/>
    <n v="28148.159999999996"/>
  </r>
  <r>
    <s v="LN00933"/>
    <x v="932"/>
    <n v="30"/>
    <s v="Female"/>
    <s v="Married"/>
    <s v="Unemployed"/>
    <n v="27295"/>
    <n v="753"/>
    <n v="7915"/>
    <n v="11.55"/>
    <n v="36"/>
    <s v="Business"/>
    <n v="46.28"/>
    <n v="54930"/>
    <n v="149271"/>
    <x v="681"/>
    <s v="Rejected"/>
    <s v="No"/>
    <x v="0"/>
    <x v="931"/>
    <x v="932"/>
    <n v="400"/>
    <n v="331"/>
    <n v="0.35149999999999998"/>
    <n v="54807805"/>
    <n v="51318.169475655428"/>
    <n v="99996"/>
    <n v="5091"/>
    <n v="1411121.4200000002"/>
    <n v="1321.2747378277154"/>
    <n v="0.35149999999999998"/>
    <n v="768174148.97000051"/>
    <x v="0"/>
    <n v="2943.12"/>
  </r>
  <r>
    <s v="LN00934"/>
    <x v="933"/>
    <n v="53"/>
    <s v="Female"/>
    <s v="Single"/>
    <s v="Self-Employed"/>
    <n v="52458"/>
    <n v="472"/>
    <n v="7629"/>
    <n v="17.89"/>
    <n v="240"/>
    <s v="Education"/>
    <n v="51.41"/>
    <n v="19370"/>
    <n v="234547"/>
    <x v="682"/>
    <s v="Rejected"/>
    <s v="No"/>
    <x v="0"/>
    <x v="932"/>
    <x v="933"/>
    <n v="400"/>
    <n v="330"/>
    <n v="0.35149999999999998"/>
    <n v="54799890"/>
    <n v="51358.847235238987"/>
    <n v="99996"/>
    <n v="5091"/>
    <n v="1410876.1600000004"/>
    <n v="1322.2831865042178"/>
    <n v="0.35149999999999998"/>
    <n v="766763027.55000055"/>
    <x v="1"/>
    <n v="449.64"/>
  </r>
  <r>
    <s v="LN00935"/>
    <x v="934"/>
    <n v="33"/>
    <s v="Male"/>
    <s v="Single"/>
    <s v="Self-Employed"/>
    <n v="84219"/>
    <n v="602"/>
    <n v="56640"/>
    <n v="16.059999999999999"/>
    <n v="24"/>
    <s v="Personal"/>
    <n v="30.44"/>
    <n v="42374"/>
    <n v="14278"/>
    <x v="336"/>
    <s v="Pending"/>
    <s v="No"/>
    <x v="1"/>
    <x v="933"/>
    <x v="934"/>
    <n v="400"/>
    <n v="329"/>
    <n v="0.35149999999999998"/>
    <n v="54792261"/>
    <n v="51399.869606003755"/>
    <n v="99996"/>
    <n v="5091"/>
    <n v="1410838.6900000004"/>
    <n v="1323.4884521575989"/>
    <n v="0.35149999999999998"/>
    <n v="765352151.39000058"/>
    <x v="1"/>
    <n v="32868.239999999998"/>
  </r>
  <r>
    <s v="LN00936"/>
    <x v="935"/>
    <n v="31"/>
    <s v="Male"/>
    <s v="Married"/>
    <s v="Unemployed"/>
    <n v="70590"/>
    <n v="362"/>
    <n v="10906"/>
    <n v="8.73"/>
    <n v="60"/>
    <s v="Personal"/>
    <n v="18.489999999999998"/>
    <n v="40269"/>
    <n v="180464"/>
    <x v="442"/>
    <s v="Approved"/>
    <s v="No"/>
    <x v="4"/>
    <x v="934"/>
    <x v="935"/>
    <n v="400"/>
    <n v="329"/>
    <n v="0.35149999999999998"/>
    <n v="54735621"/>
    <n v="51394.949295774648"/>
    <n v="99996"/>
    <n v="5091"/>
    <n v="1408099.6700000002"/>
    <n v="1322.1593145539907"/>
    <n v="0.35149999999999998"/>
    <n v="763941312.70000064"/>
    <x v="1"/>
    <n v="2371.56"/>
  </r>
  <r>
    <s v="LN00937"/>
    <x v="936"/>
    <n v="28"/>
    <s v="Female"/>
    <s v="Divorced"/>
    <s v="Employed"/>
    <n v="38190"/>
    <n v="494"/>
    <n v="85753"/>
    <n v="3.61"/>
    <n v="60"/>
    <s v="Personal"/>
    <n v="33.409999999999997"/>
    <n v="27862"/>
    <n v="46758"/>
    <x v="683"/>
    <s v="Rejected"/>
    <s v="No"/>
    <x v="3"/>
    <x v="935"/>
    <x v="936"/>
    <n v="399"/>
    <n v="329"/>
    <n v="0.35149999999999998"/>
    <n v="54724715"/>
    <n v="51433.00281954887"/>
    <n v="99996"/>
    <n v="5091"/>
    <n v="1407902.0400000003"/>
    <n v="1323.216203007519"/>
    <n v="0.35149999999999998"/>
    <n v="762533213.03000057"/>
    <x v="1"/>
    <n v="17769.72"/>
  </r>
  <r>
    <s v="LN00938"/>
    <x v="937"/>
    <n v="56"/>
    <s v="Male"/>
    <s v="Married"/>
    <s v="Self-Employed"/>
    <n v="102225"/>
    <n v="804"/>
    <n v="56778"/>
    <n v="23.2"/>
    <n v="120"/>
    <s v="Mortgage"/>
    <n v="47.75"/>
    <n v="14491"/>
    <n v="18265"/>
    <x v="178"/>
    <s v="Rejected"/>
    <s v="No"/>
    <x v="4"/>
    <x v="936"/>
    <x v="937"/>
    <n v="399"/>
    <n v="328"/>
    <n v="0.35149999999999998"/>
    <n v="54638962"/>
    <n v="51400.716839134526"/>
    <n v="99996"/>
    <n v="5091"/>
    <n v="1406421.2300000002"/>
    <n v="1323.0679492003765"/>
    <n v="0.35149999999999998"/>
    <n v="761125310.99000049"/>
    <x v="1"/>
    <n v="6995.0399999999991"/>
  </r>
  <r>
    <s v="LN00939"/>
    <x v="938"/>
    <n v="56"/>
    <s v="Female"/>
    <s v="Single"/>
    <s v="Self-Employed"/>
    <n v="72162"/>
    <n v="734"/>
    <n v="45554"/>
    <n v="19.91"/>
    <n v="48"/>
    <s v="Business"/>
    <n v="53.8"/>
    <n v="44290"/>
    <n v="115016"/>
    <x v="684"/>
    <s v="Rejected"/>
    <s v="Yes"/>
    <x v="1"/>
    <x v="937"/>
    <x v="938"/>
    <n v="399"/>
    <n v="327"/>
    <n v="0.35149999999999998"/>
    <n v="54582184"/>
    <n v="51395.653483992464"/>
    <n v="99996"/>
    <n v="5091"/>
    <n v="1405838.3100000003"/>
    <n v="1323.7648870056501"/>
    <n v="0.35149999999999998"/>
    <n v="759718889.76000059"/>
    <x v="1"/>
    <n v="13656"/>
  </r>
  <r>
    <s v="LN00940"/>
    <x v="939"/>
    <n v="37"/>
    <s v="Female"/>
    <s v="Married"/>
    <s v="Unemployed"/>
    <n v="174087"/>
    <n v="529"/>
    <n v="11277"/>
    <n v="20.79"/>
    <n v="24"/>
    <s v="Mortgage"/>
    <n v="21.56"/>
    <n v="20934"/>
    <n v="194995"/>
    <x v="685"/>
    <s v="Approved"/>
    <s v="No"/>
    <x v="4"/>
    <x v="938"/>
    <x v="939"/>
    <n v="399"/>
    <n v="326"/>
    <n v="0.35149999999999998"/>
    <n v="54536630"/>
    <n v="51401.159283694629"/>
    <n v="99996"/>
    <n v="5091"/>
    <n v="1404700.3100000003"/>
    <n v="1323.9399717247882"/>
    <n v="0.35149999999999998"/>
    <n v="758313051.45000052"/>
    <x v="1"/>
    <n v="6810.7199999999993"/>
  </r>
  <r>
    <s v="LN00941"/>
    <x v="940"/>
    <n v="65"/>
    <s v="Female"/>
    <s v="Divorced"/>
    <s v="Self-Employed"/>
    <n v="106587"/>
    <n v="629"/>
    <n v="78730"/>
    <n v="5.43"/>
    <n v="120"/>
    <s v="Auto"/>
    <n v="49.98"/>
    <n v="18740"/>
    <n v="17717"/>
    <x v="55"/>
    <s v="Approved"/>
    <s v="No"/>
    <x v="1"/>
    <x v="939"/>
    <x v="940"/>
    <n v="398"/>
    <n v="326"/>
    <n v="0.35149999999999998"/>
    <n v="54525353"/>
    <n v="51439.012264150944"/>
    <n v="99996"/>
    <n v="5091"/>
    <n v="1404132.7500000002"/>
    <n v="1324.6535377358493"/>
    <n v="0.35149999999999998"/>
    <n v="756908351.14000058"/>
    <x v="1"/>
    <n v="8300.52"/>
  </r>
  <r>
    <s v="LN00942"/>
    <x v="941"/>
    <n v="46"/>
    <s v="Male"/>
    <s v="Married"/>
    <s v="Self-Employed"/>
    <n v="123271"/>
    <n v="771"/>
    <n v="40340"/>
    <n v="14.24"/>
    <n v="120"/>
    <s v="Personal"/>
    <n v="51.95"/>
    <n v="60464"/>
    <n v="92433"/>
    <x v="686"/>
    <s v="Approved"/>
    <s v="Yes"/>
    <x v="2"/>
    <x v="940"/>
    <x v="941"/>
    <n v="397"/>
    <n v="326"/>
    <n v="0.35149999999999998"/>
    <n v="54446623"/>
    <n v="51413.241737488199"/>
    <n v="99996"/>
    <n v="5091"/>
    <n v="1403441.0400000003"/>
    <n v="1325.2512181303118"/>
    <n v="0.35149999999999998"/>
    <n v="755504218.39000058"/>
    <x v="1"/>
    <n v="4608.4800000000005"/>
  </r>
  <r>
    <s v="LN00943"/>
    <x v="942"/>
    <n v="22"/>
    <s v="Male"/>
    <s v="Single"/>
    <s v="Unemployed"/>
    <n v="115323"/>
    <n v="797"/>
    <n v="31221"/>
    <n v="4.04"/>
    <n v="36"/>
    <s v="Personal"/>
    <n v="16.54"/>
    <n v="62437"/>
    <n v="18630"/>
    <x v="316"/>
    <s v="Approved"/>
    <s v="Yes"/>
    <x v="4"/>
    <x v="941"/>
    <x v="942"/>
    <n v="396"/>
    <n v="326"/>
    <n v="0.35149999999999998"/>
    <n v="54406283"/>
    <n v="51423.707939508509"/>
    <n v="99996"/>
    <n v="5091"/>
    <n v="1403057.0000000002"/>
    <n v="1326.1408317580342"/>
    <n v="0.35149999999999998"/>
    <n v="754100777.3500005"/>
    <x v="1"/>
    <n v="10827.48"/>
  </r>
  <r>
    <s v="LN00944"/>
    <x v="943"/>
    <n v="30"/>
    <s v="Male"/>
    <s v="Married"/>
    <s v="Unemployed"/>
    <n v="126129"/>
    <n v="660"/>
    <n v="23349"/>
    <n v="4.62"/>
    <n v="240"/>
    <s v="Personal"/>
    <n v="58.8"/>
    <n v="39621"/>
    <n v="209504"/>
    <x v="687"/>
    <s v="Rejected"/>
    <s v="No"/>
    <x v="0"/>
    <x v="942"/>
    <x v="943"/>
    <n v="395"/>
    <n v="326"/>
    <n v="0.35149999999999998"/>
    <n v="54375062"/>
    <n v="51442.821192052979"/>
    <n v="99996"/>
    <n v="5091"/>
    <n v="1402154.7100000002"/>
    <n v="1326.541825922422"/>
    <n v="0.35149999999999998"/>
    <n v="752697720.3500005"/>
    <x v="1"/>
    <n v="1221.3600000000001"/>
  </r>
  <r>
    <s v="LN00945"/>
    <x v="944"/>
    <n v="33"/>
    <s v="Female"/>
    <s v="Married"/>
    <s v="Self-Employed"/>
    <n v="55218"/>
    <n v="589"/>
    <n v="44276"/>
    <n v="23.05"/>
    <n v="36"/>
    <s v="Personal"/>
    <n v="38.619999999999997"/>
    <n v="26495"/>
    <n v="216081"/>
    <x v="607"/>
    <s v="Pending"/>
    <s v="No"/>
    <x v="1"/>
    <x v="943"/>
    <x v="944"/>
    <n v="395"/>
    <n v="325"/>
    <n v="0.35149999999999998"/>
    <n v="54351713"/>
    <n v="51469.425189393936"/>
    <n v="99996"/>
    <n v="5091"/>
    <n v="1402052.9300000002"/>
    <n v="1327.701638257576"/>
    <n v="0.35149999999999998"/>
    <n v="751295565.64000058"/>
    <x v="1"/>
    <n v="18160.560000000001"/>
  </r>
  <r>
    <s v="LN00946"/>
    <x v="945"/>
    <n v="38"/>
    <s v="Male"/>
    <s v="Single"/>
    <s v="Employed"/>
    <n v="112087"/>
    <n v="820"/>
    <n v="56627"/>
    <n v="13.17"/>
    <n v="24"/>
    <s v="Auto"/>
    <n v="41.13"/>
    <n v="23946"/>
    <n v="59425"/>
    <x v="69"/>
    <s v="Approved"/>
    <s v="No"/>
    <x v="4"/>
    <x v="944"/>
    <x v="945"/>
    <n v="395"/>
    <n v="325"/>
    <n v="0.35149999999999998"/>
    <n v="54307437"/>
    <n v="51476.243601895738"/>
    <n v="99996"/>
    <n v="5091"/>
    <n v="1400539.55"/>
    <n v="1327.5256398104266"/>
    <n v="0.35149999999999998"/>
    <n v="749893512.71000051"/>
    <x v="1"/>
    <n v="32042.399999999998"/>
  </r>
  <r>
    <s v="LN00947"/>
    <x v="946"/>
    <n v="45"/>
    <s v="Female"/>
    <s v="Single"/>
    <s v="Employed"/>
    <n v="81687"/>
    <n v="441"/>
    <n v="20094"/>
    <n v="14.51"/>
    <n v="12"/>
    <s v="Business"/>
    <n v="12.7"/>
    <n v="57198"/>
    <n v="125641"/>
    <x v="104"/>
    <s v="Pending"/>
    <s v="Yes"/>
    <x v="2"/>
    <x v="945"/>
    <x v="946"/>
    <n v="394"/>
    <n v="325"/>
    <n v="0.35149999999999998"/>
    <n v="54250810"/>
    <n v="51471.356736242888"/>
    <n v="99996"/>
    <n v="5091"/>
    <n v="1397869.3500000003"/>
    <n v="1326.2517552182167"/>
    <n v="0.35149999999999998"/>
    <n v="748492973.16000056"/>
    <x v="1"/>
    <n v="23009.64"/>
  </r>
  <r>
    <s v="LN00948"/>
    <x v="947"/>
    <n v="38"/>
    <s v="Male"/>
    <s v="Divorced"/>
    <s v="Self-Employed"/>
    <n v="72179"/>
    <n v="668"/>
    <n v="89954"/>
    <n v="4.3"/>
    <n v="180"/>
    <s v="Business"/>
    <n v="10.38"/>
    <n v="63743"/>
    <n v="188492"/>
    <x v="688"/>
    <s v="Pending"/>
    <s v="No"/>
    <x v="2"/>
    <x v="946"/>
    <x v="947"/>
    <n v="394"/>
    <n v="325"/>
    <n v="0.35149999999999998"/>
    <n v="54230716"/>
    <n v="51501.154795821465"/>
    <n v="99996"/>
    <n v="5091"/>
    <n v="1395951.8800000004"/>
    <n v="1325.6902943969615"/>
    <n v="0.35149999999999998"/>
    <n v="747095103.81000066"/>
    <x v="0"/>
    <n v="6254.76"/>
  </r>
  <r>
    <s v="LN00949"/>
    <x v="948"/>
    <n v="22"/>
    <s v="Male"/>
    <s v="Married"/>
    <s v="Self-Employed"/>
    <n v="73984"/>
    <n v="664"/>
    <n v="71204"/>
    <n v="17.100000000000001"/>
    <n v="180"/>
    <s v="Auto"/>
    <n v="9.3800000000000008"/>
    <n v="27286"/>
    <n v="55973"/>
    <x v="224"/>
    <s v="Approved"/>
    <s v="Yes"/>
    <x v="1"/>
    <x v="947"/>
    <x v="948"/>
    <n v="394"/>
    <n v="325"/>
    <n v="0.35149999999999998"/>
    <n v="54140762"/>
    <n v="51464.60266159696"/>
    <n v="99996"/>
    <n v="5091"/>
    <n v="1395430.6500000004"/>
    <n v="1326.4549904942969"/>
    <n v="0.35149999999999998"/>
    <n v="745699151.93000054"/>
    <x v="1"/>
    <n v="5558.64"/>
  </r>
  <r>
    <s v="LN00950"/>
    <x v="949"/>
    <n v="22"/>
    <s v="Female"/>
    <s v="Single"/>
    <s v="Self-Employed"/>
    <n v="133893"/>
    <n v="356"/>
    <n v="95316"/>
    <n v="22.89"/>
    <n v="180"/>
    <s v="Business"/>
    <n v="30.91"/>
    <n v="18214"/>
    <n v="212137"/>
    <x v="689"/>
    <s v="Pending"/>
    <s v="No"/>
    <x v="0"/>
    <x v="948"/>
    <x v="949"/>
    <n v="393"/>
    <n v="325"/>
    <n v="0.35149999999999998"/>
    <n v="54069558"/>
    <n v="51445.82112274025"/>
    <n v="99996"/>
    <n v="5091"/>
    <n v="1394967.4300000004"/>
    <n v="1327.2763368220747"/>
    <n v="0.35149999999999998"/>
    <n v="744303721.28000057"/>
    <x v="1"/>
    <n v="7808.88"/>
  </r>
  <r>
    <s v="LN00951"/>
    <x v="950"/>
    <n v="53"/>
    <s v="Male"/>
    <s v="Single"/>
    <s v="Unemployed"/>
    <n v="36761"/>
    <n v="695"/>
    <n v="53499"/>
    <n v="10.93"/>
    <n v="12"/>
    <s v="Auto"/>
    <n v="40.229999999999997"/>
    <n v="54981"/>
    <n v="106218"/>
    <x v="235"/>
    <s v="Approved"/>
    <s v="No"/>
    <x v="2"/>
    <x v="949"/>
    <x v="950"/>
    <n v="393"/>
    <n v="325"/>
    <n v="0.35149999999999998"/>
    <n v="53974242"/>
    <n v="51404.04"/>
    <n v="99996"/>
    <n v="5091"/>
    <n v="1394316.6900000004"/>
    <n v="1327.9206571428576"/>
    <n v="0.35149999999999998"/>
    <n v="742908753.85000062"/>
    <x v="1"/>
    <n v="59346.479999999996"/>
  </r>
  <r>
    <s v="LN00952"/>
    <x v="951"/>
    <n v="64"/>
    <s v="Male"/>
    <s v="Married"/>
    <s v="Employed"/>
    <n v="156568"/>
    <n v="379"/>
    <n v="56441"/>
    <n v="23.76"/>
    <n v="180"/>
    <s v="Education"/>
    <n v="18.38"/>
    <n v="38888"/>
    <n v="237545"/>
    <x v="690"/>
    <s v="Approved"/>
    <s v="No"/>
    <x v="0"/>
    <x v="950"/>
    <x v="951"/>
    <n v="392"/>
    <n v="325"/>
    <n v="0.35149999999999998"/>
    <n v="53920743"/>
    <n v="51402.042897998093"/>
    <n v="99996"/>
    <n v="5091"/>
    <n v="1389371.1500000004"/>
    <n v="1324.472020972355"/>
    <n v="0.35149999999999998"/>
    <n v="741514437.16000068"/>
    <x v="0"/>
    <n v="4656.72"/>
  </r>
  <r>
    <s v="LN00953"/>
    <x v="952"/>
    <n v="22"/>
    <s v="Male"/>
    <s v="Single"/>
    <s v="Unemployed"/>
    <n v="77315"/>
    <n v="844"/>
    <n v="11602"/>
    <n v="23.77"/>
    <n v="24"/>
    <s v="Mortgage"/>
    <n v="6.2"/>
    <n v="17302"/>
    <n v="110263"/>
    <x v="443"/>
    <s v="Rejected"/>
    <s v="Yes"/>
    <x v="0"/>
    <x v="951"/>
    <x v="952"/>
    <n v="391"/>
    <n v="325"/>
    <n v="0.35149999999999998"/>
    <n v="53864302"/>
    <n v="51397.234732824429"/>
    <n v="99996"/>
    <n v="5091"/>
    <n v="1388983.0900000005"/>
    <n v="1325.3655438931303"/>
    <n v="0.35149999999999998"/>
    <n v="740125066.01000071"/>
    <x v="1"/>
    <n v="7179.84"/>
  </r>
  <r>
    <s v="LN00954"/>
    <x v="953"/>
    <n v="34"/>
    <s v="Female"/>
    <s v="Divorced"/>
    <s v="Self-Employed"/>
    <n v="57700"/>
    <n v="544"/>
    <n v="8083"/>
    <n v="13.15"/>
    <n v="240"/>
    <s v="Business"/>
    <n v="37.31"/>
    <n v="2464"/>
    <n v="206784"/>
    <x v="691"/>
    <s v="Rejected"/>
    <s v="No"/>
    <x v="1"/>
    <x v="952"/>
    <x v="953"/>
    <n v="391"/>
    <n v="324"/>
    <n v="0.35149999999999998"/>
    <n v="53852700"/>
    <n v="51435.243553008593"/>
    <n v="99996"/>
    <n v="5091"/>
    <n v="1388384.7700000005"/>
    <n v="1326.0599522445086"/>
    <n v="0.35149999999999998"/>
    <n v="738736082.92000067"/>
    <x v="1"/>
    <n v="457.32"/>
  </r>
  <r>
    <s v="LN00955"/>
    <x v="954"/>
    <n v="23"/>
    <s v="Male"/>
    <s v="Divorced"/>
    <s v="Self-Employed"/>
    <n v="135503"/>
    <n v="799"/>
    <n v="65441"/>
    <n v="8.52"/>
    <n v="24"/>
    <s v="Auto"/>
    <n v="54.18"/>
    <n v="78461"/>
    <n v="194271"/>
    <x v="276"/>
    <s v="Pending"/>
    <s v="Yes"/>
    <x v="2"/>
    <x v="953"/>
    <x v="954"/>
    <n v="391"/>
    <n v="323"/>
    <n v="0.35149999999999998"/>
    <n v="53844617"/>
    <n v="51476.689292543022"/>
    <n v="99996"/>
    <n v="5091"/>
    <n v="1388346.6600000004"/>
    <n v="1327.2912619502872"/>
    <n v="0.35149999999999998"/>
    <n v="737347698.15000081"/>
    <x v="1"/>
    <n v="35508.239999999998"/>
  </r>
  <r>
    <s v="LN00956"/>
    <x v="955"/>
    <n v="38"/>
    <s v="Male"/>
    <s v="Divorced"/>
    <s v="Employed"/>
    <n v="86945"/>
    <n v="522"/>
    <n v="38927"/>
    <n v="8.86"/>
    <n v="12"/>
    <s v="Education"/>
    <n v="25.52"/>
    <n v="15596"/>
    <n v="124445"/>
    <x v="692"/>
    <s v="Approved"/>
    <s v="Yes"/>
    <x v="3"/>
    <x v="954"/>
    <x v="955"/>
    <n v="391"/>
    <n v="323"/>
    <n v="0.35149999999999998"/>
    <n v="53779176"/>
    <n v="51463.326315789476"/>
    <n v="99996"/>
    <n v="5091"/>
    <n v="1385387.6400000004"/>
    <n v="1325.7297990430625"/>
    <n v="0.35149999999999998"/>
    <n v="735959351.49000084"/>
    <x v="1"/>
    <n v="42375.96"/>
  </r>
  <r>
    <s v="LN00957"/>
    <x v="956"/>
    <n v="23"/>
    <s v="Male"/>
    <s v="Single"/>
    <s v="Unemployed"/>
    <n v="185997"/>
    <n v="508"/>
    <n v="91428"/>
    <n v="15.71"/>
    <n v="36"/>
    <s v="Personal"/>
    <n v="9.26"/>
    <n v="43130"/>
    <n v="3938"/>
    <x v="692"/>
    <s v="Pending"/>
    <s v="Yes"/>
    <x v="4"/>
    <x v="955"/>
    <x v="956"/>
    <n v="390"/>
    <n v="323"/>
    <n v="0.35149999999999998"/>
    <n v="53740249"/>
    <n v="51475.334291187741"/>
    <n v="99996"/>
    <n v="5091"/>
    <n v="1381856.3100000003"/>
    <n v="1323.617155172414"/>
    <n v="0.35149999999999998"/>
    <n v="734573963.85000086"/>
    <x v="0"/>
    <n v="35263.800000000003"/>
  </r>
  <r>
    <s v="LN00958"/>
    <x v="957"/>
    <n v="40"/>
    <s v="Female"/>
    <s v="Married"/>
    <s v="Employed"/>
    <n v="181667"/>
    <n v="644"/>
    <n v="42867"/>
    <n v="7.35"/>
    <n v="24"/>
    <s v="Business"/>
    <n v="26.57"/>
    <n v="39248"/>
    <n v="134044"/>
    <x v="550"/>
    <s v="Approved"/>
    <s v="No"/>
    <x v="1"/>
    <x v="956"/>
    <x v="957"/>
    <n v="390"/>
    <n v="323"/>
    <n v="0.35149999999999998"/>
    <n v="53648821"/>
    <n v="51437.028763183123"/>
    <n v="99996"/>
    <n v="5091"/>
    <n v="1378917.6600000006"/>
    <n v="1322.0687056567599"/>
    <n v="0.35149999999999998"/>
    <n v="733192107.54000092"/>
    <x v="1"/>
    <n v="23008.920000000002"/>
  </r>
  <r>
    <s v="LN00959"/>
    <x v="958"/>
    <n v="45"/>
    <s v="Male"/>
    <s v="Single"/>
    <s v="Employed"/>
    <n v="71825"/>
    <n v="497"/>
    <n v="17078"/>
    <n v="4.8600000000000003"/>
    <n v="60"/>
    <s v="Education"/>
    <n v="41.49"/>
    <n v="23804"/>
    <n v="158152"/>
    <x v="447"/>
    <s v="Pending"/>
    <s v="Yes"/>
    <x v="4"/>
    <x v="957"/>
    <x v="958"/>
    <n v="389"/>
    <n v="323"/>
    <n v="0.35149999999999998"/>
    <n v="53605954"/>
    <n v="51445.253358925147"/>
    <n v="99996"/>
    <n v="5091"/>
    <n v="1377000.2500000007"/>
    <n v="1321.4973608445305"/>
    <n v="0.35149999999999998"/>
    <n v="731813189.88000095"/>
    <x v="1"/>
    <n v="3581.6400000000003"/>
  </r>
  <r>
    <s v="LN00960"/>
    <x v="959"/>
    <n v="53"/>
    <s v="Female"/>
    <s v="Divorced"/>
    <s v="Unemployed"/>
    <n v="43602"/>
    <n v="622"/>
    <n v="48276"/>
    <n v="23.54"/>
    <n v="60"/>
    <s v="Education"/>
    <n v="16.73"/>
    <n v="53942"/>
    <n v="138734"/>
    <x v="693"/>
    <s v="Approved"/>
    <s v="Yes"/>
    <x v="3"/>
    <x v="958"/>
    <x v="959"/>
    <n v="389"/>
    <n v="323"/>
    <n v="0.35149999999999998"/>
    <n v="53588876"/>
    <n v="51478.267050912582"/>
    <n v="99996"/>
    <n v="5091"/>
    <n v="1376701.7800000007"/>
    <n v="1322.48009606148"/>
    <n v="0.35149999999999998"/>
    <n v="730436189.63000095"/>
    <x v="1"/>
    <n v="11928"/>
  </r>
  <r>
    <s v="LN00961"/>
    <x v="960"/>
    <n v="51"/>
    <s v="Male"/>
    <s v="Divorced"/>
    <s v="Employed"/>
    <n v="36470"/>
    <n v="696"/>
    <n v="74346"/>
    <n v="17.16"/>
    <n v="24"/>
    <s v="Mortgage"/>
    <n v="44.26"/>
    <n v="41801"/>
    <n v="99275"/>
    <x v="649"/>
    <s v="Pending"/>
    <s v="No"/>
    <x v="2"/>
    <x v="959"/>
    <x v="960"/>
    <n v="388"/>
    <n v="323"/>
    <n v="0.35149999999999998"/>
    <n v="53540600"/>
    <n v="51481.346153846156"/>
    <n v="99996"/>
    <n v="5091"/>
    <n v="1375707.7800000007"/>
    <n v="1322.7959423076929"/>
    <n v="0.35149999999999998"/>
    <n v="729059487.85000086"/>
    <x v="1"/>
    <n v="43551.840000000004"/>
  </r>
  <r>
    <s v="LN00962"/>
    <x v="961"/>
    <n v="41"/>
    <s v="Male"/>
    <s v="Single"/>
    <s v="Self-Employed"/>
    <n v="132579"/>
    <n v="395"/>
    <n v="83722"/>
    <n v="21.86"/>
    <n v="36"/>
    <s v="Education"/>
    <n v="15.12"/>
    <n v="24623"/>
    <n v="39484"/>
    <x v="694"/>
    <s v="Rejected"/>
    <s v="No"/>
    <x v="3"/>
    <x v="960"/>
    <x v="961"/>
    <n v="388"/>
    <n v="323"/>
    <n v="0.35149999999999998"/>
    <n v="53466254"/>
    <n v="51459.339749759383"/>
    <n v="99996"/>
    <n v="5091"/>
    <n v="1372078.4600000007"/>
    <n v="1320.5759961501451"/>
    <n v="0.35149999999999998"/>
    <n v="727683780.07000089"/>
    <x v="1"/>
    <n v="34007.879999999997"/>
  </r>
  <r>
    <s v="LN00963"/>
    <x v="962"/>
    <n v="60"/>
    <s v="Male"/>
    <s v="Divorced"/>
    <s v="Self-Employed"/>
    <n v="168942"/>
    <n v="488"/>
    <n v="60214"/>
    <n v="11.93"/>
    <n v="240"/>
    <s v="Mortgage"/>
    <n v="11.33"/>
    <n v="1219"/>
    <n v="159959"/>
    <x v="695"/>
    <s v="Rejected"/>
    <s v="Yes"/>
    <x v="0"/>
    <x v="961"/>
    <x v="962"/>
    <n v="388"/>
    <n v="322"/>
    <n v="0.35149999999999998"/>
    <n v="53382532"/>
    <n v="51428.258188824664"/>
    <n v="99996"/>
    <n v="5091"/>
    <n v="1369244.4700000004"/>
    <n v="1319.1179865125246"/>
    <n v="0.35149999999999998"/>
    <n v="726311701.61000085"/>
    <x v="1"/>
    <n v="3369.84"/>
  </r>
  <r>
    <s v="LN00964"/>
    <x v="963"/>
    <n v="52"/>
    <s v="Female"/>
    <s v="Married"/>
    <s v="Unemployed"/>
    <n v="188519"/>
    <n v="639"/>
    <n v="10249"/>
    <n v="17.11"/>
    <n v="12"/>
    <s v="Mortgage"/>
    <n v="34.06"/>
    <n v="1492"/>
    <n v="16864"/>
    <x v="696"/>
    <s v="Pending"/>
    <s v="Yes"/>
    <x v="2"/>
    <x v="962"/>
    <x v="963"/>
    <n v="388"/>
    <n v="321"/>
    <n v="0.35149999999999998"/>
    <n v="53322318"/>
    <n v="51419.785920925744"/>
    <n v="99996"/>
    <n v="5091"/>
    <n v="1368963.6500000004"/>
    <n v="1320.1192381870785"/>
    <n v="0.35149999999999998"/>
    <n v="724942457.14000094"/>
    <x v="1"/>
    <n v="12002.64"/>
  </r>
  <r>
    <s v="LN00965"/>
    <x v="964"/>
    <n v="46"/>
    <s v="Female"/>
    <s v="Divorced"/>
    <s v="Employed"/>
    <n v="171859"/>
    <n v="794"/>
    <n v="47942"/>
    <n v="5.44"/>
    <n v="240"/>
    <s v="Mortgage"/>
    <n v="32.270000000000003"/>
    <n v="10354"/>
    <n v="246389"/>
    <x v="369"/>
    <s v="Approved"/>
    <s v="Yes"/>
    <x v="3"/>
    <x v="963"/>
    <x v="964"/>
    <n v="388"/>
    <n v="321"/>
    <n v="0.35149999999999998"/>
    <n v="53312069"/>
    <n v="51459.526061776065"/>
    <n v="99996"/>
    <n v="5091"/>
    <n v="1367963.4300000004"/>
    <n v="1320.4280212355216"/>
    <n v="0.35149999999999998"/>
    <n v="723573493.49000096"/>
    <x v="0"/>
    <n v="2527.56"/>
  </r>
  <r>
    <s v="LN00966"/>
    <x v="965"/>
    <n v="40"/>
    <s v="Female"/>
    <s v="Divorced"/>
    <s v="Employed"/>
    <n v="49930"/>
    <n v="638"/>
    <n v="10119"/>
    <n v="14.68"/>
    <n v="60"/>
    <s v="Education"/>
    <n v="43.07"/>
    <n v="48343"/>
    <n v="159321"/>
    <x v="697"/>
    <s v="Pending"/>
    <s v="Yes"/>
    <x v="4"/>
    <x v="964"/>
    <x v="965"/>
    <n v="387"/>
    <n v="321"/>
    <n v="0.35149999999999998"/>
    <n v="53264127"/>
    <n v="51462.924637681157"/>
    <n v="99996"/>
    <n v="5091"/>
    <n v="1367752.8000000003"/>
    <n v="1321.5002898550727"/>
    <n v="0.35149999999999998"/>
    <n v="722205530.0600009"/>
    <x v="1"/>
    <n v="2320.92"/>
  </r>
  <r>
    <s v="LN00967"/>
    <x v="966"/>
    <n v="31"/>
    <s v="Male"/>
    <s v="Single"/>
    <s v="Self-Employed"/>
    <n v="20788"/>
    <n v="801"/>
    <n v="30112"/>
    <n v="12.85"/>
    <n v="48"/>
    <s v="Auto"/>
    <n v="55.11"/>
    <n v="8619"/>
    <n v="81520"/>
    <x v="698"/>
    <s v="Approved"/>
    <s v="Yes"/>
    <x v="1"/>
    <x v="965"/>
    <x v="966"/>
    <n v="387"/>
    <n v="321"/>
    <n v="0.35149999999999998"/>
    <n v="53254008"/>
    <n v="51502.909090909088"/>
    <n v="99996"/>
    <n v="5091"/>
    <n v="1367559.3900000004"/>
    <n v="1322.591286266925"/>
    <n v="0.35149999999999998"/>
    <n v="720837777.26000106"/>
    <x v="1"/>
    <n v="8495.4000000000015"/>
  </r>
  <r>
    <s v="LN00968"/>
    <x v="967"/>
    <n v="23"/>
    <s v="Female"/>
    <s v="Single"/>
    <s v="Employed"/>
    <n v="86293"/>
    <n v="776"/>
    <n v="72641"/>
    <n v="3.6"/>
    <n v="60"/>
    <s v="Mortgage"/>
    <n v="34.57"/>
    <n v="34709"/>
    <n v="184650"/>
    <x v="25"/>
    <s v="Pending"/>
    <s v="Yes"/>
    <x v="4"/>
    <x v="966"/>
    <x v="967"/>
    <n v="386"/>
    <n v="321"/>
    <n v="0.35149999999999998"/>
    <n v="53223896"/>
    <n v="51523.616650532429"/>
    <n v="99996"/>
    <n v="5091"/>
    <n v="1366851.4400000004"/>
    <n v="1323.1862923523722"/>
    <n v="0.35149999999999998"/>
    <n v="719470217.87000096"/>
    <x v="1"/>
    <n v="15051.24"/>
  </r>
  <r>
    <s v="LN00969"/>
    <x v="968"/>
    <n v="31"/>
    <s v="Male"/>
    <s v="Divorced"/>
    <s v="Self-Employed"/>
    <n v="130355"/>
    <n v="671"/>
    <n v="18902"/>
    <n v="20.47"/>
    <n v="24"/>
    <s v="Mortgage"/>
    <n v="42.07"/>
    <n v="8357"/>
    <n v="44393"/>
    <x v="699"/>
    <s v="Rejected"/>
    <s v="Yes"/>
    <x v="2"/>
    <x v="967"/>
    <x v="968"/>
    <n v="386"/>
    <n v="321"/>
    <n v="0.35149999999999998"/>
    <n v="53151255"/>
    <n v="51503.154069767443"/>
    <n v="99996"/>
    <n v="5091"/>
    <n v="1365597.1700000004"/>
    <n v="1323.2530717054267"/>
    <n v="0.35149999999999998"/>
    <n v="718103366.4300009"/>
    <x v="1"/>
    <n v="11385.599999999999"/>
  </r>
  <r>
    <s v="LN00970"/>
    <x v="969"/>
    <n v="63"/>
    <s v="Male"/>
    <s v="Divorced"/>
    <s v="Unemployed"/>
    <n v="151545"/>
    <n v="597"/>
    <n v="27409"/>
    <n v="6.51"/>
    <n v="240"/>
    <s v="Mortgage"/>
    <n v="41.5"/>
    <n v="71717"/>
    <n v="153040"/>
    <x v="700"/>
    <s v="Approved"/>
    <s v="No"/>
    <x v="2"/>
    <x v="968"/>
    <x v="969"/>
    <n v="386"/>
    <n v="320"/>
    <n v="0.35149999999999998"/>
    <n v="53132353"/>
    <n v="51534.774975751694"/>
    <n v="99996"/>
    <n v="5091"/>
    <n v="1364648.3700000003"/>
    <n v="1323.616265761397"/>
    <n v="0.35149999999999998"/>
    <n v="716737769.26000106"/>
    <x v="1"/>
    <n v="1459.68"/>
  </r>
  <r>
    <s v="LN00971"/>
    <x v="970"/>
    <n v="48"/>
    <s v="Male"/>
    <s v="Married"/>
    <s v="Employed"/>
    <n v="126457"/>
    <n v="805"/>
    <n v="86376"/>
    <n v="10.32"/>
    <n v="24"/>
    <s v="Mortgage"/>
    <n v="26.52"/>
    <n v="21169"/>
    <n v="105057"/>
    <x v="6"/>
    <s v="Pending"/>
    <s v="Yes"/>
    <x v="1"/>
    <x v="969"/>
    <x v="970"/>
    <n v="385"/>
    <n v="320"/>
    <n v="0.35149999999999998"/>
    <n v="53104944"/>
    <n v="51558.198058252427"/>
    <n v="99996"/>
    <n v="5091"/>
    <n v="1364526.7300000004"/>
    <n v="1324.7832330097092"/>
    <n v="0.35149999999999998"/>
    <n v="715373120.89000118"/>
    <x v="1"/>
    <n v="47645.04"/>
  </r>
  <r>
    <s v="LN00972"/>
    <x v="971"/>
    <n v="42"/>
    <s v="Male"/>
    <s v="Divorced"/>
    <s v="Employed"/>
    <n v="39535"/>
    <n v="384"/>
    <n v="18431"/>
    <n v="22.42"/>
    <n v="24"/>
    <s v="Auto"/>
    <n v="45.43"/>
    <n v="30593"/>
    <n v="241501"/>
    <x v="445"/>
    <s v="Approved"/>
    <s v="Yes"/>
    <x v="2"/>
    <x v="970"/>
    <x v="971"/>
    <n v="385"/>
    <n v="320"/>
    <n v="0.35149999999999998"/>
    <n v="53018568"/>
    <n v="51524.361516034987"/>
    <n v="99996"/>
    <n v="5091"/>
    <n v="1360556.3100000003"/>
    <n v="1322.2121574344026"/>
    <n v="0.35149999999999998"/>
    <n v="714008594.16000116"/>
    <x v="1"/>
    <n v="11281.56"/>
  </r>
  <r>
    <s v="LN00973"/>
    <x v="972"/>
    <n v="29"/>
    <s v="Female"/>
    <s v="Married"/>
    <s v="Employed"/>
    <n v="80538"/>
    <n v="706"/>
    <n v="57836"/>
    <n v="18.850000000000001"/>
    <n v="120"/>
    <s v="Personal"/>
    <n v="7.51"/>
    <n v="11884"/>
    <n v="159826"/>
    <x v="701"/>
    <s v="Pending"/>
    <s v="Yes"/>
    <x v="3"/>
    <x v="971"/>
    <x v="972"/>
    <n v="384"/>
    <n v="320"/>
    <n v="0.35149999999999998"/>
    <n v="53000137"/>
    <n v="51556.553501945527"/>
    <n v="99996"/>
    <n v="5091"/>
    <n v="1359616.1800000002"/>
    <n v="1322.583832684825"/>
    <n v="0.35149999999999998"/>
    <n v="712648037.85000122"/>
    <x v="1"/>
    <n v="6873.84"/>
  </r>
  <r>
    <s v="LN00974"/>
    <x v="973"/>
    <n v="44"/>
    <s v="Female"/>
    <s v="Married"/>
    <s v="Self-Employed"/>
    <n v="130092"/>
    <n v="692"/>
    <n v="29199"/>
    <n v="13.2"/>
    <n v="12"/>
    <s v="Auto"/>
    <n v="36.950000000000003"/>
    <n v="31477"/>
    <n v="125088"/>
    <x v="186"/>
    <s v="Approved"/>
    <s v="No"/>
    <x v="4"/>
    <x v="972"/>
    <x v="973"/>
    <n v="384"/>
    <n v="320"/>
    <n v="0.35149999999999998"/>
    <n v="52942301"/>
    <n v="51550.439143135343"/>
    <n v="99996"/>
    <n v="5091"/>
    <n v="1359043.36"/>
    <n v="1323.3138851022397"/>
    <n v="0.35149999999999998"/>
    <n v="711288421.67000115"/>
    <x v="1"/>
    <n v="33053.279999999999"/>
  </r>
  <r>
    <s v="LN00975"/>
    <x v="974"/>
    <n v="40"/>
    <s v="Female"/>
    <s v="Married"/>
    <s v="Self-Employed"/>
    <n v="123923"/>
    <n v="484"/>
    <n v="31256"/>
    <n v="8.33"/>
    <n v="36"/>
    <s v="Mortgage"/>
    <n v="14.03"/>
    <n v="38490"/>
    <n v="22574"/>
    <x v="409"/>
    <s v="Pending"/>
    <s v="No"/>
    <x v="4"/>
    <x v="973"/>
    <x v="974"/>
    <n v="383"/>
    <n v="320"/>
    <n v="0.35149999999999998"/>
    <n v="52913102"/>
    <n v="51572.224171539958"/>
    <n v="99996"/>
    <n v="5091"/>
    <n v="1356288.9200000002"/>
    <n v="1321.9190253411307"/>
    <n v="0.35149999999999998"/>
    <n v="709929378.31000113"/>
    <x v="0"/>
    <n v="11286.599999999999"/>
  </r>
  <r>
    <s v="LN00976"/>
    <x v="975"/>
    <n v="57"/>
    <s v="Male"/>
    <s v="Single"/>
    <s v="Unemployed"/>
    <n v="141464"/>
    <n v="449"/>
    <n v="32457"/>
    <n v="20.65"/>
    <n v="24"/>
    <s v="Personal"/>
    <n v="26.35"/>
    <n v="37754"/>
    <n v="138264"/>
    <x v="702"/>
    <s v="Rejected"/>
    <s v="Yes"/>
    <x v="4"/>
    <x v="974"/>
    <x v="975"/>
    <n v="383"/>
    <n v="320"/>
    <n v="0.35149999999999998"/>
    <n v="52881846"/>
    <n v="51592.044878048779"/>
    <n v="99996"/>
    <n v="5091"/>
    <n v="1355348.3700000003"/>
    <n v="1322.2910926829272"/>
    <n v="0.35149999999999998"/>
    <n v="708573089.3900013"/>
    <x v="1"/>
    <n v="19579.68"/>
  </r>
  <r>
    <s v="LN00977"/>
    <x v="976"/>
    <n v="62"/>
    <s v="Male"/>
    <s v="Single"/>
    <s v="Employed"/>
    <n v="138012"/>
    <n v="696"/>
    <n v="30738"/>
    <n v="21.22"/>
    <n v="180"/>
    <s v="Auto"/>
    <n v="31.63"/>
    <n v="48053"/>
    <n v="166076"/>
    <x v="703"/>
    <s v="Approved"/>
    <s v="Yes"/>
    <x v="4"/>
    <x v="975"/>
    <x v="976"/>
    <n v="383"/>
    <n v="319"/>
    <n v="0.35149999999999998"/>
    <n v="52849389"/>
    <n v="51610.7314453125"/>
    <n v="99996"/>
    <n v="5091"/>
    <n v="1353716.7300000004"/>
    <n v="1321.9889941406254"/>
    <n v="0.35149999999999998"/>
    <n v="707217741.02000129"/>
    <x v="1"/>
    <n v="2484"/>
  </r>
  <r>
    <s v="LN00978"/>
    <x v="977"/>
    <n v="57"/>
    <s v="Female"/>
    <s v="Divorced"/>
    <s v="Self-Employed"/>
    <n v="169489"/>
    <n v="341"/>
    <n v="62684"/>
    <n v="13.85"/>
    <n v="24"/>
    <s v="Education"/>
    <n v="48.09"/>
    <n v="16528"/>
    <n v="203208"/>
    <x v="350"/>
    <s v="Pending"/>
    <s v="No"/>
    <x v="0"/>
    <x v="976"/>
    <x v="977"/>
    <n v="382"/>
    <n v="319"/>
    <n v="0.35149999999999998"/>
    <n v="52818651"/>
    <n v="51631.134897360702"/>
    <n v="99996"/>
    <n v="5091"/>
    <n v="1353509.7300000002"/>
    <n v="1323.0789149560119"/>
    <n v="0.35149999999999998"/>
    <n v="705864024.29000127"/>
    <x v="1"/>
    <n v="35682.840000000004"/>
  </r>
  <r>
    <s v="LN00979"/>
    <x v="978"/>
    <n v="31"/>
    <s v="Female"/>
    <s v="Divorced"/>
    <s v="Self-Employed"/>
    <n v="193695"/>
    <n v="545"/>
    <n v="7197"/>
    <n v="19.91"/>
    <n v="24"/>
    <s v="Education"/>
    <n v="47.17"/>
    <n v="384"/>
    <n v="177132"/>
    <x v="704"/>
    <s v="Pending"/>
    <s v="Yes"/>
    <x v="3"/>
    <x v="977"/>
    <x v="978"/>
    <n v="382"/>
    <n v="319"/>
    <n v="0.35149999999999998"/>
    <n v="52755967"/>
    <n v="51620.319960861059"/>
    <n v="99996"/>
    <n v="5091"/>
    <n v="1350536.1600000004"/>
    <n v="1321.4639530332686"/>
    <n v="0.35149999999999998"/>
    <n v="704510514.56000149"/>
    <x v="1"/>
    <n v="4314.96"/>
  </r>
  <r>
    <s v="LN00980"/>
    <x v="979"/>
    <n v="65"/>
    <s v="Male"/>
    <s v="Divorced"/>
    <s v="Self-Employed"/>
    <n v="58886"/>
    <n v="603"/>
    <n v="85262"/>
    <n v="9.07"/>
    <n v="36"/>
    <s v="Education"/>
    <n v="27.7"/>
    <n v="22840"/>
    <n v="61202"/>
    <x v="101"/>
    <s v="Approved"/>
    <s v="Yes"/>
    <x v="4"/>
    <x v="978"/>
    <x v="979"/>
    <n v="382"/>
    <n v="319"/>
    <n v="0.35149999999999998"/>
    <n v="52748770"/>
    <n v="51663.82957884427"/>
    <n v="99996"/>
    <n v="5091"/>
    <n v="1350176.58"/>
    <n v="1322.4060528893242"/>
    <n v="0.35149999999999998"/>
    <n v="703159978.40000141"/>
    <x v="1"/>
    <n v="30998.399999999998"/>
  </r>
  <r>
    <s v="LN00981"/>
    <x v="980"/>
    <n v="21"/>
    <s v="Male"/>
    <s v="Divorced"/>
    <s v="Self-Employed"/>
    <n v="106834"/>
    <n v="338"/>
    <n v="98527"/>
    <n v="9.5399999999999991"/>
    <n v="360"/>
    <s v="Education"/>
    <n v="44.19"/>
    <n v="47245"/>
    <n v="157608"/>
    <x v="705"/>
    <s v="Approved"/>
    <s v="Yes"/>
    <x v="0"/>
    <x v="979"/>
    <x v="980"/>
    <n v="381"/>
    <n v="319"/>
    <n v="0.35149999999999998"/>
    <n v="52663508"/>
    <n v="51630.890196078428"/>
    <n v="99996"/>
    <n v="5091"/>
    <n v="1347593.3800000001"/>
    <n v="1321.169980392157"/>
    <n v="0.35149999999999998"/>
    <n v="701809801.82000136"/>
    <x v="1"/>
    <n v="3597.6000000000004"/>
  </r>
  <r>
    <s v="LN00982"/>
    <x v="981"/>
    <n v="55"/>
    <s v="Male"/>
    <s v="Married"/>
    <s v="Employed"/>
    <n v="143034"/>
    <n v="438"/>
    <n v="12224"/>
    <n v="8.51"/>
    <n v="24"/>
    <s v="Business"/>
    <n v="42.52"/>
    <n v="27683"/>
    <n v="138236"/>
    <x v="706"/>
    <s v="Approved"/>
    <s v="Yes"/>
    <x v="0"/>
    <x v="980"/>
    <x v="981"/>
    <n v="380"/>
    <n v="319"/>
    <n v="0.35149999999999998"/>
    <n v="52564981"/>
    <n v="51584.868498527969"/>
    <n v="99996"/>
    <n v="5091"/>
    <n v="1347293.5800000003"/>
    <n v="1322.1723061825321"/>
    <n v="0.35149999999999998"/>
    <n v="700462208.44000137"/>
    <x v="1"/>
    <n v="6632.16"/>
  </r>
  <r>
    <s v="LN00983"/>
    <x v="982"/>
    <n v="51"/>
    <s v="Female"/>
    <s v="Married"/>
    <s v="Self-Employed"/>
    <n v="99969"/>
    <n v="495"/>
    <n v="31153"/>
    <n v="7.14"/>
    <n v="60"/>
    <s v="Personal"/>
    <n v="39.57"/>
    <n v="49666"/>
    <n v="1467"/>
    <x v="707"/>
    <s v="Rejected"/>
    <s v="Yes"/>
    <x v="3"/>
    <x v="981"/>
    <x v="982"/>
    <n v="379"/>
    <n v="319"/>
    <n v="0.35149999999999998"/>
    <n v="52552757"/>
    <n v="51623.533398821215"/>
    <n v="99996"/>
    <n v="5091"/>
    <n v="1346740.9000000004"/>
    <n v="1322.9281925343814"/>
    <n v="0.35149999999999998"/>
    <n v="699114914.86000144"/>
    <x v="1"/>
    <n v="6675.48"/>
  </r>
  <r>
    <s v="LN00984"/>
    <x v="983"/>
    <n v="54"/>
    <s v="Female"/>
    <s v="Single"/>
    <s v="Employed"/>
    <n v="155921"/>
    <n v="330"/>
    <n v="46244"/>
    <n v="11.02"/>
    <n v="48"/>
    <s v="Business"/>
    <n v="17.89"/>
    <n v="12219"/>
    <n v="25795"/>
    <x v="393"/>
    <s v="Approved"/>
    <s v="Yes"/>
    <x v="3"/>
    <x v="982"/>
    <x v="983"/>
    <n v="379"/>
    <n v="318"/>
    <n v="0.35149999999999998"/>
    <n v="52521604"/>
    <n v="51643.661750245818"/>
    <n v="99996"/>
    <n v="5091"/>
    <n v="1346184.6100000003"/>
    <n v="1323.6820157325471"/>
    <n v="0.35149999999999998"/>
    <n v="697768173.96000147"/>
    <x v="1"/>
    <n v="12835.079999999998"/>
  </r>
  <r>
    <s v="LN00985"/>
    <x v="984"/>
    <n v="49"/>
    <s v="Male"/>
    <s v="Single"/>
    <s v="Unemployed"/>
    <n v="27451"/>
    <n v="810"/>
    <n v="66829"/>
    <n v="18.22"/>
    <n v="24"/>
    <s v="Education"/>
    <n v="50.38"/>
    <n v="55273"/>
    <n v="161631"/>
    <x v="292"/>
    <s v="Rejected"/>
    <s v="Yes"/>
    <x v="3"/>
    <x v="983"/>
    <x v="984"/>
    <n v="378"/>
    <n v="318"/>
    <n v="0.35149999999999998"/>
    <n v="52475360"/>
    <n v="51648.976377952757"/>
    <n v="99996"/>
    <n v="5091"/>
    <n v="1345115.0200000003"/>
    <n v="1323.9321062992128"/>
    <n v="0.35149999999999998"/>
    <n v="696421989.35000134"/>
    <x v="1"/>
    <n v="39502.68"/>
  </r>
  <r>
    <s v="LN00986"/>
    <x v="985"/>
    <n v="42"/>
    <s v="Female"/>
    <s v="Single"/>
    <s v="Employed"/>
    <n v="106452"/>
    <n v="421"/>
    <n v="82218"/>
    <n v="16.260000000000002"/>
    <n v="60"/>
    <s v="Business"/>
    <n v="42.56"/>
    <n v="57288"/>
    <n v="234560"/>
    <x v="666"/>
    <s v="Approved"/>
    <s v="No"/>
    <x v="1"/>
    <x v="984"/>
    <x v="985"/>
    <n v="378"/>
    <n v="317"/>
    <n v="0.35149999999999998"/>
    <n v="52408531"/>
    <n v="51634.020689655175"/>
    <n v="99996"/>
    <n v="5091"/>
    <n v="1341823.1300000001"/>
    <n v="1321.9932315270937"/>
    <n v="0.35149999999999998"/>
    <n v="695076874.33000135"/>
    <x v="1"/>
    <n v="19117.32"/>
  </r>
  <r>
    <s v="LN00987"/>
    <x v="986"/>
    <n v="61"/>
    <s v="Female"/>
    <s v="Divorced"/>
    <s v="Self-Employed"/>
    <n v="45258"/>
    <n v="832"/>
    <n v="57373"/>
    <n v="14.35"/>
    <n v="120"/>
    <s v="Personal"/>
    <n v="19.510000000000002"/>
    <n v="60312"/>
    <n v="218667"/>
    <x v="708"/>
    <s v="Pending"/>
    <s v="No"/>
    <x v="1"/>
    <x v="985"/>
    <x v="986"/>
    <n v="377"/>
    <n v="317"/>
    <n v="0.35149999999999998"/>
    <n v="52326313"/>
    <n v="51603.858974358976"/>
    <n v="99996"/>
    <n v="5091"/>
    <n v="1340230.02"/>
    <n v="1321.7258579881657"/>
    <n v="0.35149999999999998"/>
    <n v="693735051.20000136"/>
    <x v="1"/>
    <n v="6560.64"/>
  </r>
  <r>
    <s v="LN00988"/>
    <x v="987"/>
    <n v="59"/>
    <s v="Female"/>
    <s v="Divorced"/>
    <s v="Employed"/>
    <n v="87767"/>
    <n v="430"/>
    <n v="18350"/>
    <n v="8.07"/>
    <n v="12"/>
    <s v="Business"/>
    <n v="33.29"/>
    <n v="44299"/>
    <n v="103534"/>
    <x v="444"/>
    <s v="Rejected"/>
    <s v="No"/>
    <x v="2"/>
    <x v="986"/>
    <x v="987"/>
    <n v="377"/>
    <n v="317"/>
    <n v="0.35149999999999998"/>
    <n v="52268940"/>
    <n v="51598.163869693977"/>
    <n v="99996"/>
    <n v="5091"/>
    <n v="1339683.3"/>
    <n v="1322.490918065153"/>
    <n v="0.35149999999999998"/>
    <n v="692394821.18000138"/>
    <x v="1"/>
    <n v="19830.84"/>
  </r>
  <r>
    <s v="LN00989"/>
    <x v="988"/>
    <n v="33"/>
    <s v="Male"/>
    <s v="Divorced"/>
    <s v="Unemployed"/>
    <n v="129090"/>
    <n v="562"/>
    <n v="37955"/>
    <n v="14.16"/>
    <n v="48"/>
    <s v="Personal"/>
    <n v="50.06"/>
    <n v="50098"/>
    <n v="242652"/>
    <x v="540"/>
    <s v="Rejected"/>
    <s v="Yes"/>
    <x v="0"/>
    <x v="987"/>
    <x v="988"/>
    <n v="377"/>
    <n v="316"/>
    <n v="0.35149999999999998"/>
    <n v="52250590"/>
    <n v="51631.017786561264"/>
    <n v="99996"/>
    <n v="5091"/>
    <n v="1338030.73"/>
    <n v="1322.164752964427"/>
    <n v="0.35149999999999998"/>
    <n v="691055137.88000143"/>
    <x v="0"/>
    <n v="10832.400000000001"/>
  </r>
  <r>
    <s v="LN00990"/>
    <x v="989"/>
    <n v="53"/>
    <s v="Female"/>
    <s v="Single"/>
    <s v="Self-Employed"/>
    <n v="89038"/>
    <n v="589"/>
    <n v="20704"/>
    <n v="19.55"/>
    <n v="12"/>
    <s v="Education"/>
    <n v="42.35"/>
    <n v="42705"/>
    <n v="120571"/>
    <x v="709"/>
    <s v="Approved"/>
    <s v="No"/>
    <x v="1"/>
    <x v="988"/>
    <x v="989"/>
    <n v="377"/>
    <n v="315"/>
    <n v="0.35149999999999998"/>
    <n v="52212635"/>
    <n v="51644.545004945598"/>
    <n v="99996"/>
    <n v="5091"/>
    <n v="1337128.03"/>
    <n v="1322.5796538081108"/>
    <n v="0.35149999999999998"/>
    <n v="689717107.15000141"/>
    <x v="1"/>
    <n v="24751.68"/>
  </r>
  <r>
    <s v="LN00991"/>
    <x v="990"/>
    <n v="56"/>
    <s v="Male"/>
    <s v="Married"/>
    <s v="Unemployed"/>
    <n v="190684"/>
    <n v="370"/>
    <n v="63669"/>
    <n v="3.89"/>
    <n v="240"/>
    <s v="Personal"/>
    <n v="46.57"/>
    <n v="11382"/>
    <n v="56963"/>
    <x v="710"/>
    <s v="Rejected"/>
    <s v="No"/>
    <x v="1"/>
    <x v="989"/>
    <x v="990"/>
    <n v="376"/>
    <n v="315"/>
    <n v="0.35149999999999998"/>
    <n v="52191931"/>
    <n v="51675.179207920795"/>
    <n v="99996"/>
    <n v="5091"/>
    <n v="1335065.3899999999"/>
    <n v="1321.8469207920791"/>
    <n v="0.35149999999999998"/>
    <n v="688379979.12000144"/>
    <x v="0"/>
    <n v="3307.32"/>
  </r>
  <r>
    <s v="LN00992"/>
    <x v="991"/>
    <n v="54"/>
    <s v="Male"/>
    <s v="Divorced"/>
    <s v="Employed"/>
    <n v="135143"/>
    <n v="500"/>
    <n v="6901"/>
    <n v="11.01"/>
    <n v="60"/>
    <s v="Personal"/>
    <n v="35.74"/>
    <n v="56428"/>
    <n v="240467"/>
    <x v="711"/>
    <s v="Rejected"/>
    <s v="No"/>
    <x v="1"/>
    <x v="990"/>
    <x v="991"/>
    <n v="376"/>
    <n v="314"/>
    <n v="0.35149999999999998"/>
    <n v="52128262"/>
    <n v="51663.292368681861"/>
    <n v="99996"/>
    <n v="5091"/>
    <n v="1334789.7799999998"/>
    <n v="1322.8838255698709"/>
    <n v="0.35149999999999998"/>
    <n v="687044913.73000133"/>
    <x v="1"/>
    <n v="1532.16"/>
  </r>
  <r>
    <s v="LN00993"/>
    <x v="992"/>
    <n v="52"/>
    <s v="Male"/>
    <s v="Divorced"/>
    <s v="Employed"/>
    <n v="145181"/>
    <n v="765"/>
    <n v="39957"/>
    <n v="22.52"/>
    <n v="120"/>
    <s v="Business"/>
    <n v="5.24"/>
    <n v="55765"/>
    <n v="96752"/>
    <x v="670"/>
    <s v="Approved"/>
    <s v="No"/>
    <x v="1"/>
    <x v="991"/>
    <x v="992"/>
    <n v="376"/>
    <n v="313"/>
    <n v="0.35149999999999998"/>
    <n v="52121361"/>
    <n v="51707.699404761908"/>
    <n v="99996"/>
    <n v="5091"/>
    <n v="1334662.0999999999"/>
    <n v="1324.0695436507935"/>
    <n v="0.35149999999999998"/>
    <n v="685710123.95000136"/>
    <x v="1"/>
    <n v="4895.5199999999995"/>
  </r>
  <r>
    <s v="LN00994"/>
    <x v="993"/>
    <n v="48"/>
    <s v="Female"/>
    <s v="Married"/>
    <s v="Employed"/>
    <n v="119515"/>
    <n v="757"/>
    <n v="66871"/>
    <n v="7.97"/>
    <n v="36"/>
    <s v="Personal"/>
    <n v="34.21"/>
    <n v="19129"/>
    <n v="39642"/>
    <x v="712"/>
    <s v="Rejected"/>
    <s v="No"/>
    <x v="1"/>
    <x v="992"/>
    <x v="993"/>
    <n v="375"/>
    <n v="313"/>
    <n v="0.35149999999999998"/>
    <n v="52081404"/>
    <n v="51719.368421052633"/>
    <n v="99996"/>
    <n v="5091"/>
    <n v="1334254.1399999999"/>
    <n v="1324.979285004965"/>
    <n v="0.35149999999999998"/>
    <n v="684375461.85000134"/>
    <x v="1"/>
    <n v="24066.84"/>
  </r>
  <r>
    <s v="LN00995"/>
    <x v="994"/>
    <n v="61"/>
    <s v="Female"/>
    <s v="Single"/>
    <s v="Employed"/>
    <n v="154494"/>
    <n v="490"/>
    <n v="68972"/>
    <n v="5.1100000000000003"/>
    <n v="60"/>
    <s v="Personal"/>
    <n v="44.75"/>
    <n v="10085"/>
    <n v="178512"/>
    <x v="713"/>
    <s v="Approved"/>
    <s v="Yes"/>
    <x v="1"/>
    <x v="993"/>
    <x v="994"/>
    <n v="375"/>
    <n v="312"/>
    <n v="0.35149999999999998"/>
    <n v="52014533"/>
    <n v="51704.307157057658"/>
    <n v="99996"/>
    <n v="5091"/>
    <n v="1332248.5699999998"/>
    <n v="1324.3027534791252"/>
    <n v="0.35149999999999998"/>
    <n v="683041207.71000123"/>
    <x v="1"/>
    <n v="14499.24"/>
  </r>
  <r>
    <s v="LN00996"/>
    <x v="995"/>
    <n v="24"/>
    <s v="Female"/>
    <s v="Divorced"/>
    <s v="Self-Employed"/>
    <n v="108824"/>
    <n v="587"/>
    <n v="14772"/>
    <n v="18.190000000000001"/>
    <n v="36"/>
    <s v="Business"/>
    <n v="51.08"/>
    <n v="28510"/>
    <n v="79019"/>
    <x v="714"/>
    <s v="Approved"/>
    <s v="No"/>
    <x v="3"/>
    <x v="994"/>
    <x v="995"/>
    <n v="374"/>
    <n v="312"/>
    <n v="0.35149999999999998"/>
    <n v="51945561"/>
    <n v="51687.125373134331"/>
    <n v="99996"/>
    <n v="5091"/>
    <n v="1331040.2999999998"/>
    <n v="1324.4182089552237"/>
    <n v="0.35149999999999998"/>
    <n v="681708959.14000118"/>
    <x v="1"/>
    <n v="5819.64"/>
  </r>
  <r>
    <s v="LN00997"/>
    <x v="996"/>
    <n v="48"/>
    <s v="Male"/>
    <s v="Single"/>
    <s v="Self-Employed"/>
    <n v="37447"/>
    <n v="366"/>
    <n v="18988"/>
    <n v="4.16"/>
    <n v="360"/>
    <s v="Personal"/>
    <n v="51.03"/>
    <n v="46810"/>
    <n v="19590"/>
    <x v="715"/>
    <s v="Pending"/>
    <s v="Yes"/>
    <x v="0"/>
    <x v="995"/>
    <x v="996"/>
    <n v="373"/>
    <n v="312"/>
    <n v="0.35149999999999998"/>
    <n v="51930789"/>
    <n v="51723.893426294824"/>
    <n v="99996"/>
    <n v="5091"/>
    <n v="1330555.3299999998"/>
    <n v="1325.2543127490039"/>
    <n v="0.35149999999999998"/>
    <n v="680377918.84000123"/>
    <x v="1"/>
    <n v="659.28"/>
  </r>
  <r>
    <s v="LN00998"/>
    <x v="997"/>
    <n v="48"/>
    <s v="Male"/>
    <s v="Single"/>
    <s v="Employed"/>
    <n v="41663"/>
    <n v="512"/>
    <n v="58511"/>
    <n v="14.7"/>
    <n v="12"/>
    <s v="Education"/>
    <n v="19.89"/>
    <n v="61466"/>
    <n v="109735"/>
    <x v="625"/>
    <s v="Approved"/>
    <s v="No"/>
    <x v="0"/>
    <x v="996"/>
    <x v="997"/>
    <n v="373"/>
    <n v="312"/>
    <n v="0.35149999999999998"/>
    <n v="51911801"/>
    <n v="51756.531405782654"/>
    <n v="99996"/>
    <n v="5091"/>
    <n v="1330500.3899999999"/>
    <n v="1326.5208275174475"/>
    <n v="0.35149999999999998"/>
    <n v="679047363.5100013"/>
    <x v="1"/>
    <n v="67112.160000000003"/>
  </r>
  <r>
    <s v="LN00999"/>
    <x v="998"/>
    <n v="64"/>
    <s v="Female"/>
    <s v="Single"/>
    <s v="Unemployed"/>
    <n v="152451"/>
    <n v="843"/>
    <n v="93223"/>
    <n v="20.58"/>
    <n v="180"/>
    <s v="Business"/>
    <n v="23.73"/>
    <n v="45404"/>
    <n v="187599"/>
    <x v="384"/>
    <s v="Rejected"/>
    <s v="No"/>
    <x v="0"/>
    <x v="997"/>
    <x v="998"/>
    <n v="372"/>
    <n v="312"/>
    <n v="0.35149999999999998"/>
    <n v="51853290"/>
    <n v="51749.790419161676"/>
    <n v="99996"/>
    <n v="5091"/>
    <n v="1324907.7099999997"/>
    <n v="1322.2631836327344"/>
    <n v="0.35149999999999998"/>
    <n v="677716863.12000132"/>
    <x v="0"/>
    <n v="7493.88"/>
  </r>
  <r>
    <s v="LN01000"/>
    <x v="999"/>
    <n v="31"/>
    <s v="Female"/>
    <s v="Divorced"/>
    <s v="Self-Employed"/>
    <n v="58098"/>
    <n v="826"/>
    <n v="90994"/>
    <n v="14.88"/>
    <n v="24"/>
    <s v="Mortgage"/>
    <n v="18.12"/>
    <n v="19177"/>
    <n v="92645"/>
    <x v="716"/>
    <s v="Rejected"/>
    <s v="Yes"/>
    <x v="0"/>
    <x v="998"/>
    <x v="999"/>
    <n v="372"/>
    <n v="311"/>
    <n v="0.35149999999999998"/>
    <n v="51760067"/>
    <n v="51708.358641358638"/>
    <n v="99996"/>
    <n v="5091"/>
    <n v="1324283.22"/>
    <n v="1322.9602597402597"/>
    <n v="0.35149999999999998"/>
    <n v="676391955.41000128"/>
    <x v="1"/>
    <n v="52266.96"/>
  </r>
  <r>
    <s v="LN01001"/>
    <x v="1000"/>
    <n v="24"/>
    <s v="Female"/>
    <s v="Married"/>
    <s v="Employed"/>
    <n v="56666"/>
    <n v="770"/>
    <n v="30524"/>
    <n v="12.83"/>
    <n v="36"/>
    <s v="Business"/>
    <n v="12.95"/>
    <n v="42664"/>
    <n v="21165"/>
    <x v="717"/>
    <s v="Pending"/>
    <s v="Yes"/>
    <x v="4"/>
    <x v="999"/>
    <x v="1000"/>
    <n v="372"/>
    <n v="310"/>
    <n v="0.35149999999999998"/>
    <n v="51669073"/>
    <n v="51669.072999999997"/>
    <n v="99996"/>
    <n v="5091"/>
    <n v="1319927.6400000001"/>
    <n v="1319.9276400000001"/>
    <n v="0.35149999999999998"/>
    <n v="675067672.19000125"/>
    <x v="1"/>
    <n v="11480.039999999999"/>
  </r>
  <r>
    <s v="LN01002"/>
    <x v="1001"/>
    <n v="33"/>
    <s v="Female"/>
    <s v="Single"/>
    <s v="Unemployed"/>
    <n v="67797"/>
    <n v="437"/>
    <n v="33139"/>
    <n v="13.35"/>
    <n v="360"/>
    <s v="Business"/>
    <n v="19.79"/>
    <n v="21196"/>
    <n v="246171"/>
    <x v="136"/>
    <s v="Pending"/>
    <s v="No"/>
    <x v="2"/>
    <x v="1000"/>
    <x v="1001"/>
    <n v="372"/>
    <n v="310"/>
    <n v="0.35149999999999998"/>
    <n v="51638549"/>
    <n v="51690.239239239236"/>
    <n v="99996"/>
    <n v="5091"/>
    <n v="1318970.9700000002"/>
    <n v="1320.2912612612615"/>
    <n v="0.35149999999999998"/>
    <n v="673747744.55000126"/>
    <x v="1"/>
    <n v="1252.08"/>
  </r>
  <r>
    <s v="LN01003"/>
    <x v="1002"/>
    <n v="60"/>
    <s v="Male"/>
    <s v="Married"/>
    <s v="Self-Employed"/>
    <n v="84944"/>
    <n v="809"/>
    <n v="99260"/>
    <n v="8.44"/>
    <n v="36"/>
    <s v="Business"/>
    <n v="21.5"/>
    <n v="44801"/>
    <n v="149153"/>
    <x v="527"/>
    <s v="Approved"/>
    <s v="Yes"/>
    <x v="3"/>
    <x v="1001"/>
    <x v="1002"/>
    <n v="372"/>
    <n v="310"/>
    <n v="0.35149999999999998"/>
    <n v="51605410"/>
    <n v="51708.827655310619"/>
    <n v="99996"/>
    <n v="5091"/>
    <n v="1318866.6300000001"/>
    <n v="1321.5096492985974"/>
    <n v="0.35149999999999998"/>
    <n v="672428773.58000135"/>
    <x v="1"/>
    <n v="35879.159999999996"/>
  </r>
  <r>
    <s v="LN01004"/>
    <x v="1003"/>
    <n v="32"/>
    <s v="Female"/>
    <s v="Single"/>
    <s v="Employed"/>
    <n v="175414"/>
    <n v="646"/>
    <n v="60958"/>
    <n v="11.17"/>
    <n v="240"/>
    <s v="Auto"/>
    <n v="21.87"/>
    <n v="52921"/>
    <n v="178275"/>
    <x v="718"/>
    <s v="Approved"/>
    <s v="Yes"/>
    <x v="1"/>
    <x v="1002"/>
    <x v="1003"/>
    <n v="371"/>
    <n v="310"/>
    <n v="0.35149999999999998"/>
    <n v="51506150"/>
    <n v="51661.133400200604"/>
    <n v="99996"/>
    <n v="5091"/>
    <n v="1315876.7000000004"/>
    <n v="1319.836208625878"/>
    <n v="0.35149999999999998"/>
    <n v="671109906.95000136"/>
    <x v="1"/>
    <n v="3388.32"/>
  </r>
  <r>
    <s v="LN01005"/>
    <x v="1004"/>
    <n v="24"/>
    <s v="Male"/>
    <s v="Single"/>
    <s v="Unemployed"/>
    <n v="67810"/>
    <n v="849"/>
    <n v="21656"/>
    <n v="10.69"/>
    <n v="180"/>
    <s v="Education"/>
    <n v="15.63"/>
    <n v="12401"/>
    <n v="38686"/>
    <x v="336"/>
    <s v="Pending"/>
    <s v="No"/>
    <x v="3"/>
    <x v="1003"/>
    <x v="1004"/>
    <n v="370"/>
    <n v="310"/>
    <n v="0.35149999999999998"/>
    <n v="51445192"/>
    <n v="51651.799196787149"/>
    <n v="99996"/>
    <n v="5091"/>
    <n v="1315594.3400000003"/>
    <n v="1320.8778514056228"/>
    <n v="0.35149999999999998"/>
    <n v="669794030.25000131"/>
    <x v="1"/>
    <n v="1598.04"/>
  </r>
  <r>
    <s v="LN01006"/>
    <x v="1005"/>
    <n v="21"/>
    <s v="Male"/>
    <s v="Married"/>
    <s v="Unemployed"/>
    <n v="90834"/>
    <n v="474"/>
    <n v="78371"/>
    <n v="23.08"/>
    <n v="36"/>
    <s v="Personal"/>
    <n v="44.12"/>
    <n v="70577"/>
    <n v="137677"/>
    <x v="719"/>
    <s v="Rejected"/>
    <s v="Yes"/>
    <x v="3"/>
    <x v="1004"/>
    <x v="1005"/>
    <n v="370"/>
    <n v="310"/>
    <n v="0.35149999999999998"/>
    <n v="51423536"/>
    <n v="51681.945728643215"/>
    <n v="99996"/>
    <n v="5091"/>
    <n v="1315461.1700000004"/>
    <n v="1322.0715276381914"/>
    <n v="0.35149999999999998"/>
    <n v="668478435.9100014"/>
    <x v="1"/>
    <n v="32153.040000000001"/>
  </r>
  <r>
    <s v="LN01007"/>
    <x v="1006"/>
    <n v="38"/>
    <s v="Male"/>
    <s v="Single"/>
    <s v="Self-Employed"/>
    <n v="101317"/>
    <n v="409"/>
    <n v="68521"/>
    <n v="20.9"/>
    <n v="48"/>
    <s v="Auto"/>
    <n v="38.630000000000003"/>
    <n v="43415"/>
    <n v="165124"/>
    <x v="231"/>
    <s v="Rejected"/>
    <s v="Yes"/>
    <x v="0"/>
    <x v="1005"/>
    <x v="1006"/>
    <n v="370"/>
    <n v="309"/>
    <n v="0.35149999999999998"/>
    <n v="51345165"/>
    <n v="51655.095573440645"/>
    <n v="99996"/>
    <n v="5091"/>
    <n v="1312781.7500000002"/>
    <n v="1320.7059859154931"/>
    <n v="0.35149999999999998"/>
    <n v="667162974.74000132"/>
    <x v="1"/>
    <n v="20710.439999999999"/>
  </r>
  <r>
    <s v="LN01008"/>
    <x v="1007"/>
    <n v="49"/>
    <s v="Female"/>
    <s v="Divorced"/>
    <s v="Unemployed"/>
    <n v="28779"/>
    <n v="846"/>
    <n v="66508"/>
    <n v="4.3600000000000003"/>
    <n v="180"/>
    <s v="Education"/>
    <n v="42.22"/>
    <n v="78349"/>
    <n v="184600"/>
    <x v="236"/>
    <s v="Pending"/>
    <s v="No"/>
    <x v="3"/>
    <x v="1006"/>
    <x v="1007"/>
    <n v="370"/>
    <n v="308"/>
    <n v="0.35149999999999998"/>
    <n v="51276644"/>
    <n v="51638.110775427995"/>
    <n v="99996"/>
    <n v="5091"/>
    <n v="1311055.8800000006"/>
    <n v="1320.2979657603228"/>
    <n v="0.35149999999999998"/>
    <n v="665850192.99000132"/>
    <x v="1"/>
    <n v="4627.2000000000007"/>
  </r>
  <r>
    <s v="LN01009"/>
    <x v="1008"/>
    <n v="34"/>
    <s v="Female"/>
    <s v="Divorced"/>
    <s v="Self-Employed"/>
    <n v="119311"/>
    <n v="588"/>
    <n v="94747"/>
    <n v="21.06"/>
    <n v="180"/>
    <s v="Mortgage"/>
    <n v="21.96"/>
    <n v="50630"/>
    <n v="54560"/>
    <x v="720"/>
    <s v="Rejected"/>
    <s v="Yes"/>
    <x v="4"/>
    <x v="1007"/>
    <x v="1008"/>
    <n v="370"/>
    <n v="308"/>
    <n v="0.35149999999999998"/>
    <n v="51210136"/>
    <n v="51623.120967741932"/>
    <n v="99996"/>
    <n v="5091"/>
    <n v="1310670.2800000005"/>
    <n v="1321.2402016129038"/>
    <n v="0.35149999999999998"/>
    <n v="664539137.11000133"/>
    <x v="1"/>
    <n v="7646.76"/>
  </r>
  <r>
    <s v="LN01010"/>
    <x v="1009"/>
    <n v="21"/>
    <s v="Female"/>
    <s v="Divorced"/>
    <s v="Self-Employed"/>
    <n v="185796"/>
    <n v="661"/>
    <n v="93367"/>
    <n v="10.17"/>
    <n v="120"/>
    <s v="Auto"/>
    <n v="52.57"/>
    <n v="43197"/>
    <n v="197763"/>
    <x v="721"/>
    <s v="Rejected"/>
    <s v="Yes"/>
    <x v="0"/>
    <x v="1008"/>
    <x v="1009"/>
    <n v="370"/>
    <n v="307"/>
    <n v="0.35149999999999998"/>
    <n v="51115389"/>
    <n v="51579.605449041374"/>
    <n v="99996"/>
    <n v="5091"/>
    <n v="1310033.0500000005"/>
    <n v="1321.9304238143295"/>
    <n v="0.35149999999999998"/>
    <n v="663228466.83000124"/>
    <x v="1"/>
    <n v="10286.280000000001"/>
  </r>
  <r>
    <s v="LN01011"/>
    <x v="1010"/>
    <n v="60"/>
    <s v="Male"/>
    <s v="Divorced"/>
    <s v="Unemployed"/>
    <n v="64898"/>
    <n v="757"/>
    <n v="31059"/>
    <n v="3.74"/>
    <n v="24"/>
    <s v="Business"/>
    <n v="48.04"/>
    <n v="41332"/>
    <n v="119599"/>
    <x v="279"/>
    <s v="Pending"/>
    <s v="Yes"/>
    <x v="3"/>
    <x v="1009"/>
    <x v="1010"/>
    <n v="370"/>
    <n v="306"/>
    <n v="0.35149999999999998"/>
    <n v="51022022"/>
    <n v="51537.39595959596"/>
    <n v="99996"/>
    <n v="5091"/>
    <n v="1309175.8600000006"/>
    <n v="1322.3998585858592"/>
    <n v="0.35149999999999998"/>
    <n v="661918433.78000116"/>
    <x v="1"/>
    <n v="16110.36"/>
  </r>
  <r>
    <s v="LN01012"/>
    <x v="1011"/>
    <n v="51"/>
    <s v="Female"/>
    <s v="Divorced"/>
    <s v="Unemployed"/>
    <n v="44179"/>
    <n v="480"/>
    <n v="71340"/>
    <n v="5.25"/>
    <n v="60"/>
    <s v="Education"/>
    <n v="6.37"/>
    <n v="5441"/>
    <n v="219208"/>
    <x v="722"/>
    <s v="Approved"/>
    <s v="No"/>
    <x v="0"/>
    <x v="1010"/>
    <x v="1011"/>
    <n v="370"/>
    <n v="306"/>
    <n v="0.35149999999999998"/>
    <n v="50990963"/>
    <n v="51558.102123356926"/>
    <n v="99996"/>
    <n v="5091"/>
    <n v="1307833.3300000005"/>
    <n v="1322.379504550051"/>
    <n v="0.35149999999999998"/>
    <n v="660609257.92000103"/>
    <x v="1"/>
    <n v="15017.04"/>
  </r>
  <r>
    <s v="LN01013"/>
    <x v="1012"/>
    <n v="47"/>
    <s v="Female"/>
    <s v="Married"/>
    <s v="Employed"/>
    <n v="128218"/>
    <n v="840"/>
    <n v="77001"/>
    <n v="19.13"/>
    <n v="36"/>
    <s v="Auto"/>
    <n v="42.71"/>
    <n v="7485"/>
    <n v="101253"/>
    <x v="723"/>
    <s v="Approved"/>
    <s v="No"/>
    <x v="2"/>
    <x v="1011"/>
    <x v="1012"/>
    <n v="369"/>
    <n v="306"/>
    <n v="0.35149999999999998"/>
    <n v="50919623"/>
    <n v="51538.079959514173"/>
    <n v="99996"/>
    <n v="5091"/>
    <n v="1306581.9100000004"/>
    <n v="1322.4513259109315"/>
    <n v="0.35149999999999998"/>
    <n v="659301424.59000111"/>
    <x v="1"/>
    <n v="30577.08"/>
  </r>
  <r>
    <s v="LN01014"/>
    <x v="1013"/>
    <n v="36"/>
    <s v="Female"/>
    <s v="Divorced"/>
    <s v="Self-Employed"/>
    <n v="42333"/>
    <n v="651"/>
    <n v="67981"/>
    <n v="20.14"/>
    <n v="120"/>
    <s v="Mortgage"/>
    <n v="17.559999999999999"/>
    <n v="37666"/>
    <n v="69774"/>
    <x v="151"/>
    <s v="Approved"/>
    <s v="No"/>
    <x v="3"/>
    <x v="1012"/>
    <x v="1013"/>
    <n v="368"/>
    <n v="306"/>
    <n v="0.35149999999999998"/>
    <n v="50842622"/>
    <n v="51512.281661600813"/>
    <n v="99996"/>
    <n v="5091"/>
    <n v="1304033.8200000005"/>
    <n v="1321.2095440729488"/>
    <n v="0.35149999999999998"/>
    <n v="657994842.68000102"/>
    <x v="1"/>
    <n v="8167.2000000000007"/>
  </r>
  <r>
    <s v="LN01015"/>
    <x v="1014"/>
    <n v="44"/>
    <s v="Male"/>
    <s v="Divorced"/>
    <s v="Employed"/>
    <n v="52606"/>
    <n v="827"/>
    <n v="16743"/>
    <n v="22.5"/>
    <n v="240"/>
    <s v="Mortgage"/>
    <n v="42.4"/>
    <n v="50336"/>
    <n v="168126"/>
    <x v="312"/>
    <s v="Pending"/>
    <s v="Yes"/>
    <x v="0"/>
    <x v="1013"/>
    <x v="1014"/>
    <n v="367"/>
    <n v="306"/>
    <n v="0.35149999999999998"/>
    <n v="50774641"/>
    <n v="51495.579107505073"/>
    <n v="99996"/>
    <n v="5091"/>
    <n v="1303353.2200000004"/>
    <n v="1321.859249492901"/>
    <n v="0.35149999999999998"/>
    <n v="656690808.86000085"/>
    <x v="1"/>
    <n v="1025.52"/>
  </r>
  <r>
    <s v="LN01016"/>
    <x v="1015"/>
    <n v="43"/>
    <s v="Male"/>
    <s v="Married"/>
    <s v="Unemployed"/>
    <n v="116740"/>
    <n v="743"/>
    <n v="93745"/>
    <n v="5.98"/>
    <n v="360"/>
    <s v="Business"/>
    <n v="11.33"/>
    <n v="4934"/>
    <n v="227383"/>
    <x v="724"/>
    <s v="Approved"/>
    <s v="Yes"/>
    <x v="1"/>
    <x v="1014"/>
    <x v="1015"/>
    <n v="367"/>
    <n v="306"/>
    <n v="0.35149999999999998"/>
    <n v="50757898"/>
    <n v="51530.860913705583"/>
    <n v="99996"/>
    <n v="5091"/>
    <n v="1303267.7600000005"/>
    <n v="1323.1144771573609"/>
    <n v="0.35149999999999998"/>
    <n v="655387455.6400007"/>
    <x v="1"/>
    <n v="3311.6400000000003"/>
  </r>
  <r>
    <s v="LN01017"/>
    <x v="1016"/>
    <n v="23"/>
    <s v="Female"/>
    <s v="Married"/>
    <s v="Unemployed"/>
    <n v="122087"/>
    <n v="846"/>
    <n v="79770"/>
    <n v="12.31"/>
    <n v="24"/>
    <s v="Personal"/>
    <n v="15.63"/>
    <n v="1034"/>
    <n v="204698"/>
    <x v="366"/>
    <s v="Approved"/>
    <s v="Yes"/>
    <x v="4"/>
    <x v="1015"/>
    <x v="1016"/>
    <n v="366"/>
    <n v="306"/>
    <n v="0.35149999999999998"/>
    <n v="50664153"/>
    <n v="51487.960365853658"/>
    <n v="99996"/>
    <n v="5091"/>
    <n v="1302991.7900000005"/>
    <n v="1324.1786483739843"/>
    <n v="0.35149999999999998"/>
    <n v="654084187.88000071"/>
    <x v="1"/>
    <n v="44794.8"/>
  </r>
  <r>
    <s v="LN01018"/>
    <x v="1017"/>
    <n v="52"/>
    <s v="Male"/>
    <s v="Single"/>
    <s v="Unemployed"/>
    <n v="199569"/>
    <n v="513"/>
    <n v="78622"/>
    <n v="9.01"/>
    <n v="60"/>
    <s v="Business"/>
    <n v="26.34"/>
    <n v="33851"/>
    <n v="92218"/>
    <x v="336"/>
    <s v="Rejected"/>
    <s v="Yes"/>
    <x v="0"/>
    <x v="1016"/>
    <x v="1017"/>
    <n v="365"/>
    <n v="306"/>
    <n v="0.35149999999999998"/>
    <n v="50584383"/>
    <n v="51459.189216683619"/>
    <n v="99996"/>
    <n v="5091"/>
    <n v="1299258.8900000004"/>
    <n v="1321.7282706002038"/>
    <n v="0.35149999999999998"/>
    <n v="652781196.09000075"/>
    <x v="1"/>
    <n v="17141.16"/>
  </r>
  <r>
    <s v="LN01019"/>
    <x v="1018"/>
    <n v="23"/>
    <s v="Female"/>
    <s v="Single"/>
    <s v="Unemployed"/>
    <n v="98656"/>
    <n v="695"/>
    <n v="51651"/>
    <n v="22.06"/>
    <n v="180"/>
    <s v="Auto"/>
    <n v="11.47"/>
    <n v="71214"/>
    <n v="125294"/>
    <x v="658"/>
    <s v="Rejected"/>
    <s v="Yes"/>
    <x v="3"/>
    <x v="1017"/>
    <x v="1018"/>
    <n v="365"/>
    <n v="305"/>
    <n v="0.35149999999999998"/>
    <n v="50505761"/>
    <n v="51431.528513238292"/>
    <n v="99996"/>
    <n v="5091"/>
    <n v="1297830.4600000007"/>
    <n v="1321.6196130346239"/>
    <n v="0.35149999999999998"/>
    <n v="651481937.20000076"/>
    <x v="1"/>
    <n v="4203"/>
  </r>
  <r>
    <s v="LN01020"/>
    <x v="1019"/>
    <n v="62"/>
    <s v="Male"/>
    <s v="Married"/>
    <s v="Employed"/>
    <n v="71200"/>
    <n v="621"/>
    <n v="95199"/>
    <n v="22.53"/>
    <n v="24"/>
    <s v="Personal"/>
    <n v="51.07"/>
    <n v="51685"/>
    <n v="150187"/>
    <x v="120"/>
    <s v="Rejected"/>
    <s v="No"/>
    <x v="4"/>
    <x v="1018"/>
    <x v="1019"/>
    <n v="365"/>
    <n v="304"/>
    <n v="0.35149999999999998"/>
    <n v="50454110"/>
    <n v="51431.304791029565"/>
    <n v="99996"/>
    <n v="5091"/>
    <n v="1297480.2100000007"/>
    <n v="1322.6097961264022"/>
    <n v="0.35149999999999998"/>
    <n v="650184106.74000072"/>
    <x v="1"/>
    <n v="58323.72"/>
  </r>
  <r>
    <s v="LN01021"/>
    <x v="1020"/>
    <n v="58"/>
    <s v="Female"/>
    <s v="Divorced"/>
    <s v="Self-Employed"/>
    <n v="44146"/>
    <n v="689"/>
    <n v="17741"/>
    <n v="11.63"/>
    <n v="360"/>
    <s v="Education"/>
    <n v="54.03"/>
    <n v="38399"/>
    <n v="127661"/>
    <x v="725"/>
    <s v="Approved"/>
    <s v="Yes"/>
    <x v="0"/>
    <x v="1019"/>
    <x v="1020"/>
    <n v="365"/>
    <n v="303"/>
    <n v="0.35149999999999998"/>
    <n v="50358911"/>
    <n v="51386.643877551018"/>
    <n v="99996"/>
    <n v="5091"/>
    <n v="1292619.9000000006"/>
    <n v="1318.9998979591842"/>
    <n v="0.35149999999999998"/>
    <n v="648886626.53000069"/>
    <x v="1"/>
    <n v="660.12"/>
  </r>
  <r>
    <s v="LN01022"/>
    <x v="1021"/>
    <n v="28"/>
    <s v="Female"/>
    <s v="Divorced"/>
    <s v="Employed"/>
    <n v="57333"/>
    <n v="636"/>
    <n v="25647"/>
    <n v="5.19"/>
    <n v="120"/>
    <s v="Education"/>
    <n v="51.23"/>
    <n v="67192"/>
    <n v="143078"/>
    <x v="606"/>
    <s v="Pending"/>
    <s v="Yes"/>
    <x v="0"/>
    <x v="1020"/>
    <x v="1021"/>
    <n v="364"/>
    <n v="303"/>
    <n v="0.35149999999999998"/>
    <n v="50341170"/>
    <n v="51421.011235955055"/>
    <n v="99996"/>
    <n v="5091"/>
    <n v="1292564.8900000006"/>
    <n v="1320.2910010214512"/>
    <n v="0.35149999999999998"/>
    <n v="647594006.63000059"/>
    <x v="1"/>
    <n v="2697.84"/>
  </r>
  <r>
    <s v="LN01023"/>
    <x v="1022"/>
    <n v="60"/>
    <s v="Female"/>
    <s v="Married"/>
    <s v="Unemployed"/>
    <n v="125164"/>
    <n v="552"/>
    <n v="85296"/>
    <n v="4.47"/>
    <n v="24"/>
    <s v="Personal"/>
    <n v="48.91"/>
    <n v="6003"/>
    <n v="19548"/>
    <x v="299"/>
    <s v="Pending"/>
    <s v="No"/>
    <x v="4"/>
    <x v="1021"/>
    <x v="1022"/>
    <n v="364"/>
    <n v="303"/>
    <n v="0.35149999999999998"/>
    <n v="50315523"/>
    <n v="51447.365030674846"/>
    <n v="99996"/>
    <n v="5091"/>
    <n v="1292340.0700000008"/>
    <n v="1321.4111145194281"/>
    <n v="0.35149999999999998"/>
    <n v="646301441.74000061"/>
    <x v="1"/>
    <n v="44554.32"/>
  </r>
  <r>
    <s v="LN01024"/>
    <x v="1023"/>
    <n v="46"/>
    <s v="Male"/>
    <s v="Divorced"/>
    <s v="Self-Employed"/>
    <n v="160345"/>
    <n v="350"/>
    <n v="99548"/>
    <n v="5.1100000000000003"/>
    <n v="24"/>
    <s v="Business"/>
    <n v="48.49"/>
    <n v="49313"/>
    <n v="74562"/>
    <x v="477"/>
    <s v="Rejected"/>
    <s v="Yes"/>
    <x v="3"/>
    <x v="1022"/>
    <x v="1023"/>
    <n v="364"/>
    <n v="303"/>
    <n v="0.35149999999999998"/>
    <n v="50230227"/>
    <n v="51412.719549641763"/>
    <n v="99996"/>
    <n v="5091"/>
    <n v="1288627.2100000007"/>
    <n v="1318.9633674513825"/>
    <n v="0.35149999999999998"/>
    <n v="645009101.67000055"/>
    <x v="1"/>
    <n v="52317.479999999996"/>
  </r>
  <r>
    <s v="LN01025"/>
    <x v="1024"/>
    <n v="38"/>
    <s v="Male"/>
    <s v="Single"/>
    <s v="Unemployed"/>
    <n v="151092"/>
    <n v="667"/>
    <n v="98666"/>
    <n v="19.989999999999998"/>
    <n v="180"/>
    <s v="Education"/>
    <n v="15.06"/>
    <n v="21390"/>
    <n v="220727"/>
    <x v="726"/>
    <s v="Approved"/>
    <s v="Yes"/>
    <x v="4"/>
    <x v="1023"/>
    <x v="1024"/>
    <n v="364"/>
    <n v="302"/>
    <n v="0.35149999999999998"/>
    <n v="50130679"/>
    <n v="51363.4006147541"/>
    <n v="99996"/>
    <n v="5091"/>
    <n v="1284267.4200000004"/>
    <n v="1315.847766393443"/>
    <n v="0.35149999999999998"/>
    <n v="643720474.46000051"/>
    <x v="1"/>
    <n v="7892.64"/>
  </r>
  <r>
    <s v="LN01026"/>
    <x v="1025"/>
    <n v="46"/>
    <s v="Male"/>
    <s v="Single"/>
    <s v="Unemployed"/>
    <n v="55091"/>
    <n v="578"/>
    <n v="37960"/>
    <n v="23.83"/>
    <n v="12"/>
    <s v="Mortgage"/>
    <n v="55.59"/>
    <n v="13336"/>
    <n v="25862"/>
    <x v="239"/>
    <s v="Rejected"/>
    <s v="No"/>
    <x v="1"/>
    <x v="1024"/>
    <x v="1025"/>
    <n v="363"/>
    <n v="302"/>
    <n v="0.35149999999999998"/>
    <n v="50032013"/>
    <n v="51314.885128205126"/>
    <n v="99996"/>
    <n v="5091"/>
    <n v="1283609.7000000004"/>
    <n v="1316.5227692307697"/>
    <n v="0.35149999999999998"/>
    <n v="642436207.04000044"/>
    <x v="1"/>
    <n v="47005.919999999998"/>
  </r>
  <r>
    <s v="LN01027"/>
    <x v="1026"/>
    <n v="21"/>
    <s v="Male"/>
    <s v="Divorced"/>
    <s v="Self-Employed"/>
    <n v="99875"/>
    <n v="499"/>
    <n v="20707"/>
    <n v="6.6"/>
    <n v="120"/>
    <s v="Auto"/>
    <n v="12.49"/>
    <n v="61429"/>
    <n v="216070"/>
    <x v="286"/>
    <s v="Approved"/>
    <s v="Yes"/>
    <x v="2"/>
    <x v="1025"/>
    <x v="1026"/>
    <n v="363"/>
    <n v="301"/>
    <n v="0.35149999999999998"/>
    <n v="49994053"/>
    <n v="51328.596509240248"/>
    <n v="99996"/>
    <n v="5091"/>
    <n v="1279692.5400000003"/>
    <n v="1313.8527104722796"/>
    <n v="0.35149999999999998"/>
    <n v="641152597.34000039"/>
    <x v="0"/>
    <n v="2207.3999999999996"/>
  </r>
  <r>
    <s v="LN01028"/>
    <x v="1027"/>
    <n v="62"/>
    <s v="Male"/>
    <s v="Divorced"/>
    <s v="Self-Employed"/>
    <n v="26709"/>
    <n v="659"/>
    <n v="82340"/>
    <n v="15.56"/>
    <n v="120"/>
    <s v="Personal"/>
    <n v="24.68"/>
    <n v="46503"/>
    <n v="137153"/>
    <x v="33"/>
    <s v="Approved"/>
    <s v="Yes"/>
    <x v="4"/>
    <x v="1026"/>
    <x v="1027"/>
    <n v="362"/>
    <n v="301"/>
    <n v="0.35149999999999998"/>
    <n v="49973346"/>
    <n v="51360.067831449123"/>
    <n v="99996"/>
    <n v="5091"/>
    <n v="1279508.5900000003"/>
    <n v="1315.0139671120251"/>
    <n v="0.35149999999999998"/>
    <n v="639872904.80000055"/>
    <x v="1"/>
    <n v="9515.16"/>
  </r>
  <r>
    <s v="LN01029"/>
    <x v="1028"/>
    <n v="56"/>
    <s v="Female"/>
    <s v="Single"/>
    <s v="Unemployed"/>
    <n v="148036"/>
    <n v="353"/>
    <n v="25443"/>
    <n v="4.43"/>
    <n v="12"/>
    <s v="Education"/>
    <n v="16.54"/>
    <n v="76668"/>
    <n v="117095"/>
    <x v="727"/>
    <s v="Approved"/>
    <s v="Yes"/>
    <x v="3"/>
    <x v="1027"/>
    <x v="1028"/>
    <n v="361"/>
    <n v="301"/>
    <n v="0.35149999999999998"/>
    <n v="49891006"/>
    <n v="51328.195473251028"/>
    <n v="99996"/>
    <n v="5091"/>
    <n v="1278715.6600000001"/>
    <n v="1315.5510905349795"/>
    <n v="0.35149999999999998"/>
    <n v="638593396.2100004"/>
    <x v="1"/>
    <n v="26570.159999999996"/>
  </r>
  <r>
    <s v="LN01030"/>
    <x v="1029"/>
    <n v="27"/>
    <s v="Female"/>
    <s v="Married"/>
    <s v="Employed"/>
    <n v="135189"/>
    <n v="597"/>
    <n v="75659"/>
    <n v="13.03"/>
    <n v="48"/>
    <s v="Business"/>
    <n v="57.01"/>
    <n v="9140"/>
    <n v="142001"/>
    <x v="721"/>
    <s v="Rejected"/>
    <s v="No"/>
    <x v="2"/>
    <x v="1028"/>
    <x v="1029"/>
    <n v="360"/>
    <n v="301"/>
    <n v="0.35149999999999998"/>
    <n v="49865563"/>
    <n v="51354.853759011326"/>
    <n v="99996"/>
    <n v="5091"/>
    <n v="1276501.4800000002"/>
    <n v="1314.6256230690012"/>
    <n v="0.35149999999999998"/>
    <n v="637314680.55000031"/>
    <x v="0"/>
    <n v="21379.32"/>
  </r>
  <r>
    <s v="LN01031"/>
    <x v="1030"/>
    <n v="39"/>
    <s v="Male"/>
    <s v="Married"/>
    <s v="Self-Employed"/>
    <n v="118761"/>
    <n v="402"/>
    <n v="33975"/>
    <n v="14.25"/>
    <n v="240"/>
    <s v="Education"/>
    <n v="37.08"/>
    <n v="39168"/>
    <n v="212351"/>
    <x v="311"/>
    <s v="Rejected"/>
    <s v="Yes"/>
    <x v="1"/>
    <x v="1029"/>
    <x v="1030"/>
    <n v="360"/>
    <n v="300"/>
    <n v="0.35149999999999998"/>
    <n v="49789904"/>
    <n v="51329.797938144329"/>
    <n v="99996"/>
    <n v="5091"/>
    <n v="1274719.8700000001"/>
    <n v="1314.1441958762887"/>
    <n v="0.35149999999999998"/>
    <n v="636038179.07000041"/>
    <x v="1"/>
    <n v="1940.88"/>
  </r>
  <r>
    <s v="LN01032"/>
    <x v="1031"/>
    <n v="35"/>
    <s v="Female"/>
    <s v="Divorced"/>
    <s v="Unemployed"/>
    <n v="95232"/>
    <n v="604"/>
    <n v="7831"/>
    <n v="16.25"/>
    <n v="60"/>
    <s v="Education"/>
    <n v="15.29"/>
    <n v="49673"/>
    <n v="194784"/>
    <x v="204"/>
    <s v="Approved"/>
    <s v="No"/>
    <x v="4"/>
    <x v="1030"/>
    <x v="1031"/>
    <n v="360"/>
    <n v="299"/>
    <n v="0.35149999999999998"/>
    <n v="49755929"/>
    <n v="51347.707946336428"/>
    <n v="99996"/>
    <n v="5091"/>
    <n v="1274558.1300000001"/>
    <n v="1315.3334674922603"/>
    <n v="0.35149999999999998"/>
    <n v="634763459.20000041"/>
    <x v="1"/>
    <n v="1820.7599999999998"/>
  </r>
  <r>
    <s v="LN01033"/>
    <x v="1032"/>
    <n v="33"/>
    <s v="Male"/>
    <s v="Single"/>
    <s v="Unemployed"/>
    <n v="166903"/>
    <n v="541"/>
    <n v="50070"/>
    <n v="18.38"/>
    <n v="48"/>
    <s v="Education"/>
    <n v="6.45"/>
    <n v="70625"/>
    <n v="105362"/>
    <x v="728"/>
    <s v="Pending"/>
    <s v="Yes"/>
    <x v="3"/>
    <x v="1031"/>
    <x v="1032"/>
    <n v="359"/>
    <n v="299"/>
    <n v="0.35149999999999998"/>
    <n v="49748098"/>
    <n v="51392.663223140495"/>
    <n v="99996"/>
    <n v="5091"/>
    <n v="1274406.4000000001"/>
    <n v="1316.5355371900828"/>
    <n v="0.35149999999999998"/>
    <n v="633488901.07000029"/>
    <x v="1"/>
    <n v="14818.199999999999"/>
  </r>
  <r>
    <s v="LN01034"/>
    <x v="1033"/>
    <n v="36"/>
    <s v="Female"/>
    <s v="Divorced"/>
    <s v="Self-Employed"/>
    <n v="37832"/>
    <n v="631"/>
    <n v="8547"/>
    <n v="22.24"/>
    <n v="240"/>
    <s v="Auto"/>
    <n v="33.14"/>
    <n v="54511"/>
    <n v="124307"/>
    <x v="729"/>
    <s v="Approved"/>
    <s v="Yes"/>
    <x v="3"/>
    <x v="1032"/>
    <x v="1033"/>
    <n v="359"/>
    <n v="299"/>
    <n v="0.35149999999999998"/>
    <n v="49698028"/>
    <n v="51394.031023784904"/>
    <n v="99996"/>
    <n v="5091"/>
    <n v="1273171.5500000003"/>
    <n v="1316.6200103412618"/>
    <n v="0.35149999999999998"/>
    <n v="632214494.6700002"/>
    <x v="1"/>
    <n v="522.36"/>
  </r>
  <r>
    <s v="LN01035"/>
    <x v="1034"/>
    <n v="54"/>
    <s v="Female"/>
    <s v="Single"/>
    <s v="Employed"/>
    <n v="189272"/>
    <n v="466"/>
    <n v="78154"/>
    <n v="15.65"/>
    <n v="120"/>
    <s v="Mortgage"/>
    <n v="37.729999999999997"/>
    <n v="74290"/>
    <n v="143826"/>
    <x v="730"/>
    <s v="Approved"/>
    <s v="Yes"/>
    <x v="0"/>
    <x v="1033"/>
    <x v="1034"/>
    <n v="358"/>
    <n v="299"/>
    <n v="0.35149999999999998"/>
    <n v="49689481"/>
    <n v="51438.386128364393"/>
    <n v="99996"/>
    <n v="5091"/>
    <n v="1273128.0200000003"/>
    <n v="1317.9379089026918"/>
    <n v="0.35149999999999998"/>
    <n v="630941323.12000012"/>
    <x v="1"/>
    <n v="9038.52"/>
  </r>
  <r>
    <s v="LN01036"/>
    <x v="1035"/>
    <n v="58"/>
    <s v="Female"/>
    <s v="Divorced"/>
    <s v="Self-Employed"/>
    <n v="35826"/>
    <n v="335"/>
    <n v="59493"/>
    <n v="12.6"/>
    <n v="36"/>
    <s v="Mortgage"/>
    <n v="51.66"/>
    <n v="33381"/>
    <n v="20709"/>
    <x v="538"/>
    <s v="Pending"/>
    <s v="Yes"/>
    <x v="3"/>
    <x v="1034"/>
    <x v="1035"/>
    <n v="357"/>
    <n v="299"/>
    <n v="0.35149999999999998"/>
    <n v="49611327"/>
    <n v="51410.701554404142"/>
    <n v="99996"/>
    <n v="5091"/>
    <n v="1272374.8100000003"/>
    <n v="1318.5231191709847"/>
    <n v="0.35149999999999998"/>
    <n v="629668195.10000026"/>
    <x v="1"/>
    <n v="22329.72"/>
  </r>
  <r>
    <s v="LN01037"/>
    <x v="1036"/>
    <n v="62"/>
    <s v="Female"/>
    <s v="Single"/>
    <s v="Self-Employed"/>
    <n v="179612"/>
    <n v="690"/>
    <n v="89746"/>
    <n v="16.190000000000001"/>
    <n v="24"/>
    <s v="Business"/>
    <n v="54.42"/>
    <n v="57229"/>
    <n v="1934"/>
    <x v="312"/>
    <s v="Rejected"/>
    <s v="Yes"/>
    <x v="1"/>
    <x v="1035"/>
    <x v="1036"/>
    <n v="357"/>
    <n v="299"/>
    <n v="0.35149999999999998"/>
    <n v="49551834"/>
    <n v="51402.317427385889"/>
    <n v="99996"/>
    <n v="5091"/>
    <n v="1270514.0000000002"/>
    <n v="1317.9605809128634"/>
    <n v="0.35149999999999998"/>
    <n v="628395820.29000032"/>
    <x v="1"/>
    <n v="52137.96"/>
  </r>
  <r>
    <s v="LN01038"/>
    <x v="1037"/>
    <n v="26"/>
    <s v="Female"/>
    <s v="Divorced"/>
    <s v="Unemployed"/>
    <n v="112341"/>
    <n v="686"/>
    <n v="86527"/>
    <n v="11.9"/>
    <n v="36"/>
    <s v="Education"/>
    <n v="50.03"/>
    <n v="23686"/>
    <n v="76720"/>
    <x v="599"/>
    <s v="Approved"/>
    <s v="No"/>
    <x v="2"/>
    <x v="1036"/>
    <x v="1037"/>
    <n v="357"/>
    <n v="298"/>
    <n v="0.35149999999999998"/>
    <n v="49462088"/>
    <n v="51362.5005192108"/>
    <n v="99996"/>
    <n v="5091"/>
    <n v="1266169.1700000004"/>
    <n v="1314.8174143302185"/>
    <n v="0.35149999999999998"/>
    <n v="627125306.29000008"/>
    <x v="1"/>
    <n v="32274.600000000002"/>
  </r>
  <r>
    <s v="LN01039"/>
    <x v="1038"/>
    <n v="22"/>
    <s v="Male"/>
    <s v="Single"/>
    <s v="Employed"/>
    <n v="54975"/>
    <n v="316"/>
    <n v="91076"/>
    <n v="11.75"/>
    <n v="36"/>
    <s v="Business"/>
    <n v="17.91"/>
    <n v="48226"/>
    <n v="87218"/>
    <x v="705"/>
    <s v="Approved"/>
    <s v="Yes"/>
    <x v="0"/>
    <x v="1037"/>
    <x v="1038"/>
    <n v="356"/>
    <n v="298"/>
    <n v="0.35149999999999998"/>
    <n v="49375561"/>
    <n v="51325.946985446986"/>
    <n v="99996"/>
    <n v="5091"/>
    <n v="1263479.6200000003"/>
    <n v="1313.3883783783788"/>
    <n v="0.35149999999999998"/>
    <n v="625859137.12000012"/>
    <x v="1"/>
    <n v="33925.800000000003"/>
  </r>
  <r>
    <s v="LN01040"/>
    <x v="1039"/>
    <n v="44"/>
    <s v="Male"/>
    <s v="Divorced"/>
    <s v="Unemployed"/>
    <n v="87833"/>
    <n v="598"/>
    <n v="33842"/>
    <n v="5.5"/>
    <n v="48"/>
    <s v="Business"/>
    <n v="42.98"/>
    <n v="27387"/>
    <n v="133451"/>
    <x v="206"/>
    <s v="Approved"/>
    <s v="No"/>
    <x v="3"/>
    <x v="1038"/>
    <x v="1039"/>
    <n v="355"/>
    <n v="298"/>
    <n v="0.35149999999999998"/>
    <n v="49284485"/>
    <n v="51284.583766909469"/>
    <n v="99996"/>
    <n v="5091"/>
    <n v="1260652.4700000007"/>
    <n v="1311.8131841831432"/>
    <n v="0.35149999999999998"/>
    <n v="624595657.50000012"/>
    <x v="1"/>
    <n v="8925.84"/>
  </r>
  <r>
    <s v="LN01041"/>
    <x v="1040"/>
    <n v="27"/>
    <s v="Female"/>
    <s v="Single"/>
    <s v="Self-Employed"/>
    <n v="188226"/>
    <n v="577"/>
    <n v="76924"/>
    <n v="17.489999999999998"/>
    <n v="360"/>
    <s v="Education"/>
    <n v="49.51"/>
    <n v="66782"/>
    <n v="49437"/>
    <x v="98"/>
    <s v="Pending"/>
    <s v="Yes"/>
    <x v="0"/>
    <x v="1039"/>
    <x v="1040"/>
    <n v="354"/>
    <n v="298"/>
    <n v="0.35149999999999998"/>
    <n v="49250643"/>
    <n v="51302.753125000003"/>
    <n v="99996"/>
    <n v="5091"/>
    <n v="1259908.6500000006"/>
    <n v="1312.4048437500007"/>
    <n v="0.35149999999999998"/>
    <n v="623335005.03000009"/>
    <x v="1"/>
    <n v="3012.6000000000004"/>
  </r>
  <r>
    <s v="LN01042"/>
    <x v="1041"/>
    <n v="29"/>
    <s v="Male"/>
    <s v="Single"/>
    <s v="Self-Employed"/>
    <n v="170796"/>
    <n v="414"/>
    <n v="87517"/>
    <n v="9.83"/>
    <n v="48"/>
    <s v="Mortgage"/>
    <n v="36.229999999999997"/>
    <n v="718"/>
    <n v="142505"/>
    <x v="106"/>
    <s v="Pending"/>
    <s v="Yes"/>
    <x v="3"/>
    <x v="1040"/>
    <x v="1041"/>
    <n v="354"/>
    <n v="298"/>
    <n v="0.35149999999999998"/>
    <n v="49173719"/>
    <n v="51276.036496350367"/>
    <n v="99996"/>
    <n v="5091"/>
    <n v="1259657.6000000006"/>
    <n v="1313.5115745568305"/>
    <n v="0.35149999999999998"/>
    <n v="622075096.38"/>
    <x v="1"/>
    <n v="24030"/>
  </r>
  <r>
    <s v="LN01043"/>
    <x v="1042"/>
    <n v="50"/>
    <s v="Female"/>
    <s v="Single"/>
    <s v="Unemployed"/>
    <n v="57910"/>
    <n v="412"/>
    <n v="21046"/>
    <n v="7.52"/>
    <n v="240"/>
    <s v="Business"/>
    <n v="9.1999999999999993"/>
    <n v="75826"/>
    <n v="15067"/>
    <x v="731"/>
    <s v="Pending"/>
    <s v="No"/>
    <x v="0"/>
    <x v="1041"/>
    <x v="1042"/>
    <n v="354"/>
    <n v="298"/>
    <n v="0.35149999999999998"/>
    <n v="49086202"/>
    <n v="51238.206680584553"/>
    <n v="99996"/>
    <n v="5091"/>
    <n v="1257655.1000000006"/>
    <n v="1312.792379958247"/>
    <n v="0.35149999999999998"/>
    <n v="620815438.78000009"/>
    <x v="1"/>
    <n v="1131.48"/>
  </r>
  <r>
    <s v="LN01044"/>
    <x v="1043"/>
    <n v="46"/>
    <s v="Male"/>
    <s v="Married"/>
    <s v="Self-Employed"/>
    <n v="153860"/>
    <n v="333"/>
    <n v="58390"/>
    <n v="21.94"/>
    <n v="360"/>
    <s v="Mortgage"/>
    <n v="27.43"/>
    <n v="58357"/>
    <n v="203234"/>
    <x v="631"/>
    <s v="Approved"/>
    <s v="Yes"/>
    <x v="1"/>
    <x v="1042"/>
    <x v="1043"/>
    <n v="354"/>
    <n v="298"/>
    <n v="0.35149999999999998"/>
    <n v="49065156"/>
    <n v="51269.755485893416"/>
    <n v="99996"/>
    <n v="5091"/>
    <n v="1257560.8100000005"/>
    <n v="1314.0656321839085"/>
    <n v="0.35149999999999998"/>
    <n v="619557783.68000019"/>
    <x v="1"/>
    <n v="2373.36"/>
  </r>
  <r>
    <s v="LN01045"/>
    <x v="1044"/>
    <n v="53"/>
    <s v="Male"/>
    <s v="Married"/>
    <s v="Employed"/>
    <n v="65946"/>
    <n v="704"/>
    <n v="13424"/>
    <n v="9.52"/>
    <n v="240"/>
    <s v="Auto"/>
    <n v="19.489999999999998"/>
    <n v="53187"/>
    <n v="198159"/>
    <x v="732"/>
    <s v="Rejected"/>
    <s v="Yes"/>
    <x v="1"/>
    <x v="1043"/>
    <x v="1044"/>
    <n v="353"/>
    <n v="298"/>
    <n v="0.35149999999999998"/>
    <n v="49006766"/>
    <n v="51262.307531380757"/>
    <n v="99996"/>
    <n v="5091"/>
    <n v="1257363.0300000007"/>
    <n v="1315.2332949790803"/>
    <n v="0.35149999999999998"/>
    <n v="618300222.87000012"/>
    <x v="1"/>
    <n v="735.12"/>
  </r>
  <r>
    <s v="LN01046"/>
    <x v="1045"/>
    <n v="28"/>
    <s v="Female"/>
    <s v="Divorced"/>
    <s v="Self-Employed"/>
    <n v="22673"/>
    <n v="609"/>
    <n v="23711"/>
    <n v="5.1100000000000003"/>
    <n v="60"/>
    <s v="Personal"/>
    <n v="29.25"/>
    <n v="61623"/>
    <n v="119812"/>
    <x v="733"/>
    <s v="Pending"/>
    <s v="Yes"/>
    <x v="3"/>
    <x v="1044"/>
    <x v="1045"/>
    <n v="353"/>
    <n v="297"/>
    <n v="0.35149999999999998"/>
    <n v="48993342"/>
    <n v="51301.928795811516"/>
    <n v="99996"/>
    <n v="5091"/>
    <n v="1257301.7700000007"/>
    <n v="1316.5463560209432"/>
    <n v="0.35149999999999998"/>
    <n v="617042859.84000003"/>
    <x v="1"/>
    <n v="4984.5599999999995"/>
  </r>
  <r>
    <s v="LN01047"/>
    <x v="1046"/>
    <n v="48"/>
    <s v="Male"/>
    <s v="Divorced"/>
    <s v="Self-Employed"/>
    <n v="142562"/>
    <n v="809"/>
    <n v="73217"/>
    <n v="21.27"/>
    <n v="12"/>
    <s v="Business"/>
    <n v="54.84"/>
    <n v="21632"/>
    <n v="181437"/>
    <x v="734"/>
    <s v="Approved"/>
    <s v="Yes"/>
    <x v="1"/>
    <x v="1045"/>
    <x v="1046"/>
    <n v="353"/>
    <n v="297"/>
    <n v="0.35149999999999998"/>
    <n v="48969631"/>
    <n v="51330.850104821802"/>
    <n v="99996"/>
    <n v="5091"/>
    <n v="1256886.3900000006"/>
    <n v="1317.4909748427679"/>
    <n v="0.35149999999999998"/>
    <n v="615785558.07000005"/>
    <x v="1"/>
    <n v="88790.28"/>
  </r>
  <r>
    <s v="LN01048"/>
    <x v="1047"/>
    <n v="22"/>
    <s v="Female"/>
    <s v="Divorced"/>
    <s v="Employed"/>
    <n v="77703"/>
    <n v="528"/>
    <n v="82163"/>
    <n v="10.95"/>
    <n v="180"/>
    <s v="Education"/>
    <n v="26.91"/>
    <n v="17524"/>
    <n v="137742"/>
    <x v="268"/>
    <s v="Pending"/>
    <s v="Yes"/>
    <x v="0"/>
    <x v="1046"/>
    <x v="1047"/>
    <n v="352"/>
    <n v="297"/>
    <n v="0.35149999999999998"/>
    <n v="48896414"/>
    <n v="51307.884575026234"/>
    <n v="99996"/>
    <n v="5091"/>
    <n v="1249487.2000000007"/>
    <n v="1311.1093389296964"/>
    <n v="0.35149999999999998"/>
    <n v="614528671.68000019"/>
    <x v="0"/>
    <n v="6077.28"/>
  </r>
  <r>
    <s v="LN01049"/>
    <x v="1048"/>
    <n v="47"/>
    <s v="Female"/>
    <s v="Married"/>
    <s v="Unemployed"/>
    <n v="53612"/>
    <n v="589"/>
    <n v="75281"/>
    <n v="4.59"/>
    <n v="48"/>
    <s v="Mortgage"/>
    <n v="31.34"/>
    <n v="25169"/>
    <n v="203371"/>
    <x v="735"/>
    <s v="Rejected"/>
    <s v="Yes"/>
    <x v="3"/>
    <x v="1047"/>
    <x v="1048"/>
    <n v="352"/>
    <n v="297"/>
    <n v="0.35149999999999998"/>
    <n v="48814251"/>
    <n v="51275.473739495799"/>
    <n v="99996"/>
    <n v="5091"/>
    <n v="1248980.7600000005"/>
    <n v="1311.9545798319332"/>
    <n v="0.35149999999999998"/>
    <n v="613279184.48000014"/>
    <x v="1"/>
    <n v="19684.079999999998"/>
  </r>
  <r>
    <s v="LN01050"/>
    <x v="1049"/>
    <n v="59"/>
    <s v="Female"/>
    <s v="Divorced"/>
    <s v="Unemployed"/>
    <n v="154464"/>
    <n v="591"/>
    <n v="12031"/>
    <n v="19.14"/>
    <n v="120"/>
    <s v="Personal"/>
    <n v="53.75"/>
    <n v="70445"/>
    <n v="82826"/>
    <x v="150"/>
    <s v="Approved"/>
    <s v="Yes"/>
    <x v="3"/>
    <x v="1048"/>
    <x v="1049"/>
    <n v="352"/>
    <n v="296"/>
    <n v="0.35149999999999998"/>
    <n v="48738970"/>
    <n v="51250.23133543638"/>
    <n v="99996"/>
    <n v="5091"/>
    <n v="1247340.4200000006"/>
    <n v="1311.6092744479502"/>
    <n v="0.35149999999999998"/>
    <n v="612030203.72000015"/>
    <x v="1"/>
    <n v="1433.4"/>
  </r>
  <r>
    <s v="LN01051"/>
    <x v="1050"/>
    <n v="65"/>
    <s v="Female"/>
    <s v="Married"/>
    <s v="Employed"/>
    <n v="192536"/>
    <n v="576"/>
    <n v="63799"/>
    <n v="13.36"/>
    <n v="60"/>
    <s v="Auto"/>
    <n v="43.99"/>
    <n v="42708"/>
    <n v="22520"/>
    <x v="736"/>
    <s v="Pending"/>
    <s v="No"/>
    <x v="2"/>
    <x v="1049"/>
    <x v="1050"/>
    <n v="351"/>
    <n v="296"/>
    <n v="0.35149999999999998"/>
    <n v="48726939"/>
    <n v="51291.514736842102"/>
    <n v="99996"/>
    <n v="5091"/>
    <n v="1247220.9700000007"/>
    <n v="1312.8641789473691"/>
    <n v="0.35149999999999998"/>
    <n v="610782863.30000031"/>
    <x v="1"/>
    <n v="14464.560000000001"/>
  </r>
  <r>
    <s v="LN01052"/>
    <x v="1051"/>
    <n v="65"/>
    <s v="Female"/>
    <s v="Married"/>
    <s v="Self-Employed"/>
    <n v="53461"/>
    <n v="745"/>
    <n v="62495"/>
    <n v="7.13"/>
    <n v="24"/>
    <s v="Mortgage"/>
    <n v="8.65"/>
    <n v="44392"/>
    <n v="135176"/>
    <x v="737"/>
    <s v="Pending"/>
    <s v="Yes"/>
    <x v="3"/>
    <x v="1050"/>
    <x v="1051"/>
    <n v="351"/>
    <n v="296"/>
    <n v="0.35149999999999998"/>
    <n v="48663140"/>
    <n v="51278.335089567969"/>
    <n v="99996"/>
    <n v="5091"/>
    <n v="1246015.5900000003"/>
    <n v="1312.9774394099054"/>
    <n v="0.35149999999999998"/>
    <n v="609535642.33000016"/>
    <x v="1"/>
    <n v="33475.440000000002"/>
  </r>
  <r>
    <s v="LN01053"/>
    <x v="1052"/>
    <n v="25"/>
    <s v="Male"/>
    <s v="Single"/>
    <s v="Self-Employed"/>
    <n v="80886"/>
    <n v="361"/>
    <n v="29610"/>
    <n v="16.04"/>
    <n v="240"/>
    <s v="Auto"/>
    <n v="32.64"/>
    <n v="54564"/>
    <n v="156017"/>
    <x v="515"/>
    <s v="Rejected"/>
    <s v="Yes"/>
    <x v="1"/>
    <x v="1051"/>
    <x v="1052"/>
    <n v="351"/>
    <n v="296"/>
    <n v="0.35149999999999998"/>
    <n v="48600645"/>
    <n v="51266.503164556962"/>
    <n v="99996"/>
    <n v="5091"/>
    <n v="1243225.9700000002"/>
    <n v="1311.4197995780594"/>
    <n v="0.35149999999999998"/>
    <n v="608289626.74000025"/>
    <x v="1"/>
    <n v="1717.92"/>
  </r>
  <r>
    <s v="LN01054"/>
    <x v="1053"/>
    <n v="39"/>
    <s v="Female"/>
    <s v="Single"/>
    <s v="Employed"/>
    <n v="83631"/>
    <n v="712"/>
    <n v="99358"/>
    <n v="19.61"/>
    <n v="36"/>
    <s v="Education"/>
    <n v="29.72"/>
    <n v="38777"/>
    <n v="245063"/>
    <x v="738"/>
    <s v="Approved"/>
    <s v="Yes"/>
    <x v="0"/>
    <x v="1052"/>
    <x v="1053"/>
    <n v="351"/>
    <n v="295"/>
    <n v="0.35149999999999998"/>
    <n v="48571035"/>
    <n v="51289.371700105599"/>
    <n v="99996"/>
    <n v="5091"/>
    <n v="1243082.8100000003"/>
    <n v="1312.6534424498418"/>
    <n v="0.35149999999999998"/>
    <n v="607046400.77000022"/>
    <x v="1"/>
    <n v="39614.04"/>
  </r>
  <r>
    <s v="LN01055"/>
    <x v="1054"/>
    <n v="37"/>
    <s v="Female"/>
    <s v="Married"/>
    <s v="Employed"/>
    <n v="110351"/>
    <n v="472"/>
    <n v="18400"/>
    <n v="15.16"/>
    <n v="12"/>
    <s v="Personal"/>
    <n v="22.9"/>
    <n v="52107"/>
    <n v="64402"/>
    <x v="739"/>
    <s v="Pending"/>
    <s v="No"/>
    <x v="3"/>
    <x v="1053"/>
    <x v="1054"/>
    <n v="350"/>
    <n v="295"/>
    <n v="0.35149999999999998"/>
    <n v="48471677"/>
    <n v="51238.559196617338"/>
    <n v="99996"/>
    <n v="5091"/>
    <n v="1239781.6400000004"/>
    <n v="1310.5514164904866"/>
    <n v="0.35149999999999998"/>
    <n v="605803317.96000016"/>
    <x v="1"/>
    <n v="21189.48"/>
  </r>
  <r>
    <s v="LN01056"/>
    <x v="1055"/>
    <n v="35"/>
    <s v="Female"/>
    <s v="Divorced"/>
    <s v="Self-Employed"/>
    <n v="185660"/>
    <n v="832"/>
    <n v="76576"/>
    <n v="9.9499999999999993"/>
    <n v="36"/>
    <s v="Personal"/>
    <n v="29.54"/>
    <n v="46209"/>
    <n v="47624"/>
    <x v="262"/>
    <s v="Approved"/>
    <s v="No"/>
    <x v="3"/>
    <x v="1054"/>
    <x v="1055"/>
    <n v="350"/>
    <n v="295"/>
    <n v="0.35149999999999998"/>
    <n v="48453277"/>
    <n v="51273.308994708997"/>
    <n v="99996"/>
    <n v="5091"/>
    <n v="1238015.8500000003"/>
    <n v="1310.0696825396828"/>
    <n v="0.35149999999999998"/>
    <n v="604563536.32000017"/>
    <x v="0"/>
    <n v="28065.120000000003"/>
  </r>
  <r>
    <s v="LN01057"/>
    <x v="1056"/>
    <n v="26"/>
    <s v="Female"/>
    <s v="Married"/>
    <s v="Employed"/>
    <n v="98574"/>
    <n v="529"/>
    <n v="38064"/>
    <n v="19.190000000000001"/>
    <n v="60"/>
    <s v="Education"/>
    <n v="13.04"/>
    <n v="5795"/>
    <n v="123022"/>
    <x v="740"/>
    <s v="Rejected"/>
    <s v="No"/>
    <x v="2"/>
    <x v="1055"/>
    <x v="1056"/>
    <n v="349"/>
    <n v="295"/>
    <n v="0.35149999999999998"/>
    <n v="48376701"/>
    <n v="51246.505296610172"/>
    <n v="99996"/>
    <n v="5091"/>
    <n v="1235677.0900000005"/>
    <n v="1308.9799682203395"/>
    <n v="0.35149999999999998"/>
    <n v="603325520.47000027"/>
    <x v="1"/>
    <n v="9073.68"/>
  </r>
  <r>
    <s v="LN01058"/>
    <x v="1057"/>
    <n v="46"/>
    <s v="Male"/>
    <s v="Divorced"/>
    <s v="Employed"/>
    <n v="148978"/>
    <n v="590"/>
    <n v="49947"/>
    <n v="14.23"/>
    <n v="360"/>
    <s v="Education"/>
    <n v="48.54"/>
    <n v="4040"/>
    <n v="152957"/>
    <x v="454"/>
    <s v="Pending"/>
    <s v="Yes"/>
    <x v="2"/>
    <x v="1056"/>
    <x v="1057"/>
    <n v="349"/>
    <n v="294"/>
    <n v="0.35149999999999998"/>
    <n v="48338637"/>
    <n v="51260.484623541888"/>
    <n v="99996"/>
    <n v="5091"/>
    <n v="1234920.9500000004"/>
    <n v="1309.5662248144224"/>
    <n v="0.35149999999999998"/>
    <n v="602089843.38000023"/>
    <x v="1"/>
    <n v="1901.7599999999998"/>
  </r>
  <r>
    <s v="LN01059"/>
    <x v="1058"/>
    <n v="37"/>
    <s v="Male"/>
    <s v="Divorced"/>
    <s v="Employed"/>
    <n v="73859"/>
    <n v="625"/>
    <n v="17168"/>
    <n v="8.09"/>
    <n v="360"/>
    <s v="Mortgage"/>
    <n v="33.78"/>
    <n v="39348"/>
    <n v="116366"/>
    <x v="317"/>
    <s v="Pending"/>
    <s v="Yes"/>
    <x v="2"/>
    <x v="1057"/>
    <x v="1058"/>
    <n v="349"/>
    <n v="294"/>
    <n v="0.35149999999999998"/>
    <n v="48288690"/>
    <n v="51261.878980891721"/>
    <n v="99996"/>
    <n v="5091"/>
    <n v="1234762.4700000004"/>
    <n v="1310.7881847133763"/>
    <n v="0.35149999999999998"/>
    <n v="600854922.43000019"/>
    <x v="1"/>
    <n v="618.59999999999991"/>
  </r>
  <r>
    <s v="LN01060"/>
    <x v="1059"/>
    <n v="58"/>
    <s v="Female"/>
    <s v="Single"/>
    <s v="Self-Employed"/>
    <n v="178828"/>
    <n v="732"/>
    <n v="22216"/>
    <n v="20.97"/>
    <n v="240"/>
    <s v="Mortgage"/>
    <n v="31.37"/>
    <n v="15949"/>
    <n v="240094"/>
    <x v="741"/>
    <s v="Approved"/>
    <s v="No"/>
    <x v="4"/>
    <x v="1058"/>
    <x v="1059"/>
    <n v="349"/>
    <n v="294"/>
    <n v="0.35149999999999998"/>
    <n v="48271522"/>
    <n v="51298.110520722636"/>
    <n v="99996"/>
    <n v="5091"/>
    <n v="1234710.9200000004"/>
    <n v="1312.126376195537"/>
    <n v="0.35149999999999998"/>
    <n v="599620159.96000028"/>
    <x v="1"/>
    <n v="1343.76"/>
  </r>
  <r>
    <s v="LN01061"/>
    <x v="1060"/>
    <n v="36"/>
    <s v="Male"/>
    <s v="Married"/>
    <s v="Employed"/>
    <n v="47989"/>
    <n v="413"/>
    <n v="50727"/>
    <n v="22.17"/>
    <n v="60"/>
    <s v="Business"/>
    <n v="44.78"/>
    <n v="24466"/>
    <n v="53899"/>
    <x v="742"/>
    <s v="Pending"/>
    <s v="Yes"/>
    <x v="3"/>
    <x v="1059"/>
    <x v="1060"/>
    <n v="348"/>
    <n v="294"/>
    <n v="0.35149999999999998"/>
    <n v="48249306"/>
    <n v="51329.048936170213"/>
    <n v="99996"/>
    <n v="5091"/>
    <n v="1234598.9400000004"/>
    <n v="1313.4031276595749"/>
    <n v="0.35149999999999998"/>
    <n v="598385449.04000044"/>
    <x v="1"/>
    <n v="12394.68"/>
  </r>
  <r>
    <s v="LN01062"/>
    <x v="1061"/>
    <n v="43"/>
    <s v="Male"/>
    <s v="Single"/>
    <s v="Employed"/>
    <n v="188636"/>
    <n v="766"/>
    <n v="58459"/>
    <n v="14.47"/>
    <n v="36"/>
    <s v="Mortgage"/>
    <n v="30.31"/>
    <n v="55215"/>
    <n v="232582"/>
    <x v="743"/>
    <s v="Approved"/>
    <s v="No"/>
    <x v="1"/>
    <x v="1060"/>
    <x v="1061"/>
    <n v="348"/>
    <n v="294"/>
    <n v="0.35149999999999998"/>
    <n v="48198579"/>
    <n v="51329.690095846643"/>
    <n v="99996"/>
    <n v="5091"/>
    <n v="1233566.0500000005"/>
    <n v="1313.7018636847715"/>
    <n v="0.35149999999999998"/>
    <n v="597150850.10000038"/>
    <x v="1"/>
    <n v="22305.96"/>
  </r>
  <r>
    <s v="LN01063"/>
    <x v="1062"/>
    <n v="40"/>
    <s v="Male"/>
    <s v="Divorced"/>
    <s v="Self-Employed"/>
    <n v="87686"/>
    <n v="792"/>
    <n v="21338"/>
    <n v="10.039999999999999"/>
    <n v="12"/>
    <s v="Business"/>
    <n v="45.93"/>
    <n v="11552"/>
    <n v="136542"/>
    <x v="744"/>
    <s v="Approved"/>
    <s v="No"/>
    <x v="2"/>
    <x v="1061"/>
    <x v="1062"/>
    <n v="347"/>
    <n v="294"/>
    <n v="0.35149999999999998"/>
    <n v="48140120"/>
    <n v="51322.089552238809"/>
    <n v="99996"/>
    <n v="5091"/>
    <n v="1231707.2200000007"/>
    <n v="1313.1207036247342"/>
    <n v="0.35149999999999998"/>
    <n v="595917284.05000031"/>
    <x v="1"/>
    <n v="23480.28"/>
  </r>
  <r>
    <s v="LN01064"/>
    <x v="1063"/>
    <n v="32"/>
    <s v="Male"/>
    <s v="Married"/>
    <s v="Self-Employed"/>
    <n v="120713"/>
    <n v="359"/>
    <n v="63573"/>
    <n v="22.87"/>
    <n v="48"/>
    <s v="Education"/>
    <n v="8.74"/>
    <n v="54243"/>
    <n v="33186"/>
    <x v="171"/>
    <s v="Pending"/>
    <s v="Yes"/>
    <x v="4"/>
    <x v="1062"/>
    <x v="1063"/>
    <n v="346"/>
    <n v="294"/>
    <n v="0.35149999999999998"/>
    <n v="48118782"/>
    <n v="51354.089647812165"/>
    <n v="99996"/>
    <n v="5091"/>
    <n v="1229750.5300000007"/>
    <n v="1312.4338633938107"/>
    <n v="0.35149999999999998"/>
    <n v="594685576.8300004"/>
    <x v="0"/>
    <n v="19528.079999999998"/>
  </r>
  <r>
    <s v="LN01065"/>
    <x v="1064"/>
    <n v="44"/>
    <s v="Female"/>
    <s v="Divorced"/>
    <s v="Unemployed"/>
    <n v="133327"/>
    <n v="543"/>
    <n v="82552"/>
    <n v="15.47"/>
    <n v="360"/>
    <s v="Education"/>
    <n v="44.01"/>
    <n v="63868"/>
    <n v="130123"/>
    <x v="492"/>
    <s v="Pending"/>
    <s v="Yes"/>
    <x v="2"/>
    <x v="1063"/>
    <x v="1064"/>
    <n v="346"/>
    <n v="294"/>
    <n v="0.35149999999999998"/>
    <n v="48055209"/>
    <n v="51341.035256410258"/>
    <n v="99996"/>
    <n v="5091"/>
    <n v="1228123.1900000006"/>
    <n v="1312.0974252136759"/>
    <n v="0.35149999999999998"/>
    <n v="593455826.30000043"/>
    <x v="1"/>
    <n v="3177.4800000000005"/>
  </r>
  <r>
    <s v="LN01066"/>
    <x v="1065"/>
    <n v="49"/>
    <s v="Male"/>
    <s v="Single"/>
    <s v="Employed"/>
    <n v="95311"/>
    <n v="687"/>
    <n v="62669"/>
    <n v="23.84"/>
    <n v="120"/>
    <s v="Personal"/>
    <n v="51.79"/>
    <n v="69609"/>
    <n v="144044"/>
    <x v="260"/>
    <s v="Rejected"/>
    <s v="Yes"/>
    <x v="4"/>
    <x v="1064"/>
    <x v="1065"/>
    <n v="346"/>
    <n v="294"/>
    <n v="0.35149999999999998"/>
    <n v="47972657"/>
    <n v="51307.654545454548"/>
    <n v="99996"/>
    <n v="5091"/>
    <n v="1227858.4000000006"/>
    <n v="1313.2175401069526"/>
    <n v="0.35149999999999998"/>
    <n v="592227703.11000025"/>
    <x v="1"/>
    <n v="7760.88"/>
  </r>
  <r>
    <s v="LN01067"/>
    <x v="1066"/>
    <n v="53"/>
    <s v="Male"/>
    <s v="Married"/>
    <s v="Employed"/>
    <n v="103354"/>
    <n v="610"/>
    <n v="10823"/>
    <n v="9.93"/>
    <n v="36"/>
    <s v="Education"/>
    <n v="55"/>
    <n v="18254"/>
    <n v="11038"/>
    <x v="89"/>
    <s v="Pending"/>
    <s v="Yes"/>
    <x v="2"/>
    <x v="1065"/>
    <x v="1066"/>
    <n v="346"/>
    <n v="293"/>
    <n v="0.35149999999999998"/>
    <n v="47909988"/>
    <n v="51295.490364025696"/>
    <n v="99996"/>
    <n v="5091"/>
    <n v="1227211.6600000006"/>
    <n v="1313.9311134903646"/>
    <n v="0.35149999999999998"/>
    <n v="590999844.7100004"/>
    <x v="1"/>
    <n v="3965.88"/>
  </r>
  <r>
    <s v="LN01068"/>
    <x v="1067"/>
    <n v="56"/>
    <s v="Male"/>
    <s v="Married"/>
    <s v="Self-Employed"/>
    <n v="141806"/>
    <n v="588"/>
    <n v="33437"/>
    <n v="17.47"/>
    <n v="240"/>
    <s v="Auto"/>
    <n v="33.1"/>
    <n v="54870"/>
    <n v="49959"/>
    <x v="745"/>
    <s v="Approved"/>
    <s v="Yes"/>
    <x v="0"/>
    <x v="1066"/>
    <x v="1067"/>
    <n v="346"/>
    <n v="293"/>
    <n v="0.35149999999999998"/>
    <n v="47899165"/>
    <n v="51338.869239013933"/>
    <n v="99996"/>
    <n v="5091"/>
    <n v="1226881.1700000006"/>
    <n v="1314.9851768488752"/>
    <n v="0.35149999999999998"/>
    <n v="589772633.05000031"/>
    <x v="1"/>
    <n v="1963.92"/>
  </r>
  <r>
    <s v="LN01069"/>
    <x v="1068"/>
    <n v="60"/>
    <s v="Female"/>
    <s v="Single"/>
    <s v="Self-Employed"/>
    <n v="98783"/>
    <n v="538"/>
    <n v="64000"/>
    <n v="10.73"/>
    <n v="180"/>
    <s v="Business"/>
    <n v="27.94"/>
    <n v="28846"/>
    <n v="4496"/>
    <x v="746"/>
    <s v="Rejected"/>
    <s v="No"/>
    <x v="1"/>
    <x v="1067"/>
    <x v="1068"/>
    <n v="345"/>
    <n v="293"/>
    <n v="0.35149999999999998"/>
    <n v="47865728"/>
    <n v="51358.077253218886"/>
    <n v="99996"/>
    <n v="5091"/>
    <n v="1226717.5100000007"/>
    <n v="1316.2205042918463"/>
    <n v="0.35149999999999998"/>
    <n v="588545751.88000035"/>
    <x v="1"/>
    <n v="4724.5199999999995"/>
  </r>
  <r>
    <s v="LN01070"/>
    <x v="1069"/>
    <n v="30"/>
    <s v="Male"/>
    <s v="Divorced"/>
    <s v="Unemployed"/>
    <n v="144542"/>
    <n v="316"/>
    <n v="41501"/>
    <n v="6.11"/>
    <n v="180"/>
    <s v="Business"/>
    <n v="10.199999999999999"/>
    <n v="29747"/>
    <n v="217032"/>
    <x v="283"/>
    <s v="Rejected"/>
    <s v="No"/>
    <x v="0"/>
    <x v="1068"/>
    <x v="1069"/>
    <n v="345"/>
    <n v="292"/>
    <n v="0.35149999999999998"/>
    <n v="47801728"/>
    <n v="51344.498388829219"/>
    <n v="99996"/>
    <n v="5091"/>
    <n v="1226323.8000000005"/>
    <n v="1317.211385606875"/>
    <n v="0.35149999999999998"/>
    <n v="587319034.37000036"/>
    <x v="1"/>
    <n v="2935.8"/>
  </r>
  <r>
    <s v="LN01071"/>
    <x v="1070"/>
    <n v="43"/>
    <s v="Male"/>
    <s v="Divorced"/>
    <s v="Unemployed"/>
    <n v="161615"/>
    <n v="310"/>
    <n v="91812"/>
    <n v="19.420000000000002"/>
    <n v="24"/>
    <s v="Business"/>
    <n v="33.26"/>
    <n v="68481"/>
    <n v="125482"/>
    <x v="593"/>
    <s v="Rejected"/>
    <s v="Yes"/>
    <x v="2"/>
    <x v="1069"/>
    <x v="1070"/>
    <n v="345"/>
    <n v="291"/>
    <n v="0.35149999999999998"/>
    <n v="47760227"/>
    <n v="51355.082795698923"/>
    <n v="99996"/>
    <n v="5091"/>
    <n v="1226079.1500000006"/>
    <n v="1318.3646774193555"/>
    <n v="0.35149999999999998"/>
    <n v="586092710.57000041"/>
    <x v="1"/>
    <n v="54820.92"/>
  </r>
  <r>
    <s v="LN01072"/>
    <x v="1071"/>
    <n v="46"/>
    <s v="Female"/>
    <s v="Divorced"/>
    <s v="Unemployed"/>
    <n v="175133"/>
    <n v="445"/>
    <n v="69263"/>
    <n v="20.43"/>
    <n v="36"/>
    <s v="Auto"/>
    <n v="27.12"/>
    <n v="60797"/>
    <n v="14774"/>
    <x v="747"/>
    <s v="Approved"/>
    <s v="Yes"/>
    <x v="3"/>
    <x v="1070"/>
    <x v="1071"/>
    <n v="345"/>
    <n v="290"/>
    <n v="0.35149999999999998"/>
    <n v="47668415"/>
    <n v="51311.533907427343"/>
    <n v="99996"/>
    <n v="5091"/>
    <n v="1221510.7400000007"/>
    <n v="1314.8662432723365"/>
    <n v="0.35149999999999998"/>
    <n v="584866631.42000031"/>
    <x v="1"/>
    <n v="27804.48"/>
  </r>
  <r>
    <s v="LN01073"/>
    <x v="1072"/>
    <n v="47"/>
    <s v="Female"/>
    <s v="Single"/>
    <s v="Employed"/>
    <n v="56536"/>
    <n v="558"/>
    <n v="54565"/>
    <n v="16.36"/>
    <n v="120"/>
    <s v="Mortgage"/>
    <n v="39.71"/>
    <n v="56567"/>
    <n v="48210"/>
    <x v="748"/>
    <s v="Rejected"/>
    <s v="Yes"/>
    <x v="4"/>
    <x v="1071"/>
    <x v="1072"/>
    <n v="344"/>
    <n v="290"/>
    <n v="0.35149999999999998"/>
    <n v="47599152"/>
    <n v="51292.189655172413"/>
    <n v="99996"/>
    <n v="5091"/>
    <n v="1219193.7000000007"/>
    <n v="1313.7863146551731"/>
    <n v="0.35149999999999998"/>
    <n v="583645120.68000019"/>
    <x v="1"/>
    <n v="6349.2000000000007"/>
  </r>
  <r>
    <s v="LN01074"/>
    <x v="1073"/>
    <n v="27"/>
    <s v="Female"/>
    <s v="Married"/>
    <s v="Unemployed"/>
    <n v="97779"/>
    <n v="816"/>
    <n v="23990"/>
    <n v="19.62"/>
    <n v="48"/>
    <s v="Business"/>
    <n v="12.44"/>
    <n v="8429"/>
    <n v="228928"/>
    <x v="749"/>
    <s v="Pending"/>
    <s v="No"/>
    <x v="1"/>
    <x v="1072"/>
    <x v="1073"/>
    <n v="344"/>
    <n v="289"/>
    <n v="0.35149999999999998"/>
    <n v="47544587"/>
    <n v="51288.659115426104"/>
    <n v="99996"/>
    <n v="5091"/>
    <n v="1218664.6000000008"/>
    <n v="1314.6327939590085"/>
    <n v="0.35149999999999998"/>
    <n v="582425926.98000014"/>
    <x v="1"/>
    <n v="7174.2000000000007"/>
  </r>
  <r>
    <s v="LN01075"/>
    <x v="1074"/>
    <n v="28"/>
    <s v="Male"/>
    <s v="Divorced"/>
    <s v="Self-Employed"/>
    <n v="113783"/>
    <n v="345"/>
    <n v="74126"/>
    <n v="3.98"/>
    <n v="48"/>
    <s v="Personal"/>
    <n v="35.03"/>
    <n v="19883"/>
    <n v="148467"/>
    <x v="728"/>
    <s v="Rejected"/>
    <s v="No"/>
    <x v="1"/>
    <x v="1073"/>
    <x v="1074"/>
    <n v="344"/>
    <n v="289"/>
    <n v="0.35149999999999998"/>
    <n v="47520597"/>
    <n v="51318.139308855294"/>
    <n v="99996"/>
    <n v="5091"/>
    <n v="1218066.7500000007"/>
    <n v="1315.4068574514047"/>
    <n v="0.35149999999999998"/>
    <n v="581207262.38"/>
    <x v="1"/>
    <n v="19269"/>
  </r>
  <r>
    <s v="LN01076"/>
    <x v="1075"/>
    <n v="40"/>
    <s v="Female"/>
    <s v="Single"/>
    <s v="Employed"/>
    <n v="39642"/>
    <n v="582"/>
    <n v="90573"/>
    <n v="13.92"/>
    <n v="180"/>
    <s v="Education"/>
    <n v="30.99"/>
    <n v="14611"/>
    <n v="224296"/>
    <x v="750"/>
    <s v="Approved"/>
    <s v="Yes"/>
    <x v="4"/>
    <x v="1074"/>
    <x v="1075"/>
    <n v="344"/>
    <n v="288"/>
    <n v="0.35149999999999998"/>
    <n v="47446471"/>
    <n v="51293.48216216216"/>
    <n v="99996"/>
    <n v="5091"/>
    <n v="1216461.0000000007"/>
    <n v="1315.0929729729737"/>
    <n v="0.35149999999999998"/>
    <n v="579989195.63000011"/>
    <x v="1"/>
    <n v="6878.76"/>
  </r>
  <r>
    <s v="LN01077"/>
    <x v="1076"/>
    <n v="33"/>
    <s v="Female"/>
    <s v="Divorced"/>
    <s v="Employed"/>
    <n v="24084"/>
    <n v="797"/>
    <n v="98630"/>
    <n v="21.52"/>
    <n v="36"/>
    <s v="Mortgage"/>
    <n v="40.04"/>
    <n v="22104"/>
    <n v="226938"/>
    <x v="751"/>
    <s v="Rejected"/>
    <s v="No"/>
    <x v="4"/>
    <x v="1075"/>
    <x v="1076"/>
    <n v="343"/>
    <n v="288"/>
    <n v="0.35149999999999998"/>
    <n v="47355898"/>
    <n v="51250.971861471859"/>
    <n v="99996"/>
    <n v="5091"/>
    <n v="1215887.7700000007"/>
    <n v="1315.8958549783558"/>
    <n v="0.35149999999999998"/>
    <n v="578772734.63000023"/>
    <x v="1"/>
    <n v="39951.72"/>
  </r>
  <r>
    <s v="LN01078"/>
    <x v="1077"/>
    <n v="38"/>
    <s v="Male"/>
    <s v="Married"/>
    <s v="Self-Employed"/>
    <n v="107554"/>
    <n v="682"/>
    <n v="40357"/>
    <n v="12.75"/>
    <n v="36"/>
    <s v="Auto"/>
    <n v="52.5"/>
    <n v="71120"/>
    <n v="116102"/>
    <x v="53"/>
    <s v="Rejected"/>
    <s v="Yes"/>
    <x v="4"/>
    <x v="1076"/>
    <x v="1077"/>
    <n v="343"/>
    <n v="287"/>
    <n v="0.35149999999999998"/>
    <n v="47257268"/>
    <n v="51199.64030335861"/>
    <n v="99996"/>
    <n v="5091"/>
    <n v="1212558.4600000007"/>
    <n v="1313.7144745395458"/>
    <n v="0.35149999999999998"/>
    <n v="577556846.86000025"/>
    <x v="1"/>
    <n v="15167.52"/>
  </r>
  <r>
    <s v="LN01079"/>
    <x v="1078"/>
    <n v="34"/>
    <s v="Male"/>
    <s v="Married"/>
    <s v="Employed"/>
    <n v="67838"/>
    <n v="587"/>
    <n v="5192"/>
    <n v="21.84"/>
    <n v="120"/>
    <s v="Auto"/>
    <n v="41.21"/>
    <n v="54610"/>
    <n v="145318"/>
    <x v="234"/>
    <s v="Approved"/>
    <s v="Yes"/>
    <x v="4"/>
    <x v="1077"/>
    <x v="1078"/>
    <n v="343"/>
    <n v="286"/>
    <n v="0.35149999999999998"/>
    <n v="47216911"/>
    <n v="51211.400216919741"/>
    <n v="99996"/>
    <n v="5091"/>
    <n v="1211294.5000000007"/>
    <n v="1313.7684381778749"/>
    <n v="0.35149999999999998"/>
    <n v="576344288.40000021"/>
    <x v="1"/>
    <n v="632.64"/>
  </r>
  <r>
    <s v="LN01080"/>
    <x v="1079"/>
    <n v="45"/>
    <s v="Female"/>
    <s v="Divorced"/>
    <s v="Self-Employed"/>
    <n v="77997"/>
    <n v="355"/>
    <n v="24622"/>
    <n v="19.27"/>
    <n v="360"/>
    <s v="Personal"/>
    <n v="54"/>
    <n v="69005"/>
    <n v="173386"/>
    <x v="752"/>
    <s v="Rejected"/>
    <s v="Yes"/>
    <x v="4"/>
    <x v="1078"/>
    <x v="1079"/>
    <n v="342"/>
    <n v="286"/>
    <n v="0.35149999999999998"/>
    <n v="47211719"/>
    <n v="51261.366992399562"/>
    <n v="99996"/>
    <n v="5091"/>
    <n v="1211241.7800000007"/>
    <n v="1315.1376547231278"/>
    <n v="0.35149999999999998"/>
    <n v="575132993.90000033"/>
    <x v="1"/>
    <n v="978.83999999999992"/>
  </r>
  <r>
    <s v="LN01081"/>
    <x v="1080"/>
    <n v="44"/>
    <s v="Female"/>
    <s v="Married"/>
    <s v="Employed"/>
    <n v="170367"/>
    <n v="466"/>
    <n v="46202"/>
    <n v="14.5"/>
    <n v="180"/>
    <s v="Auto"/>
    <n v="22.58"/>
    <n v="10565"/>
    <n v="193501"/>
    <x v="753"/>
    <s v="Pending"/>
    <s v="No"/>
    <x v="4"/>
    <x v="1079"/>
    <x v="1080"/>
    <n v="342"/>
    <n v="285"/>
    <n v="0.35149999999999998"/>
    <n v="47187097"/>
    <n v="51290.322826086958"/>
    <n v="99996"/>
    <n v="5091"/>
    <n v="1211160.2100000007"/>
    <n v="1316.4784891304355"/>
    <n v="0.35149999999999998"/>
    <n v="573921752.12000036"/>
    <x v="1"/>
    <n v="3526.7999999999997"/>
  </r>
  <r>
    <s v="LN01082"/>
    <x v="1081"/>
    <n v="33"/>
    <s v="Male"/>
    <s v="Single"/>
    <s v="Unemployed"/>
    <n v="127521"/>
    <n v="348"/>
    <n v="27779"/>
    <n v="4.51"/>
    <n v="120"/>
    <s v="Education"/>
    <n v="46.29"/>
    <n v="29908"/>
    <n v="20757"/>
    <x v="200"/>
    <s v="Rejected"/>
    <s v="Yes"/>
    <x v="4"/>
    <x v="1080"/>
    <x v="1081"/>
    <n v="342"/>
    <n v="285"/>
    <n v="0.35149999999999998"/>
    <n v="47140895"/>
    <n v="51295.859630032646"/>
    <n v="99996"/>
    <n v="5091"/>
    <n v="1210866.3100000008"/>
    <n v="1317.5911969532108"/>
    <n v="0.35149999999999998"/>
    <n v="572710591.91000021"/>
    <x v="1"/>
    <n v="2903.16"/>
  </r>
  <r>
    <s v="LN01083"/>
    <x v="1082"/>
    <n v="21"/>
    <s v="Female"/>
    <s v="Married"/>
    <s v="Employed"/>
    <n v="174965"/>
    <n v="646"/>
    <n v="94436"/>
    <n v="6.89"/>
    <n v="60"/>
    <s v="Education"/>
    <n v="42.18"/>
    <n v="36125"/>
    <n v="118354"/>
    <x v="491"/>
    <s v="Rejected"/>
    <s v="No"/>
    <x v="3"/>
    <x v="1081"/>
    <x v="1082"/>
    <n v="342"/>
    <n v="284"/>
    <n v="0.35149999999999998"/>
    <n v="47113116"/>
    <n v="51321.477124183009"/>
    <n v="99996"/>
    <n v="5091"/>
    <n v="1210624.3800000006"/>
    <n v="1318.7629411764713"/>
    <n v="0.35149999999999998"/>
    <n v="571499725.60000026"/>
    <x v="1"/>
    <n v="20188.560000000001"/>
  </r>
  <r>
    <s v="LN01084"/>
    <x v="1083"/>
    <n v="31"/>
    <s v="Female"/>
    <s v="Married"/>
    <s v="Self-Employed"/>
    <n v="199077"/>
    <n v="557"/>
    <n v="86008"/>
    <n v="13.63"/>
    <n v="36"/>
    <s v="Business"/>
    <n v="16.66"/>
    <n v="49497"/>
    <n v="236903"/>
    <x v="754"/>
    <s v="Approved"/>
    <s v="Yes"/>
    <x v="1"/>
    <x v="1082"/>
    <x v="1083"/>
    <n v="342"/>
    <n v="283"/>
    <n v="0.35149999999999998"/>
    <n v="47018680"/>
    <n v="51274.460196292261"/>
    <n v="99996"/>
    <n v="5091"/>
    <n v="1208942.0000000007"/>
    <n v="1318.3664122137411"/>
    <n v="0.35149999999999998"/>
    <n v="570289101.22000015"/>
    <x v="1"/>
    <n v="32577"/>
  </r>
  <r>
    <s v="LN01085"/>
    <x v="1084"/>
    <n v="49"/>
    <s v="Female"/>
    <s v="Married"/>
    <s v="Unemployed"/>
    <n v="36032"/>
    <n v="640"/>
    <n v="32041"/>
    <n v="11.38"/>
    <n v="36"/>
    <s v="Personal"/>
    <n v="36.76"/>
    <n v="66721"/>
    <n v="220546"/>
    <x v="314"/>
    <s v="Pending"/>
    <s v="Yes"/>
    <x v="1"/>
    <x v="1083"/>
    <x v="1084"/>
    <n v="341"/>
    <n v="283"/>
    <n v="0.35149999999999998"/>
    <n v="46932672"/>
    <n v="51236.541484716159"/>
    <n v="99996"/>
    <n v="5091"/>
    <n v="1206227.2500000007"/>
    <n v="1316.8419759825335"/>
    <n v="0.35149999999999998"/>
    <n v="569080159.22000015"/>
    <x v="1"/>
    <n v="11895.72"/>
  </r>
  <r>
    <s v="LN01086"/>
    <x v="1085"/>
    <n v="62"/>
    <s v="Female"/>
    <s v="Divorced"/>
    <s v="Employed"/>
    <n v="75167"/>
    <n v="608"/>
    <n v="13788"/>
    <n v="9.19"/>
    <n v="240"/>
    <s v="Auto"/>
    <n v="27.92"/>
    <n v="49543"/>
    <n v="39277"/>
    <x v="547"/>
    <s v="Pending"/>
    <s v="Yes"/>
    <x v="2"/>
    <x v="1084"/>
    <x v="1085"/>
    <n v="341"/>
    <n v="283"/>
    <n v="0.35149999999999998"/>
    <n v="46900631"/>
    <n v="51257.520218579237"/>
    <n v="99996"/>
    <n v="5091"/>
    <n v="1205235.9400000009"/>
    <n v="1317.1977486338808"/>
    <n v="0.35149999999999998"/>
    <n v="567873931.97000015"/>
    <x v="1"/>
    <n v="752.76"/>
  </r>
  <r>
    <s v="LN01087"/>
    <x v="1086"/>
    <n v="44"/>
    <s v="Male"/>
    <s v="Married"/>
    <s v="Self-Employed"/>
    <n v="163919"/>
    <n v="688"/>
    <n v="86020"/>
    <n v="9.8699999999999992"/>
    <n v="180"/>
    <s v="Personal"/>
    <n v="16.440000000000001"/>
    <n v="41420"/>
    <n v="88003"/>
    <x v="93"/>
    <s v="Pending"/>
    <s v="No"/>
    <x v="0"/>
    <x v="1085"/>
    <x v="1086"/>
    <n v="341"/>
    <n v="283"/>
    <n v="0.35149999999999998"/>
    <n v="46886843"/>
    <n v="51298.515317286648"/>
    <n v="99996"/>
    <n v="5091"/>
    <n v="1205173.2100000009"/>
    <n v="1318.5702516411388"/>
    <n v="0.35149999999999998"/>
    <n v="566668696.03000021"/>
    <x v="1"/>
    <n v="6300.7199999999993"/>
  </r>
  <r>
    <s v="LN01088"/>
    <x v="1087"/>
    <n v="49"/>
    <s v="Male"/>
    <s v="Single"/>
    <s v="Self-Employed"/>
    <n v="180825"/>
    <n v="306"/>
    <n v="16628"/>
    <n v="10.94"/>
    <n v="60"/>
    <s v="Mortgage"/>
    <n v="16.46"/>
    <n v="60"/>
    <n v="52369"/>
    <x v="633"/>
    <s v="Pending"/>
    <s v="No"/>
    <x v="4"/>
    <x v="31"/>
    <x v="1087"/>
    <n v="341"/>
    <n v="283"/>
    <n v="0.35149999999999998"/>
    <n v="46800823"/>
    <n v="51260.485213581596"/>
    <n v="99996"/>
    <n v="5091"/>
    <n v="1204648.1500000008"/>
    <n v="1319.4393756845573"/>
    <n v="0.35149999999999998"/>
    <n v="565463522.82000041"/>
    <x v="1"/>
    <n v="3689.3999999999996"/>
  </r>
  <r>
    <s v="LN01089"/>
    <x v="1088"/>
    <n v="29"/>
    <s v="Male"/>
    <s v="Single"/>
    <s v="Self-Employed"/>
    <n v="182392"/>
    <n v="564"/>
    <n v="71743"/>
    <n v="11.06"/>
    <n v="24"/>
    <s v="Business"/>
    <n v="58.5"/>
    <n v="71315"/>
    <n v="191467"/>
    <x v="755"/>
    <s v="Rejected"/>
    <s v="No"/>
    <x v="0"/>
    <x v="1086"/>
    <x v="1088"/>
    <n v="341"/>
    <n v="283"/>
    <n v="0.35149999999999998"/>
    <n v="46784195"/>
    <n v="51298.459429824565"/>
    <n v="99996"/>
    <n v="5091"/>
    <n v="1204340.7000000007"/>
    <n v="1320.5490131578954"/>
    <n v="0.35149999999999998"/>
    <n v="564258874.67000031"/>
    <x v="1"/>
    <n v="39838.92"/>
  </r>
  <r>
    <s v="LN01090"/>
    <x v="1089"/>
    <n v="65"/>
    <s v="Female"/>
    <s v="Divorced"/>
    <s v="Self-Employed"/>
    <n v="89245"/>
    <n v="620"/>
    <n v="83975"/>
    <n v="16.010000000000002"/>
    <n v="360"/>
    <s v="Auto"/>
    <n v="24.03"/>
    <n v="75941"/>
    <n v="197182"/>
    <x v="756"/>
    <s v="Approved"/>
    <s v="No"/>
    <x v="2"/>
    <x v="1087"/>
    <x v="1089"/>
    <n v="341"/>
    <n v="282"/>
    <n v="0.35149999999999998"/>
    <n v="46712452"/>
    <n v="51276.01756311745"/>
    <n v="99996"/>
    <n v="5091"/>
    <n v="1201020.7900000007"/>
    <n v="1318.3543249176737"/>
    <n v="0.35149999999999998"/>
    <n v="563054533.97000027"/>
    <x v="1"/>
    <n v="3247.32"/>
  </r>
  <r>
    <s v="LN01091"/>
    <x v="1090"/>
    <n v="40"/>
    <s v="Male"/>
    <s v="Divorced"/>
    <s v="Unemployed"/>
    <n v="121328"/>
    <n v="565"/>
    <n v="54689"/>
    <n v="22.43"/>
    <n v="180"/>
    <s v="Education"/>
    <n v="11.97"/>
    <n v="28026"/>
    <n v="73503"/>
    <x v="97"/>
    <s v="Rejected"/>
    <s v="No"/>
    <x v="4"/>
    <x v="1088"/>
    <x v="1090"/>
    <n v="340"/>
    <n v="282"/>
    <n v="0.35149999999999998"/>
    <n v="46628477"/>
    <n v="51240.084615384614"/>
    <n v="99996"/>
    <n v="5091"/>
    <n v="1200750.1800000006"/>
    <n v="1319.5056923076929"/>
    <n v="0.35149999999999998"/>
    <n v="561853513.18000054"/>
    <x v="1"/>
    <n v="4463.76"/>
  </r>
  <r>
    <s v="LN01092"/>
    <x v="1091"/>
    <n v="38"/>
    <s v="Female"/>
    <s v="Divorced"/>
    <s v="Unemployed"/>
    <n v="123484"/>
    <n v="358"/>
    <n v="52073"/>
    <n v="20.8"/>
    <n v="120"/>
    <s v="Personal"/>
    <n v="47.57"/>
    <n v="44792"/>
    <n v="81970"/>
    <x v="757"/>
    <s v="Pending"/>
    <s v="No"/>
    <x v="4"/>
    <x v="1089"/>
    <x v="1091"/>
    <n v="340"/>
    <n v="281"/>
    <n v="0.35149999999999998"/>
    <n v="46573788"/>
    <n v="51236.290429042907"/>
    <n v="99996"/>
    <n v="5091"/>
    <n v="1200378.2000000007"/>
    <n v="1320.5480748074815"/>
    <n v="0.35149999999999998"/>
    <n v="560652763.00000036"/>
    <x v="1"/>
    <n v="6290.4000000000005"/>
  </r>
  <r>
    <s v="LN01093"/>
    <x v="1092"/>
    <n v="24"/>
    <s v="Female"/>
    <s v="Single"/>
    <s v="Employed"/>
    <n v="156605"/>
    <n v="444"/>
    <n v="68893"/>
    <n v="17.72"/>
    <n v="24"/>
    <s v="Education"/>
    <n v="15.74"/>
    <n v="55432"/>
    <n v="124465"/>
    <x v="758"/>
    <s v="Pending"/>
    <s v="Yes"/>
    <x v="0"/>
    <x v="1090"/>
    <x v="1092"/>
    <n v="340"/>
    <n v="281"/>
    <n v="0.35149999999999998"/>
    <n v="46521715"/>
    <n v="51235.368942731278"/>
    <n v="99996"/>
    <n v="5091"/>
    <n v="1199854.0000000007"/>
    <n v="1321.4251101321593"/>
    <n v="0.35149999999999998"/>
    <n v="559452384.80000031"/>
    <x v="1"/>
    <n v="40550.399999999994"/>
  </r>
  <r>
    <s v="LN01094"/>
    <x v="1093"/>
    <n v="58"/>
    <s v="Male"/>
    <s v="Divorced"/>
    <s v="Unemployed"/>
    <n v="44073"/>
    <n v="722"/>
    <n v="40605"/>
    <n v="4.1900000000000004"/>
    <n v="12"/>
    <s v="Mortgage"/>
    <n v="34.69"/>
    <n v="23808"/>
    <n v="53368"/>
    <x v="603"/>
    <s v="Rejected"/>
    <s v="No"/>
    <x v="2"/>
    <x v="1091"/>
    <x v="1093"/>
    <n v="340"/>
    <n v="281"/>
    <n v="0.35149999999999998"/>
    <n v="46452822"/>
    <n v="51215.900771775079"/>
    <n v="99996"/>
    <n v="5091"/>
    <n v="1196474.8000000005"/>
    <n v="1319.1563395810369"/>
    <n v="0.35149999999999998"/>
    <n v="558252530.80000019"/>
    <x v="1"/>
    <n v="42306.36"/>
  </r>
  <r>
    <s v="LN01095"/>
    <x v="1094"/>
    <n v="54"/>
    <s v="Female"/>
    <s v="Single"/>
    <s v="Unemployed"/>
    <n v="120593"/>
    <n v="335"/>
    <n v="10453"/>
    <n v="4.22"/>
    <n v="360"/>
    <s v="Business"/>
    <n v="23.57"/>
    <n v="409"/>
    <n v="238470"/>
    <x v="121"/>
    <s v="Approved"/>
    <s v="Yes"/>
    <x v="3"/>
    <x v="1092"/>
    <x v="1094"/>
    <n v="340"/>
    <n v="280"/>
    <n v="0.35149999999999998"/>
    <n v="46412217"/>
    <n v="51227.612582781454"/>
    <n v="99996"/>
    <n v="5091"/>
    <n v="1192949.2700000005"/>
    <n v="1316.7210485651219"/>
    <n v="0.35149999999999998"/>
    <n v="557056056.00000024"/>
    <x v="0"/>
    <n v="363.12"/>
  </r>
  <r>
    <s v="LN01096"/>
    <x v="1095"/>
    <n v="34"/>
    <s v="Female"/>
    <s v="Divorced"/>
    <s v="Unemployed"/>
    <n v="91049"/>
    <n v="608"/>
    <n v="34454"/>
    <n v="16.149999999999999"/>
    <n v="240"/>
    <s v="Education"/>
    <n v="5.69"/>
    <n v="36569"/>
    <n v="139183"/>
    <x v="184"/>
    <s v="Pending"/>
    <s v="No"/>
    <x v="3"/>
    <x v="1093"/>
    <x v="1095"/>
    <n v="339"/>
    <n v="280"/>
    <n v="0.35149999999999998"/>
    <n v="46401764"/>
    <n v="51272.667403314917"/>
    <n v="99996"/>
    <n v="5091"/>
    <n v="1192919.0100000005"/>
    <n v="1318.1425524861884"/>
    <n v="0.35149999999999998"/>
    <n v="555863106.73000014"/>
    <x v="1"/>
    <n v="2000.88"/>
  </r>
  <r>
    <s v="LN01097"/>
    <x v="1096"/>
    <n v="34"/>
    <s v="Male"/>
    <s v="Divorced"/>
    <s v="Self-Employed"/>
    <n v="64206"/>
    <n v="674"/>
    <n v="5274"/>
    <n v="7.52"/>
    <n v="24"/>
    <s v="Personal"/>
    <n v="54.21"/>
    <n v="42999"/>
    <n v="121645"/>
    <x v="759"/>
    <s v="Approved"/>
    <s v="Yes"/>
    <x v="2"/>
    <x v="1094"/>
    <x v="1096"/>
    <n v="339"/>
    <n v="280"/>
    <n v="0.35149999999999998"/>
    <n v="46367310"/>
    <n v="51291.272123893803"/>
    <n v="99996"/>
    <n v="5091"/>
    <n v="1192752.2700000005"/>
    <n v="1319.4162278761066"/>
    <n v="0.35149999999999998"/>
    <n v="554670187.72000039"/>
    <x v="1"/>
    <n v="2835.36"/>
  </r>
  <r>
    <s v="LN01098"/>
    <x v="1097"/>
    <n v="62"/>
    <s v="Female"/>
    <s v="Single"/>
    <s v="Self-Employed"/>
    <n v="111474"/>
    <n v="524"/>
    <n v="18464"/>
    <n v="14.48"/>
    <n v="120"/>
    <s v="Education"/>
    <n v="44.29"/>
    <n v="18323"/>
    <n v="244557"/>
    <x v="760"/>
    <s v="Rejected"/>
    <s v="No"/>
    <x v="2"/>
    <x v="1095"/>
    <x v="1097"/>
    <n v="338"/>
    <n v="280"/>
    <n v="0.35149999999999998"/>
    <n v="46362036"/>
    <n v="51342.232558139534"/>
    <n v="99996"/>
    <n v="5091"/>
    <n v="1192515.9900000007"/>
    <n v="1320.6157142857151"/>
    <n v="0.35149999999999998"/>
    <n v="553477435.45000017"/>
    <x v="1"/>
    <n v="2113.8000000000002"/>
  </r>
  <r>
    <s v="LN01099"/>
    <x v="1098"/>
    <n v="52"/>
    <s v="Female"/>
    <s v="Divorced"/>
    <s v="Unemployed"/>
    <n v="108247"/>
    <n v="451"/>
    <n v="78959"/>
    <n v="18.489999999999998"/>
    <n v="120"/>
    <s v="Education"/>
    <n v="43.11"/>
    <n v="55642"/>
    <n v="48620"/>
    <x v="86"/>
    <s v="Approved"/>
    <s v="No"/>
    <x v="2"/>
    <x v="1096"/>
    <x v="1098"/>
    <n v="338"/>
    <n v="279"/>
    <n v="0.35149999999999998"/>
    <n v="46343572"/>
    <n v="51378.682926829271"/>
    <n v="99996"/>
    <n v="5091"/>
    <n v="1192339.8400000008"/>
    <n v="1321.8845232815972"/>
    <n v="0.35149999999999998"/>
    <n v="552284919.46000063"/>
    <x v="1"/>
    <n v="9355.7999999999993"/>
  </r>
  <r>
    <s v="LN01100"/>
    <x v="1099"/>
    <n v="25"/>
    <s v="Female"/>
    <s v="Divorced"/>
    <s v="Employed"/>
    <n v="187578"/>
    <n v="717"/>
    <n v="91195"/>
    <n v="14.11"/>
    <n v="36"/>
    <s v="Mortgage"/>
    <n v="27.84"/>
    <n v="7660"/>
    <n v="222083"/>
    <x v="217"/>
    <s v="Approved"/>
    <s v="Yes"/>
    <x v="3"/>
    <x v="1097"/>
    <x v="1099"/>
    <n v="337"/>
    <n v="279"/>
    <n v="0.35149999999999998"/>
    <n v="46264613"/>
    <n v="51348.072142064375"/>
    <n v="99996"/>
    <n v="5091"/>
    <n v="1191560.1900000006"/>
    <n v="1322.4863374028864"/>
    <n v="0.35149999999999998"/>
    <n v="551092579.6200006"/>
    <x v="1"/>
    <n v="34687.56"/>
  </r>
  <r>
    <s v="LN01101"/>
    <x v="1100"/>
    <n v="31"/>
    <s v="Male"/>
    <s v="Married"/>
    <s v="Self-Employed"/>
    <n v="59487"/>
    <n v="779"/>
    <n v="62490"/>
    <n v="9.32"/>
    <n v="180"/>
    <s v="Education"/>
    <n v="10.81"/>
    <n v="51469"/>
    <n v="152006"/>
    <x v="761"/>
    <s v="Approved"/>
    <s v="No"/>
    <x v="0"/>
    <x v="1098"/>
    <x v="1100"/>
    <n v="336"/>
    <n v="279"/>
    <n v="0.35149999999999998"/>
    <n v="46173418"/>
    <n v="51303.797777777778"/>
    <n v="99996"/>
    <n v="5091"/>
    <n v="1188669.5600000008"/>
    <n v="1320.7439555555563"/>
    <n v="0.35149999999999998"/>
    <n v="549901019.43000078"/>
    <x v="1"/>
    <n v="4554.24"/>
  </r>
  <r>
    <s v="LN01102"/>
    <x v="1101"/>
    <n v="35"/>
    <s v="Male"/>
    <s v="Single"/>
    <s v="Self-Employed"/>
    <n v="118684"/>
    <n v="757"/>
    <n v="9622"/>
    <n v="22.09"/>
    <n v="360"/>
    <s v="Personal"/>
    <n v="14.66"/>
    <n v="67161"/>
    <n v="239360"/>
    <x v="762"/>
    <s v="Pending"/>
    <s v="No"/>
    <x v="0"/>
    <x v="1099"/>
    <x v="1101"/>
    <n v="335"/>
    <n v="279"/>
    <n v="0.35149999999999998"/>
    <n v="46110928"/>
    <n v="51291.354838709674"/>
    <n v="99996"/>
    <n v="5091"/>
    <n v="1188290.0400000007"/>
    <n v="1321.7909232480542"/>
    <n v="0.35149999999999998"/>
    <n v="548712349.87000084"/>
    <x v="1"/>
    <n v="391.56000000000006"/>
  </r>
  <r>
    <s v="LN01103"/>
    <x v="1102"/>
    <n v="41"/>
    <s v="Male"/>
    <s v="Married"/>
    <s v="Employed"/>
    <n v="196459"/>
    <n v="536"/>
    <n v="12970"/>
    <n v="23.09"/>
    <n v="60"/>
    <s v="Mortgage"/>
    <n v="23.9"/>
    <n v="34584"/>
    <n v="32831"/>
    <x v="763"/>
    <s v="Approved"/>
    <s v="No"/>
    <x v="0"/>
    <x v="1100"/>
    <x v="1102"/>
    <n v="335"/>
    <n v="279"/>
    <n v="0.35149999999999998"/>
    <n v="46101306"/>
    <n v="51337.757238307349"/>
    <n v="99996"/>
    <n v="5091"/>
    <n v="1188257.4100000008"/>
    <n v="1323.2265144766156"/>
    <n v="0.35149999999999998"/>
    <n v="547524059.830001"/>
    <x v="1"/>
    <n v="3192.96"/>
  </r>
  <r>
    <s v="LN01104"/>
    <x v="1103"/>
    <n v="47"/>
    <s v="Female"/>
    <s v="Single"/>
    <s v="Self-Employed"/>
    <n v="88460"/>
    <n v="660"/>
    <n v="38029"/>
    <n v="22.2"/>
    <n v="24"/>
    <s v="Education"/>
    <n v="59.14"/>
    <n v="9280"/>
    <n v="144429"/>
    <x v="757"/>
    <s v="Rejected"/>
    <s v="Yes"/>
    <x v="2"/>
    <x v="1101"/>
    <x v="1103"/>
    <n v="334"/>
    <n v="279"/>
    <n v="0.35149999999999998"/>
    <n v="46088336"/>
    <n v="51380.530657748051"/>
    <n v="99996"/>
    <n v="5091"/>
    <n v="1187991.3300000008"/>
    <n v="1324.405050167225"/>
    <n v="0.35149999999999998"/>
    <n v="546335802.42000103"/>
    <x v="1"/>
    <n v="23235.72"/>
  </r>
  <r>
    <s v="LN01105"/>
    <x v="1104"/>
    <n v="60"/>
    <s v="Male"/>
    <s v="Divorced"/>
    <s v="Unemployed"/>
    <n v="76120"/>
    <n v="734"/>
    <n v="22377"/>
    <n v="6.71"/>
    <n v="180"/>
    <s v="Education"/>
    <n v="7"/>
    <n v="65915"/>
    <n v="159912"/>
    <x v="510"/>
    <s v="Approved"/>
    <s v="No"/>
    <x v="2"/>
    <x v="1102"/>
    <x v="1104"/>
    <n v="334"/>
    <n v="278"/>
    <n v="0.35149999999999998"/>
    <n v="46050307"/>
    <n v="51395.431919642855"/>
    <n v="99996"/>
    <n v="5091"/>
    <n v="1186055.0200000009"/>
    <n v="1323.7221205357152"/>
    <n v="0.35149999999999998"/>
    <n v="545147811.09000099"/>
    <x v="1"/>
    <n v="1591.92"/>
  </r>
  <r>
    <s v="LN01106"/>
    <x v="1105"/>
    <n v="37"/>
    <s v="Male"/>
    <s v="Married"/>
    <s v="Self-Employed"/>
    <n v="107018"/>
    <n v="646"/>
    <n v="63077"/>
    <n v="18.68"/>
    <n v="12"/>
    <s v="Education"/>
    <n v="45.87"/>
    <n v="25360"/>
    <n v="27613"/>
    <x v="336"/>
    <s v="Approved"/>
    <s v="Yes"/>
    <x v="4"/>
    <x v="1103"/>
    <x v="1105"/>
    <n v="333"/>
    <n v="278"/>
    <n v="0.35149999999999998"/>
    <n v="46027930"/>
    <n v="51427.854748603349"/>
    <n v="99996"/>
    <n v="5091"/>
    <n v="1185922.3600000008"/>
    <n v="1325.0529162011183"/>
    <n v="0.35149999999999998"/>
    <n v="543961756.07000101"/>
    <x v="1"/>
    <n v="74859.839999999997"/>
  </r>
  <r>
    <s v="LN01107"/>
    <x v="1106"/>
    <n v="62"/>
    <s v="Female"/>
    <s v="Married"/>
    <s v="Unemployed"/>
    <n v="183430"/>
    <n v="710"/>
    <n v="49098"/>
    <n v="14.5"/>
    <n v="240"/>
    <s v="Business"/>
    <n v="18.05"/>
    <n v="43908"/>
    <n v="245578"/>
    <x v="764"/>
    <s v="Approved"/>
    <s v="No"/>
    <x v="2"/>
    <x v="1104"/>
    <x v="1106"/>
    <n v="332"/>
    <n v="278"/>
    <n v="0.35149999999999998"/>
    <n v="45964853"/>
    <n v="51414.824384787469"/>
    <n v="99996"/>
    <n v="5091"/>
    <n v="1179684.040000001"/>
    <n v="1319.5570917225962"/>
    <n v="0.35149999999999998"/>
    <n v="542775833.71000087"/>
    <x v="0"/>
    <n v="2810.88"/>
  </r>
  <r>
    <s v="LN01108"/>
    <x v="1107"/>
    <n v="61"/>
    <s v="Male"/>
    <s v="Married"/>
    <s v="Employed"/>
    <n v="148195"/>
    <n v="808"/>
    <n v="6191"/>
    <n v="7.23"/>
    <n v="360"/>
    <s v="Mortgage"/>
    <n v="42.12"/>
    <n v="24672"/>
    <n v="193073"/>
    <x v="765"/>
    <s v="Rejected"/>
    <s v="Yes"/>
    <x v="2"/>
    <x v="1105"/>
    <x v="1107"/>
    <n v="331"/>
    <n v="278"/>
    <n v="0.35149999999999998"/>
    <n v="45915755"/>
    <n v="51417.418812989919"/>
    <n v="99996"/>
    <n v="5091"/>
    <n v="1179449.800000001"/>
    <n v="1320.7724524076159"/>
    <n v="0.35149999999999998"/>
    <n v="541596149.67000067"/>
    <x v="1"/>
    <n v="221.28000000000003"/>
  </r>
  <r>
    <s v="LN01109"/>
    <x v="1108"/>
    <n v="28"/>
    <s v="Female"/>
    <s v="Married"/>
    <s v="Employed"/>
    <n v="27595"/>
    <n v="802"/>
    <n v="56136"/>
    <n v="13.76"/>
    <n v="120"/>
    <s v="Education"/>
    <n v="35.03"/>
    <n v="75554"/>
    <n v="126685"/>
    <x v="286"/>
    <s v="Pending"/>
    <s v="No"/>
    <x v="4"/>
    <x v="1106"/>
    <x v="1108"/>
    <n v="331"/>
    <n v="277"/>
    <n v="0.35149999999999998"/>
    <n v="45909564"/>
    <n v="51468.121076233183"/>
    <n v="99996"/>
    <n v="5091"/>
    <n v="1179431.3600000008"/>
    <n v="1322.2324663677139"/>
    <n v="0.35149999999999998"/>
    <n v="540416699.87000036"/>
    <x v="1"/>
    <n v="6386.0399999999991"/>
  </r>
  <r>
    <s v="LN01110"/>
    <x v="1109"/>
    <n v="63"/>
    <s v="Male"/>
    <s v="Divorced"/>
    <s v="Self-Employed"/>
    <n v="54314"/>
    <n v="327"/>
    <n v="69838"/>
    <n v="4.7"/>
    <n v="240"/>
    <s v="Auto"/>
    <n v="11.1"/>
    <n v="7664"/>
    <n v="241722"/>
    <x v="396"/>
    <s v="Pending"/>
    <s v="Yes"/>
    <x v="3"/>
    <x v="1107"/>
    <x v="1109"/>
    <n v="331"/>
    <n v="277"/>
    <n v="0.35149999999999998"/>
    <n v="45853428"/>
    <n v="51462.882154882158"/>
    <n v="99996"/>
    <n v="5091"/>
    <n v="1178899.1900000009"/>
    <n v="1323.1191806958484"/>
    <n v="0.35149999999999998"/>
    <n v="539237268.51000047"/>
    <x v="1"/>
    <n v="3656.04"/>
  </r>
  <r>
    <s v="LN01111"/>
    <x v="1110"/>
    <n v="51"/>
    <s v="Female"/>
    <s v="Divorced"/>
    <s v="Employed"/>
    <n v="20704"/>
    <n v="849"/>
    <n v="93513"/>
    <n v="7.58"/>
    <n v="360"/>
    <s v="Education"/>
    <n v="11.23"/>
    <n v="31376"/>
    <n v="105651"/>
    <x v="766"/>
    <s v="Rejected"/>
    <s v="Yes"/>
    <x v="2"/>
    <x v="1108"/>
    <x v="1110"/>
    <n v="331"/>
    <n v="277"/>
    <n v="0.35149999999999998"/>
    <n v="45783590"/>
    <n v="51442.235955056181"/>
    <n v="99996"/>
    <n v="5091"/>
    <n v="1178594.5200000009"/>
    <n v="1324.2635056179786"/>
    <n v="0.35149999999999998"/>
    <n v="538058369.31999993"/>
    <x v="1"/>
    <n v="3353.3999999999996"/>
  </r>
  <r>
    <s v="LN01112"/>
    <x v="1111"/>
    <n v="43"/>
    <s v="Female"/>
    <s v="Divorced"/>
    <s v="Employed"/>
    <n v="80289"/>
    <n v="497"/>
    <n v="46444"/>
    <n v="6.34"/>
    <n v="12"/>
    <s v="Personal"/>
    <n v="10.14"/>
    <n v="44850"/>
    <n v="116161"/>
    <x v="190"/>
    <s v="Rejected"/>
    <s v="Yes"/>
    <x v="1"/>
    <x v="1109"/>
    <x v="1111"/>
    <n v="331"/>
    <n v="276"/>
    <n v="0.35149999999999998"/>
    <n v="45690077"/>
    <n v="51394.91226096738"/>
    <n v="99996"/>
    <n v="5091"/>
    <n v="1178315.070000001"/>
    <n v="1325.4387739032632"/>
    <n v="0.35149999999999998"/>
    <n v="536879774.79999995"/>
    <x v="1"/>
    <n v="49388.520000000004"/>
  </r>
  <r>
    <s v="LN01113"/>
    <x v="1112"/>
    <n v="30"/>
    <s v="Female"/>
    <s v="Divorced"/>
    <s v="Self-Employed"/>
    <n v="93246"/>
    <n v="495"/>
    <n v="76086"/>
    <n v="17.79"/>
    <n v="36"/>
    <s v="Education"/>
    <n v="8.16"/>
    <n v="61545"/>
    <n v="140029"/>
    <x v="81"/>
    <s v="Approved"/>
    <s v="No"/>
    <x v="4"/>
    <x v="1110"/>
    <x v="1112"/>
    <n v="331"/>
    <n v="275"/>
    <n v="0.35149999999999998"/>
    <n v="45643633"/>
    <n v="51400.487612612611"/>
    <n v="99996"/>
    <n v="5091"/>
    <n v="1174199.3600000008"/>
    <n v="1322.2965765765775"/>
    <n v="0.35149999999999998"/>
    <n v="535701459.72999984"/>
    <x v="0"/>
    <n v="29873.879999999997"/>
  </r>
  <r>
    <s v="LN01114"/>
    <x v="1113"/>
    <n v="45"/>
    <s v="Male"/>
    <s v="Single"/>
    <s v="Employed"/>
    <n v="160005"/>
    <n v="335"/>
    <n v="82260"/>
    <n v="20.45"/>
    <n v="60"/>
    <s v="Personal"/>
    <n v="57.06"/>
    <n v="48589"/>
    <n v="145355"/>
    <x v="767"/>
    <s v="Approved"/>
    <s v="No"/>
    <x v="4"/>
    <x v="1111"/>
    <x v="1113"/>
    <n v="330"/>
    <n v="275"/>
    <n v="0.35149999999999998"/>
    <n v="45567547"/>
    <n v="51372.657271702366"/>
    <n v="99996"/>
    <n v="5091"/>
    <n v="1171709.8700000008"/>
    <n v="1320.9806877113876"/>
    <n v="0.35149999999999998"/>
    <n v="534527260.36999989"/>
    <x v="1"/>
    <n v="19816.439999999999"/>
  </r>
  <r>
    <s v="LN01115"/>
    <x v="1114"/>
    <n v="43"/>
    <s v="Female"/>
    <s v="Divorced"/>
    <s v="Unemployed"/>
    <n v="196366"/>
    <n v="505"/>
    <n v="32404"/>
    <n v="11.33"/>
    <n v="36"/>
    <s v="Auto"/>
    <n v="28.54"/>
    <n v="2101"/>
    <n v="90599"/>
    <x v="768"/>
    <s v="Rejected"/>
    <s v="Yes"/>
    <x v="4"/>
    <x v="1112"/>
    <x v="1114"/>
    <n v="329"/>
    <n v="275"/>
    <n v="0.35149999999999998"/>
    <n v="45485287"/>
    <n v="51337.79571106095"/>
    <n v="99996"/>
    <n v="5091"/>
    <n v="1170058.5000000007"/>
    <n v="1320.6077878103845"/>
    <n v="0.35149999999999998"/>
    <n v="533355550.49999988"/>
    <x v="1"/>
    <n v="12025.08"/>
  </r>
  <r>
    <s v="LN01116"/>
    <x v="1115"/>
    <n v="50"/>
    <s v="Male"/>
    <s v="Divorced"/>
    <s v="Employed"/>
    <n v="77415"/>
    <n v="600"/>
    <n v="60039"/>
    <n v="8.9"/>
    <n v="120"/>
    <s v="Personal"/>
    <n v="45.72"/>
    <n v="27812"/>
    <n v="151443"/>
    <x v="522"/>
    <s v="Approved"/>
    <s v="No"/>
    <x v="4"/>
    <x v="1113"/>
    <x v="1115"/>
    <n v="329"/>
    <n v="274"/>
    <n v="0.35149999999999998"/>
    <n v="45452883"/>
    <n v="51359.189830508476"/>
    <n v="99996"/>
    <n v="5091"/>
    <n v="1169056.4100000008"/>
    <n v="1320.9676949152552"/>
    <n v="0.35149999999999998"/>
    <n v="532185491.99999994"/>
    <x v="1"/>
    <n v="6538.2000000000007"/>
  </r>
  <r>
    <s v="LN01117"/>
    <x v="1116"/>
    <n v="28"/>
    <s v="Female"/>
    <s v="Single"/>
    <s v="Employed"/>
    <n v="39139"/>
    <n v="817"/>
    <n v="91141"/>
    <n v="11.32"/>
    <n v="36"/>
    <s v="Education"/>
    <n v="21.61"/>
    <n v="955"/>
    <n v="224294"/>
    <x v="632"/>
    <s v="Approved"/>
    <s v="No"/>
    <x v="0"/>
    <x v="1114"/>
    <x v="1116"/>
    <n v="328"/>
    <n v="274"/>
    <n v="0.35149999999999998"/>
    <n v="45392844"/>
    <n v="51349.371040723985"/>
    <n v="99996"/>
    <n v="5091"/>
    <n v="1168511.5600000008"/>
    <n v="1321.8456561085982"/>
    <n v="0.35149999999999998"/>
    <n v="531016435.58999997"/>
    <x v="1"/>
    <n v="33819.360000000001"/>
  </r>
  <r>
    <s v="LN01118"/>
    <x v="1117"/>
    <n v="30"/>
    <s v="Female"/>
    <s v="Single"/>
    <s v="Self-Employed"/>
    <n v="107030"/>
    <n v="807"/>
    <n v="71559"/>
    <n v="8.57"/>
    <n v="60"/>
    <s v="Personal"/>
    <n v="50.44"/>
    <n v="20692"/>
    <n v="80634"/>
    <x v="769"/>
    <s v="Approved"/>
    <s v="Yes"/>
    <x v="0"/>
    <x v="1115"/>
    <x v="1117"/>
    <n v="327"/>
    <n v="274"/>
    <n v="0.35149999999999998"/>
    <n v="45301703"/>
    <n v="51304.306908267274"/>
    <n v="99996"/>
    <n v="5091"/>
    <n v="1165693.2800000007"/>
    <n v="1320.1509399773508"/>
    <n v="0.35149999999999998"/>
    <n v="529847924.02999997"/>
    <x v="1"/>
    <n v="15538.32"/>
  </r>
  <r>
    <s v="LN01119"/>
    <x v="1118"/>
    <n v="25"/>
    <s v="Male"/>
    <s v="Married"/>
    <s v="Employed"/>
    <n v="46659"/>
    <n v="808"/>
    <n v="97701"/>
    <n v="9.32"/>
    <n v="240"/>
    <s v="Personal"/>
    <n v="36.51"/>
    <n v="43321"/>
    <n v="14328"/>
    <x v="7"/>
    <s v="Pending"/>
    <s v="No"/>
    <x v="0"/>
    <x v="1116"/>
    <x v="1118"/>
    <n v="326"/>
    <n v="274"/>
    <n v="0.35149999999999998"/>
    <n v="45230144"/>
    <n v="51281.342403628121"/>
    <n v="99996"/>
    <n v="5091"/>
    <n v="1164398.4200000009"/>
    <n v="1320.1796145124727"/>
    <n v="0.35149999999999998"/>
    <n v="528682230.74999994"/>
    <x v="1"/>
    <n v="5340.36"/>
  </r>
  <r>
    <s v="LN01120"/>
    <x v="1119"/>
    <n v="40"/>
    <s v="Female"/>
    <s v="Married"/>
    <s v="Employed"/>
    <n v="173351"/>
    <n v="846"/>
    <n v="18531"/>
    <n v="15.73"/>
    <n v="24"/>
    <s v="Mortgage"/>
    <n v="34.619999999999997"/>
    <n v="39745"/>
    <n v="142276"/>
    <x v="770"/>
    <s v="Pending"/>
    <s v="Yes"/>
    <x v="2"/>
    <x v="1117"/>
    <x v="1119"/>
    <n v="326"/>
    <n v="274"/>
    <n v="0.35149999999999998"/>
    <n v="45132443"/>
    <n v="51228.652667423383"/>
    <n v="99996"/>
    <n v="5091"/>
    <n v="1163953.3900000008"/>
    <n v="1321.1729738933041"/>
    <n v="0.35149999999999998"/>
    <n v="527517832.32999986"/>
    <x v="1"/>
    <n v="10722.960000000001"/>
  </r>
  <r>
    <s v="LN01121"/>
    <x v="1120"/>
    <n v="35"/>
    <s v="Female"/>
    <s v="Divorced"/>
    <s v="Employed"/>
    <n v="192465"/>
    <n v="620"/>
    <n v="45841"/>
    <n v="10.24"/>
    <n v="36"/>
    <s v="Auto"/>
    <n v="22.49"/>
    <n v="40725"/>
    <n v="184777"/>
    <x v="376"/>
    <s v="Approved"/>
    <s v="Yes"/>
    <x v="3"/>
    <x v="1118"/>
    <x v="1120"/>
    <n v="326"/>
    <n v="274"/>
    <n v="0.35149999999999998"/>
    <n v="45113912"/>
    <n v="51265.80909090909"/>
    <n v="99996"/>
    <n v="5091"/>
    <n v="1163059.8100000008"/>
    <n v="1321.6588750000008"/>
    <n v="0.35149999999999998"/>
    <n v="526353878.93999994"/>
    <x v="1"/>
    <n v="16845"/>
  </r>
  <r>
    <s v="LN01122"/>
    <x v="1121"/>
    <n v="56"/>
    <s v="Female"/>
    <s v="Married"/>
    <s v="Employed"/>
    <n v="142314"/>
    <n v="523"/>
    <n v="10433"/>
    <n v="11.18"/>
    <n v="60"/>
    <s v="Business"/>
    <n v="29.88"/>
    <n v="21472"/>
    <n v="82125"/>
    <x v="771"/>
    <s v="Pending"/>
    <s v="Yes"/>
    <x v="1"/>
    <x v="1119"/>
    <x v="1121"/>
    <n v="325"/>
    <n v="274"/>
    <n v="0.35149999999999998"/>
    <n v="45068071"/>
    <n v="51271.98065984073"/>
    <n v="99996"/>
    <n v="5091"/>
    <n v="1161656.0600000008"/>
    <n v="1321.5654835039827"/>
    <n v="0.35149999999999998"/>
    <n v="525190819.12999994"/>
    <x v="1"/>
    <n v="2319.84"/>
  </r>
  <r>
    <s v="LN01123"/>
    <x v="1122"/>
    <n v="47"/>
    <s v="Male"/>
    <s v="Single"/>
    <s v="Self-Employed"/>
    <n v="112573"/>
    <n v="439"/>
    <n v="63475"/>
    <n v="7.48"/>
    <n v="60"/>
    <s v="Personal"/>
    <n v="47.88"/>
    <n v="19516"/>
    <n v="210885"/>
    <x v="252"/>
    <s v="Rejected"/>
    <s v="No"/>
    <x v="3"/>
    <x v="1120"/>
    <x v="1122"/>
    <n v="325"/>
    <n v="274"/>
    <n v="0.35149999999999998"/>
    <n v="45057638"/>
    <n v="51318.494305239183"/>
    <n v="99996"/>
    <n v="5091"/>
    <n v="1161462.7400000009"/>
    <n v="1322.8505011389532"/>
    <n v="0.35149999999999998"/>
    <n v="524029163.06999993"/>
    <x v="1"/>
    <n v="13644.599999999999"/>
  </r>
  <r>
    <s v="LN01124"/>
    <x v="1123"/>
    <n v="52"/>
    <s v="Male"/>
    <s v="Married"/>
    <s v="Employed"/>
    <n v="100385"/>
    <n v="486"/>
    <n v="93820"/>
    <n v="20.72"/>
    <n v="120"/>
    <s v="Business"/>
    <n v="47.83"/>
    <n v="58905"/>
    <n v="240190"/>
    <x v="772"/>
    <s v="Approved"/>
    <s v="Yes"/>
    <x v="0"/>
    <x v="1121"/>
    <x v="1123"/>
    <n v="325"/>
    <n v="273"/>
    <n v="0.35149999999999998"/>
    <n v="44994163"/>
    <n v="51304.632839224629"/>
    <n v="99996"/>
    <n v="5091"/>
    <n v="1160325.6900000009"/>
    <n v="1323.0623603192712"/>
    <n v="0.35149999999999998"/>
    <n v="522867700.32999992"/>
    <x v="1"/>
    <n v="11325.960000000001"/>
  </r>
  <r>
    <s v="LN01125"/>
    <x v="1124"/>
    <n v="25"/>
    <s v="Female"/>
    <s v="Married"/>
    <s v="Employed"/>
    <n v="149474"/>
    <n v="764"/>
    <n v="36728"/>
    <n v="13.71"/>
    <n v="36"/>
    <s v="Business"/>
    <n v="38.01"/>
    <n v="78953"/>
    <n v="140794"/>
    <x v="773"/>
    <s v="Pending"/>
    <s v="Yes"/>
    <x v="2"/>
    <x v="1122"/>
    <x v="1124"/>
    <n v="324"/>
    <n v="273"/>
    <n v="0.35149999999999998"/>
    <n v="44900343"/>
    <n v="51256.099315068495"/>
    <n v="99996"/>
    <n v="5091"/>
    <n v="1159381.860000001"/>
    <n v="1323.4952739726039"/>
    <n v="0.35149999999999998"/>
    <n v="521707374.63999993"/>
    <x v="1"/>
    <n v="13921.079999999998"/>
  </r>
  <r>
    <s v="LN01126"/>
    <x v="1125"/>
    <n v="27"/>
    <s v="Female"/>
    <s v="Married"/>
    <s v="Employed"/>
    <n v="61444"/>
    <n v="575"/>
    <n v="29356"/>
    <n v="4.01"/>
    <n v="240"/>
    <s v="Education"/>
    <n v="51.99"/>
    <n v="59109"/>
    <n v="155554"/>
    <x v="649"/>
    <s v="Pending"/>
    <s v="Yes"/>
    <x v="0"/>
    <x v="1123"/>
    <x v="1125"/>
    <n v="324"/>
    <n v="273"/>
    <n v="0.35149999999999998"/>
    <n v="44863615"/>
    <n v="51272.70285714286"/>
    <n v="99996"/>
    <n v="5091"/>
    <n v="1158221.7700000009"/>
    <n v="1323.6820228571439"/>
    <n v="0.35149999999999998"/>
    <n v="520547992.77999997"/>
    <x v="1"/>
    <n v="1526.6399999999999"/>
  </r>
  <r>
    <s v="LN01127"/>
    <x v="1126"/>
    <n v="30"/>
    <s v="Male"/>
    <s v="Divorced"/>
    <s v="Employed"/>
    <n v="33015"/>
    <n v="369"/>
    <n v="5535"/>
    <n v="14.97"/>
    <n v="240"/>
    <s v="Mortgage"/>
    <n v="23.42"/>
    <n v="16302"/>
    <n v="61580"/>
    <x v="774"/>
    <s v="Approved"/>
    <s v="Yes"/>
    <x v="3"/>
    <x v="1124"/>
    <x v="1126"/>
    <n v="324"/>
    <n v="273"/>
    <n v="0.35149999999999998"/>
    <n v="44834259"/>
    <n v="51297.779176201373"/>
    <n v="99996"/>
    <n v="5091"/>
    <n v="1158094.550000001"/>
    <n v="1325.0509725400468"/>
    <n v="0.35149999999999998"/>
    <n v="519389771.00999993"/>
    <x v="1"/>
    <n v="318.12"/>
  </r>
  <r>
    <s v="LN01128"/>
    <x v="1127"/>
    <n v="63"/>
    <s v="Female"/>
    <s v="Divorced"/>
    <s v="Employed"/>
    <n v="102769"/>
    <n v="653"/>
    <n v="10563"/>
    <n v="15.16"/>
    <n v="36"/>
    <s v="Personal"/>
    <n v="33.43"/>
    <n v="31424"/>
    <n v="66120"/>
    <x v="273"/>
    <s v="Pending"/>
    <s v="No"/>
    <x v="1"/>
    <x v="1125"/>
    <x v="1127"/>
    <n v="323"/>
    <n v="273"/>
    <n v="0.35149999999999998"/>
    <n v="44828724"/>
    <n v="51350.19931271478"/>
    <n v="99996"/>
    <n v="5091"/>
    <n v="1158068.040000001"/>
    <n v="1326.5384192439874"/>
    <n v="0.35149999999999998"/>
    <n v="518231676.45999992"/>
    <x v="1"/>
    <n v="4054.7999999999997"/>
  </r>
  <r>
    <s v="LN01129"/>
    <x v="1128"/>
    <n v="60"/>
    <s v="Male"/>
    <s v="Single"/>
    <s v="Employed"/>
    <n v="85653"/>
    <n v="383"/>
    <n v="14128"/>
    <n v="19.2"/>
    <n v="240"/>
    <s v="Education"/>
    <n v="32.96"/>
    <n v="56320"/>
    <n v="233971"/>
    <x v="121"/>
    <s v="Approved"/>
    <s v="No"/>
    <x v="0"/>
    <x v="1126"/>
    <x v="1128"/>
    <n v="323"/>
    <n v="273"/>
    <n v="0.35149999999999998"/>
    <n v="44818161"/>
    <n v="51396.973623853213"/>
    <n v="99996"/>
    <n v="5091"/>
    <n v="1157730.1400000011"/>
    <n v="1327.6721788990837"/>
    <n v="0.35149999999999998"/>
    <n v="517073608.4199999"/>
    <x v="1"/>
    <n v="842.04"/>
  </r>
  <r>
    <s v="LN01130"/>
    <x v="1129"/>
    <n v="60"/>
    <s v="Female"/>
    <s v="Married"/>
    <s v="Unemployed"/>
    <n v="194266"/>
    <n v="680"/>
    <n v="58664"/>
    <n v="5.19"/>
    <n v="36"/>
    <s v="Education"/>
    <n v="24.54"/>
    <n v="75168"/>
    <n v="71758"/>
    <x v="315"/>
    <s v="Rejected"/>
    <s v="No"/>
    <x v="3"/>
    <x v="1127"/>
    <x v="1129"/>
    <n v="322"/>
    <n v="273"/>
    <n v="0.35149999999999998"/>
    <n v="44804033"/>
    <n v="51439.762342135473"/>
    <n v="99996"/>
    <n v="5091"/>
    <n v="1157659.9700000009"/>
    <n v="1329.1159242250296"/>
    <n v="0.35149999999999998"/>
    <n v="515915878.27999985"/>
    <x v="1"/>
    <n v="20569.560000000001"/>
  </r>
  <r>
    <s v="LN01131"/>
    <x v="1130"/>
    <n v="46"/>
    <s v="Male"/>
    <s v="Married"/>
    <s v="Self-Employed"/>
    <n v="33189"/>
    <n v="460"/>
    <n v="94924"/>
    <n v="18.38"/>
    <n v="60"/>
    <s v="Business"/>
    <n v="14.9"/>
    <n v="64649"/>
    <n v="102010"/>
    <x v="439"/>
    <s v="Pending"/>
    <s v="Yes"/>
    <x v="1"/>
    <x v="1128"/>
    <x v="1130"/>
    <n v="322"/>
    <n v="272"/>
    <n v="0.35149999999999998"/>
    <n v="44745369"/>
    <n v="51431.458620689657"/>
    <n v="99996"/>
    <n v="5091"/>
    <n v="1155945.840000001"/>
    <n v="1328.673379310346"/>
    <n v="0.35149999999999998"/>
    <n v="514758218.30999976"/>
    <x v="1"/>
    <n v="22474.199999999997"/>
  </r>
  <r>
    <s v="LN01132"/>
    <x v="1131"/>
    <n v="38"/>
    <s v="Female"/>
    <s v="Single"/>
    <s v="Unemployed"/>
    <n v="172322"/>
    <n v="389"/>
    <n v="34687"/>
    <n v="14.17"/>
    <n v="180"/>
    <s v="Education"/>
    <n v="45.06"/>
    <n v="32161"/>
    <n v="202933"/>
    <x v="775"/>
    <s v="Pending"/>
    <s v="No"/>
    <x v="1"/>
    <x v="1129"/>
    <x v="1131"/>
    <n v="322"/>
    <n v="272"/>
    <n v="0.35149999999999998"/>
    <n v="44650445"/>
    <n v="51381.409666283085"/>
    <n v="99996"/>
    <n v="5091"/>
    <n v="1154072.9900000009"/>
    <n v="1328.047169159955"/>
    <n v="0.35149999999999998"/>
    <n v="513602272.46999979"/>
    <x v="1"/>
    <n v="2640.12"/>
  </r>
  <r>
    <s v="LN01133"/>
    <x v="1132"/>
    <n v="63"/>
    <s v="Male"/>
    <s v="Divorced"/>
    <s v="Employed"/>
    <n v="90930"/>
    <n v="705"/>
    <n v="8406"/>
    <n v="20.079999999999998"/>
    <n v="180"/>
    <s v="Personal"/>
    <n v="43.89"/>
    <n v="50877"/>
    <n v="190718"/>
    <x v="131"/>
    <s v="Pending"/>
    <s v="No"/>
    <x v="3"/>
    <x v="1130"/>
    <x v="1132"/>
    <n v="322"/>
    <n v="272"/>
    <n v="0.35149999999999998"/>
    <n v="44615758"/>
    <n v="51400.642857142855"/>
    <n v="99996"/>
    <n v="5091"/>
    <n v="1153852.9800000009"/>
    <n v="1329.3237096774203"/>
    <n v="0.35149999999999998"/>
    <n v="512448199.47999978"/>
    <x v="1"/>
    <n v="672.96"/>
  </r>
  <r>
    <s v="LN01134"/>
    <x v="1133"/>
    <n v="25"/>
    <s v="Female"/>
    <s v="Divorced"/>
    <s v="Employed"/>
    <n v="112308"/>
    <n v="335"/>
    <n v="91188"/>
    <n v="13.53"/>
    <n v="240"/>
    <s v="Personal"/>
    <n v="11.91"/>
    <n v="70566"/>
    <n v="76667"/>
    <x v="198"/>
    <s v="Approved"/>
    <s v="Yes"/>
    <x v="3"/>
    <x v="1131"/>
    <x v="1133"/>
    <n v="322"/>
    <n v="272"/>
    <n v="0.35149999999999998"/>
    <n v="44607352"/>
    <n v="51450.232987312571"/>
    <n v="99996"/>
    <n v="5091"/>
    <n v="1153796.9000000008"/>
    <n v="1330.7922722029998"/>
    <n v="0.35149999999999998"/>
    <n v="511294346.49999982"/>
    <x v="1"/>
    <n v="5176.32"/>
  </r>
  <r>
    <s v="LN01135"/>
    <x v="1134"/>
    <n v="57"/>
    <s v="Female"/>
    <s v="Married"/>
    <s v="Employed"/>
    <n v="188963"/>
    <n v="332"/>
    <n v="67760"/>
    <n v="16.690000000000001"/>
    <n v="120"/>
    <s v="Auto"/>
    <n v="57.13"/>
    <n v="9107"/>
    <n v="195511"/>
    <x v="776"/>
    <s v="Approved"/>
    <s v="No"/>
    <x v="2"/>
    <x v="1132"/>
    <x v="1134"/>
    <n v="321"/>
    <n v="272"/>
    <n v="0.35149999999999998"/>
    <n v="44516164"/>
    <n v="51404.346420323323"/>
    <n v="99996"/>
    <n v="5091"/>
    <n v="1153365.540000001"/>
    <n v="1331.8308775981536"/>
    <n v="0.35149999999999998"/>
    <n v="510140549.59999979"/>
    <x v="1"/>
    <n v="7906.92"/>
  </r>
  <r>
    <s v="LN01136"/>
    <x v="1135"/>
    <n v="25"/>
    <s v="Male"/>
    <s v="Divorced"/>
    <s v="Self-Employed"/>
    <n v="135947"/>
    <n v="475"/>
    <n v="66557"/>
    <n v="15.67"/>
    <n v="24"/>
    <s v="Personal"/>
    <n v="12.54"/>
    <n v="21553"/>
    <n v="117753"/>
    <x v="777"/>
    <s v="Approved"/>
    <s v="Yes"/>
    <x v="2"/>
    <x v="1133"/>
    <x v="1135"/>
    <n v="320"/>
    <n v="272"/>
    <n v="0.35149999999999998"/>
    <n v="44448404"/>
    <n v="51385.438150289017"/>
    <n v="99996"/>
    <n v="5091"/>
    <n v="1152706.6300000011"/>
    <n v="1332.6088208092497"/>
    <n v="0.35149999999999998"/>
    <n v="508987184.05999976"/>
    <x v="1"/>
    <n v="38493.24"/>
  </r>
  <r>
    <s v="LN01137"/>
    <x v="1136"/>
    <n v="34"/>
    <s v="Female"/>
    <s v="Married"/>
    <s v="Unemployed"/>
    <n v="178042"/>
    <n v="733"/>
    <n v="21590"/>
    <n v="22.92"/>
    <n v="240"/>
    <s v="Auto"/>
    <n v="16.07"/>
    <n v="7209"/>
    <n v="1344"/>
    <x v="736"/>
    <s v="Approved"/>
    <s v="Yes"/>
    <x v="0"/>
    <x v="1134"/>
    <x v="1136"/>
    <n v="319"/>
    <n v="272"/>
    <n v="0.35149999999999998"/>
    <n v="44381847"/>
    <n v="51367.878472222219"/>
    <n v="99996"/>
    <n v="5091"/>
    <n v="1149498.8600000008"/>
    <n v="1330.4384953703714"/>
    <n v="0.35149999999999998"/>
    <n v="507834477.42999977"/>
    <x v="1"/>
    <n v="1326.96"/>
  </r>
  <r>
    <s v="LN01138"/>
    <x v="1137"/>
    <n v="61"/>
    <s v="Male"/>
    <s v="Divorced"/>
    <s v="Unemployed"/>
    <n v="124883"/>
    <n v="783"/>
    <n v="36973"/>
    <n v="16.68"/>
    <n v="120"/>
    <s v="Education"/>
    <n v="57.84"/>
    <n v="38580"/>
    <n v="232488"/>
    <x v="605"/>
    <s v="Approved"/>
    <s v="No"/>
    <x v="1"/>
    <x v="1135"/>
    <x v="1137"/>
    <n v="318"/>
    <n v="272"/>
    <n v="0.35149999999999998"/>
    <n v="44360257"/>
    <n v="51402.383545770565"/>
    <n v="99996"/>
    <n v="5091"/>
    <n v="1149388.2800000007"/>
    <n v="1331.852004634995"/>
    <n v="0.35149999999999998"/>
    <n v="506684978.56999969"/>
    <x v="1"/>
    <n v="4314"/>
  </r>
  <r>
    <s v="LN01139"/>
    <x v="1138"/>
    <n v="29"/>
    <s v="Female"/>
    <s v="Divorced"/>
    <s v="Employed"/>
    <n v="173703"/>
    <n v="522"/>
    <n v="7738"/>
    <n v="3.71"/>
    <n v="60"/>
    <s v="Business"/>
    <n v="15.4"/>
    <n v="45477"/>
    <n v="54001"/>
    <x v="778"/>
    <s v="Approved"/>
    <s v="No"/>
    <x v="1"/>
    <x v="1136"/>
    <x v="1138"/>
    <n v="317"/>
    <n v="272"/>
    <n v="0.35149999999999998"/>
    <n v="44323284"/>
    <n v="51419.12296983759"/>
    <n v="99996"/>
    <n v="5091"/>
    <n v="1149028.7800000007"/>
    <n v="1332.980023201857"/>
    <n v="0.35149999999999998"/>
    <n v="505535590.28999972"/>
    <x v="1"/>
    <n v="1605"/>
  </r>
  <r>
    <s v="LN01140"/>
    <x v="1139"/>
    <n v="30"/>
    <s v="Male"/>
    <s v="Married"/>
    <s v="Employed"/>
    <n v="155727"/>
    <n v="333"/>
    <n v="15821"/>
    <n v="10.74"/>
    <n v="120"/>
    <s v="Auto"/>
    <n v="51.04"/>
    <n v="13030"/>
    <n v="218577"/>
    <x v="779"/>
    <s v="Approved"/>
    <s v="Yes"/>
    <x v="4"/>
    <x v="1137"/>
    <x v="1139"/>
    <n v="316"/>
    <n v="272"/>
    <n v="0.35149999999999998"/>
    <n v="44315546"/>
    <n v="51469.855981416957"/>
    <n v="99996"/>
    <n v="5091"/>
    <n v="1148895.0300000007"/>
    <n v="1334.372857142858"/>
    <n v="0.35149999999999998"/>
    <n v="504386561.50999975"/>
    <x v="1"/>
    <n v="1752"/>
  </r>
  <r>
    <s v="LN01141"/>
    <x v="1140"/>
    <n v="55"/>
    <s v="Male"/>
    <s v="Divorced"/>
    <s v="Self-Employed"/>
    <n v="159899"/>
    <n v="658"/>
    <n v="83509"/>
    <n v="9.5299999999999994"/>
    <n v="120"/>
    <s v="Education"/>
    <n v="10.14"/>
    <n v="1879"/>
    <n v="54846"/>
    <x v="780"/>
    <s v="Approved"/>
    <s v="No"/>
    <x v="4"/>
    <x v="1138"/>
    <x v="1140"/>
    <n v="315"/>
    <n v="272"/>
    <n v="0.35149999999999998"/>
    <n v="44299725"/>
    <n v="51511.308139534885"/>
    <n v="99996"/>
    <n v="5091"/>
    <n v="1148749.0300000007"/>
    <n v="1335.7546860465125"/>
    <n v="0.35149999999999998"/>
    <n v="503237666.47999972"/>
    <x v="1"/>
    <n v="9146.76"/>
  </r>
  <r>
    <s v="LN01142"/>
    <x v="1141"/>
    <n v="29"/>
    <s v="Male"/>
    <s v="Married"/>
    <s v="Self-Employed"/>
    <n v="168360"/>
    <n v="480"/>
    <n v="66852"/>
    <n v="19.86"/>
    <n v="60"/>
    <s v="Education"/>
    <n v="26.52"/>
    <n v="38980"/>
    <n v="247531"/>
    <x v="781"/>
    <s v="Approved"/>
    <s v="No"/>
    <x v="0"/>
    <x v="1139"/>
    <x v="1141"/>
    <n v="314"/>
    <n v="272"/>
    <n v="0.35149999999999998"/>
    <n v="44216216"/>
    <n v="51474.058207217699"/>
    <n v="99996"/>
    <n v="5091"/>
    <n v="1147986.8000000005"/>
    <n v="1336.4223515715955"/>
    <n v="0.35149999999999998"/>
    <n v="502088917.44999969"/>
    <x v="1"/>
    <n v="16025.76"/>
  </r>
  <r>
    <s v="LN01143"/>
    <x v="1142"/>
    <n v="62"/>
    <s v="Male"/>
    <s v="Married"/>
    <s v="Employed"/>
    <n v="162595"/>
    <n v="595"/>
    <n v="28657"/>
    <n v="11.66"/>
    <n v="24"/>
    <s v="Business"/>
    <n v="50.04"/>
    <n v="44843"/>
    <n v="237797"/>
    <x v="782"/>
    <s v="Approved"/>
    <s v="Yes"/>
    <x v="1"/>
    <x v="1140"/>
    <x v="1142"/>
    <n v="313"/>
    <n v="272"/>
    <n v="0.35149999999999998"/>
    <n v="44149364"/>
    <n v="51456.135198135198"/>
    <n v="99996"/>
    <n v="5091"/>
    <n v="1146651.3200000003"/>
    <n v="1336.4234498834503"/>
    <n v="0.35149999999999998"/>
    <n v="500940930.64999968"/>
    <x v="1"/>
    <n v="15999.24"/>
  </r>
  <r>
    <s v="LN01144"/>
    <x v="1143"/>
    <n v="46"/>
    <s v="Female"/>
    <s v="Single"/>
    <s v="Unemployed"/>
    <n v="54466"/>
    <n v="626"/>
    <n v="54941"/>
    <n v="14.17"/>
    <n v="60"/>
    <s v="Personal"/>
    <n v="43.58"/>
    <n v="5076"/>
    <n v="85520"/>
    <x v="26"/>
    <s v="Pending"/>
    <s v="No"/>
    <x v="0"/>
    <x v="1141"/>
    <x v="1143"/>
    <n v="312"/>
    <n v="272"/>
    <n v="0.35149999999999998"/>
    <n v="44120707"/>
    <n v="51482.738623103847"/>
    <n v="99996"/>
    <n v="5091"/>
    <n v="1145318.0500000003"/>
    <n v="1336.4271295215872"/>
    <n v="0.35149999999999998"/>
    <n v="499794279.32999974"/>
    <x v="1"/>
    <n v="12545.28"/>
  </r>
  <r>
    <s v="LN01145"/>
    <x v="1144"/>
    <n v="33"/>
    <s v="Female"/>
    <s v="Divorced"/>
    <s v="Unemployed"/>
    <n v="165065"/>
    <n v="571"/>
    <n v="54470"/>
    <n v="16.16"/>
    <n v="12"/>
    <s v="Business"/>
    <n v="27.44"/>
    <n v="39626"/>
    <n v="193188"/>
    <x v="783"/>
    <s v="Approved"/>
    <s v="No"/>
    <x v="4"/>
    <x v="1142"/>
    <x v="1144"/>
    <n v="312"/>
    <n v="272"/>
    <n v="0.35149999999999998"/>
    <n v="44065766"/>
    <n v="51478.698598130839"/>
    <n v="99996"/>
    <n v="5091"/>
    <n v="1144272.6100000006"/>
    <n v="1336.76706775701"/>
    <n v="0.35149999999999998"/>
    <n v="498648961.27999973"/>
    <x v="1"/>
    <n v="63272.399999999994"/>
  </r>
  <r>
    <s v="LN01146"/>
    <x v="1145"/>
    <n v="44"/>
    <s v="Female"/>
    <s v="Married"/>
    <s v="Employed"/>
    <n v="28860"/>
    <n v="691"/>
    <n v="40583"/>
    <n v="16.739999999999998"/>
    <n v="48"/>
    <s v="Auto"/>
    <n v="49.84"/>
    <n v="8623"/>
    <n v="244384"/>
    <x v="97"/>
    <s v="Rejected"/>
    <s v="Yes"/>
    <x v="2"/>
    <x v="1143"/>
    <x v="1145"/>
    <n v="311"/>
    <n v="272"/>
    <n v="0.35149999999999998"/>
    <n v="44011296"/>
    <n v="51475.199999999997"/>
    <n v="99996"/>
    <n v="5091"/>
    <n v="1138999.9100000006"/>
    <n v="1332.1636374269012"/>
    <n v="0.35149999999999998"/>
    <n v="497504688.66999978"/>
    <x v="0"/>
    <n v="11844.119999999999"/>
  </r>
  <r>
    <s v="LN01147"/>
    <x v="1146"/>
    <n v="50"/>
    <s v="Female"/>
    <s v="Married"/>
    <s v="Unemployed"/>
    <n v="91080"/>
    <n v="449"/>
    <n v="41191"/>
    <n v="20.239999999999998"/>
    <n v="48"/>
    <s v="Business"/>
    <n v="28.42"/>
    <n v="54841"/>
    <n v="214879"/>
    <x v="675"/>
    <s v="Rejected"/>
    <s v="Yes"/>
    <x v="1"/>
    <x v="1144"/>
    <x v="1146"/>
    <n v="311"/>
    <n v="271"/>
    <n v="0.35149999999999998"/>
    <n v="43970713"/>
    <n v="51487.95433255269"/>
    <n v="99996"/>
    <n v="5091"/>
    <n v="1138012.9000000008"/>
    <n v="1332.5677985948487"/>
    <n v="0.35149999999999998"/>
    <n v="496365688.75999981"/>
    <x v="1"/>
    <n v="12381.96"/>
  </r>
  <r>
    <s v="LN01148"/>
    <x v="1147"/>
    <n v="55"/>
    <s v="Male"/>
    <s v="Single"/>
    <s v="Self-Employed"/>
    <n v="190012"/>
    <n v="799"/>
    <n v="58801"/>
    <n v="8.34"/>
    <n v="120"/>
    <s v="Auto"/>
    <n v="48.37"/>
    <n v="55985"/>
    <n v="209358"/>
    <x v="784"/>
    <s v="Pending"/>
    <s v="Yes"/>
    <x v="4"/>
    <x v="1145"/>
    <x v="1147"/>
    <n v="311"/>
    <n v="270"/>
    <n v="0.35149999999999998"/>
    <n v="43929522"/>
    <n v="51500.025791324733"/>
    <n v="99996"/>
    <n v="5091"/>
    <n v="1136981.0700000008"/>
    <n v="1332.9203634232131"/>
    <n v="0.35149999999999998"/>
    <n v="495227675.85999978"/>
    <x v="1"/>
    <n v="6370.5599999999995"/>
  </r>
  <r>
    <s v="LN01149"/>
    <x v="1148"/>
    <n v="39"/>
    <s v="Female"/>
    <s v="Single"/>
    <s v="Unemployed"/>
    <n v="22573"/>
    <n v="440"/>
    <n v="79501"/>
    <n v="23.93"/>
    <n v="120"/>
    <s v="Education"/>
    <n v="36.94"/>
    <n v="40365"/>
    <n v="62043"/>
    <x v="785"/>
    <s v="Rejected"/>
    <s v="No"/>
    <x v="0"/>
    <x v="1146"/>
    <x v="1148"/>
    <n v="311"/>
    <n v="270"/>
    <n v="0.35149999999999998"/>
    <n v="43870721"/>
    <n v="51491.456572769952"/>
    <n v="99996"/>
    <n v="5091"/>
    <n v="1136450.1900000009"/>
    <n v="1333.8617253521138"/>
    <n v="0.35149999999999998"/>
    <n v="494090694.78999984"/>
    <x v="1"/>
    <n v="9852.5999999999985"/>
  </r>
  <r>
    <s v="LN01150"/>
    <x v="1149"/>
    <n v="64"/>
    <s v="Female"/>
    <s v="Divorced"/>
    <s v="Employed"/>
    <n v="157075"/>
    <n v="731"/>
    <n v="37763"/>
    <n v="11.45"/>
    <n v="12"/>
    <s v="Auto"/>
    <n v="41.52"/>
    <n v="24883"/>
    <n v="17868"/>
    <x v="786"/>
    <s v="Rejected"/>
    <s v="No"/>
    <x v="3"/>
    <x v="1147"/>
    <x v="1149"/>
    <n v="311"/>
    <n v="269"/>
    <n v="0.35149999999999998"/>
    <n v="43791220"/>
    <n v="51458.542890716803"/>
    <n v="99996"/>
    <n v="5091"/>
    <n v="1135629.1400000008"/>
    <n v="1334.4643243243254"/>
    <n v="0.35149999999999998"/>
    <n v="492954244.59999985"/>
    <x v="1"/>
    <n v="42086.879999999997"/>
  </r>
  <r>
    <s v="LN01151"/>
    <x v="1150"/>
    <n v="31"/>
    <s v="Male"/>
    <s v="Divorced"/>
    <s v="Employed"/>
    <n v="87995"/>
    <n v="369"/>
    <n v="97424"/>
    <n v="7.69"/>
    <n v="360"/>
    <s v="Business"/>
    <n v="13.65"/>
    <n v="76568"/>
    <n v="35931"/>
    <x v="787"/>
    <s v="Rejected"/>
    <s v="No"/>
    <x v="0"/>
    <x v="1148"/>
    <x v="1150"/>
    <n v="311"/>
    <n v="268"/>
    <n v="0.35149999999999998"/>
    <n v="43753457"/>
    <n v="51474.655294117649"/>
    <n v="99996"/>
    <n v="5091"/>
    <n v="1132121.9000000011"/>
    <n v="1331.9081176470602"/>
    <n v="0.35149999999999998"/>
    <n v="491818615.4599998"/>
    <x v="0"/>
    <n v="3497.16"/>
  </r>
  <r>
    <s v="LN01152"/>
    <x v="1151"/>
    <n v="50"/>
    <s v="Female"/>
    <s v="Married"/>
    <s v="Employed"/>
    <n v="94618"/>
    <n v="454"/>
    <n v="97060"/>
    <n v="7.55"/>
    <n v="24"/>
    <s v="Personal"/>
    <n v="18.34"/>
    <n v="58845"/>
    <n v="88326"/>
    <x v="788"/>
    <s v="Approved"/>
    <s v="Yes"/>
    <x v="2"/>
    <x v="1149"/>
    <x v="1151"/>
    <n v="311"/>
    <n v="267"/>
    <n v="0.35149999999999998"/>
    <n v="43656033"/>
    <n v="51420.533568904597"/>
    <n v="99996"/>
    <n v="5091"/>
    <n v="1131830.4700000009"/>
    <n v="1333.1336513545359"/>
    <n v="0.35149999999999998"/>
    <n v="490686493.55999976"/>
    <x v="1"/>
    <n v="52194"/>
  </r>
  <r>
    <s v="LN01153"/>
    <x v="1152"/>
    <n v="29"/>
    <s v="Female"/>
    <s v="Single"/>
    <s v="Self-Employed"/>
    <n v="186112"/>
    <n v="570"/>
    <n v="90833"/>
    <n v="20.05"/>
    <n v="36"/>
    <s v="Business"/>
    <n v="42.28"/>
    <n v="18211"/>
    <n v="114154"/>
    <x v="511"/>
    <s v="Pending"/>
    <s v="Yes"/>
    <x v="3"/>
    <x v="1150"/>
    <x v="1152"/>
    <n v="310"/>
    <n v="267"/>
    <n v="0.35149999999999998"/>
    <n v="43558973"/>
    <n v="51366.713443396227"/>
    <n v="99996"/>
    <n v="5091"/>
    <n v="1127480.9700000011"/>
    <n v="1329.576615566039"/>
    <n v="0.35149999999999998"/>
    <n v="489554663.08999979"/>
    <x v="1"/>
    <n v="36348.36"/>
  </r>
  <r>
    <s v="LN01154"/>
    <x v="1153"/>
    <n v="41"/>
    <s v="Male"/>
    <s v="Single"/>
    <s v="Employed"/>
    <n v="78423"/>
    <n v="442"/>
    <n v="57387"/>
    <n v="20.64"/>
    <n v="24"/>
    <s v="Personal"/>
    <n v="26.36"/>
    <n v="50723"/>
    <n v="54188"/>
    <x v="773"/>
    <s v="Approved"/>
    <s v="No"/>
    <x v="2"/>
    <x v="1151"/>
    <x v="1153"/>
    <n v="310"/>
    <n v="267"/>
    <n v="0.35149999999999998"/>
    <n v="43468140"/>
    <n v="51320.118063754424"/>
    <n v="99996"/>
    <n v="5091"/>
    <n v="1124451.9400000011"/>
    <n v="1327.570177095633"/>
    <n v="0.35149999999999998"/>
    <n v="488427182.11999977"/>
    <x v="1"/>
    <n v="34615.800000000003"/>
  </r>
  <r>
    <s v="LN01155"/>
    <x v="1154"/>
    <n v="61"/>
    <s v="Female"/>
    <s v="Single"/>
    <s v="Unemployed"/>
    <n v="104851"/>
    <n v="589"/>
    <n v="89879"/>
    <n v="13.17"/>
    <n v="120"/>
    <s v="Business"/>
    <n v="15.78"/>
    <n v="23859"/>
    <n v="162077"/>
    <x v="789"/>
    <s v="Rejected"/>
    <s v="No"/>
    <x v="4"/>
    <x v="1152"/>
    <x v="1154"/>
    <n v="309"/>
    <n v="267"/>
    <n v="0.35149999999999998"/>
    <n v="43410753"/>
    <n v="51312.946808510642"/>
    <n v="99996"/>
    <n v="5091"/>
    <n v="1121567.290000001"/>
    <n v="1325.729657210403"/>
    <n v="0.35149999999999998"/>
    <n v="487302730.17999971"/>
    <x v="1"/>
    <n v="10171.56"/>
  </r>
  <r>
    <s v="LN01156"/>
    <x v="1155"/>
    <n v="34"/>
    <s v="Female"/>
    <s v="Divorced"/>
    <s v="Employed"/>
    <n v="47289"/>
    <n v="444"/>
    <n v="24769"/>
    <n v="13.45"/>
    <n v="360"/>
    <s v="Personal"/>
    <n v="13.69"/>
    <n v="36372"/>
    <n v="26771"/>
    <x v="790"/>
    <s v="Rejected"/>
    <s v="Yes"/>
    <x v="4"/>
    <x v="1153"/>
    <x v="1155"/>
    <n v="309"/>
    <n v="266"/>
    <n v="0.35149999999999998"/>
    <n v="43320874"/>
    <n v="51267.306508875743"/>
    <n v="99996"/>
    <n v="5091"/>
    <n v="1120719.6600000008"/>
    <n v="1326.2954556213028"/>
    <n v="0.35149999999999998"/>
    <n v="486181162.88999969"/>
    <x v="1"/>
    <n v="936.72"/>
  </r>
  <r>
    <s v="LN01157"/>
    <x v="1156"/>
    <n v="40"/>
    <s v="Female"/>
    <s v="Single"/>
    <s v="Employed"/>
    <n v="155044"/>
    <n v="832"/>
    <n v="16619"/>
    <n v="22.75"/>
    <n v="360"/>
    <s v="Personal"/>
    <n v="34.69"/>
    <n v="7930"/>
    <n v="129416"/>
    <x v="791"/>
    <s v="Approved"/>
    <s v="Yes"/>
    <x v="4"/>
    <x v="1154"/>
    <x v="1156"/>
    <n v="309"/>
    <n v="265"/>
    <n v="0.35149999999999998"/>
    <n v="43296105"/>
    <n v="51298.702606635074"/>
    <n v="99996"/>
    <n v="5091"/>
    <n v="1120641.6000000008"/>
    <n v="1327.7744075829394"/>
    <n v="0.35149999999999998"/>
    <n v="485060443.22999966"/>
    <x v="1"/>
    <n v="680.04"/>
  </r>
  <r>
    <s v="LN01158"/>
    <x v="1157"/>
    <n v="33"/>
    <s v="Female"/>
    <s v="Divorced"/>
    <s v="Employed"/>
    <n v="195713"/>
    <n v="701"/>
    <n v="40225"/>
    <n v="17.100000000000001"/>
    <n v="180"/>
    <s v="Personal"/>
    <n v="36.700000000000003"/>
    <n v="4866"/>
    <n v="81193"/>
    <x v="792"/>
    <s v="Approved"/>
    <s v="Yes"/>
    <x v="2"/>
    <x v="1155"/>
    <x v="1157"/>
    <n v="308"/>
    <n v="265"/>
    <n v="0.35149999999999998"/>
    <n v="43279486"/>
    <n v="51339.841043890869"/>
    <n v="99996"/>
    <n v="5091"/>
    <n v="1120584.9300000009"/>
    <n v="1329.2822419928837"/>
    <n v="0.35149999999999998"/>
    <n v="483939801.62999964"/>
    <x v="1"/>
    <n v="3140.2799999999997"/>
  </r>
  <r>
    <s v="LN01159"/>
    <x v="1158"/>
    <n v="29"/>
    <s v="Male"/>
    <s v="Divorced"/>
    <s v="Unemployed"/>
    <n v="75354"/>
    <n v="666"/>
    <n v="14065"/>
    <n v="5.81"/>
    <n v="180"/>
    <s v="Business"/>
    <n v="55.6"/>
    <n v="61599"/>
    <n v="21564"/>
    <x v="793"/>
    <s v="Approved"/>
    <s v="No"/>
    <x v="1"/>
    <x v="1156"/>
    <x v="1158"/>
    <n v="307"/>
    <n v="265"/>
    <n v="0.35149999999999998"/>
    <n v="43239261"/>
    <n v="51353.04156769596"/>
    <n v="99996"/>
    <n v="5091"/>
    <n v="1120323.2400000009"/>
    <n v="1330.550166270785"/>
    <n v="0.35149999999999998"/>
    <n v="482819216.69999963"/>
    <x v="1"/>
    <n v="992.16000000000008"/>
  </r>
  <r>
    <s v="LN01160"/>
    <x v="1159"/>
    <n v="55"/>
    <s v="Male"/>
    <s v="Divorced"/>
    <s v="Self-Employed"/>
    <n v="123181"/>
    <n v="392"/>
    <n v="56983"/>
    <n v="10.89"/>
    <n v="240"/>
    <s v="Business"/>
    <n v="39.32"/>
    <n v="9134"/>
    <n v="103425"/>
    <x v="794"/>
    <s v="Approved"/>
    <s v="Yes"/>
    <x v="0"/>
    <x v="1157"/>
    <x v="1159"/>
    <n v="306"/>
    <n v="265"/>
    <n v="0.35149999999999998"/>
    <n v="43225196"/>
    <n v="51397.379310344826"/>
    <n v="99996"/>
    <n v="5091"/>
    <n v="1120240.560000001"/>
    <n v="1332.0339595719392"/>
    <n v="0.35149999999999998"/>
    <n v="481698893.45999968"/>
    <x v="1"/>
    <n v="3159.4800000000005"/>
  </r>
  <r>
    <s v="LN01161"/>
    <x v="1160"/>
    <n v="37"/>
    <s v="Female"/>
    <s v="Single"/>
    <s v="Self-Employed"/>
    <n v="138920"/>
    <n v="370"/>
    <n v="74160"/>
    <n v="15.96"/>
    <n v="240"/>
    <s v="Education"/>
    <n v="41.39"/>
    <n v="12683"/>
    <n v="1771"/>
    <x v="795"/>
    <s v="Rejected"/>
    <s v="Yes"/>
    <x v="3"/>
    <x v="1158"/>
    <x v="1160"/>
    <n v="305"/>
    <n v="265"/>
    <n v="0.35149999999999998"/>
    <n v="43168213"/>
    <n v="51390.72976190476"/>
    <n v="99996"/>
    <n v="5091"/>
    <n v="1119977.2700000009"/>
    <n v="1333.306273809525"/>
    <n v="0.35149999999999998"/>
    <n v="480578652.89999956"/>
    <x v="1"/>
    <n v="4299.84"/>
  </r>
  <r>
    <s v="LN01162"/>
    <x v="1161"/>
    <n v="65"/>
    <s v="Female"/>
    <s v="Single"/>
    <s v="Unemployed"/>
    <n v="57561"/>
    <n v="394"/>
    <n v="97800"/>
    <n v="17.28"/>
    <n v="60"/>
    <s v="Personal"/>
    <n v="54.53"/>
    <n v="57270"/>
    <n v="227536"/>
    <x v="796"/>
    <s v="Pending"/>
    <s v="Yes"/>
    <x v="0"/>
    <x v="1159"/>
    <x v="1161"/>
    <n v="305"/>
    <n v="264"/>
    <n v="0.35149999999999998"/>
    <n v="43094053"/>
    <n v="51363.59117997616"/>
    <n v="99996"/>
    <n v="5091"/>
    <n v="1119618.9500000009"/>
    <n v="1334.4683551847447"/>
    <n v="0.35149999999999998"/>
    <n v="479458675.62999958"/>
    <x v="1"/>
    <n v="22939.920000000002"/>
  </r>
  <r>
    <s v="LN01163"/>
    <x v="1162"/>
    <n v="62"/>
    <s v="Female"/>
    <s v="Divorced"/>
    <s v="Unemployed"/>
    <n v="131696"/>
    <n v="650"/>
    <n v="89141"/>
    <n v="14.48"/>
    <n v="120"/>
    <s v="Personal"/>
    <n v="40.369999999999997"/>
    <n v="6716"/>
    <n v="57655"/>
    <x v="666"/>
    <s v="Rejected"/>
    <s v="Yes"/>
    <x v="4"/>
    <x v="1160"/>
    <x v="1162"/>
    <n v="305"/>
    <n v="264"/>
    <n v="0.35149999999999998"/>
    <n v="42996253"/>
    <n v="51308.177804295941"/>
    <n v="99996"/>
    <n v="5091"/>
    <n v="1117707.290000001"/>
    <n v="1333.7795823389033"/>
    <n v="0.35149999999999998"/>
    <n v="478339056.67999959"/>
    <x v="1"/>
    <n v="10204.92"/>
  </r>
  <r>
    <s v="LN01164"/>
    <x v="1163"/>
    <n v="36"/>
    <s v="Female"/>
    <s v="Single"/>
    <s v="Employed"/>
    <n v="55925"/>
    <n v="562"/>
    <n v="74775"/>
    <n v="10.87"/>
    <n v="180"/>
    <s v="Education"/>
    <n v="49.62"/>
    <n v="22101"/>
    <n v="73713"/>
    <x v="721"/>
    <s v="Pending"/>
    <s v="No"/>
    <x v="2"/>
    <x v="1161"/>
    <x v="1163"/>
    <n v="305"/>
    <n v="263"/>
    <n v="0.35149999999999998"/>
    <n v="42907112"/>
    <n v="51262.977299880527"/>
    <n v="99996"/>
    <n v="5091"/>
    <n v="1116856.8800000008"/>
    <n v="1334.3570848267632"/>
    <n v="0.35149999999999998"/>
    <n v="477221349.38999951"/>
    <x v="1"/>
    <n v="5526.84"/>
  </r>
  <r>
    <s v="LN01165"/>
    <x v="1164"/>
    <n v="21"/>
    <s v="Female"/>
    <s v="Divorced"/>
    <s v="Self-Employed"/>
    <n v="106310"/>
    <n v="591"/>
    <n v="7618"/>
    <n v="7.12"/>
    <n v="240"/>
    <s v="Mortgage"/>
    <n v="21.69"/>
    <n v="66372"/>
    <n v="35929"/>
    <x v="797"/>
    <s v="Approved"/>
    <s v="Yes"/>
    <x v="0"/>
    <x v="1162"/>
    <x v="1164"/>
    <n v="305"/>
    <n v="263"/>
    <n v="0.35149999999999998"/>
    <n v="42832337"/>
    <n v="51234.852870813396"/>
    <n v="99996"/>
    <n v="5091"/>
    <n v="1116396.3100000008"/>
    <n v="1335.4022846889961"/>
    <n v="0.35149999999999998"/>
    <n v="476104492.50999951"/>
    <x v="1"/>
    <n v="408"/>
  </r>
  <r>
    <s v="LN01166"/>
    <x v="1165"/>
    <n v="51"/>
    <s v="Female"/>
    <s v="Married"/>
    <s v="Unemployed"/>
    <n v="180884"/>
    <n v="449"/>
    <n v="40931"/>
    <n v="18.57"/>
    <n v="12"/>
    <s v="Education"/>
    <n v="6.01"/>
    <n v="554"/>
    <n v="193641"/>
    <x v="361"/>
    <s v="Rejected"/>
    <s v="No"/>
    <x v="1"/>
    <x v="1163"/>
    <x v="1165"/>
    <n v="304"/>
    <n v="263"/>
    <n v="0.35149999999999998"/>
    <n v="42824719"/>
    <n v="51287.088622754491"/>
    <n v="99996"/>
    <n v="5091"/>
    <n v="1116362.3100000008"/>
    <n v="1336.9608502994022"/>
    <n v="0.35149999999999998"/>
    <n v="474988096.19999951"/>
    <x v="1"/>
    <n v="48531.840000000004"/>
  </r>
  <r>
    <s v="LN01167"/>
    <x v="1166"/>
    <n v="46"/>
    <s v="Female"/>
    <s v="Married"/>
    <s v="Self-Employed"/>
    <n v="80113"/>
    <n v="715"/>
    <n v="45010"/>
    <n v="23.4"/>
    <n v="36"/>
    <s v="Education"/>
    <n v="40.229999999999997"/>
    <n v="15296"/>
    <n v="94220"/>
    <x v="798"/>
    <s v="Pending"/>
    <s v="No"/>
    <x v="2"/>
    <x v="1164"/>
    <x v="1166"/>
    <n v="304"/>
    <n v="262"/>
    <n v="0.35149999999999998"/>
    <n v="42783788"/>
    <n v="51299.505995203835"/>
    <n v="99996"/>
    <n v="5091"/>
    <n v="1112317.9900000009"/>
    <n v="1333.7146163069556"/>
    <n v="0.35149999999999998"/>
    <n v="473871733.88999951"/>
    <x v="0"/>
    <n v="18514.079999999998"/>
  </r>
  <r>
    <s v="LN01168"/>
    <x v="1167"/>
    <n v="57"/>
    <s v="Male"/>
    <s v="Married"/>
    <s v="Self-Employed"/>
    <n v="149766"/>
    <n v="831"/>
    <n v="72418"/>
    <n v="15.77"/>
    <n v="240"/>
    <s v="Mortgage"/>
    <n v="21.76"/>
    <n v="60962"/>
    <n v="205767"/>
    <x v="799"/>
    <s v="Approved"/>
    <s v="No"/>
    <x v="2"/>
    <x v="1165"/>
    <x v="1167"/>
    <n v="304"/>
    <n v="262"/>
    <n v="0.35149999999999998"/>
    <n v="42738778"/>
    <n v="51307.056422569025"/>
    <n v="99996"/>
    <n v="5091"/>
    <n v="1110775.1500000008"/>
    <n v="1333.4635654261715"/>
    <n v="0.35149999999999998"/>
    <n v="472759415.89999956"/>
    <x v="1"/>
    <n v="4191.96"/>
  </r>
  <r>
    <s v="LN01169"/>
    <x v="1168"/>
    <n v="29"/>
    <s v="Male"/>
    <s v="Divorced"/>
    <s v="Employed"/>
    <n v="150720"/>
    <n v="629"/>
    <n v="19756"/>
    <n v="5.79"/>
    <n v="180"/>
    <s v="Education"/>
    <n v="20.54"/>
    <n v="34312"/>
    <n v="113506"/>
    <x v="800"/>
    <s v="Pending"/>
    <s v="No"/>
    <x v="4"/>
    <x v="1166"/>
    <x v="1168"/>
    <n v="303"/>
    <n v="262"/>
    <n v="0.35149999999999998"/>
    <n v="42666360"/>
    <n v="51281.682692307695"/>
    <n v="99996"/>
    <n v="5091"/>
    <n v="1110425.820000001"/>
    <n v="1334.6464182692321"/>
    <n v="0.35149999999999998"/>
    <n v="471648640.74999964"/>
    <x v="1"/>
    <n v="1393.32"/>
  </r>
  <r>
    <s v="LN01170"/>
    <x v="1169"/>
    <n v="35"/>
    <s v="Female"/>
    <s v="Single"/>
    <s v="Unemployed"/>
    <n v="75669"/>
    <n v="473"/>
    <n v="78700"/>
    <n v="17.559999999999999"/>
    <n v="240"/>
    <s v="Business"/>
    <n v="5.39"/>
    <n v="21439"/>
    <n v="193069"/>
    <x v="733"/>
    <s v="Pending"/>
    <s v="Yes"/>
    <x v="0"/>
    <x v="1167"/>
    <x v="1169"/>
    <n v="303"/>
    <n v="262"/>
    <n v="0.35149999999999998"/>
    <n v="42646604"/>
    <n v="51319.619735258726"/>
    <n v="99996"/>
    <n v="5091"/>
    <n v="1110309.7100000009"/>
    <n v="1336.1127677497002"/>
    <n v="0.35149999999999998"/>
    <n v="470538214.92999959"/>
    <x v="1"/>
    <n v="4626"/>
  </r>
  <r>
    <s v="LN01171"/>
    <x v="1170"/>
    <n v="27"/>
    <s v="Male"/>
    <s v="Single"/>
    <s v="Self-Employed"/>
    <n v="121892"/>
    <n v="565"/>
    <n v="15421"/>
    <n v="10.19"/>
    <n v="60"/>
    <s v="Mortgage"/>
    <n v="21.84"/>
    <n v="46104"/>
    <n v="42378"/>
    <x v="545"/>
    <s v="Approved"/>
    <s v="No"/>
    <x v="4"/>
    <x v="1168"/>
    <x v="1170"/>
    <n v="303"/>
    <n v="262"/>
    <n v="0.35149999999999998"/>
    <n v="42567904"/>
    <n v="51286.631325301205"/>
    <n v="99996"/>
    <n v="5091"/>
    <n v="1109924.2100000009"/>
    <n v="1337.2580843373505"/>
    <n v="0.35149999999999998"/>
    <n v="469427905.21999955"/>
    <x v="1"/>
    <n v="3398.5199999999995"/>
  </r>
  <r>
    <s v="LN01172"/>
    <x v="1171"/>
    <n v="48"/>
    <s v="Female"/>
    <s v="Divorced"/>
    <s v="Self-Employed"/>
    <n v="86648"/>
    <n v="342"/>
    <n v="93824"/>
    <n v="15.4"/>
    <n v="180"/>
    <s v="Business"/>
    <n v="58.43"/>
    <n v="20367"/>
    <n v="159523"/>
    <x v="610"/>
    <s v="Approved"/>
    <s v="No"/>
    <x v="4"/>
    <x v="1169"/>
    <x v="1171"/>
    <n v="302"/>
    <n v="262"/>
    <n v="0.35149999999999998"/>
    <n v="42552483"/>
    <n v="51329.895054282271"/>
    <n v="99996"/>
    <n v="5091"/>
    <n v="1109641.0000000009"/>
    <n v="1338.5295536791325"/>
    <n v="0.35149999999999998"/>
    <n v="468317981.00999957"/>
    <x v="1"/>
    <n v="7218.24"/>
  </r>
  <r>
    <s v="LN01173"/>
    <x v="1172"/>
    <n v="59"/>
    <s v="Female"/>
    <s v="Married"/>
    <s v="Employed"/>
    <n v="195867"/>
    <n v="705"/>
    <n v="56475"/>
    <n v="12.55"/>
    <n v="60"/>
    <s v="Education"/>
    <n v="48.22"/>
    <n v="15041"/>
    <n v="168000"/>
    <x v="523"/>
    <s v="Approved"/>
    <s v="Yes"/>
    <x v="2"/>
    <x v="1170"/>
    <x v="1172"/>
    <n v="301"/>
    <n v="262"/>
    <n v="0.35149999999999998"/>
    <n v="42458659"/>
    <n v="51278.573671497586"/>
    <n v="99996"/>
    <n v="5091"/>
    <n v="1109039.4800000009"/>
    <n v="1339.4196618357498"/>
    <n v="0.35149999999999998"/>
    <n v="467208340.00999957"/>
    <x v="1"/>
    <n v="12712.560000000001"/>
  </r>
  <r>
    <s v="LN01174"/>
    <x v="1173"/>
    <n v="44"/>
    <s v="Female"/>
    <s v="Divorced"/>
    <s v="Employed"/>
    <n v="178880"/>
    <n v="611"/>
    <n v="15271"/>
    <n v="3.6"/>
    <n v="36"/>
    <s v="Auto"/>
    <n v="11.97"/>
    <n v="30650"/>
    <n v="70020"/>
    <x v="693"/>
    <s v="Pending"/>
    <s v="No"/>
    <x v="1"/>
    <x v="1171"/>
    <x v="1173"/>
    <n v="300"/>
    <n v="262"/>
    <n v="0.35149999999999998"/>
    <n v="42402184"/>
    <n v="51272.290205562276"/>
    <n v="99996"/>
    <n v="5091"/>
    <n v="1107980.100000001"/>
    <n v="1339.7582829504245"/>
    <n v="0.35149999999999998"/>
    <n v="466099300.52999961"/>
    <x v="1"/>
    <n v="5273.64"/>
  </r>
  <r>
    <s v="LN01175"/>
    <x v="1174"/>
    <n v="29"/>
    <s v="Male"/>
    <s v="Married"/>
    <s v="Employed"/>
    <n v="73264"/>
    <n v="843"/>
    <n v="78227"/>
    <n v="9.09"/>
    <n v="48"/>
    <s v="Business"/>
    <n v="40.840000000000003"/>
    <n v="12235"/>
    <n v="147867"/>
    <x v="801"/>
    <s v="Pending"/>
    <s v="No"/>
    <x v="4"/>
    <x v="1172"/>
    <x v="1174"/>
    <n v="300"/>
    <n v="262"/>
    <n v="0.35149999999999998"/>
    <n v="42386913"/>
    <n v="51315.875302663437"/>
    <n v="99996"/>
    <n v="5091"/>
    <n v="1107540.6300000011"/>
    <n v="1340.8482203389842"/>
    <n v="0.35149999999999998"/>
    <n v="464991320.42999953"/>
    <x v="1"/>
    <n v="21334.44"/>
  </r>
  <r>
    <s v="LN01176"/>
    <x v="1175"/>
    <n v="39"/>
    <s v="Female"/>
    <s v="Divorced"/>
    <s v="Unemployed"/>
    <n v="141087"/>
    <n v="404"/>
    <n v="46368"/>
    <n v="6.74"/>
    <n v="180"/>
    <s v="Education"/>
    <n v="6.48"/>
    <n v="79808"/>
    <n v="142849"/>
    <x v="746"/>
    <s v="Rejected"/>
    <s v="Yes"/>
    <x v="2"/>
    <x v="1173"/>
    <x v="1175"/>
    <n v="300"/>
    <n v="262"/>
    <n v="0.35149999999999998"/>
    <n v="42308686"/>
    <n v="51283.25575757576"/>
    <n v="99996"/>
    <n v="5091"/>
    <n v="1105762.7600000009"/>
    <n v="1340.3184969696981"/>
    <n v="0.35149999999999998"/>
    <n v="463883779.79999948"/>
    <x v="1"/>
    <n v="3299.5199999999995"/>
  </r>
  <r>
    <s v="LN01177"/>
    <x v="1176"/>
    <n v="58"/>
    <s v="Male"/>
    <s v="Divorced"/>
    <s v="Unemployed"/>
    <n v="102911"/>
    <n v="329"/>
    <n v="68175"/>
    <n v="20.71"/>
    <n v="180"/>
    <s v="Business"/>
    <n v="7.91"/>
    <n v="49517"/>
    <n v="92057"/>
    <x v="802"/>
    <s v="Approved"/>
    <s v="Yes"/>
    <x v="1"/>
    <x v="1174"/>
    <x v="1176"/>
    <n v="300"/>
    <n v="261"/>
    <n v="0.35149999999999998"/>
    <n v="42262318"/>
    <n v="51289.220873786406"/>
    <n v="99996"/>
    <n v="5091"/>
    <n v="1105487.800000001"/>
    <n v="1341.6114077669915"/>
    <n v="0.35149999999999998"/>
    <n v="462778017.03999954"/>
    <x v="1"/>
    <n v="5486.28"/>
  </r>
  <r>
    <s v="LN01178"/>
    <x v="1177"/>
    <n v="56"/>
    <s v="Male"/>
    <s v="Divorced"/>
    <s v="Self-Employed"/>
    <n v="162127"/>
    <n v="343"/>
    <n v="54649"/>
    <n v="22.43"/>
    <n v="24"/>
    <s v="Education"/>
    <n v="14.77"/>
    <n v="39437"/>
    <n v="134904"/>
    <x v="364"/>
    <s v="Pending"/>
    <s v="Yes"/>
    <x v="1"/>
    <x v="1175"/>
    <x v="1177"/>
    <n v="299"/>
    <n v="261"/>
    <n v="0.35149999999999998"/>
    <n v="42194143"/>
    <n v="51268.703523693803"/>
    <n v="99996"/>
    <n v="5091"/>
    <n v="1105030.6100000008"/>
    <n v="1342.6860388821394"/>
    <n v="0.35149999999999998"/>
    <n v="461672529.23999953"/>
    <x v="1"/>
    <n v="33453.360000000001"/>
  </r>
  <r>
    <s v="LN01179"/>
    <x v="1178"/>
    <n v="52"/>
    <s v="Female"/>
    <s v="Divorced"/>
    <s v="Self-Employed"/>
    <n v="121987"/>
    <n v="460"/>
    <n v="40640"/>
    <n v="6.24"/>
    <n v="180"/>
    <s v="Business"/>
    <n v="56.48"/>
    <n v="63281"/>
    <n v="208403"/>
    <x v="226"/>
    <s v="Rejected"/>
    <s v="No"/>
    <x v="1"/>
    <x v="1176"/>
    <x v="1178"/>
    <n v="299"/>
    <n v="261"/>
    <n v="0.35149999999999998"/>
    <n v="42139494"/>
    <n v="51264.59124087591"/>
    <n v="99996"/>
    <n v="5091"/>
    <n v="1102242.830000001"/>
    <n v="1340.9280170316315"/>
    <n v="0.35149999999999998"/>
    <n v="460567498.62999952"/>
    <x v="1"/>
    <n v="2878.44"/>
  </r>
  <r>
    <s v="LN01180"/>
    <x v="1179"/>
    <n v="33"/>
    <s v="Female"/>
    <s v="Divorced"/>
    <s v="Self-Employed"/>
    <n v="172559"/>
    <n v="527"/>
    <n v="90730"/>
    <n v="3.87"/>
    <n v="360"/>
    <s v="Education"/>
    <n v="37.4"/>
    <n v="42275"/>
    <n v="162962"/>
    <x v="590"/>
    <s v="Approved"/>
    <s v="No"/>
    <x v="4"/>
    <x v="1177"/>
    <x v="1179"/>
    <n v="299"/>
    <n v="260"/>
    <n v="0.35149999999999998"/>
    <n v="42098854"/>
    <n v="51277.53227771011"/>
    <n v="99996"/>
    <n v="5091"/>
    <n v="1102002.9600000009"/>
    <n v="1342.2691352009756"/>
    <n v="0.35149999999999998"/>
    <n v="459465255.79999948"/>
    <x v="1"/>
    <n v="3141.3599999999997"/>
  </r>
  <r>
    <s v="LN01181"/>
    <x v="1180"/>
    <n v="28"/>
    <s v="Male"/>
    <s v="Married"/>
    <s v="Unemployed"/>
    <n v="191232"/>
    <n v="548"/>
    <n v="9378"/>
    <n v="14.06"/>
    <n v="24"/>
    <s v="Education"/>
    <n v="26.29"/>
    <n v="50913"/>
    <n v="14256"/>
    <x v="32"/>
    <s v="Approved"/>
    <s v="Yes"/>
    <x v="2"/>
    <x v="1178"/>
    <x v="1180"/>
    <n v="298"/>
    <n v="260"/>
    <n v="0.35149999999999998"/>
    <n v="42008124"/>
    <n v="51229.41951219512"/>
    <n v="99996"/>
    <n v="5091"/>
    <n v="1101741.1800000009"/>
    <n v="1343.5868048780499"/>
    <n v="0.35149999999999998"/>
    <n v="458363252.8399995"/>
    <x v="1"/>
    <n v="5348.28"/>
  </r>
  <r>
    <s v="LN01182"/>
    <x v="1181"/>
    <n v="58"/>
    <s v="Female"/>
    <s v="Divorced"/>
    <s v="Unemployed"/>
    <n v="75884"/>
    <n v="518"/>
    <n v="43850"/>
    <n v="5.21"/>
    <n v="60"/>
    <s v="Personal"/>
    <n v="14.3"/>
    <n v="49265"/>
    <n v="42657"/>
    <x v="356"/>
    <s v="Pending"/>
    <s v="Yes"/>
    <x v="2"/>
    <x v="1179"/>
    <x v="1181"/>
    <n v="297"/>
    <n v="260"/>
    <n v="0.35149999999999998"/>
    <n v="41998746"/>
    <n v="51280.520146520146"/>
    <n v="99996"/>
    <n v="5091"/>
    <n v="1101295.4900000009"/>
    <n v="1344.6831379731391"/>
    <n v="0.35149999999999998"/>
    <n v="457261511.65999949"/>
    <x v="1"/>
    <n v="9226.92"/>
  </r>
  <r>
    <s v="LN01183"/>
    <x v="1182"/>
    <n v="29"/>
    <s v="Female"/>
    <s v="Divorced"/>
    <s v="Unemployed"/>
    <n v="120014"/>
    <n v="589"/>
    <n v="8551"/>
    <n v="6.24"/>
    <n v="36"/>
    <s v="Education"/>
    <n v="15.85"/>
    <n v="31297"/>
    <n v="9482"/>
    <x v="803"/>
    <s v="Approved"/>
    <s v="Yes"/>
    <x v="1"/>
    <x v="1180"/>
    <x v="1182"/>
    <n v="297"/>
    <n v="260"/>
    <n v="0.35149999999999998"/>
    <n v="41954896"/>
    <n v="51289.603911980441"/>
    <n v="99996"/>
    <n v="5091"/>
    <n v="1100526.5800000008"/>
    <n v="1345.3870171149154"/>
    <n v="0.35149999999999998"/>
    <n v="456160216.16999948"/>
    <x v="1"/>
    <n v="3028.2"/>
  </r>
  <r>
    <s v="LN01184"/>
    <x v="1183"/>
    <n v="46"/>
    <s v="Female"/>
    <s v="Single"/>
    <s v="Self-Employed"/>
    <n v="44747"/>
    <n v="326"/>
    <n v="70094"/>
    <n v="20.9"/>
    <n v="48"/>
    <s v="Auto"/>
    <n v="26.74"/>
    <n v="5245"/>
    <n v="227183"/>
    <x v="804"/>
    <s v="Pending"/>
    <s v="Yes"/>
    <x v="1"/>
    <x v="1181"/>
    <x v="1183"/>
    <n v="296"/>
    <n v="260"/>
    <n v="0.35149999999999998"/>
    <n v="41946345"/>
    <n v="51341.915544675641"/>
    <n v="99996"/>
    <n v="5091"/>
    <n v="1100274.2300000007"/>
    <n v="1346.7248837209311"/>
    <n v="0.35149999999999998"/>
    <n v="455059689.58999944"/>
    <x v="1"/>
    <n v="21185.88"/>
  </r>
  <r>
    <s v="LN01185"/>
    <x v="1184"/>
    <n v="43"/>
    <s v="Male"/>
    <s v="Married"/>
    <s v="Self-Employed"/>
    <n v="85570"/>
    <n v="665"/>
    <n v="56337"/>
    <n v="12.02"/>
    <n v="360"/>
    <s v="Personal"/>
    <n v="32.96"/>
    <n v="62575"/>
    <n v="79966"/>
    <x v="44"/>
    <s v="Rejected"/>
    <s v="No"/>
    <x v="1"/>
    <x v="1182"/>
    <x v="1184"/>
    <n v="296"/>
    <n v="260"/>
    <n v="0.35149999999999998"/>
    <n v="41876251"/>
    <n v="51318.935049019608"/>
    <n v="99996"/>
    <n v="5091"/>
    <n v="1098508.7400000007"/>
    <n v="1346.2116911764715"/>
    <n v="0.35149999999999998"/>
    <n v="453959415.35999948"/>
    <x v="1"/>
    <n v="2103.6000000000004"/>
  </r>
  <r>
    <s v="LN01186"/>
    <x v="1185"/>
    <n v="31"/>
    <s v="Male"/>
    <s v="Married"/>
    <s v="Self-Employed"/>
    <n v="68824"/>
    <n v="661"/>
    <n v="79467"/>
    <n v="17.07"/>
    <n v="60"/>
    <s v="Business"/>
    <n v="11.33"/>
    <n v="69195"/>
    <n v="94480"/>
    <x v="805"/>
    <s v="Approved"/>
    <s v="No"/>
    <x v="1"/>
    <x v="1183"/>
    <x v="1185"/>
    <n v="296"/>
    <n v="259"/>
    <n v="0.35149999999999998"/>
    <n v="41819914"/>
    <n v="51312.777914110433"/>
    <n v="99996"/>
    <n v="5091"/>
    <n v="1098333.4400000009"/>
    <n v="1347.6483926380379"/>
    <n v="0.35149999999999998"/>
    <n v="452860906.61999947"/>
    <x v="1"/>
    <n v="18606.36"/>
  </r>
  <r>
    <s v="LN01187"/>
    <x v="1186"/>
    <n v="47"/>
    <s v="Female"/>
    <s v="Single"/>
    <s v="Unemployed"/>
    <n v="34988"/>
    <n v="569"/>
    <n v="87916"/>
    <n v="16.600000000000001"/>
    <n v="48"/>
    <s v="Business"/>
    <n v="28.42"/>
    <n v="10441"/>
    <n v="141347"/>
    <x v="63"/>
    <s v="Rejected"/>
    <s v="No"/>
    <x v="1"/>
    <x v="1184"/>
    <x v="1186"/>
    <n v="295"/>
    <n v="259"/>
    <n v="0.35149999999999998"/>
    <n v="41740447"/>
    <n v="51278.190417690421"/>
    <n v="99996"/>
    <n v="5091"/>
    <n v="1096782.9100000006"/>
    <n v="1347.3991523341531"/>
    <n v="0.35149999999999998"/>
    <n v="451762573.17999953"/>
    <x v="1"/>
    <n v="25627.56"/>
  </r>
  <r>
    <s v="LN01188"/>
    <x v="1187"/>
    <n v="49"/>
    <s v="Female"/>
    <s v="Single"/>
    <s v="Employed"/>
    <n v="71297"/>
    <n v="850"/>
    <n v="49974"/>
    <n v="19.88"/>
    <n v="360"/>
    <s v="Personal"/>
    <n v="46.28"/>
    <n v="48424"/>
    <n v="120442"/>
    <x v="117"/>
    <s v="Pending"/>
    <s v="No"/>
    <x v="4"/>
    <x v="1185"/>
    <x v="1187"/>
    <n v="295"/>
    <n v="258"/>
    <n v="0.35149999999999998"/>
    <n v="41652531"/>
    <n v="51233.125461254611"/>
    <n v="99996"/>
    <n v="5091"/>
    <n v="1094647.2800000007"/>
    <n v="1346.4296186961878"/>
    <n v="0.35149999999999998"/>
    <n v="450665790.2699995"/>
    <x v="1"/>
    <n v="1996.92"/>
  </r>
  <r>
    <s v="LN01189"/>
    <x v="1188"/>
    <n v="40"/>
    <s v="Female"/>
    <s v="Divorced"/>
    <s v="Unemployed"/>
    <n v="123496"/>
    <n v="611"/>
    <n v="19097"/>
    <n v="17.829999999999998"/>
    <n v="48"/>
    <s v="Mortgage"/>
    <n v="11.73"/>
    <n v="65142"/>
    <n v="215559"/>
    <x v="426"/>
    <s v="Approved"/>
    <s v="Yes"/>
    <x v="1"/>
    <x v="1186"/>
    <x v="1188"/>
    <n v="295"/>
    <n v="258"/>
    <n v="0.35149999999999998"/>
    <n v="41602557"/>
    <n v="51234.676108374384"/>
    <n v="99996"/>
    <n v="5091"/>
    <n v="1094480.8700000006"/>
    <n v="1347.882844827587"/>
    <n v="0.35149999999999998"/>
    <n v="449571142.98999953"/>
    <x v="1"/>
    <n v="5625.4800000000005"/>
  </r>
  <r>
    <s v="LN01190"/>
    <x v="1189"/>
    <n v="47"/>
    <s v="Female"/>
    <s v="Divorced"/>
    <s v="Self-Employed"/>
    <n v="36366"/>
    <n v="621"/>
    <n v="66548"/>
    <n v="5.95"/>
    <n v="36"/>
    <s v="Auto"/>
    <n v="40.53"/>
    <n v="69051"/>
    <n v="20230"/>
    <x v="806"/>
    <s v="Approved"/>
    <s v="No"/>
    <x v="1"/>
    <x v="1187"/>
    <x v="1189"/>
    <n v="294"/>
    <n v="258"/>
    <n v="0.35149999999999998"/>
    <n v="41583460"/>
    <n v="51274.303329223185"/>
    <n v="99996"/>
    <n v="5091"/>
    <n v="1094012.0800000005"/>
    <n v="1348.966806411838"/>
    <n v="0.35149999999999998"/>
    <n v="448476662.11999959"/>
    <x v="1"/>
    <n v="23502.48"/>
  </r>
  <r>
    <s v="LN01191"/>
    <x v="1190"/>
    <n v="21"/>
    <s v="Male"/>
    <s v="Single"/>
    <s v="Unemployed"/>
    <n v="80947"/>
    <n v="464"/>
    <n v="13355"/>
    <n v="8.26"/>
    <n v="48"/>
    <s v="Mortgage"/>
    <n v="29.18"/>
    <n v="54834"/>
    <n v="141438"/>
    <x v="334"/>
    <s v="Pending"/>
    <s v="Yes"/>
    <x v="2"/>
    <x v="1188"/>
    <x v="1190"/>
    <n v="293"/>
    <n v="258"/>
    <n v="0.35149999999999998"/>
    <n v="41516912"/>
    <n v="51255.44691358025"/>
    <n v="99996"/>
    <n v="5091"/>
    <n v="1092053.5400000007"/>
    <n v="1348.2142469135811"/>
    <n v="0.35149999999999998"/>
    <n v="447382650.03999954"/>
    <x v="1"/>
    <n v="3614.5199999999995"/>
  </r>
  <r>
    <s v="LN01192"/>
    <x v="1191"/>
    <n v="28"/>
    <s v="Male"/>
    <s v="Single"/>
    <s v="Unemployed"/>
    <n v="78192"/>
    <n v="650"/>
    <n v="55555"/>
    <n v="6.12"/>
    <n v="360"/>
    <s v="Auto"/>
    <n v="10.58"/>
    <n v="36088"/>
    <n v="1297"/>
    <x v="481"/>
    <s v="Approved"/>
    <s v="No"/>
    <x v="4"/>
    <x v="1189"/>
    <x v="1191"/>
    <n v="293"/>
    <n v="258"/>
    <n v="0.35149999999999998"/>
    <n v="41503557"/>
    <n v="51302.295426452409"/>
    <n v="99996"/>
    <n v="5091"/>
    <n v="1091752.3300000008"/>
    <n v="1349.5084425216326"/>
    <n v="0.35149999999999998"/>
    <n v="446290596.49999952"/>
    <x v="1"/>
    <n v="1965.12"/>
  </r>
  <r>
    <s v="LN01193"/>
    <x v="1192"/>
    <n v="33"/>
    <s v="Female"/>
    <s v="Married"/>
    <s v="Employed"/>
    <n v="98788"/>
    <n v="447"/>
    <n v="18001"/>
    <n v="14.18"/>
    <n v="120"/>
    <s v="Mortgage"/>
    <n v="58.48"/>
    <n v="73751"/>
    <n v="21013"/>
    <x v="807"/>
    <s v="Approved"/>
    <s v="Yes"/>
    <x v="4"/>
    <x v="1190"/>
    <x v="1192"/>
    <n v="292"/>
    <n v="258"/>
    <n v="0.35149999999999998"/>
    <n v="41448002"/>
    <n v="51297.032178217822"/>
    <n v="99996"/>
    <n v="5091"/>
    <n v="1091588.5700000008"/>
    <n v="1350.9759529702981"/>
    <n v="0.35149999999999998"/>
    <n v="445198844.1699996"/>
    <x v="1"/>
    <n v="2055.36"/>
  </r>
  <r>
    <s v="LN01194"/>
    <x v="1193"/>
    <n v="41"/>
    <s v="Female"/>
    <s v="Single"/>
    <s v="Unemployed"/>
    <n v="129979"/>
    <n v="531"/>
    <n v="50756"/>
    <n v="13.36"/>
    <n v="48"/>
    <s v="Education"/>
    <n v="53.72"/>
    <n v="4540"/>
    <n v="98761"/>
    <x v="808"/>
    <s v="Pending"/>
    <s v="Yes"/>
    <x v="0"/>
    <x v="1191"/>
    <x v="1193"/>
    <n v="291"/>
    <n v="258"/>
    <n v="0.35149999999999998"/>
    <n v="41430001"/>
    <n v="51338.291201982654"/>
    <n v="99996"/>
    <n v="5091"/>
    <n v="1091417.2900000007"/>
    <n v="1352.4377819083034"/>
    <n v="0.35149999999999998"/>
    <n v="444107255.59999955"/>
    <x v="1"/>
    <n v="14384.28"/>
  </r>
  <r>
    <s v="LN01195"/>
    <x v="1194"/>
    <n v="63"/>
    <s v="Female"/>
    <s v="Single"/>
    <s v="Unemployed"/>
    <n v="33913"/>
    <n v="458"/>
    <n v="92638"/>
    <n v="6.16"/>
    <n v="48"/>
    <s v="Business"/>
    <n v="15.42"/>
    <n v="44591"/>
    <n v="135270"/>
    <x v="574"/>
    <s v="Pending"/>
    <s v="Yes"/>
    <x v="2"/>
    <x v="1192"/>
    <x v="1194"/>
    <n v="291"/>
    <n v="258"/>
    <n v="0.35149999999999998"/>
    <n v="41379245"/>
    <n v="51339.013647642678"/>
    <n v="99996"/>
    <n v="5091"/>
    <n v="1090218.6000000008"/>
    <n v="1352.6285359801498"/>
    <n v="0.35149999999999998"/>
    <n v="443015838.30999953"/>
    <x v="1"/>
    <n v="24586.080000000002"/>
  </r>
  <r>
    <s v="LN01196"/>
    <x v="1195"/>
    <n v="29"/>
    <s v="Male"/>
    <s v="Single"/>
    <s v="Self-Employed"/>
    <n v="124818"/>
    <n v="556"/>
    <n v="73232"/>
    <n v="23.15"/>
    <n v="48"/>
    <s v="Mortgage"/>
    <n v="27.09"/>
    <n v="56103"/>
    <n v="192522"/>
    <x v="513"/>
    <s v="Pending"/>
    <s v="Yes"/>
    <x v="4"/>
    <x v="1193"/>
    <x v="1195"/>
    <n v="291"/>
    <n v="258"/>
    <n v="0.35149999999999998"/>
    <n v="41286607"/>
    <n v="51287.710559006213"/>
    <n v="99996"/>
    <n v="5091"/>
    <n v="1088169.7600000007"/>
    <n v="1351.7636770186343"/>
    <n v="0.35149999999999998"/>
    <n v="441925619.7099995"/>
    <x v="1"/>
    <n v="22546.32"/>
  </r>
  <r>
    <s v="LN01197"/>
    <x v="1196"/>
    <n v="32"/>
    <s v="Female"/>
    <s v="Divorced"/>
    <s v="Employed"/>
    <n v="28425"/>
    <n v="494"/>
    <n v="82153"/>
    <n v="22.37"/>
    <n v="360"/>
    <s v="Personal"/>
    <n v="37.840000000000003"/>
    <n v="60444"/>
    <n v="171159"/>
    <x v="809"/>
    <s v="Rejected"/>
    <s v="No"/>
    <x v="2"/>
    <x v="1194"/>
    <x v="1196"/>
    <n v="291"/>
    <n v="258"/>
    <n v="0.35149999999999998"/>
    <n v="41213375"/>
    <n v="51260.416666666664"/>
    <n v="99996"/>
    <n v="5091"/>
    <n v="1086290.9000000006"/>
    <n v="1351.1080845771153"/>
    <n v="0.35149999999999998"/>
    <n v="440837449.94999951"/>
    <x v="1"/>
    <n v="3351"/>
  </r>
  <r>
    <s v="LN01198"/>
    <x v="1197"/>
    <n v="49"/>
    <s v="Male"/>
    <s v="Single"/>
    <s v="Unemployed"/>
    <n v="32407"/>
    <n v="550"/>
    <n v="47263"/>
    <n v="20.22"/>
    <n v="12"/>
    <s v="Education"/>
    <n v="8.89"/>
    <n v="1261"/>
    <n v="186074"/>
    <x v="175"/>
    <s v="Approved"/>
    <s v="No"/>
    <x v="4"/>
    <x v="1195"/>
    <x v="1197"/>
    <n v="291"/>
    <n v="257"/>
    <n v="0.35149999999999998"/>
    <n v="41131222"/>
    <n v="51221.945205479453"/>
    <n v="99996"/>
    <n v="5091"/>
    <n v="1086011.6500000006"/>
    <n v="1352.4429016189297"/>
    <n v="0.35149999999999998"/>
    <n v="439751159.04999948"/>
    <x v="1"/>
    <n v="56819.520000000004"/>
  </r>
  <r>
    <s v="LN01199"/>
    <x v="1198"/>
    <n v="64"/>
    <s v="Male"/>
    <s v="Divorced"/>
    <s v="Employed"/>
    <n v="193869"/>
    <n v="829"/>
    <n v="61538"/>
    <n v="11.49"/>
    <n v="12"/>
    <s v="Personal"/>
    <n v="29.11"/>
    <n v="40886"/>
    <n v="227971"/>
    <x v="501"/>
    <s v="Rejected"/>
    <s v="Yes"/>
    <x v="3"/>
    <x v="1196"/>
    <x v="1198"/>
    <n v="290"/>
    <n v="257"/>
    <n v="0.35149999999999998"/>
    <n v="41083959"/>
    <n v="51226.88154613466"/>
    <n v="99996"/>
    <n v="5091"/>
    <n v="1081276.6900000006"/>
    <n v="1348.2252992518711"/>
    <n v="0.35149999999999998"/>
    <n v="438665147.3999995"/>
    <x v="0"/>
    <n v="68608.680000000008"/>
  </r>
  <r>
    <s v="LN01200"/>
    <x v="1199"/>
    <n v="64"/>
    <s v="Female"/>
    <s v="Divorced"/>
    <s v="Self-Employed"/>
    <n v="76896"/>
    <n v="605"/>
    <n v="60082"/>
    <n v="16.559999999999999"/>
    <n v="240"/>
    <s v="Education"/>
    <n v="59.31"/>
    <n v="14301"/>
    <n v="158014"/>
    <x v="810"/>
    <s v="Pending"/>
    <s v="No"/>
    <x v="2"/>
    <x v="1197"/>
    <x v="1199"/>
    <n v="290"/>
    <n v="256"/>
    <n v="0.35149999999999998"/>
    <n v="41022421"/>
    <n v="51214.008739076155"/>
    <n v="99996"/>
    <n v="5091"/>
    <n v="1075559.3000000003"/>
    <n v="1342.7706616729092"/>
    <n v="0.35149999999999998"/>
    <n v="437583870.7099995"/>
    <x v="0"/>
    <n v="3501.6000000000004"/>
  </r>
  <r>
    <s v="LN01201"/>
    <x v="1200"/>
    <n v="49"/>
    <s v="Female"/>
    <s v="Single"/>
    <s v="Unemployed"/>
    <n v="100691"/>
    <n v="703"/>
    <n v="32708"/>
    <n v="22.19"/>
    <n v="24"/>
    <s v="Education"/>
    <n v="10.73"/>
    <n v="32786"/>
    <n v="101079"/>
    <x v="811"/>
    <s v="Pending"/>
    <s v="Yes"/>
    <x v="1"/>
    <x v="1198"/>
    <x v="1200"/>
    <n v="290"/>
    <n v="256"/>
    <n v="0.35149999999999998"/>
    <n v="40962339"/>
    <n v="51202.923750000002"/>
    <n v="99996"/>
    <n v="5091"/>
    <n v="1075267.5000000002"/>
    <n v="1344.0843750000004"/>
    <n v="0.35149999999999998"/>
    <n v="436508311.40999949"/>
    <x v="1"/>
    <n v="19983"/>
  </r>
  <r>
    <s v="LN01202"/>
    <x v="1201"/>
    <n v="63"/>
    <s v="Male"/>
    <s v="Married"/>
    <s v="Self-Employed"/>
    <n v="138442"/>
    <n v="406"/>
    <n v="88529"/>
    <n v="15.19"/>
    <n v="240"/>
    <s v="Personal"/>
    <n v="40.630000000000003"/>
    <n v="17049"/>
    <n v="10484"/>
    <x v="812"/>
    <s v="Approved"/>
    <s v="No"/>
    <x v="2"/>
    <x v="1199"/>
    <x v="1201"/>
    <n v="290"/>
    <n v="256"/>
    <n v="0.35149999999999998"/>
    <n v="40929631"/>
    <n v="51226.07133917397"/>
    <n v="99996"/>
    <n v="5091"/>
    <n v="1073602.2500000005"/>
    <n v="1343.6824155193999"/>
    <n v="0.35149999999999998"/>
    <n v="435433043.90999955"/>
    <x v="1"/>
    <n v="5098.7999999999993"/>
  </r>
  <r>
    <s v="LN01203"/>
    <x v="1202"/>
    <n v="36"/>
    <s v="Female"/>
    <s v="Single"/>
    <s v="Self-Employed"/>
    <n v="34372"/>
    <n v="783"/>
    <n v="93425"/>
    <n v="15.34"/>
    <n v="240"/>
    <s v="Auto"/>
    <n v="13.01"/>
    <n v="20166"/>
    <n v="230655"/>
    <x v="525"/>
    <s v="Approved"/>
    <s v="No"/>
    <x v="2"/>
    <x v="1200"/>
    <x v="1202"/>
    <n v="289"/>
    <n v="256"/>
    <n v="0.35149999999999998"/>
    <n v="40841102"/>
    <n v="51179.325814536343"/>
    <n v="99996"/>
    <n v="5091"/>
    <n v="1073177.3500000006"/>
    <n v="1344.8337719298252"/>
    <n v="0.35149999999999998"/>
    <n v="434359441.65999955"/>
    <x v="1"/>
    <n v="5387.76"/>
  </r>
  <r>
    <s v="LN01204"/>
    <x v="1203"/>
    <n v="59"/>
    <s v="Male"/>
    <s v="Married"/>
    <s v="Self-Employed"/>
    <n v="179732"/>
    <n v="503"/>
    <n v="62641"/>
    <n v="15.99"/>
    <n v="36"/>
    <s v="Auto"/>
    <n v="46.17"/>
    <n v="69683"/>
    <n v="84163"/>
    <x v="429"/>
    <s v="Pending"/>
    <s v="No"/>
    <x v="2"/>
    <x v="1201"/>
    <x v="1203"/>
    <n v="288"/>
    <n v="256"/>
    <n v="0.35149999999999998"/>
    <n v="40747677"/>
    <n v="51126.319949811797"/>
    <n v="99996"/>
    <n v="5091"/>
    <n v="1072728.3700000003"/>
    <n v="1345.957804265998"/>
    <n v="0.35149999999999998"/>
    <n v="433286264.30999953"/>
    <x v="1"/>
    <n v="24219.119999999999"/>
  </r>
  <r>
    <s v="LN01205"/>
    <x v="1204"/>
    <n v="40"/>
    <s v="Male"/>
    <s v="Single"/>
    <s v="Employed"/>
    <n v="138630"/>
    <n v="600"/>
    <n v="57290"/>
    <n v="10.55"/>
    <n v="36"/>
    <s v="Education"/>
    <n v="17.13"/>
    <n v="12740"/>
    <n v="135557"/>
    <x v="60"/>
    <s v="Approved"/>
    <s v="No"/>
    <x v="4"/>
    <x v="1202"/>
    <x v="1204"/>
    <n v="288"/>
    <n v="256"/>
    <n v="0.35149999999999998"/>
    <n v="40685036"/>
    <n v="51111.85427135678"/>
    <n v="99996"/>
    <n v="5091"/>
    <n v="1070710.1100000003"/>
    <n v="1345.1132035175883"/>
    <n v="0.35149999999999998"/>
    <n v="432213535.93999952"/>
    <x v="1"/>
    <n v="21111.360000000001"/>
  </r>
  <r>
    <s v="LN01206"/>
    <x v="1205"/>
    <n v="49"/>
    <s v="Male"/>
    <s v="Single"/>
    <s v="Unemployed"/>
    <n v="109781"/>
    <n v="377"/>
    <n v="29475"/>
    <n v="15.82"/>
    <n v="180"/>
    <s v="Mortgage"/>
    <n v="13.4"/>
    <n v="28811"/>
    <n v="135821"/>
    <x v="427"/>
    <s v="Rejected"/>
    <s v="Yes"/>
    <x v="4"/>
    <x v="1203"/>
    <x v="1205"/>
    <n v="287"/>
    <n v="256"/>
    <n v="0.35149999999999998"/>
    <n v="40627746"/>
    <n v="51104.083018867925"/>
    <n v="99996"/>
    <n v="5091"/>
    <n v="1068950.8300000003"/>
    <n v="1344.5922389937111"/>
    <n v="0.35149999999999998"/>
    <n v="431142825.82999951"/>
    <x v="1"/>
    <n v="2275.92"/>
  </r>
  <r>
    <s v="LN01207"/>
    <x v="1206"/>
    <n v="47"/>
    <s v="Female"/>
    <s v="Married"/>
    <s v="Self-Employed"/>
    <n v="33803"/>
    <n v="718"/>
    <n v="83833"/>
    <n v="9.3800000000000008"/>
    <n v="24"/>
    <s v="Business"/>
    <n v="57.81"/>
    <n v="58534"/>
    <n v="157200"/>
    <x v="813"/>
    <s v="Rejected"/>
    <s v="No"/>
    <x v="3"/>
    <x v="1204"/>
    <x v="1206"/>
    <n v="287"/>
    <n v="255"/>
    <n v="0.35149999999999998"/>
    <n v="40598271"/>
    <n v="51131.323677581866"/>
    <n v="99996"/>
    <n v="5091"/>
    <n v="1068761.1700000004"/>
    <n v="1346.0468136020156"/>
    <n v="0.35149999999999998"/>
    <n v="430073874.99999946"/>
    <x v="1"/>
    <n v="45848.28"/>
  </r>
  <r>
    <s v="LN01208"/>
    <x v="1207"/>
    <n v="61"/>
    <s v="Female"/>
    <s v="Married"/>
    <s v="Employed"/>
    <n v="51570"/>
    <n v="522"/>
    <n v="40222"/>
    <n v="8.49"/>
    <n v="36"/>
    <s v="Education"/>
    <n v="59.64"/>
    <n v="624"/>
    <n v="227160"/>
    <x v="33"/>
    <s v="Rejected"/>
    <s v="Yes"/>
    <x v="1"/>
    <x v="1205"/>
    <x v="1207"/>
    <n v="287"/>
    <n v="254"/>
    <n v="0.35149999999999998"/>
    <n v="40514438"/>
    <n v="51090.085750315258"/>
    <n v="99996"/>
    <n v="5091"/>
    <n v="1064940.4800000002"/>
    <n v="1342.9262042875159"/>
    <n v="0.35149999999999998"/>
    <n v="429005113.82999957"/>
    <x v="1"/>
    <n v="14545.560000000001"/>
  </r>
  <r>
    <s v="LN01209"/>
    <x v="1208"/>
    <n v="60"/>
    <s v="Female"/>
    <s v="Single"/>
    <s v="Employed"/>
    <n v="168540"/>
    <n v="543"/>
    <n v="14687"/>
    <n v="12.13"/>
    <n v="36"/>
    <s v="Education"/>
    <n v="44.6"/>
    <n v="32288"/>
    <n v="114378"/>
    <x v="814"/>
    <s v="Pending"/>
    <s v="No"/>
    <x v="3"/>
    <x v="1206"/>
    <x v="1208"/>
    <n v="287"/>
    <n v="253"/>
    <n v="0.35149999999999998"/>
    <n v="40474216"/>
    <n v="51103.808080808078"/>
    <n v="99996"/>
    <n v="5091"/>
    <n v="1063728.3500000003"/>
    <n v="1343.0913510101013"/>
    <n v="0.35149999999999998"/>
    <n v="427940173.34999955"/>
    <x v="1"/>
    <n v="5489.5199999999995"/>
  </r>
  <r>
    <s v="LN01210"/>
    <x v="1209"/>
    <n v="54"/>
    <s v="Female"/>
    <s v="Single"/>
    <s v="Self-Employed"/>
    <n v="68977"/>
    <n v="519"/>
    <n v="37561"/>
    <n v="16.329999999999998"/>
    <n v="240"/>
    <s v="Personal"/>
    <n v="22.8"/>
    <n v="55021"/>
    <n v="163283"/>
    <x v="523"/>
    <s v="Approved"/>
    <s v="Yes"/>
    <x v="3"/>
    <x v="1207"/>
    <x v="1209"/>
    <n v="287"/>
    <n v="253"/>
    <n v="0.35149999999999998"/>
    <n v="40459529"/>
    <n v="51149.847029077115"/>
    <n v="99996"/>
    <n v="5091"/>
    <n v="1063270.8900000001"/>
    <n v="1344.2109860935527"/>
    <n v="0.35149999999999998"/>
    <n v="426876444.99999958"/>
    <x v="1"/>
    <n v="2184.7200000000003"/>
  </r>
  <r>
    <s v="LN01211"/>
    <x v="1210"/>
    <n v="25"/>
    <s v="Male"/>
    <s v="Single"/>
    <s v="Unemployed"/>
    <n v="171263"/>
    <n v="502"/>
    <n v="20918"/>
    <n v="20.73"/>
    <n v="60"/>
    <s v="Business"/>
    <n v="59.54"/>
    <n v="76403"/>
    <n v="123069"/>
    <x v="815"/>
    <s v="Pending"/>
    <s v="No"/>
    <x v="4"/>
    <x v="1208"/>
    <x v="1210"/>
    <n v="286"/>
    <n v="253"/>
    <n v="0.35149999999999998"/>
    <n v="40421968"/>
    <n v="51167.04810126582"/>
    <n v="99996"/>
    <n v="5091"/>
    <n v="1063088.83"/>
    <n v="1345.6820632911392"/>
    <n v="0.35149999999999998"/>
    <n v="425813174.10999954"/>
    <x v="1"/>
    <n v="5050.92"/>
  </r>
  <r>
    <s v="LN01212"/>
    <x v="1211"/>
    <n v="39"/>
    <s v="Male"/>
    <s v="Divorced"/>
    <s v="Employed"/>
    <n v="43751"/>
    <n v="461"/>
    <n v="82027"/>
    <n v="17.41"/>
    <n v="180"/>
    <s v="Personal"/>
    <n v="33.869999999999997"/>
    <n v="59064"/>
    <n v="18194"/>
    <x v="816"/>
    <s v="Approved"/>
    <s v="Yes"/>
    <x v="0"/>
    <x v="1209"/>
    <x v="1211"/>
    <n v="286"/>
    <n v="253"/>
    <n v="0.35149999999999998"/>
    <n v="40401050"/>
    <n v="51205.3865652725"/>
    <n v="99996"/>
    <n v="5091"/>
    <n v="1062667.9200000002"/>
    <n v="1346.8541444866921"/>
    <n v="0.35149999999999998"/>
    <n v="424750085.27999955"/>
    <x v="1"/>
    <n v="6420.48"/>
  </r>
  <r>
    <s v="LN01213"/>
    <x v="1212"/>
    <n v="45"/>
    <s v="Female"/>
    <s v="Single"/>
    <s v="Self-Employed"/>
    <n v="61481"/>
    <n v="577"/>
    <n v="98956"/>
    <n v="17.78"/>
    <n v="360"/>
    <s v="Mortgage"/>
    <n v="24.67"/>
    <n v="14183"/>
    <n v="126936"/>
    <x v="817"/>
    <s v="Approved"/>
    <s v="Yes"/>
    <x v="1"/>
    <x v="1210"/>
    <x v="1212"/>
    <n v="285"/>
    <n v="253"/>
    <n v="0.35149999999999998"/>
    <n v="40319023"/>
    <n v="51166.272842639592"/>
    <n v="99996"/>
    <n v="5091"/>
    <n v="1062132.8800000001"/>
    <n v="1347.8843654822338"/>
    <n v="0.35149999999999998"/>
    <n v="423687417.3599996"/>
    <x v="1"/>
    <n v="3885"/>
  </r>
  <r>
    <s v="LN01214"/>
    <x v="1213"/>
    <n v="55"/>
    <s v="Male"/>
    <s v="Divorced"/>
    <s v="Employed"/>
    <n v="194035"/>
    <n v="823"/>
    <n v="17514"/>
    <n v="19.62"/>
    <n v="60"/>
    <s v="Business"/>
    <n v="58.18"/>
    <n v="43158"/>
    <n v="97132"/>
    <x v="114"/>
    <s v="Rejected"/>
    <s v="No"/>
    <x v="1"/>
    <x v="1211"/>
    <x v="1213"/>
    <n v="284"/>
    <n v="253"/>
    <n v="0.35149999999999998"/>
    <n v="40220067"/>
    <n v="51105.548919949171"/>
    <n v="99996"/>
    <n v="5091"/>
    <n v="1061809.1300000001"/>
    <n v="1349.1856797966964"/>
    <n v="0.35149999999999998"/>
    <n v="422625284.4799996"/>
    <x v="1"/>
    <n v="4190.04"/>
  </r>
  <r>
    <s v="LN01215"/>
    <x v="1214"/>
    <n v="40"/>
    <s v="Male"/>
    <s v="Married"/>
    <s v="Employed"/>
    <n v="58095"/>
    <n v="404"/>
    <n v="6798"/>
    <n v="13.52"/>
    <n v="36"/>
    <s v="Education"/>
    <n v="16.16"/>
    <n v="26684"/>
    <n v="18727"/>
    <x v="381"/>
    <s v="Rejected"/>
    <s v="Yes"/>
    <x v="2"/>
    <x v="1212"/>
    <x v="1214"/>
    <n v="284"/>
    <n v="252"/>
    <n v="0.35149999999999998"/>
    <n v="40202553"/>
    <n v="51148.286259541987"/>
    <n v="99996"/>
    <n v="5091"/>
    <n v="1061459.9600000002"/>
    <n v="1350.4579643765906"/>
    <n v="0.35149999999999998"/>
    <n v="421563475.34999967"/>
    <x v="1"/>
    <n v="2572.3200000000002"/>
  </r>
  <r>
    <s v="LN01216"/>
    <x v="1215"/>
    <n v="38"/>
    <s v="Female"/>
    <s v="Divorced"/>
    <s v="Unemployed"/>
    <n v="150648"/>
    <n v="432"/>
    <n v="95573"/>
    <n v="6.25"/>
    <n v="36"/>
    <s v="Auto"/>
    <n v="29.32"/>
    <n v="59298"/>
    <n v="1586"/>
    <x v="818"/>
    <s v="Rejected"/>
    <s v="No"/>
    <x v="0"/>
    <x v="1213"/>
    <x v="1215"/>
    <n v="284"/>
    <n v="251"/>
    <n v="0.35149999999999998"/>
    <n v="40195755"/>
    <n v="51204.783439490449"/>
    <n v="99996"/>
    <n v="5091"/>
    <n v="1061245.6000000003"/>
    <n v="1351.9052229299368"/>
    <n v="0.35149999999999998"/>
    <n v="420502015.38999957"/>
    <x v="1"/>
    <n v="33848.76"/>
  </r>
  <r>
    <s v="LN01217"/>
    <x v="1216"/>
    <n v="55"/>
    <s v="Male"/>
    <s v="Single"/>
    <s v="Employed"/>
    <n v="109630"/>
    <n v="564"/>
    <n v="7435"/>
    <n v="16.16"/>
    <n v="120"/>
    <s v="Business"/>
    <n v="36.74"/>
    <n v="16339"/>
    <n v="249096"/>
    <x v="447"/>
    <s v="Pending"/>
    <s v="No"/>
    <x v="3"/>
    <x v="1214"/>
    <x v="1216"/>
    <n v="284"/>
    <n v="250"/>
    <n v="0.35149999999999998"/>
    <n v="40100182"/>
    <n v="51148.191326530614"/>
    <n v="99996"/>
    <n v="5091"/>
    <n v="1058424.8700000006"/>
    <n v="1350.0317219387762"/>
    <n v="0.35149999999999998"/>
    <n v="419440769.7899996"/>
    <x v="1"/>
    <n v="863.64"/>
  </r>
  <r>
    <s v="LN01218"/>
    <x v="1217"/>
    <n v="42"/>
    <s v="Female"/>
    <s v="Married"/>
    <s v="Self-Employed"/>
    <n v="81556"/>
    <n v="740"/>
    <n v="17856"/>
    <n v="6.93"/>
    <n v="120"/>
    <s v="Mortgage"/>
    <n v="52.07"/>
    <n v="39643"/>
    <n v="68315"/>
    <x v="360"/>
    <s v="Approved"/>
    <s v="No"/>
    <x v="2"/>
    <x v="1215"/>
    <x v="1217"/>
    <n v="284"/>
    <n v="250"/>
    <n v="0.35149999999999998"/>
    <n v="40092747"/>
    <n v="51204.019157088122"/>
    <n v="99996"/>
    <n v="5091"/>
    <n v="1058352.9000000004"/>
    <n v="1351.6639846743299"/>
    <n v="0.35149999999999998"/>
    <n v="418382344.9199996"/>
    <x v="1"/>
    <n v="1909.3200000000002"/>
  </r>
  <r>
    <s v="LN01219"/>
    <x v="1218"/>
    <n v="35"/>
    <s v="Male"/>
    <s v="Single"/>
    <s v="Unemployed"/>
    <n v="35618"/>
    <n v="481"/>
    <n v="23432"/>
    <n v="12.36"/>
    <n v="360"/>
    <s v="Auto"/>
    <n v="58.84"/>
    <n v="27905"/>
    <n v="106541"/>
    <x v="819"/>
    <s v="Pending"/>
    <s v="Yes"/>
    <x v="4"/>
    <x v="1216"/>
    <x v="1218"/>
    <n v="283"/>
    <n v="250"/>
    <n v="0.35149999999999998"/>
    <n v="40074891"/>
    <n v="51246.663682864448"/>
    <n v="99996"/>
    <n v="5091"/>
    <n v="1058193.7900000005"/>
    <n v="1353.1889897698215"/>
    <n v="0.35149999999999998"/>
    <n v="417323992.01999956"/>
    <x v="1"/>
    <n v="877.56"/>
  </r>
  <r>
    <s v="LN01220"/>
    <x v="1219"/>
    <n v="30"/>
    <s v="Female"/>
    <s v="Divorced"/>
    <s v="Employed"/>
    <n v="103721"/>
    <n v="778"/>
    <n v="94229"/>
    <n v="6.98"/>
    <n v="120"/>
    <s v="Mortgage"/>
    <n v="8.4600000000000009"/>
    <n v="71866"/>
    <n v="174160"/>
    <x v="790"/>
    <s v="Pending"/>
    <s v="Yes"/>
    <x v="3"/>
    <x v="1217"/>
    <x v="1219"/>
    <n v="283"/>
    <n v="250"/>
    <n v="0.35149999999999998"/>
    <n v="40051459"/>
    <n v="51282.277848911654"/>
    <n v="99996"/>
    <n v="5091"/>
    <n v="1058120.6600000004"/>
    <n v="1354.8279897567227"/>
    <n v="0.35149999999999998"/>
    <n v="416265798.22999966"/>
    <x v="1"/>
    <n v="10080.599999999999"/>
  </r>
  <r>
    <s v="LN01221"/>
    <x v="1220"/>
    <n v="32"/>
    <s v="Male"/>
    <s v="Married"/>
    <s v="Unemployed"/>
    <n v="196778"/>
    <n v="828"/>
    <n v="85520"/>
    <n v="21.42"/>
    <n v="240"/>
    <s v="Auto"/>
    <n v="44.12"/>
    <n v="42635"/>
    <n v="16416"/>
    <x v="773"/>
    <s v="Pending"/>
    <s v="Yes"/>
    <x v="3"/>
    <x v="1218"/>
    <x v="1220"/>
    <n v="283"/>
    <n v="250"/>
    <n v="0.35149999999999998"/>
    <n v="39957230"/>
    <n v="51227.217948717946"/>
    <n v="99996"/>
    <n v="5091"/>
    <n v="1057280.6100000006"/>
    <n v="1355.4879615384623"/>
    <n v="0.35149999999999998"/>
    <n v="415207677.56999964"/>
    <x v="1"/>
    <n v="5191.92"/>
  </r>
  <r>
    <s v="LN01222"/>
    <x v="1221"/>
    <n v="38"/>
    <s v="Female"/>
    <s v="Single"/>
    <s v="Unemployed"/>
    <n v="47312"/>
    <n v="439"/>
    <n v="68938"/>
    <n v="21.05"/>
    <n v="12"/>
    <s v="Mortgage"/>
    <n v="33.44"/>
    <n v="23874"/>
    <n v="193238"/>
    <x v="820"/>
    <s v="Approved"/>
    <s v="Yes"/>
    <x v="1"/>
    <x v="1219"/>
    <x v="1221"/>
    <n v="283"/>
    <n v="250"/>
    <n v="0.35149999999999998"/>
    <n v="39871710"/>
    <n v="51183.196405648268"/>
    <n v="99996"/>
    <n v="5091"/>
    <n v="1056847.9500000004"/>
    <n v="1356.6725930680366"/>
    <n v="0.35149999999999998"/>
    <n v="414150396.95999962"/>
    <x v="1"/>
    <n v="83449.440000000002"/>
  </r>
  <r>
    <s v="LN01223"/>
    <x v="1222"/>
    <n v="40"/>
    <s v="Male"/>
    <s v="Divorced"/>
    <s v="Employed"/>
    <n v="163102"/>
    <n v="760"/>
    <n v="90685"/>
    <n v="4.29"/>
    <n v="240"/>
    <s v="Auto"/>
    <n v="19.54"/>
    <n v="12497"/>
    <n v="153193"/>
    <x v="490"/>
    <s v="Pending"/>
    <s v="No"/>
    <x v="4"/>
    <x v="1220"/>
    <x v="1222"/>
    <n v="282"/>
    <n v="250"/>
    <n v="0.35149999999999998"/>
    <n v="39802772"/>
    <n v="51160.37532133676"/>
    <n v="99996"/>
    <n v="5091"/>
    <n v="1049893.8300000005"/>
    <n v="1349.4779305912602"/>
    <n v="0.35149999999999998"/>
    <n v="413093549.00999957"/>
    <x v="0"/>
    <n v="4728.72"/>
  </r>
  <r>
    <s v="LN01224"/>
    <x v="1223"/>
    <n v="35"/>
    <s v="Male"/>
    <s v="Divorced"/>
    <s v="Self-Employed"/>
    <n v="149405"/>
    <n v="337"/>
    <n v="31527"/>
    <n v="6.31"/>
    <n v="240"/>
    <s v="Business"/>
    <n v="16.579999999999998"/>
    <n v="61090"/>
    <n v="122516"/>
    <x v="670"/>
    <s v="Pending"/>
    <s v="Yes"/>
    <x v="4"/>
    <x v="1221"/>
    <x v="1223"/>
    <n v="282"/>
    <n v="250"/>
    <n v="0.35149999999999998"/>
    <n v="39712087"/>
    <n v="51109.507078507078"/>
    <n v="99996"/>
    <n v="5091"/>
    <n v="1049499.7700000005"/>
    <n v="1350.7075546975552"/>
    <n v="0.35149999999999998"/>
    <n v="412043655.17999959"/>
    <x v="1"/>
    <n v="1675.8000000000002"/>
  </r>
  <r>
    <s v="LN01225"/>
    <x v="1224"/>
    <n v="46"/>
    <s v="Male"/>
    <s v="Married"/>
    <s v="Self-Employed"/>
    <n v="153277"/>
    <n v="519"/>
    <n v="79370"/>
    <n v="3.6"/>
    <n v="60"/>
    <s v="Personal"/>
    <n v="8.0399999999999991"/>
    <n v="53820"/>
    <n v="57949"/>
    <x v="307"/>
    <s v="Pending"/>
    <s v="Yes"/>
    <x v="2"/>
    <x v="1222"/>
    <x v="1224"/>
    <n v="282"/>
    <n v="250"/>
    <n v="0.35149999999999998"/>
    <n v="39680560"/>
    <n v="51134.742268041235"/>
    <n v="99996"/>
    <n v="5091"/>
    <n v="1049360.1200000006"/>
    <n v="1352.2681958762894"/>
    <n v="0.35149999999999998"/>
    <n v="410994155.40999955"/>
    <x v="1"/>
    <n v="16445.52"/>
  </r>
  <r>
    <s v="LN01226"/>
    <x v="1225"/>
    <n v="38"/>
    <s v="Female"/>
    <s v="Single"/>
    <s v="Self-Employed"/>
    <n v="121349"/>
    <n v="824"/>
    <n v="99365"/>
    <n v="22.36"/>
    <n v="360"/>
    <s v="Education"/>
    <n v="51.06"/>
    <n v="59174"/>
    <n v="215255"/>
    <x v="468"/>
    <s v="Rejected"/>
    <s v="Yes"/>
    <x v="4"/>
    <x v="1223"/>
    <x v="1225"/>
    <n v="282"/>
    <n v="250"/>
    <n v="0.35149999999999998"/>
    <n v="39601190"/>
    <n v="51098.309677419355"/>
    <n v="99996"/>
    <n v="5091"/>
    <n v="1047989.6600000003"/>
    <n v="1352.2447225806454"/>
    <n v="0.35149999999999998"/>
    <n v="409944795.28999949"/>
    <x v="1"/>
    <n v="4052.76"/>
  </r>
  <r>
    <s v="LN01227"/>
    <x v="1226"/>
    <n v="30"/>
    <s v="Female"/>
    <s v="Married"/>
    <s v="Unemployed"/>
    <n v="109243"/>
    <n v="481"/>
    <n v="48589"/>
    <n v="9.92"/>
    <n v="360"/>
    <s v="Auto"/>
    <n v="25.67"/>
    <n v="48942"/>
    <n v="221264"/>
    <x v="821"/>
    <s v="Pending"/>
    <s v="No"/>
    <x v="2"/>
    <x v="1224"/>
    <x v="1226"/>
    <n v="282"/>
    <n v="249"/>
    <n v="0.35149999999999998"/>
    <n v="39501825"/>
    <n v="51035.949612403099"/>
    <n v="99996"/>
    <n v="5091"/>
    <n v="1047651.9300000003"/>
    <n v="1353.5554651162795"/>
    <n v="0.35149999999999998"/>
    <n v="408896805.62999952"/>
    <x v="1"/>
    <n v="1780.3200000000002"/>
  </r>
  <r>
    <s v="LN01228"/>
    <x v="1227"/>
    <n v="60"/>
    <s v="Male"/>
    <s v="Married"/>
    <s v="Employed"/>
    <n v="35758"/>
    <n v="651"/>
    <n v="66800"/>
    <n v="5.83"/>
    <n v="48"/>
    <s v="Auto"/>
    <n v="43.44"/>
    <n v="55016"/>
    <n v="50741"/>
    <x v="441"/>
    <s v="Pending"/>
    <s v="Yes"/>
    <x v="1"/>
    <x v="1225"/>
    <x v="1227"/>
    <n v="282"/>
    <n v="249"/>
    <n v="0.35149999999999998"/>
    <n v="39453236"/>
    <n v="51039.115135834414"/>
    <n v="99996"/>
    <n v="5091"/>
    <n v="1047503.5700000003"/>
    <n v="1355.1145795601556"/>
    <n v="0.35149999999999998"/>
    <n v="407849153.69999951"/>
    <x v="1"/>
    <n v="17673.599999999999"/>
  </r>
  <r>
    <s v="LN01229"/>
    <x v="1228"/>
    <n v="39"/>
    <s v="Male"/>
    <s v="Single"/>
    <s v="Self-Employed"/>
    <n v="163769"/>
    <n v="579"/>
    <n v="36522"/>
    <n v="11.46"/>
    <n v="360"/>
    <s v="Education"/>
    <n v="23.65"/>
    <n v="27612"/>
    <n v="140169"/>
    <x v="822"/>
    <s v="Rejected"/>
    <s v="No"/>
    <x v="0"/>
    <x v="1226"/>
    <x v="1228"/>
    <n v="282"/>
    <n v="249"/>
    <n v="0.35149999999999998"/>
    <n v="39386436"/>
    <n v="51018.699481865282"/>
    <n v="99996"/>
    <n v="5091"/>
    <n v="1046030.7700000004"/>
    <n v="1354.9621373057"/>
    <n v="0.35149999999999998"/>
    <n v="406801650.12999946"/>
    <x v="1"/>
    <n v="1356.96"/>
  </r>
  <r>
    <s v="LN01230"/>
    <x v="1229"/>
    <n v="36"/>
    <s v="Female"/>
    <s v="Married"/>
    <s v="Self-Employed"/>
    <n v="157460"/>
    <n v="375"/>
    <n v="37624"/>
    <n v="4.58"/>
    <n v="60"/>
    <s v="Education"/>
    <n v="35.49"/>
    <n v="71185"/>
    <n v="128512"/>
    <x v="823"/>
    <s v="Rejected"/>
    <s v="No"/>
    <x v="1"/>
    <x v="1227"/>
    <x v="1229"/>
    <n v="282"/>
    <n v="248"/>
    <n v="0.35149999999999998"/>
    <n v="39349914"/>
    <n v="51037.501945525291"/>
    <n v="99996"/>
    <n v="5091"/>
    <n v="1045917.6900000003"/>
    <n v="1356.5728793774324"/>
    <n v="0.35149999999999998"/>
    <n v="405755619.35999948"/>
    <x v="1"/>
    <n v="7869.48"/>
  </r>
  <r>
    <s v="LN01231"/>
    <x v="1230"/>
    <n v="21"/>
    <s v="Male"/>
    <s v="Divorced"/>
    <s v="Employed"/>
    <n v="46565"/>
    <n v="784"/>
    <n v="94046"/>
    <n v="13.19"/>
    <n v="180"/>
    <s v="Personal"/>
    <n v="50.9"/>
    <n v="70001"/>
    <n v="229221"/>
    <x v="824"/>
    <s v="Rejected"/>
    <s v="Yes"/>
    <x v="4"/>
    <x v="1228"/>
    <x v="1230"/>
    <n v="282"/>
    <n v="247"/>
    <n v="0.35149999999999998"/>
    <n v="39312290"/>
    <n v="51054.922077922078"/>
    <n v="99996"/>
    <n v="5091"/>
    <n v="1045261.9000000004"/>
    <n v="1357.4829870129875"/>
    <n v="0.35149999999999998"/>
    <n v="404709701.66999954"/>
    <x v="1"/>
    <n v="7096.68"/>
  </r>
  <r>
    <s v="LN01232"/>
    <x v="1231"/>
    <n v="65"/>
    <s v="Male"/>
    <s v="Divorced"/>
    <s v="Employed"/>
    <n v="27385"/>
    <n v="321"/>
    <n v="64161"/>
    <n v="20.72"/>
    <n v="120"/>
    <s v="Mortgage"/>
    <n v="46.34"/>
    <n v="59472"/>
    <n v="245069"/>
    <x v="825"/>
    <s v="Approved"/>
    <s v="No"/>
    <x v="1"/>
    <x v="1229"/>
    <x v="1231"/>
    <n v="282"/>
    <n v="246"/>
    <n v="0.35149999999999998"/>
    <n v="39218244"/>
    <n v="50999.016905071519"/>
    <n v="99996"/>
    <n v="5091"/>
    <n v="1044670.5100000004"/>
    <n v="1358.479206762029"/>
    <n v="0.35149999999999998"/>
    <n v="403664439.7699995"/>
    <x v="1"/>
    <n v="7745.52"/>
  </r>
  <r>
    <s v="LN01233"/>
    <x v="1232"/>
    <n v="58"/>
    <s v="Male"/>
    <s v="Married"/>
    <s v="Employed"/>
    <n v="179757"/>
    <n v="419"/>
    <n v="21975"/>
    <n v="11.8"/>
    <n v="60"/>
    <s v="Mortgage"/>
    <n v="18.72"/>
    <n v="57811"/>
    <n v="54770"/>
    <x v="826"/>
    <s v="Rejected"/>
    <s v="No"/>
    <x v="2"/>
    <x v="1230"/>
    <x v="1232"/>
    <n v="281"/>
    <n v="246"/>
    <n v="0.35149999999999998"/>
    <n v="39154083"/>
    <n v="50981.87890625"/>
    <n v="99996"/>
    <n v="5091"/>
    <n v="1044025.0500000003"/>
    <n v="1359.4076171875004"/>
    <n v="0.35149999999999998"/>
    <n v="402619769.25999951"/>
    <x v="1"/>
    <n v="4913.6400000000003"/>
  </r>
  <r>
    <s v="LN01234"/>
    <x v="1233"/>
    <n v="65"/>
    <s v="Female"/>
    <s v="Single"/>
    <s v="Unemployed"/>
    <n v="77061"/>
    <n v="789"/>
    <n v="39478"/>
    <n v="16.79"/>
    <n v="48"/>
    <s v="Personal"/>
    <n v="40.33"/>
    <n v="47413"/>
    <n v="175818"/>
    <x v="562"/>
    <s v="Rejected"/>
    <s v="No"/>
    <x v="3"/>
    <x v="1231"/>
    <x v="1233"/>
    <n v="281"/>
    <n v="245"/>
    <n v="0.35149999999999998"/>
    <n v="39132108"/>
    <n v="51019.697522816168"/>
    <n v="99996"/>
    <n v="5091"/>
    <n v="1043615.5800000003"/>
    <n v="1360.646127770535"/>
    <n v="0.35149999999999998"/>
    <n v="401575744.20999944"/>
    <x v="1"/>
    <n v="11526.599999999999"/>
  </r>
  <r>
    <s v="LN01235"/>
    <x v="1234"/>
    <n v="26"/>
    <s v="Female"/>
    <s v="Divorced"/>
    <s v="Unemployed"/>
    <n v="135749"/>
    <n v="646"/>
    <n v="70719"/>
    <n v="7.2"/>
    <n v="12"/>
    <s v="Personal"/>
    <n v="17.350000000000001"/>
    <n v="14907"/>
    <n v="186426"/>
    <x v="533"/>
    <s v="Pending"/>
    <s v="No"/>
    <x v="0"/>
    <x v="1232"/>
    <x v="1234"/>
    <n v="281"/>
    <n v="244"/>
    <n v="0.35149999999999998"/>
    <n v="39092630"/>
    <n v="51034.765013054828"/>
    <n v="99996"/>
    <n v="5091"/>
    <n v="1042655.0300000004"/>
    <n v="1361.1684464751963"/>
    <n v="0.35149999999999998"/>
    <n v="400532128.62999946"/>
    <x v="1"/>
    <n v="75810.720000000001"/>
  </r>
  <r>
    <s v="LN01236"/>
    <x v="1235"/>
    <n v="28"/>
    <s v="Female"/>
    <s v="Divorced"/>
    <s v="Unemployed"/>
    <n v="130291"/>
    <n v="532"/>
    <n v="83900"/>
    <n v="7.87"/>
    <n v="180"/>
    <s v="Business"/>
    <n v="54.93"/>
    <n v="29115"/>
    <n v="205806"/>
    <x v="827"/>
    <s v="Rejected"/>
    <s v="No"/>
    <x v="1"/>
    <x v="1233"/>
    <x v="1235"/>
    <n v="281"/>
    <n v="244"/>
    <n v="0.35149999999999998"/>
    <n v="39021911"/>
    <n v="51009.033986928102"/>
    <n v="99996"/>
    <n v="5091"/>
    <n v="1036337.4700000003"/>
    <n v="1354.6895032679743"/>
    <n v="0.35149999999999998"/>
    <n v="399489473.59999949"/>
    <x v="0"/>
    <n v="6033.4800000000005"/>
  </r>
  <r>
    <s v="LN01237"/>
    <x v="1236"/>
    <n v="45"/>
    <s v="Male"/>
    <s v="Married"/>
    <s v="Unemployed"/>
    <n v="192648"/>
    <n v="432"/>
    <n v="28140"/>
    <n v="23.2"/>
    <n v="180"/>
    <s v="Personal"/>
    <n v="5.69"/>
    <n v="69530"/>
    <n v="249706"/>
    <x v="828"/>
    <s v="Rejected"/>
    <s v="Yes"/>
    <x v="2"/>
    <x v="1234"/>
    <x v="1236"/>
    <n v="281"/>
    <n v="243"/>
    <n v="0.35149999999999998"/>
    <n v="38938011"/>
    <n v="50965.982984293194"/>
    <n v="99996"/>
    <n v="5091"/>
    <n v="1035834.6800000003"/>
    <n v="1355.8045549738224"/>
    <n v="0.35149999999999998"/>
    <n v="398453136.12999952"/>
    <x v="1"/>
    <n v="2311.1999999999998"/>
  </r>
  <r>
    <s v="LN01238"/>
    <x v="1237"/>
    <n v="55"/>
    <s v="Female"/>
    <s v="Single"/>
    <s v="Employed"/>
    <n v="61063"/>
    <n v="845"/>
    <n v="30164"/>
    <n v="15.37"/>
    <n v="360"/>
    <s v="Education"/>
    <n v="5.73"/>
    <n v="43806"/>
    <n v="174950"/>
    <x v="186"/>
    <s v="Approved"/>
    <s v="No"/>
    <x v="0"/>
    <x v="1235"/>
    <x v="1237"/>
    <n v="281"/>
    <n v="242"/>
    <n v="0.35149999999999998"/>
    <n v="38909871"/>
    <n v="50995.899082568809"/>
    <n v="99996"/>
    <n v="5091"/>
    <n v="1035642.0800000002"/>
    <n v="1357.3290694626478"/>
    <n v="0.35149999999999998"/>
    <n v="397417301.44999939"/>
    <x v="1"/>
    <n v="1160.04"/>
  </r>
  <r>
    <s v="LN01239"/>
    <x v="1238"/>
    <n v="48"/>
    <s v="Male"/>
    <s v="Married"/>
    <s v="Employed"/>
    <n v="179577"/>
    <n v="530"/>
    <n v="38368"/>
    <n v="18.48"/>
    <n v="12"/>
    <s v="Education"/>
    <n v="21.71"/>
    <n v="50223"/>
    <n v="205968"/>
    <x v="829"/>
    <s v="Rejected"/>
    <s v="Yes"/>
    <x v="2"/>
    <x v="1236"/>
    <x v="1238"/>
    <n v="280"/>
    <n v="242"/>
    <n v="0.35149999999999998"/>
    <n v="38879707"/>
    <n v="51023.237532808402"/>
    <n v="99996"/>
    <n v="5091"/>
    <n v="1035545.4100000003"/>
    <n v="1358.983477690289"/>
    <n v="0.35149999999999998"/>
    <n v="396381659.36999953"/>
    <x v="1"/>
    <n v="45458.399999999994"/>
  </r>
  <r>
    <s v="LN01240"/>
    <x v="1239"/>
    <n v="61"/>
    <s v="Female"/>
    <s v="Divorced"/>
    <s v="Self-Employed"/>
    <n v="56786"/>
    <n v="565"/>
    <n v="8970"/>
    <n v="21.04"/>
    <n v="120"/>
    <s v="Mortgage"/>
    <n v="50.79"/>
    <n v="79588"/>
    <n v="30940"/>
    <x v="286"/>
    <s v="Pending"/>
    <s v="No"/>
    <x v="4"/>
    <x v="1237"/>
    <x v="1239"/>
    <n v="280"/>
    <n v="241"/>
    <n v="0.35149999999999998"/>
    <n v="38841339"/>
    <n v="51039.867279894876"/>
    <n v="99996"/>
    <n v="5091"/>
    <n v="1031757.2100000002"/>
    <n v="1355.791340341656"/>
    <n v="0.35149999999999998"/>
    <n v="395346113.95999956"/>
    <x v="0"/>
    <n v="1085.76"/>
  </r>
  <r>
    <s v="LN01241"/>
    <x v="1240"/>
    <n v="58"/>
    <s v="Female"/>
    <s v="Married"/>
    <s v="Employed"/>
    <n v="65530"/>
    <n v="660"/>
    <n v="49307"/>
    <n v="10.49"/>
    <n v="240"/>
    <s v="Mortgage"/>
    <n v="20.55"/>
    <n v="38818"/>
    <n v="81855"/>
    <x v="313"/>
    <s v="Pending"/>
    <s v="No"/>
    <x v="4"/>
    <x v="1238"/>
    <x v="1240"/>
    <n v="280"/>
    <n v="241"/>
    <n v="0.35149999999999998"/>
    <n v="38832369"/>
    <n v="51095.222368421055"/>
    <n v="99996"/>
    <n v="5091"/>
    <n v="1031666.7300000002"/>
    <n v="1357.4562236842107"/>
    <n v="0.35149999999999998"/>
    <n v="394314356.74999958"/>
    <x v="1"/>
    <n v="2724"/>
  </r>
  <r>
    <s v="LN01242"/>
    <x v="1241"/>
    <n v="49"/>
    <s v="Male"/>
    <s v="Single"/>
    <s v="Self-Employed"/>
    <n v="79402"/>
    <n v="641"/>
    <n v="24382"/>
    <n v="3.7"/>
    <n v="24"/>
    <s v="Mortgage"/>
    <n v="38.21"/>
    <n v="9811"/>
    <n v="122199"/>
    <x v="830"/>
    <s v="Pending"/>
    <s v="Yes"/>
    <x v="0"/>
    <x v="1239"/>
    <x v="1241"/>
    <n v="280"/>
    <n v="241"/>
    <n v="0.35149999999999998"/>
    <n v="38783062"/>
    <n v="51097.578392621872"/>
    <n v="99996"/>
    <n v="5091"/>
    <n v="1031439.7300000002"/>
    <n v="1358.9456258234522"/>
    <n v="0.35149999999999998"/>
    <n v="393282690.01999956"/>
    <x v="1"/>
    <n v="12642.119999999999"/>
  </r>
  <r>
    <s v="LN01243"/>
    <x v="1242"/>
    <n v="40"/>
    <s v="Male"/>
    <s v="Divorced"/>
    <s v="Unemployed"/>
    <n v="109501"/>
    <n v="549"/>
    <n v="38454"/>
    <n v="6.64"/>
    <n v="60"/>
    <s v="Mortgage"/>
    <n v="27.24"/>
    <n v="2769"/>
    <n v="229561"/>
    <x v="642"/>
    <s v="Pending"/>
    <s v="Yes"/>
    <x v="2"/>
    <x v="1240"/>
    <x v="1242"/>
    <n v="280"/>
    <n v="241"/>
    <n v="0.35149999999999998"/>
    <n v="38758680"/>
    <n v="51132.823218997364"/>
    <n v="99996"/>
    <n v="5091"/>
    <n v="1030386.2200000003"/>
    <n v="1359.3485751978897"/>
    <n v="0.35149999999999998"/>
    <n v="392251250.28999954"/>
    <x v="1"/>
    <n v="8201.52"/>
  </r>
  <r>
    <s v="LN01244"/>
    <x v="1243"/>
    <n v="60"/>
    <s v="Female"/>
    <s v="Single"/>
    <s v="Self-Employed"/>
    <n v="61900"/>
    <n v="666"/>
    <n v="93173"/>
    <n v="6.69"/>
    <n v="60"/>
    <s v="Personal"/>
    <n v="24.22"/>
    <n v="8493"/>
    <n v="101422"/>
    <x v="40"/>
    <s v="Rejected"/>
    <s v="Yes"/>
    <x v="4"/>
    <x v="1241"/>
    <x v="1243"/>
    <n v="280"/>
    <n v="241"/>
    <n v="0.35149999999999998"/>
    <n v="38720226"/>
    <n v="51149.571994715981"/>
    <n v="99996"/>
    <n v="5091"/>
    <n v="1029702.7600000004"/>
    <n v="1360.2414266842804"/>
    <n v="0.35149999999999998"/>
    <n v="391220864.06999958"/>
    <x v="1"/>
    <n v="19881.239999999998"/>
  </r>
  <r>
    <s v="LN01245"/>
    <x v="1244"/>
    <n v="57"/>
    <s v="Female"/>
    <s v="Married"/>
    <s v="Unemployed"/>
    <n v="99587"/>
    <n v="332"/>
    <n v="51552"/>
    <n v="18.89"/>
    <n v="240"/>
    <s v="Business"/>
    <n v="59.86"/>
    <n v="26169"/>
    <n v="198072"/>
    <x v="831"/>
    <s v="Approved"/>
    <s v="Yes"/>
    <x v="4"/>
    <x v="1242"/>
    <x v="1244"/>
    <n v="280"/>
    <n v="240"/>
    <n v="0.35149999999999998"/>
    <n v="38627053"/>
    <n v="51093.985449735446"/>
    <n v="99996"/>
    <n v="5091"/>
    <n v="1028045.9900000003"/>
    <n v="1359.8491931216936"/>
    <n v="0.35149999999999998"/>
    <n v="390191161.30999953"/>
    <x v="1"/>
    <n v="3064.56"/>
  </r>
  <r>
    <s v="LN01246"/>
    <x v="1245"/>
    <n v="26"/>
    <s v="Female"/>
    <s v="Divorced"/>
    <s v="Self-Employed"/>
    <n v="198264"/>
    <n v="409"/>
    <n v="31827"/>
    <n v="9.44"/>
    <n v="120"/>
    <s v="Business"/>
    <n v="23.57"/>
    <n v="57317"/>
    <n v="62856"/>
    <x v="832"/>
    <s v="Pending"/>
    <s v="No"/>
    <x v="3"/>
    <x v="1243"/>
    <x v="1245"/>
    <n v="279"/>
    <n v="240"/>
    <n v="0.35149999999999998"/>
    <n v="38575501"/>
    <n v="51093.378807947018"/>
    <n v="99996"/>
    <n v="5091"/>
    <n v="1027790.6100000003"/>
    <n v="1361.3120662251661"/>
    <n v="0.35149999999999998"/>
    <n v="389163115.31999958"/>
    <x v="1"/>
    <n v="3483.12"/>
  </r>
  <r>
    <s v="LN01247"/>
    <x v="1246"/>
    <n v="50"/>
    <s v="Female"/>
    <s v="Married"/>
    <s v="Employed"/>
    <n v="162591"/>
    <n v="662"/>
    <n v="22969"/>
    <n v="21.36"/>
    <n v="12"/>
    <s v="Education"/>
    <n v="12.64"/>
    <n v="20004"/>
    <n v="52543"/>
    <x v="833"/>
    <s v="Approved"/>
    <s v="No"/>
    <x v="2"/>
    <x v="1244"/>
    <x v="1246"/>
    <n v="279"/>
    <n v="240"/>
    <n v="0.35149999999999998"/>
    <n v="38543674"/>
    <n v="51118.931034482761"/>
    <n v="99996"/>
    <n v="5091"/>
    <n v="1027500.3500000003"/>
    <n v="1362.7325596816981"/>
    <n v="0.35149999999999998"/>
    <n v="388135324.70999956"/>
    <x v="1"/>
    <n v="27875.159999999996"/>
  </r>
  <r>
    <s v="LN01248"/>
    <x v="1247"/>
    <n v="21"/>
    <s v="Female"/>
    <s v="Single"/>
    <s v="Unemployed"/>
    <n v="155620"/>
    <n v="404"/>
    <n v="48997"/>
    <n v="23.79"/>
    <n v="36"/>
    <s v="Education"/>
    <n v="54.44"/>
    <n v="46638"/>
    <n v="99167"/>
    <x v="834"/>
    <s v="Rejected"/>
    <s v="Yes"/>
    <x v="1"/>
    <x v="1245"/>
    <x v="1247"/>
    <n v="278"/>
    <n v="240"/>
    <n v="0.35149999999999998"/>
    <n v="38520705"/>
    <n v="51156.314741035858"/>
    <n v="99996"/>
    <n v="5091"/>
    <n v="1025177.4200000003"/>
    <n v="1361.4573970783536"/>
    <n v="0.35149999999999998"/>
    <n v="387107824.3599996"/>
    <x v="0"/>
    <n v="20217.84"/>
  </r>
  <r>
    <s v="LN01249"/>
    <x v="1248"/>
    <n v="59"/>
    <s v="Male"/>
    <s v="Divorced"/>
    <s v="Employed"/>
    <n v="158714"/>
    <n v="445"/>
    <n v="7112"/>
    <n v="12.2"/>
    <n v="36"/>
    <s v="Mortgage"/>
    <n v="11.66"/>
    <n v="38155"/>
    <n v="229092"/>
    <x v="270"/>
    <s v="Approved"/>
    <s v="No"/>
    <x v="0"/>
    <x v="1246"/>
    <x v="1248"/>
    <n v="278"/>
    <n v="239"/>
    <n v="0.35149999999999998"/>
    <n v="38471708"/>
    <n v="51159.186170212764"/>
    <n v="99996"/>
    <n v="5091"/>
    <n v="1023492.6000000002"/>
    <n v="1361.0273936170215"/>
    <n v="0.35149999999999998"/>
    <n v="386082646.93999964"/>
    <x v="1"/>
    <n v="2659.92"/>
  </r>
  <r>
    <s v="LN01250"/>
    <x v="1249"/>
    <n v="41"/>
    <s v="Female"/>
    <s v="Divorced"/>
    <s v="Self-Employed"/>
    <n v="192838"/>
    <n v="593"/>
    <n v="11966"/>
    <n v="15.05"/>
    <n v="60"/>
    <s v="Auto"/>
    <n v="49"/>
    <n v="28450"/>
    <n v="9065"/>
    <x v="835"/>
    <s v="Pending"/>
    <s v="Yes"/>
    <x v="1"/>
    <x v="1247"/>
    <x v="1249"/>
    <n v="277"/>
    <n v="239"/>
    <n v="0.35149999999999998"/>
    <n v="38464596"/>
    <n v="51217.837549933422"/>
    <n v="99996"/>
    <n v="5091"/>
    <n v="1023270.9400000003"/>
    <n v="1362.5445272969378"/>
    <n v="0.35149999999999998"/>
    <n v="385059154.33999962"/>
    <x v="1"/>
    <n v="2753.3999999999996"/>
  </r>
  <r>
    <s v="LN01251"/>
    <x v="1250"/>
    <n v="51"/>
    <s v="Female"/>
    <s v="Divorced"/>
    <s v="Employed"/>
    <n v="133606"/>
    <n v="658"/>
    <n v="22024"/>
    <n v="18.46"/>
    <n v="24"/>
    <s v="Education"/>
    <n v="35.520000000000003"/>
    <n v="18113"/>
    <n v="222140"/>
    <x v="836"/>
    <s v="Pending"/>
    <s v="No"/>
    <x v="1"/>
    <x v="1248"/>
    <x v="1250"/>
    <n v="277"/>
    <n v="239"/>
    <n v="0.35149999999999998"/>
    <n v="38452630"/>
    <n v="51270.173333333332"/>
    <n v="99996"/>
    <n v="5091"/>
    <n v="1023041.4900000002"/>
    <n v="1364.0553200000004"/>
    <n v="0.35149999999999998"/>
    <n v="384035883.39999968"/>
    <x v="1"/>
    <n v="13044.84"/>
  </r>
  <r>
    <s v="LN01252"/>
    <x v="1251"/>
    <n v="35"/>
    <s v="Male"/>
    <s v="Single"/>
    <s v="Unemployed"/>
    <n v="50448"/>
    <n v="707"/>
    <n v="10906"/>
    <n v="17.48"/>
    <n v="36"/>
    <s v="Mortgage"/>
    <n v="53.55"/>
    <n v="79645"/>
    <n v="122870"/>
    <x v="793"/>
    <s v="Pending"/>
    <s v="No"/>
    <x v="1"/>
    <x v="1249"/>
    <x v="1251"/>
    <n v="277"/>
    <n v="239"/>
    <n v="0.35149999999999998"/>
    <n v="38430606"/>
    <n v="51309.220293724968"/>
    <n v="99996"/>
    <n v="5091"/>
    <n v="1021954.4200000003"/>
    <n v="1364.4251268357814"/>
    <n v="0.35149999999999998"/>
    <n v="383012841.90999967"/>
    <x v="1"/>
    <n v="4270.7999999999993"/>
  </r>
  <r>
    <s v="LN01253"/>
    <x v="1252"/>
    <n v="57"/>
    <s v="Male"/>
    <s v="Married"/>
    <s v="Self-Employed"/>
    <n v="109084"/>
    <n v="768"/>
    <n v="47932"/>
    <n v="12.17"/>
    <n v="60"/>
    <s v="Mortgage"/>
    <n v="37.979999999999997"/>
    <n v="45507"/>
    <n v="63026"/>
    <x v="755"/>
    <s v="Pending"/>
    <s v="Yes"/>
    <x v="1"/>
    <x v="1250"/>
    <x v="1252"/>
    <n v="277"/>
    <n v="239"/>
    <n v="0.35149999999999998"/>
    <n v="38419700"/>
    <n v="51363.23529411765"/>
    <n v="99996"/>
    <n v="5091"/>
    <n v="1021598.5200000003"/>
    <n v="1365.7734224598935"/>
    <n v="0.35149999999999998"/>
    <n v="381990887.48999965"/>
    <x v="1"/>
    <n v="10753.08"/>
  </r>
  <r>
    <s v="LN01254"/>
    <x v="1253"/>
    <n v="48"/>
    <s v="Female"/>
    <s v="Married"/>
    <s v="Employed"/>
    <n v="89318"/>
    <n v="607"/>
    <n v="32630"/>
    <n v="6.87"/>
    <n v="36"/>
    <s v="Business"/>
    <n v="46.88"/>
    <n v="35587"/>
    <n v="207939"/>
    <x v="837"/>
    <s v="Approved"/>
    <s v="No"/>
    <x v="2"/>
    <x v="1251"/>
    <x v="1253"/>
    <n v="277"/>
    <n v="239"/>
    <n v="0.35149999999999998"/>
    <n v="38371768"/>
    <n v="51367.828647925031"/>
    <n v="99996"/>
    <n v="5091"/>
    <n v="1020702.4300000003"/>
    <n v="1366.4021820615801"/>
    <n v="0.35149999999999998"/>
    <n v="380969288.96999967"/>
    <x v="1"/>
    <n v="11623.92"/>
  </r>
  <r>
    <s v="LN01255"/>
    <x v="1254"/>
    <n v="27"/>
    <s v="Male"/>
    <s v="Married"/>
    <s v="Self-Employed"/>
    <n v="161173"/>
    <n v="551"/>
    <n v="53022"/>
    <n v="10.93"/>
    <n v="60"/>
    <s v="Mortgage"/>
    <n v="25.01"/>
    <n v="71007"/>
    <n v="12000"/>
    <x v="838"/>
    <s v="Approved"/>
    <s v="Yes"/>
    <x v="0"/>
    <x v="1252"/>
    <x v="1254"/>
    <n v="276"/>
    <n v="239"/>
    <n v="0.35149999999999998"/>
    <n v="38339138"/>
    <n v="51392.946380697053"/>
    <n v="99996"/>
    <n v="5091"/>
    <n v="1019733.7700000003"/>
    <n v="1366.9353485254694"/>
    <n v="0.35149999999999998"/>
    <n v="379948586.53999966"/>
    <x v="1"/>
    <n v="11763.48"/>
  </r>
  <r>
    <s v="LN01256"/>
    <x v="1255"/>
    <n v="44"/>
    <s v="Female"/>
    <s v="Single"/>
    <s v="Self-Employed"/>
    <n v="195494"/>
    <n v="606"/>
    <n v="56909"/>
    <n v="12.13"/>
    <n v="36"/>
    <s v="Education"/>
    <n v="18.68"/>
    <n v="1442"/>
    <n v="167943"/>
    <x v="274"/>
    <s v="Rejected"/>
    <s v="No"/>
    <x v="4"/>
    <x v="1253"/>
    <x v="1255"/>
    <n v="275"/>
    <n v="239"/>
    <n v="0.35149999999999998"/>
    <n v="38286116"/>
    <n v="51390.759731543621"/>
    <n v="99996"/>
    <n v="5091"/>
    <n v="1018753.4800000003"/>
    <n v="1367.4543355704702"/>
    <n v="0.35149999999999998"/>
    <n v="378928852.76999968"/>
    <x v="1"/>
    <n v="21270.720000000001"/>
  </r>
  <r>
    <s v="LN01257"/>
    <x v="1256"/>
    <n v="47"/>
    <s v="Male"/>
    <s v="Married"/>
    <s v="Unemployed"/>
    <n v="179206"/>
    <n v="735"/>
    <n v="48588"/>
    <n v="15.9"/>
    <n v="24"/>
    <s v="Business"/>
    <n v="29.36"/>
    <n v="6501"/>
    <n v="87547"/>
    <x v="729"/>
    <s v="Pending"/>
    <s v="Yes"/>
    <x v="3"/>
    <x v="1254"/>
    <x v="1256"/>
    <n v="275"/>
    <n v="238"/>
    <n v="0.35149999999999998"/>
    <n v="38229207"/>
    <n v="51383.342741935485"/>
    <n v="99996"/>
    <n v="5091"/>
    <n v="1016980.9200000004"/>
    <n v="1366.9098387096778"/>
    <n v="0.35149999999999998"/>
    <n v="377910099.28999966"/>
    <x v="1"/>
    <n v="28156.800000000003"/>
  </r>
  <r>
    <s v="LN01258"/>
    <x v="1257"/>
    <n v="25"/>
    <s v="Male"/>
    <s v="Single"/>
    <s v="Unemployed"/>
    <n v="128024"/>
    <n v="541"/>
    <n v="45097"/>
    <n v="11.81"/>
    <n v="36"/>
    <s v="Education"/>
    <n v="16.93"/>
    <n v="11740"/>
    <n v="49408"/>
    <x v="839"/>
    <s v="Rejected"/>
    <s v="Yes"/>
    <x v="4"/>
    <x v="1255"/>
    <x v="1257"/>
    <n v="275"/>
    <n v="238"/>
    <n v="0.35149999999999998"/>
    <n v="38180619"/>
    <n v="51387.104979811578"/>
    <n v="99996"/>
    <n v="5091"/>
    <n v="1014634.5200000003"/>
    <n v="1365.5915477792735"/>
    <n v="0.35149999999999998"/>
    <n v="376893118.36999965"/>
    <x v="1"/>
    <n v="16807.68"/>
  </r>
  <r>
    <s v="LN01259"/>
    <x v="1258"/>
    <n v="52"/>
    <s v="Male"/>
    <s v="Single"/>
    <s v="Self-Employed"/>
    <n v="58624"/>
    <n v="327"/>
    <n v="87423"/>
    <n v="11.83"/>
    <n v="36"/>
    <s v="Auto"/>
    <n v="8.01"/>
    <n v="60637"/>
    <n v="221507"/>
    <x v="552"/>
    <s v="Pending"/>
    <s v="Yes"/>
    <x v="1"/>
    <x v="1256"/>
    <x v="1258"/>
    <n v="275"/>
    <n v="237"/>
    <n v="0.35149999999999998"/>
    <n v="38135522"/>
    <n v="51395.582210242588"/>
    <n v="99996"/>
    <n v="5091"/>
    <n v="1013233.8800000002"/>
    <n v="1365.544312668464"/>
    <n v="0.35149999999999998"/>
    <n v="375878483.84999967"/>
    <x v="1"/>
    <n v="32588.399999999998"/>
  </r>
  <r>
    <s v="LN01260"/>
    <x v="1259"/>
    <n v="31"/>
    <s v="Female"/>
    <s v="Married"/>
    <s v="Unemployed"/>
    <n v="149061"/>
    <n v="365"/>
    <n v="43106"/>
    <n v="10.31"/>
    <n v="48"/>
    <s v="Auto"/>
    <n v="25.81"/>
    <n v="76757"/>
    <n v="208359"/>
    <x v="579"/>
    <s v="Pending"/>
    <s v="Yes"/>
    <x v="2"/>
    <x v="1257"/>
    <x v="1259"/>
    <n v="275"/>
    <n v="237"/>
    <n v="0.35149999999999998"/>
    <n v="38048099"/>
    <n v="51346.962213225372"/>
    <n v="99996"/>
    <n v="5091"/>
    <n v="1010518.1800000003"/>
    <n v="1363.7222402159248"/>
    <n v="0.35149999999999998"/>
    <n v="374865249.96999973"/>
    <x v="1"/>
    <n v="11887.56"/>
  </r>
  <r>
    <s v="LN01261"/>
    <x v="1260"/>
    <n v="57"/>
    <s v="Male"/>
    <s v="Single"/>
    <s v="Self-Employed"/>
    <n v="99850"/>
    <n v="453"/>
    <n v="70917"/>
    <n v="9.23"/>
    <n v="60"/>
    <s v="Business"/>
    <n v="50.89"/>
    <n v="9101"/>
    <n v="203689"/>
    <x v="370"/>
    <s v="Rejected"/>
    <s v="Yes"/>
    <x v="1"/>
    <x v="1258"/>
    <x v="1260"/>
    <n v="275"/>
    <n v="237"/>
    <n v="0.35149999999999998"/>
    <n v="38004993"/>
    <n v="51358.098648648651"/>
    <n v="99996"/>
    <n v="5091"/>
    <n v="1009527.5500000003"/>
    <n v="1364.2264189189193"/>
    <n v="0.35149999999999998"/>
    <n v="373854731.78999978"/>
    <x v="1"/>
    <n v="15492.48"/>
  </r>
  <r>
    <s v="LN01262"/>
    <x v="1261"/>
    <n v="57"/>
    <s v="Female"/>
    <s v="Married"/>
    <s v="Employed"/>
    <n v="146682"/>
    <n v="415"/>
    <n v="96364"/>
    <n v="4.72"/>
    <n v="120"/>
    <s v="Auto"/>
    <n v="35.270000000000003"/>
    <n v="2802"/>
    <n v="27655"/>
    <x v="192"/>
    <s v="Approved"/>
    <s v="No"/>
    <x v="2"/>
    <x v="1259"/>
    <x v="1261"/>
    <n v="275"/>
    <n v="236"/>
    <n v="0.35149999999999998"/>
    <n v="37934076"/>
    <n v="51331.631935047364"/>
    <n v="99996"/>
    <n v="5091"/>
    <n v="1008236.5100000002"/>
    <n v="1364.3254533152913"/>
    <n v="0.35149999999999998"/>
    <n v="372845204.23999977"/>
    <x v="1"/>
    <n v="10091.280000000001"/>
  </r>
  <r>
    <s v="LN01263"/>
    <x v="1262"/>
    <n v="41"/>
    <s v="Male"/>
    <s v="Married"/>
    <s v="Unemployed"/>
    <n v="22833"/>
    <n v="579"/>
    <n v="23856"/>
    <n v="6.7"/>
    <n v="48"/>
    <s v="Business"/>
    <n v="13.89"/>
    <n v="78789"/>
    <n v="160500"/>
    <x v="182"/>
    <s v="Rejected"/>
    <s v="No"/>
    <x v="0"/>
    <x v="1260"/>
    <x v="1262"/>
    <n v="274"/>
    <n v="236"/>
    <n v="0.35149999999999998"/>
    <n v="37837712"/>
    <n v="51270.612466124658"/>
    <n v="99996"/>
    <n v="5091"/>
    <n v="1007395.5700000003"/>
    <n v="1365.0346476964774"/>
    <n v="0.35149999999999998"/>
    <n v="371836967.72999972"/>
    <x v="1"/>
    <n v="6363.5999999999995"/>
  </r>
  <r>
    <s v="LN01264"/>
    <x v="1263"/>
    <n v="24"/>
    <s v="Female"/>
    <s v="Married"/>
    <s v="Employed"/>
    <n v="38272"/>
    <n v="521"/>
    <n v="51378"/>
    <n v="19.309999999999999"/>
    <n v="120"/>
    <s v="Auto"/>
    <n v="10.3"/>
    <n v="43857"/>
    <n v="56411"/>
    <x v="783"/>
    <s v="Rejected"/>
    <s v="Yes"/>
    <x v="0"/>
    <x v="1261"/>
    <x v="1263"/>
    <n v="274"/>
    <n v="235"/>
    <n v="0.35149999999999998"/>
    <n v="37813856"/>
    <n v="51307.810040705561"/>
    <n v="99996"/>
    <n v="5091"/>
    <n v="1006865.2700000003"/>
    <n v="1366.1672591587521"/>
    <n v="0.35149999999999998"/>
    <n v="370829572.15999979"/>
    <x v="1"/>
    <n v="6129.96"/>
  </r>
  <r>
    <s v="LN01265"/>
    <x v="1264"/>
    <n v="24"/>
    <s v="Female"/>
    <s v="Divorced"/>
    <s v="Employed"/>
    <n v="164175"/>
    <n v="715"/>
    <n v="82810"/>
    <n v="18.39"/>
    <n v="60"/>
    <s v="Personal"/>
    <n v="41.95"/>
    <n v="47134"/>
    <n v="107951"/>
    <x v="604"/>
    <s v="Pending"/>
    <s v="Yes"/>
    <x v="2"/>
    <x v="1262"/>
    <x v="1264"/>
    <n v="274"/>
    <n v="234"/>
    <n v="0.35149999999999998"/>
    <n v="37762478"/>
    <n v="51307.71467391304"/>
    <n v="99996"/>
    <n v="5091"/>
    <n v="1006354.4400000003"/>
    <n v="1367.3294021739134"/>
    <n v="0.35149999999999998"/>
    <n v="369822706.88999987"/>
    <x v="1"/>
    <n v="19607.760000000002"/>
  </r>
  <r>
    <s v="LN01266"/>
    <x v="1265"/>
    <n v="59"/>
    <s v="Male"/>
    <s v="Married"/>
    <s v="Employed"/>
    <n v="160323"/>
    <n v="786"/>
    <n v="44603"/>
    <n v="5.67"/>
    <n v="180"/>
    <s v="Personal"/>
    <n v="57.13"/>
    <n v="15858"/>
    <n v="47336"/>
    <x v="819"/>
    <s v="Rejected"/>
    <s v="Yes"/>
    <x v="4"/>
    <x v="1263"/>
    <x v="1265"/>
    <n v="274"/>
    <n v="234"/>
    <n v="0.35149999999999998"/>
    <n v="37679668"/>
    <n v="51264.854421768709"/>
    <n v="99996"/>
    <n v="5091"/>
    <n v="1004720.4600000003"/>
    <n v="1366.9666122448984"/>
    <n v="0.35149999999999998"/>
    <n v="368816352.44999987"/>
    <x v="1"/>
    <n v="3142.08"/>
  </r>
  <r>
    <s v="LN01267"/>
    <x v="1266"/>
    <n v="42"/>
    <s v="Male"/>
    <s v="Divorced"/>
    <s v="Self-Employed"/>
    <n v="132160"/>
    <n v="685"/>
    <n v="52647"/>
    <n v="20.54"/>
    <n v="180"/>
    <s v="Personal"/>
    <n v="34.450000000000003"/>
    <n v="38140"/>
    <n v="184403"/>
    <x v="840"/>
    <s v="Pending"/>
    <s v="No"/>
    <x v="2"/>
    <x v="1264"/>
    <x v="1266"/>
    <n v="274"/>
    <n v="233"/>
    <n v="0.35149999999999998"/>
    <n v="37635065"/>
    <n v="51273.930517711175"/>
    <n v="99996"/>
    <n v="5091"/>
    <n v="1004458.6200000002"/>
    <n v="1368.4722343324254"/>
    <n v="0.35149999999999998"/>
    <n v="367811631.98999977"/>
    <x v="1"/>
    <n v="4230.72"/>
  </r>
  <r>
    <s v="LN01268"/>
    <x v="1267"/>
    <n v="24"/>
    <s v="Male"/>
    <s v="Single"/>
    <s v="Self-Employed"/>
    <n v="45298"/>
    <n v="649"/>
    <n v="87623"/>
    <n v="17.2"/>
    <n v="48"/>
    <s v="Education"/>
    <n v="15.48"/>
    <n v="9414"/>
    <n v="115455"/>
    <x v="561"/>
    <s v="Rejected"/>
    <s v="No"/>
    <x v="4"/>
    <x v="1265"/>
    <x v="1267"/>
    <n v="274"/>
    <n v="233"/>
    <n v="0.35149999999999998"/>
    <n v="37582418"/>
    <n v="51272.057298772168"/>
    <n v="99996"/>
    <n v="5091"/>
    <n v="1004106.0600000003"/>
    <n v="1369.8581991814465"/>
    <n v="0.35149999999999998"/>
    <n v="366807173.36999977"/>
    <x v="1"/>
    <n v="25673.52"/>
  </r>
  <r>
    <s v="LN01269"/>
    <x v="1268"/>
    <n v="23"/>
    <s v="Female"/>
    <s v="Married"/>
    <s v="Self-Employed"/>
    <n v="124558"/>
    <n v="599"/>
    <n v="7841"/>
    <n v="6.96"/>
    <n v="36"/>
    <s v="Auto"/>
    <n v="32.909999999999997"/>
    <n v="32885"/>
    <n v="153401"/>
    <x v="841"/>
    <s v="Approved"/>
    <s v="Yes"/>
    <x v="0"/>
    <x v="1266"/>
    <x v="1268"/>
    <n v="274"/>
    <n v="232"/>
    <n v="0.35149999999999998"/>
    <n v="37494795"/>
    <n v="51222.397540983606"/>
    <n v="99996"/>
    <n v="5091"/>
    <n v="1001966.6000000002"/>
    <n v="1368.8068306010932"/>
    <n v="0.35149999999999998"/>
    <n v="365803067.30999982"/>
    <x v="1"/>
    <n v="2795.52"/>
  </r>
  <r>
    <s v="LN01270"/>
    <x v="1269"/>
    <n v="63"/>
    <s v="Male"/>
    <s v="Married"/>
    <s v="Unemployed"/>
    <n v="99275"/>
    <n v="520"/>
    <n v="78458"/>
    <n v="13.8"/>
    <n v="36"/>
    <s v="Mortgage"/>
    <n v="12.19"/>
    <n v="5040"/>
    <n v="120201"/>
    <x v="842"/>
    <s v="Approved"/>
    <s v="No"/>
    <x v="2"/>
    <x v="1267"/>
    <x v="1269"/>
    <n v="273"/>
    <n v="232"/>
    <n v="0.35149999999999998"/>
    <n v="37486954"/>
    <n v="51281.742818057457"/>
    <n v="99996"/>
    <n v="5091"/>
    <n v="1001733.6400000002"/>
    <n v="1370.3606566347473"/>
    <n v="0.35149999999999998"/>
    <n v="364801100.7099998"/>
    <x v="1"/>
    <n v="29761.68"/>
  </r>
  <r>
    <s v="LN01271"/>
    <x v="1270"/>
    <n v="36"/>
    <s v="Female"/>
    <s v="Married"/>
    <s v="Employed"/>
    <n v="164825"/>
    <n v="569"/>
    <n v="50758"/>
    <n v="18.489999999999998"/>
    <n v="180"/>
    <s v="Mortgage"/>
    <n v="52.36"/>
    <n v="30496"/>
    <n v="69341"/>
    <x v="352"/>
    <s v="Rejected"/>
    <s v="Yes"/>
    <x v="4"/>
    <x v="1268"/>
    <x v="1270"/>
    <n v="272"/>
    <n v="232"/>
    <n v="0.35149999999999998"/>
    <n v="37408496"/>
    <n v="51244.51506849315"/>
    <n v="99996"/>
    <n v="5091"/>
    <n v="999253.50000000023"/>
    <n v="1368.8404109589044"/>
    <n v="0.35149999999999998"/>
    <n v="363799367.06999981"/>
    <x v="1"/>
    <n v="4009.56"/>
  </r>
  <r>
    <s v="LN01272"/>
    <x v="1271"/>
    <n v="29"/>
    <s v="Female"/>
    <s v="Married"/>
    <s v="Employed"/>
    <n v="34683"/>
    <n v="334"/>
    <n v="8621"/>
    <n v="13.16"/>
    <n v="60"/>
    <s v="Auto"/>
    <n v="28.44"/>
    <n v="50457"/>
    <n v="171044"/>
    <x v="518"/>
    <s v="Approved"/>
    <s v="Yes"/>
    <x v="4"/>
    <x v="1269"/>
    <x v="1271"/>
    <n v="272"/>
    <n v="231"/>
    <n v="0.35149999999999998"/>
    <n v="37357738"/>
    <n v="51245.182441700963"/>
    <n v="99996"/>
    <n v="5091"/>
    <n v="998919.37000000023"/>
    <n v="1370.2597668038411"/>
    <n v="0.35149999999999998"/>
    <n v="362800113.56999981"/>
    <x v="1"/>
    <n v="1951.08"/>
  </r>
  <r>
    <s v="LN01273"/>
    <x v="1272"/>
    <n v="60"/>
    <s v="Male"/>
    <s v="Married"/>
    <s v="Unemployed"/>
    <n v="93629"/>
    <n v="568"/>
    <n v="49132"/>
    <n v="14.91"/>
    <n v="360"/>
    <s v="Auto"/>
    <n v="44.28"/>
    <n v="66588"/>
    <n v="238309"/>
    <x v="462"/>
    <s v="Approved"/>
    <s v="No"/>
    <x v="2"/>
    <x v="1270"/>
    <x v="1272"/>
    <n v="271"/>
    <n v="231"/>
    <n v="0.35149999999999998"/>
    <n v="37349117"/>
    <n v="51303.732142857145"/>
    <n v="99996"/>
    <n v="5091"/>
    <n v="998756.78000000014"/>
    <n v="1371.918653846154"/>
    <n v="0.35149999999999998"/>
    <n v="361801194.19999981"/>
    <x v="1"/>
    <n v="1881.96"/>
  </r>
  <r>
    <s v="LN01274"/>
    <x v="1273"/>
    <n v="23"/>
    <s v="Male"/>
    <s v="Married"/>
    <s v="Self-Employed"/>
    <n v="135295"/>
    <n v="611"/>
    <n v="65587"/>
    <n v="6.08"/>
    <n v="120"/>
    <s v="Education"/>
    <n v="13.59"/>
    <n v="17119"/>
    <n v="232159"/>
    <x v="25"/>
    <s v="Rejected"/>
    <s v="No"/>
    <x v="4"/>
    <x v="1271"/>
    <x v="1273"/>
    <n v="270"/>
    <n v="231"/>
    <n v="0.35149999999999998"/>
    <n v="37299985"/>
    <n v="51306.719394773041"/>
    <n v="99996"/>
    <n v="5091"/>
    <n v="998599.95000000007"/>
    <n v="1373.5900275103165"/>
    <n v="0.35149999999999998"/>
    <n v="360802437.41999984"/>
    <x v="1"/>
    <n v="6957.48"/>
  </r>
  <r>
    <s v="LN01275"/>
    <x v="1274"/>
    <n v="22"/>
    <s v="Female"/>
    <s v="Married"/>
    <s v="Employed"/>
    <n v="71784"/>
    <n v="542"/>
    <n v="19793"/>
    <n v="23.78"/>
    <n v="240"/>
    <s v="Mortgage"/>
    <n v="36.299999999999997"/>
    <n v="6482"/>
    <n v="82273"/>
    <x v="843"/>
    <s v="Approved"/>
    <s v="Yes"/>
    <x v="0"/>
    <x v="1272"/>
    <x v="1274"/>
    <n v="270"/>
    <n v="230"/>
    <n v="0.35149999999999998"/>
    <n v="37234398"/>
    <n v="51287.049586776862"/>
    <n v="99996"/>
    <n v="5091"/>
    <n v="998020.16000000015"/>
    <n v="1374.6834159779617"/>
    <n v="0.35149999999999998"/>
    <n v="359803837.46999979"/>
    <x v="1"/>
    <n v="1224.96"/>
  </r>
  <r>
    <s v="LN01276"/>
    <x v="1275"/>
    <n v="61"/>
    <s v="Male"/>
    <s v="Divorced"/>
    <s v="Employed"/>
    <n v="198255"/>
    <n v="680"/>
    <n v="71777"/>
    <n v="20.399999999999999"/>
    <n v="24"/>
    <s v="Auto"/>
    <n v="13.55"/>
    <n v="71653"/>
    <n v="101990"/>
    <x v="844"/>
    <s v="Approved"/>
    <s v="Yes"/>
    <x v="0"/>
    <x v="1273"/>
    <x v="1275"/>
    <n v="269"/>
    <n v="230"/>
    <n v="0.35149999999999998"/>
    <n v="37214605"/>
    <n v="51330.489655172416"/>
    <n v="99996"/>
    <n v="5091"/>
    <n v="997918.08000000019"/>
    <n v="1376.438731034483"/>
    <n v="0.35149999999999998"/>
    <n v="358805817.30999982"/>
    <x v="1"/>
    <n v="43209.72"/>
  </r>
  <r>
    <s v="LN01277"/>
    <x v="1276"/>
    <n v="64"/>
    <s v="Female"/>
    <s v="Divorced"/>
    <s v="Unemployed"/>
    <n v="57443"/>
    <n v="425"/>
    <n v="29237"/>
    <n v="20.49"/>
    <n v="240"/>
    <s v="Personal"/>
    <n v="30.3"/>
    <n v="63320"/>
    <n v="214880"/>
    <x v="216"/>
    <s v="Pending"/>
    <s v="No"/>
    <x v="2"/>
    <x v="1274"/>
    <x v="1276"/>
    <n v="268"/>
    <n v="230"/>
    <n v="0.35149999999999998"/>
    <n v="37142828"/>
    <n v="51302.248618784528"/>
    <n v="99996"/>
    <n v="5091"/>
    <n v="994317.27000000014"/>
    <n v="1373.3663950276245"/>
    <n v="0.35149999999999998"/>
    <n v="357807899.22999984"/>
    <x v="1"/>
    <n v="1761.3600000000001"/>
  </r>
  <r>
    <s v="LN01278"/>
    <x v="1277"/>
    <n v="65"/>
    <s v="Male"/>
    <s v="Married"/>
    <s v="Employed"/>
    <n v="64794"/>
    <n v="512"/>
    <n v="71362"/>
    <n v="8"/>
    <n v="24"/>
    <s v="Auto"/>
    <n v="50.62"/>
    <n v="15357"/>
    <n v="69432"/>
    <x v="845"/>
    <s v="Pending"/>
    <s v="No"/>
    <x v="3"/>
    <x v="1275"/>
    <x v="1277"/>
    <n v="268"/>
    <n v="230"/>
    <n v="0.35149999999999998"/>
    <n v="37113591"/>
    <n v="51332.767634854768"/>
    <n v="99996"/>
    <n v="5091"/>
    <n v="994170.49000000022"/>
    <n v="1375.0629183955743"/>
    <n v="0.35149999999999998"/>
    <n v="356813581.9599998"/>
    <x v="1"/>
    <n v="38535.479999999996"/>
  </r>
  <r>
    <s v="LN01279"/>
    <x v="1278"/>
    <n v="22"/>
    <s v="Female"/>
    <s v="Married"/>
    <s v="Employed"/>
    <n v="198252"/>
    <n v="345"/>
    <n v="8954"/>
    <n v="3.78"/>
    <n v="180"/>
    <s v="Business"/>
    <n v="15.73"/>
    <n v="14378"/>
    <n v="153069"/>
    <x v="773"/>
    <s v="Pending"/>
    <s v="No"/>
    <x v="4"/>
    <x v="1276"/>
    <x v="1278"/>
    <n v="268"/>
    <n v="230"/>
    <n v="0.35149999999999998"/>
    <n v="37042229"/>
    <n v="51305.026315789473"/>
    <n v="99996"/>
    <n v="5091"/>
    <n v="990959.20000000007"/>
    <n v="1372.5196675900279"/>
    <n v="0.35149999999999998"/>
    <n v="355819411.46999979"/>
    <x v="1"/>
    <n v="619.43999999999994"/>
  </r>
  <r>
    <s v="LN01280"/>
    <x v="1279"/>
    <n v="41"/>
    <s v="Female"/>
    <s v="Divorced"/>
    <s v="Unemployed"/>
    <n v="30902"/>
    <n v="540"/>
    <n v="32821"/>
    <n v="21.4"/>
    <n v="240"/>
    <s v="Education"/>
    <n v="22.99"/>
    <n v="51677"/>
    <n v="234573"/>
    <x v="333"/>
    <s v="Rejected"/>
    <s v="No"/>
    <x v="0"/>
    <x v="1277"/>
    <x v="1279"/>
    <n v="268"/>
    <n v="230"/>
    <n v="0.35149999999999998"/>
    <n v="37033275"/>
    <n v="51363.765603328713"/>
    <n v="99996"/>
    <n v="5091"/>
    <n v="990907.58000000007"/>
    <n v="1374.3517059639391"/>
    <n v="0.35149999999999998"/>
    <n v="354828452.2699998"/>
    <x v="1"/>
    <n v="1992.2400000000002"/>
  </r>
  <r>
    <s v="LN01281"/>
    <x v="1280"/>
    <n v="60"/>
    <s v="Male"/>
    <s v="Married"/>
    <s v="Unemployed"/>
    <n v="126276"/>
    <n v="732"/>
    <n v="94834"/>
    <n v="4.04"/>
    <n v="240"/>
    <s v="Auto"/>
    <n v="57.11"/>
    <n v="71255"/>
    <n v="178679"/>
    <x v="744"/>
    <s v="Approved"/>
    <s v="No"/>
    <x v="0"/>
    <x v="1278"/>
    <x v="1280"/>
    <n v="268"/>
    <n v="229"/>
    <n v="0.35149999999999998"/>
    <n v="37000454"/>
    <n v="51389.519444444442"/>
    <n v="99996"/>
    <n v="5091"/>
    <n v="990741.56000000017"/>
    <n v="1376.0299444444447"/>
    <n v="0.35149999999999998"/>
    <n v="353837544.68999988"/>
    <x v="1"/>
    <n v="4933.32"/>
  </r>
  <r>
    <s v="LN01282"/>
    <x v="1281"/>
    <n v="28"/>
    <s v="Male"/>
    <s v="Divorced"/>
    <s v="Employed"/>
    <n v="69141"/>
    <n v="490"/>
    <n v="95017"/>
    <n v="9.73"/>
    <n v="36"/>
    <s v="Mortgage"/>
    <n v="6.65"/>
    <n v="15603"/>
    <n v="79763"/>
    <x v="59"/>
    <s v="Approved"/>
    <s v="No"/>
    <x v="1"/>
    <x v="1279"/>
    <x v="1281"/>
    <n v="267"/>
    <n v="229"/>
    <n v="0.35149999999999998"/>
    <n v="36905620"/>
    <n v="51329.095966620305"/>
    <n v="99996"/>
    <n v="5091"/>
    <n v="990330.45000000007"/>
    <n v="1377.3719749652296"/>
    <n v="0.35149999999999998"/>
    <n v="352846803.12999994"/>
    <x v="1"/>
    <n v="34754.04"/>
  </r>
  <r>
    <s v="LN01283"/>
    <x v="1282"/>
    <n v="53"/>
    <s v="Female"/>
    <s v="Single"/>
    <s v="Unemployed"/>
    <n v="41206"/>
    <n v="490"/>
    <n v="53203"/>
    <n v="8.23"/>
    <n v="36"/>
    <s v="Mortgage"/>
    <n v="6.53"/>
    <n v="13902"/>
    <n v="27763"/>
    <x v="846"/>
    <s v="Rejected"/>
    <s v="No"/>
    <x v="3"/>
    <x v="1280"/>
    <x v="1282"/>
    <n v="266"/>
    <n v="229"/>
    <n v="0.35149999999999998"/>
    <n v="36810603"/>
    <n v="51268.249303621167"/>
    <n v="99996"/>
    <n v="5091"/>
    <n v="987434.28"/>
    <n v="1375.2566573816157"/>
    <n v="0.35149999999999998"/>
    <n v="351856472.67999989"/>
    <x v="1"/>
    <n v="19193.88"/>
  </r>
  <r>
    <s v="LN01284"/>
    <x v="1283"/>
    <n v="49"/>
    <s v="Female"/>
    <s v="Divorced"/>
    <s v="Self-Employed"/>
    <n v="152835"/>
    <n v="538"/>
    <n v="93740"/>
    <n v="16.03"/>
    <n v="48"/>
    <s v="Business"/>
    <n v="12.28"/>
    <n v="59603"/>
    <n v="139729"/>
    <x v="471"/>
    <s v="Approved"/>
    <s v="No"/>
    <x v="3"/>
    <x v="1281"/>
    <x v="1283"/>
    <n v="266"/>
    <n v="228"/>
    <n v="0.35149999999999998"/>
    <n v="36757400"/>
    <n v="51265.550906555094"/>
    <n v="99996"/>
    <n v="5091"/>
    <n v="985834.79"/>
    <n v="1374.943919107392"/>
    <n v="0.35149999999999998"/>
    <n v="350869038.39999986"/>
    <x v="1"/>
    <n v="27191.64"/>
  </r>
  <r>
    <s v="LN01285"/>
    <x v="1284"/>
    <n v="61"/>
    <s v="Male"/>
    <s v="Married"/>
    <s v="Self-Employed"/>
    <n v="22033"/>
    <n v="365"/>
    <n v="12210"/>
    <n v="22.61"/>
    <n v="180"/>
    <s v="Mortgage"/>
    <n v="35.840000000000003"/>
    <n v="47875"/>
    <n v="85734"/>
    <x v="61"/>
    <s v="Rejected"/>
    <s v="No"/>
    <x v="4"/>
    <x v="1282"/>
    <x v="1284"/>
    <n v="265"/>
    <n v="228"/>
    <n v="0.35149999999999998"/>
    <n v="36663660"/>
    <n v="51206.229050279333"/>
    <n v="99996"/>
    <n v="5091"/>
    <n v="983568.82000000007"/>
    <n v="1373.699469273743"/>
    <n v="0.35149999999999998"/>
    <n v="349883203.60999984"/>
    <x v="1"/>
    <n v="998.04"/>
  </r>
  <r>
    <s v="LN01286"/>
    <x v="1285"/>
    <n v="28"/>
    <s v="Male"/>
    <s v="Married"/>
    <s v="Unemployed"/>
    <n v="178546"/>
    <n v="615"/>
    <n v="8850"/>
    <n v="6.69"/>
    <n v="120"/>
    <s v="Business"/>
    <n v="39.26"/>
    <n v="77074"/>
    <n v="154088"/>
    <x v="560"/>
    <s v="Rejected"/>
    <s v="Yes"/>
    <x v="2"/>
    <x v="1283"/>
    <x v="1285"/>
    <n v="265"/>
    <n v="227"/>
    <n v="0.35149999999999998"/>
    <n v="36651450"/>
    <n v="51260.769230769234"/>
    <n v="99996"/>
    <n v="5091"/>
    <n v="983485.65"/>
    <n v="1375.5044055944056"/>
    <n v="0.35149999999999998"/>
    <n v="348899634.78999984"/>
    <x v="1"/>
    <n v="944.16000000000008"/>
  </r>
  <r>
    <s v="LN01287"/>
    <x v="1286"/>
    <n v="53"/>
    <s v="Female"/>
    <s v="Single"/>
    <s v="Employed"/>
    <n v="122138"/>
    <n v="310"/>
    <n v="62521"/>
    <n v="11.63"/>
    <n v="180"/>
    <s v="Mortgage"/>
    <n v="23.65"/>
    <n v="7925"/>
    <n v="71692"/>
    <x v="847"/>
    <s v="Pending"/>
    <s v="No"/>
    <x v="3"/>
    <x v="1284"/>
    <x v="1286"/>
    <n v="265"/>
    <n v="226"/>
    <n v="0.35149999999999998"/>
    <n v="36642600"/>
    <n v="51320.168067226892"/>
    <n v="99996"/>
    <n v="5091"/>
    <n v="983406.97000000009"/>
    <n v="1377.3206862745099"/>
    <n v="0.35149999999999998"/>
    <n v="347916149.13999981"/>
    <x v="1"/>
    <n v="4652.76"/>
  </r>
  <r>
    <s v="LN01288"/>
    <x v="1287"/>
    <n v="38"/>
    <s v="Male"/>
    <s v="Single"/>
    <s v="Employed"/>
    <n v="164644"/>
    <n v="731"/>
    <n v="96812"/>
    <n v="15.6"/>
    <n v="360"/>
    <s v="Education"/>
    <n v="32.950000000000003"/>
    <n v="6454"/>
    <n v="66502"/>
    <x v="848"/>
    <s v="Pending"/>
    <s v="Yes"/>
    <x v="0"/>
    <x v="1285"/>
    <x v="1287"/>
    <n v="265"/>
    <n v="226"/>
    <n v="0.35149999999999998"/>
    <n v="36580079"/>
    <n v="51304.458625525949"/>
    <n v="99996"/>
    <n v="5091"/>
    <n v="983019.24"/>
    <n v="1378.7086115007012"/>
    <n v="0.35149999999999998"/>
    <n v="346932742.16999978"/>
    <x v="1"/>
    <n v="3730.44"/>
  </r>
  <r>
    <s v="LN01289"/>
    <x v="1288"/>
    <n v="24"/>
    <s v="Female"/>
    <s v="Single"/>
    <s v="Unemployed"/>
    <n v="195376"/>
    <n v="339"/>
    <n v="66007"/>
    <n v="6.62"/>
    <n v="36"/>
    <s v="Business"/>
    <n v="58.41"/>
    <n v="13772"/>
    <n v="33477"/>
    <x v="240"/>
    <s v="Rejected"/>
    <s v="Yes"/>
    <x v="0"/>
    <x v="1286"/>
    <x v="1288"/>
    <n v="265"/>
    <n v="226"/>
    <n v="0.35149999999999998"/>
    <n v="36483267"/>
    <n v="51240.543539325845"/>
    <n v="99996"/>
    <n v="5091"/>
    <n v="982708.37"/>
    <n v="1380.2083848314608"/>
    <n v="0.35149999999999998"/>
    <n v="345949722.92999977"/>
    <x v="1"/>
    <n v="23458.920000000002"/>
  </r>
  <r>
    <s v="LN01290"/>
    <x v="1289"/>
    <n v="57"/>
    <s v="Female"/>
    <s v="Single"/>
    <s v="Self-Employed"/>
    <n v="57131"/>
    <n v="779"/>
    <n v="6985"/>
    <n v="19.97"/>
    <n v="24"/>
    <s v="Education"/>
    <n v="23.07"/>
    <n v="32930"/>
    <n v="47901"/>
    <x v="849"/>
    <s v="Approved"/>
    <s v="Yes"/>
    <x v="3"/>
    <x v="1287"/>
    <x v="1289"/>
    <n v="265"/>
    <n v="225"/>
    <n v="0.35149999999999998"/>
    <n v="36417260"/>
    <n v="51219.774964838252"/>
    <n v="99996"/>
    <n v="5091"/>
    <n v="980753.45999999985"/>
    <n v="1379.4000843881854"/>
    <n v="0.35149999999999998"/>
    <n v="344967014.55999976"/>
    <x v="1"/>
    <n v="4189.92"/>
  </r>
  <r>
    <s v="LN01291"/>
    <x v="1290"/>
    <n v="60"/>
    <s v="Male"/>
    <s v="Married"/>
    <s v="Employed"/>
    <n v="178544"/>
    <n v="403"/>
    <n v="36580"/>
    <n v="8.51"/>
    <n v="48"/>
    <s v="Business"/>
    <n v="46.29"/>
    <n v="30615"/>
    <n v="187628"/>
    <x v="375"/>
    <s v="Pending"/>
    <s v="No"/>
    <x v="4"/>
    <x v="1288"/>
    <x v="1290"/>
    <n v="264"/>
    <n v="225"/>
    <n v="0.35149999999999998"/>
    <n v="36410275"/>
    <n v="51282.07746478873"/>
    <n v="99996"/>
    <n v="5091"/>
    <n v="980404.29999999993"/>
    <n v="1380.8511267605634"/>
    <n v="0.35149999999999998"/>
    <n v="343986261.09999973"/>
    <x v="1"/>
    <n v="9923.2800000000007"/>
  </r>
  <r>
    <s v="LN01292"/>
    <x v="1291"/>
    <n v="62"/>
    <s v="Male"/>
    <s v="Married"/>
    <s v="Unemployed"/>
    <n v="41273"/>
    <n v="396"/>
    <n v="82915"/>
    <n v="22.46"/>
    <n v="180"/>
    <s v="Education"/>
    <n v="32.9"/>
    <n v="8298"/>
    <n v="244537"/>
    <x v="610"/>
    <s v="Rejected"/>
    <s v="No"/>
    <x v="2"/>
    <x v="1289"/>
    <x v="1291"/>
    <n v="264"/>
    <n v="225"/>
    <n v="0.35149999999999998"/>
    <n v="36373695"/>
    <n v="51302.813822284908"/>
    <n v="99996"/>
    <n v="5091"/>
    <n v="979577.35999999987"/>
    <n v="1381.6323836389279"/>
    <n v="0.35149999999999998"/>
    <n v="343005856.79999977"/>
    <x v="1"/>
    <n v="6769.2000000000007"/>
  </r>
  <r>
    <s v="LN01293"/>
    <x v="1292"/>
    <n v="25"/>
    <s v="Male"/>
    <s v="Single"/>
    <s v="Employed"/>
    <n v="65255"/>
    <n v="418"/>
    <n v="91777"/>
    <n v="10.8"/>
    <n v="240"/>
    <s v="Auto"/>
    <n v="16.36"/>
    <n v="59293"/>
    <n v="244923"/>
    <x v="747"/>
    <s v="Approved"/>
    <s v="No"/>
    <x v="4"/>
    <x v="1290"/>
    <x v="1292"/>
    <n v="264"/>
    <n v="224"/>
    <n v="0.35149999999999998"/>
    <n v="36290780"/>
    <n v="51258.163841807909"/>
    <n v="99996"/>
    <n v="5091"/>
    <n v="979013.25999999989"/>
    <n v="1382.7870903954802"/>
    <n v="0.35149999999999998"/>
    <n v="342026279.43999976"/>
    <x v="1"/>
    <n v="5084.3999999999996"/>
  </r>
  <r>
    <s v="LN01294"/>
    <x v="1293"/>
    <n v="51"/>
    <s v="Female"/>
    <s v="Divorced"/>
    <s v="Employed"/>
    <n v="44558"/>
    <n v="771"/>
    <n v="70890"/>
    <n v="18.47"/>
    <n v="240"/>
    <s v="Personal"/>
    <n v="25.05"/>
    <n v="29937"/>
    <n v="201969"/>
    <x v="448"/>
    <s v="Pending"/>
    <s v="Yes"/>
    <x v="1"/>
    <x v="1291"/>
    <x v="1293"/>
    <n v="263"/>
    <n v="224"/>
    <n v="0.35149999999999998"/>
    <n v="36199003"/>
    <n v="51200.852899575671"/>
    <n v="99996"/>
    <n v="5091"/>
    <n v="978589.55999999982"/>
    <n v="1384.1436492220648"/>
    <n v="0.35149999999999998"/>
    <n v="341047266.17999971"/>
    <x v="1"/>
    <n v="4199.16"/>
  </r>
  <r>
    <s v="LN01295"/>
    <x v="1294"/>
    <n v="37"/>
    <s v="Female"/>
    <s v="Divorced"/>
    <s v="Unemployed"/>
    <n v="191705"/>
    <n v="436"/>
    <n v="99492"/>
    <n v="11.14"/>
    <n v="12"/>
    <s v="Personal"/>
    <n v="55.4"/>
    <n v="76981"/>
    <n v="137336"/>
    <x v="850"/>
    <s v="Pending"/>
    <s v="Yes"/>
    <x v="1"/>
    <x v="1292"/>
    <x v="1294"/>
    <n v="263"/>
    <n v="224"/>
    <n v="0.35149999999999998"/>
    <n v="36128113"/>
    <n v="51172.964589235125"/>
    <n v="99996"/>
    <n v="5091"/>
    <n v="978239.62999999977"/>
    <n v="1385.608541076487"/>
    <n v="0.35149999999999998"/>
    <n v="340068676.61999971"/>
    <x v="1"/>
    <n v="110575.44"/>
  </r>
  <r>
    <s v="LN01296"/>
    <x v="1295"/>
    <n v="43"/>
    <s v="Male"/>
    <s v="Single"/>
    <s v="Unemployed"/>
    <n v="34344"/>
    <n v="788"/>
    <n v="19684"/>
    <n v="17.100000000000001"/>
    <n v="36"/>
    <s v="Personal"/>
    <n v="9.9"/>
    <n v="23317"/>
    <n v="192790"/>
    <x v="851"/>
    <s v="Rejected"/>
    <s v="No"/>
    <x v="3"/>
    <x v="1293"/>
    <x v="1295"/>
    <n v="263"/>
    <n v="224"/>
    <n v="0.35149999999999998"/>
    <n v="36028621"/>
    <n v="51104.426950354609"/>
    <n v="99996"/>
    <n v="5091"/>
    <n v="969025.00999999966"/>
    <n v="1374.5035602836874"/>
    <n v="0.35149999999999998"/>
    <n v="339090436.98999971"/>
    <x v="0"/>
    <n v="7683.36"/>
  </r>
  <r>
    <s v="LN01297"/>
    <x v="1296"/>
    <n v="27"/>
    <s v="Male"/>
    <s v="Single"/>
    <s v="Self-Employed"/>
    <n v="28010"/>
    <n v="796"/>
    <n v="82217"/>
    <n v="16.64"/>
    <n v="24"/>
    <s v="Auto"/>
    <n v="31.86"/>
    <n v="32572"/>
    <n v="31634"/>
    <x v="794"/>
    <s v="Pending"/>
    <s v="Yes"/>
    <x v="3"/>
    <x v="1294"/>
    <x v="1296"/>
    <n v="263"/>
    <n v="223"/>
    <n v="0.35149999999999998"/>
    <n v="36008937"/>
    <n v="51149.05823863636"/>
    <n v="99996"/>
    <n v="5091"/>
    <n v="968384.72999999963"/>
    <n v="1375.5464914772722"/>
    <n v="0.35149999999999998"/>
    <n v="338121411.97999972"/>
    <x v="1"/>
    <n v="47949"/>
  </r>
  <r>
    <s v="LN01298"/>
    <x v="1297"/>
    <n v="26"/>
    <s v="Male"/>
    <s v="Single"/>
    <s v="Unemployed"/>
    <n v="103395"/>
    <n v="345"/>
    <n v="42452"/>
    <n v="11.68"/>
    <n v="36"/>
    <s v="Mortgage"/>
    <n v="28.03"/>
    <n v="34550"/>
    <n v="165973"/>
    <x v="245"/>
    <s v="Rejected"/>
    <s v="No"/>
    <x v="0"/>
    <x v="1295"/>
    <x v="1297"/>
    <n v="263"/>
    <n v="223"/>
    <n v="0.35149999999999998"/>
    <n v="35926720"/>
    <n v="51104.864864864867"/>
    <n v="99996"/>
    <n v="5091"/>
    <n v="964388.97999999963"/>
    <n v="1371.8193172119484"/>
    <n v="0.35149999999999998"/>
    <n v="337153027.24999964"/>
    <x v="1"/>
    <n v="15803.52"/>
  </r>
  <r>
    <s v="LN01299"/>
    <x v="1298"/>
    <n v="37"/>
    <s v="Female"/>
    <s v="Married"/>
    <s v="Employed"/>
    <n v="20228"/>
    <n v="326"/>
    <n v="23308"/>
    <n v="14.82"/>
    <n v="36"/>
    <s v="Personal"/>
    <n v="16.41"/>
    <n v="9402"/>
    <n v="35325"/>
    <x v="705"/>
    <s v="Approved"/>
    <s v="Yes"/>
    <x v="1"/>
    <x v="1296"/>
    <x v="1298"/>
    <n v="263"/>
    <n v="222"/>
    <n v="0.35149999999999998"/>
    <n v="35884268"/>
    <n v="51117.19088319088"/>
    <n v="99996"/>
    <n v="5091"/>
    <n v="963072.01999999955"/>
    <n v="1371.8974643874637"/>
    <n v="0.35149999999999998"/>
    <n v="336188638.26999962"/>
    <x v="1"/>
    <n v="8920.7999999999993"/>
  </r>
  <r>
    <s v="LN01300"/>
    <x v="1299"/>
    <n v="46"/>
    <s v="Male"/>
    <s v="Single"/>
    <s v="Self-Employed"/>
    <n v="175514"/>
    <n v="347"/>
    <n v="53005"/>
    <n v="11.74"/>
    <n v="60"/>
    <s v="Business"/>
    <n v="57.59"/>
    <n v="43848"/>
    <n v="169855"/>
    <x v="214"/>
    <s v="Rejected"/>
    <s v="No"/>
    <x v="2"/>
    <x v="1297"/>
    <x v="1299"/>
    <n v="262"/>
    <n v="222"/>
    <n v="0.35149999999999998"/>
    <n v="35860960"/>
    <n v="51156.861626248217"/>
    <n v="99996"/>
    <n v="5091"/>
    <n v="962328.61999999965"/>
    <n v="1372.7940370898712"/>
    <n v="0.35149999999999998"/>
    <n v="335225566.24999958"/>
    <x v="1"/>
    <n v="11845.56"/>
  </r>
  <r>
    <s v="LN01301"/>
    <x v="1300"/>
    <n v="27"/>
    <s v="Male"/>
    <s v="Divorced"/>
    <s v="Employed"/>
    <n v="71065"/>
    <n v="704"/>
    <n v="58671"/>
    <n v="3.69"/>
    <n v="12"/>
    <s v="Auto"/>
    <n v="11.51"/>
    <n v="49542"/>
    <n v="194926"/>
    <x v="295"/>
    <s v="Rejected"/>
    <s v="No"/>
    <x v="4"/>
    <x v="1298"/>
    <x v="1300"/>
    <n v="262"/>
    <n v="221"/>
    <n v="0.35149999999999998"/>
    <n v="35807955"/>
    <n v="51154.221428571429"/>
    <n v="99996"/>
    <n v="5091"/>
    <n v="961341.48999999953"/>
    <n v="1373.344985714285"/>
    <n v="0.35149999999999998"/>
    <n v="334263237.62999958"/>
    <x v="1"/>
    <n v="60835.92"/>
  </r>
  <r>
    <s v="LN01302"/>
    <x v="1301"/>
    <n v="46"/>
    <s v="Female"/>
    <s v="Single"/>
    <s v="Self-Employed"/>
    <n v="131039"/>
    <n v="746"/>
    <n v="27520"/>
    <n v="10.18"/>
    <n v="12"/>
    <s v="Personal"/>
    <n v="42.4"/>
    <n v="32731"/>
    <n v="105500"/>
    <x v="852"/>
    <s v="Pending"/>
    <s v="No"/>
    <x v="4"/>
    <x v="1299"/>
    <x v="1301"/>
    <n v="262"/>
    <n v="220"/>
    <n v="0.35149999999999998"/>
    <n v="35749284"/>
    <n v="51143.4678111588"/>
    <n v="99996"/>
    <n v="5091"/>
    <n v="956271.82999999938"/>
    <n v="1368.0569814020021"/>
    <n v="0.35149999999999998"/>
    <n v="333301896.13999957"/>
    <x v="0"/>
    <n v="30321.48"/>
  </r>
  <r>
    <s v="LN01303"/>
    <x v="1302"/>
    <n v="35"/>
    <s v="Female"/>
    <s v="Divorced"/>
    <s v="Employed"/>
    <n v="192155"/>
    <n v="336"/>
    <n v="82378"/>
    <n v="21.09"/>
    <n v="12"/>
    <s v="Business"/>
    <n v="24.67"/>
    <n v="14318"/>
    <n v="125674"/>
    <x v="511"/>
    <s v="Approved"/>
    <s v="No"/>
    <x v="2"/>
    <x v="1300"/>
    <x v="1302"/>
    <n v="262"/>
    <n v="220"/>
    <n v="0.35149999999999998"/>
    <n v="35721764"/>
    <n v="51177.312320916906"/>
    <n v="99996"/>
    <n v="5091"/>
    <n v="953745.03999999934"/>
    <n v="1366.3969054441252"/>
    <n v="0.35149999999999998"/>
    <n v="332345624.30999964"/>
    <x v="0"/>
    <n v="99751.56"/>
  </r>
  <r>
    <s v="LN01304"/>
    <x v="1303"/>
    <n v="65"/>
    <s v="Male"/>
    <s v="Divorced"/>
    <s v="Self-Employed"/>
    <n v="59373"/>
    <n v="503"/>
    <n v="51462"/>
    <n v="4.38"/>
    <n v="48"/>
    <s v="Personal"/>
    <n v="45.75"/>
    <n v="18588"/>
    <n v="167944"/>
    <x v="851"/>
    <s v="Rejected"/>
    <s v="Yes"/>
    <x v="2"/>
    <x v="1301"/>
    <x v="1303"/>
    <n v="261"/>
    <n v="220"/>
    <n v="0.35149999999999998"/>
    <n v="35639386"/>
    <n v="51132.548063127688"/>
    <n v="99996"/>
    <n v="5091"/>
    <n v="945432.40999999957"/>
    <n v="1356.4310043041601"/>
    <n v="0.35149999999999998"/>
    <n v="331391879.26999962"/>
    <x v="0"/>
    <n v="13428.96"/>
  </r>
  <r>
    <s v="LN01305"/>
    <x v="1304"/>
    <n v="23"/>
    <s v="Female"/>
    <s v="Married"/>
    <s v="Unemployed"/>
    <n v="118064"/>
    <n v="667"/>
    <n v="70316"/>
    <n v="5.47"/>
    <n v="120"/>
    <s v="Education"/>
    <n v="55.22"/>
    <n v="3727"/>
    <n v="177609"/>
    <x v="356"/>
    <s v="Approved"/>
    <s v="No"/>
    <x v="4"/>
    <x v="1302"/>
    <x v="1304"/>
    <n v="261"/>
    <n v="219"/>
    <n v="0.35149999999999998"/>
    <n v="35587924"/>
    <n v="51132.074712643676"/>
    <n v="99996"/>
    <n v="5091"/>
    <n v="944313.32999999961"/>
    <n v="1356.7720258620684"/>
    <n v="0.35149999999999998"/>
    <n v="330446446.8599996"/>
    <x v="1"/>
    <n v="7416.24"/>
  </r>
  <r>
    <s v="LN01306"/>
    <x v="1305"/>
    <n v="47"/>
    <s v="Female"/>
    <s v="Married"/>
    <s v="Employed"/>
    <n v="182556"/>
    <n v="309"/>
    <n v="61683"/>
    <n v="9.09"/>
    <n v="36"/>
    <s v="Education"/>
    <n v="53.6"/>
    <n v="4851"/>
    <n v="139539"/>
    <x v="153"/>
    <s v="Approved"/>
    <s v="No"/>
    <x v="1"/>
    <x v="1303"/>
    <x v="1305"/>
    <n v="260"/>
    <n v="219"/>
    <n v="0.35149999999999998"/>
    <n v="35517608"/>
    <n v="51104.471942446042"/>
    <n v="99996"/>
    <n v="5091"/>
    <n v="943695.30999999959"/>
    <n v="1357.8349784172656"/>
    <n v="0.35149999999999998"/>
    <n v="329502133.52999961"/>
    <x v="1"/>
    <n v="22430.04"/>
  </r>
  <r>
    <s v="LN01307"/>
    <x v="1306"/>
    <n v="28"/>
    <s v="Female"/>
    <s v="Divorced"/>
    <s v="Self-Employed"/>
    <n v="193830"/>
    <n v="709"/>
    <n v="98680"/>
    <n v="21.29"/>
    <n v="240"/>
    <s v="Education"/>
    <n v="33.47"/>
    <n v="18777"/>
    <n v="240519"/>
    <x v="401"/>
    <s v="Rejected"/>
    <s v="Yes"/>
    <x v="2"/>
    <x v="1304"/>
    <x v="1306"/>
    <n v="259"/>
    <n v="219"/>
    <n v="0.35149999999999998"/>
    <n v="35455925"/>
    <n v="51089.229106628241"/>
    <n v="99996"/>
    <n v="5091"/>
    <n v="941826.13999999955"/>
    <n v="1357.0981844380397"/>
    <n v="0.35149999999999998"/>
    <n v="328558438.21999967"/>
    <x v="1"/>
    <n v="5984.4"/>
  </r>
  <r>
    <s v="LN01308"/>
    <x v="1307"/>
    <n v="47"/>
    <s v="Female"/>
    <s v="Married"/>
    <s v="Unemployed"/>
    <n v="184342"/>
    <n v="695"/>
    <n v="7312"/>
    <n v="18.350000000000001"/>
    <n v="48"/>
    <s v="Personal"/>
    <n v="43.07"/>
    <n v="13008"/>
    <n v="175199"/>
    <x v="803"/>
    <s v="Rejected"/>
    <s v="Yes"/>
    <x v="0"/>
    <x v="1305"/>
    <x v="1307"/>
    <n v="259"/>
    <n v="218"/>
    <n v="0.35149999999999998"/>
    <n v="35357245"/>
    <n v="51020.555555555555"/>
    <n v="99996"/>
    <n v="5091"/>
    <n v="941327.43999999959"/>
    <n v="1358.3368542568537"/>
    <n v="0.35149999999999998"/>
    <n v="327616612.07999969"/>
    <x v="1"/>
    <n v="2163.48"/>
  </r>
  <r>
    <s v="LN01309"/>
    <x v="1308"/>
    <n v="31"/>
    <s v="Female"/>
    <s v="Divorced"/>
    <s v="Unemployed"/>
    <n v="125322"/>
    <n v="569"/>
    <n v="36751"/>
    <n v="13.55"/>
    <n v="12"/>
    <s v="Business"/>
    <n v="18.45"/>
    <n v="37179"/>
    <n v="166181"/>
    <x v="853"/>
    <s v="Rejected"/>
    <s v="Yes"/>
    <x v="2"/>
    <x v="1306"/>
    <x v="1308"/>
    <n v="259"/>
    <n v="217"/>
    <n v="0.35149999999999998"/>
    <n v="35349933"/>
    <n v="51083.718208092483"/>
    <n v="99996"/>
    <n v="5091"/>
    <n v="941147.14999999956"/>
    <n v="1360.0392341040456"/>
    <n v="0.35149999999999998"/>
    <n v="326675284.63999975"/>
    <x v="1"/>
    <n v="41730.720000000001"/>
  </r>
  <r>
    <s v="LN01310"/>
    <x v="1309"/>
    <n v="37"/>
    <s v="Female"/>
    <s v="Single"/>
    <s v="Unemployed"/>
    <n v="167284"/>
    <n v="696"/>
    <n v="97290"/>
    <n v="4.4400000000000004"/>
    <n v="48"/>
    <s v="Mortgage"/>
    <n v="41.64"/>
    <n v="53179"/>
    <n v="171605"/>
    <x v="409"/>
    <s v="Rejected"/>
    <s v="Yes"/>
    <x v="3"/>
    <x v="1307"/>
    <x v="1309"/>
    <n v="259"/>
    <n v="216"/>
    <n v="0.35149999999999998"/>
    <n v="35313182"/>
    <n v="51104.460202604918"/>
    <n v="99996"/>
    <n v="5091"/>
    <n v="937669.5899999995"/>
    <n v="1356.9748046309689"/>
    <n v="0.35149999999999998"/>
    <n v="325734137.48999971"/>
    <x v="0"/>
    <n v="25402.44"/>
  </r>
  <r>
    <s v="LN01311"/>
    <x v="1310"/>
    <n v="50"/>
    <s v="Female"/>
    <s v="Divorced"/>
    <s v="Unemployed"/>
    <n v="24271"/>
    <n v="618"/>
    <n v="64255"/>
    <n v="16.28"/>
    <n v="12"/>
    <s v="Auto"/>
    <n v="18.82"/>
    <n v="54025"/>
    <n v="89666"/>
    <x v="378"/>
    <s v="Rejected"/>
    <s v="Yes"/>
    <x v="1"/>
    <x v="1308"/>
    <x v="1310"/>
    <n v="259"/>
    <n v="215"/>
    <n v="0.35149999999999998"/>
    <n v="35215892"/>
    <n v="51037.524637681163"/>
    <n v="99996"/>
    <n v="5091"/>
    <n v="935552.71999999962"/>
    <n v="1355.8735072463762"/>
    <n v="0.35149999999999998"/>
    <n v="324796467.89999974"/>
    <x v="1"/>
    <n v="74715.72"/>
  </r>
  <r>
    <s v="LN01312"/>
    <x v="1311"/>
    <n v="58"/>
    <s v="Male"/>
    <s v="Divorced"/>
    <s v="Unemployed"/>
    <n v="47030"/>
    <n v="429"/>
    <n v="85248"/>
    <n v="22.04"/>
    <n v="180"/>
    <s v="Education"/>
    <n v="24.69"/>
    <n v="59297"/>
    <n v="236423"/>
    <x v="706"/>
    <s v="Rejected"/>
    <s v="No"/>
    <x v="3"/>
    <x v="1309"/>
    <x v="1311"/>
    <n v="259"/>
    <n v="214"/>
    <n v="0.35149999999999998"/>
    <n v="35151637"/>
    <n v="51018.341074020318"/>
    <n v="99996"/>
    <n v="5091"/>
    <n v="929326.40999999957"/>
    <n v="1348.8046589259791"/>
    <n v="0.35149999999999998"/>
    <n v="323860915.17999977"/>
    <x v="0"/>
    <n v="6935.76"/>
  </r>
  <r>
    <s v="LN01313"/>
    <x v="1312"/>
    <n v="29"/>
    <s v="Female"/>
    <s v="Divorced"/>
    <s v="Self-Employed"/>
    <n v="25697"/>
    <n v="428"/>
    <n v="84061"/>
    <n v="3.81"/>
    <n v="240"/>
    <s v="Auto"/>
    <n v="49.14"/>
    <n v="14175"/>
    <n v="140679"/>
    <x v="523"/>
    <s v="Approved"/>
    <s v="Yes"/>
    <x v="4"/>
    <x v="1310"/>
    <x v="1312"/>
    <n v="259"/>
    <n v="213"/>
    <n v="0.35149999999999998"/>
    <n v="35066389"/>
    <n v="50968.588662790695"/>
    <n v="99996"/>
    <n v="5091"/>
    <n v="928748.42999999959"/>
    <n v="1349.9250436046505"/>
    <n v="0.35149999999999998"/>
    <n v="322931588.76999974"/>
    <x v="1"/>
    <n v="4363.2000000000007"/>
  </r>
  <r>
    <s v="LN01314"/>
    <x v="1313"/>
    <n v="40"/>
    <s v="Male"/>
    <s v="Married"/>
    <s v="Unemployed"/>
    <n v="112257"/>
    <n v="447"/>
    <n v="63628"/>
    <n v="4.3"/>
    <n v="60"/>
    <s v="Personal"/>
    <n v="10.64"/>
    <n v="34577"/>
    <n v="26402"/>
    <x v="263"/>
    <s v="Approved"/>
    <s v="No"/>
    <x v="0"/>
    <x v="1311"/>
    <x v="1313"/>
    <n v="258"/>
    <n v="213"/>
    <n v="0.35149999999999998"/>
    <n v="34982328"/>
    <n v="50920.419213973801"/>
    <n v="99996"/>
    <n v="5091"/>
    <n v="928384.82999999949"/>
    <n v="1351.3607423580779"/>
    <n v="0.35149999999999998"/>
    <n v="322002840.33999974"/>
    <x v="1"/>
    <n v="13272.84"/>
  </r>
  <r>
    <s v="LN01315"/>
    <x v="1314"/>
    <n v="27"/>
    <s v="Male"/>
    <s v="Divorced"/>
    <s v="Unemployed"/>
    <n v="47261"/>
    <n v="562"/>
    <n v="74741"/>
    <n v="8.09"/>
    <n v="48"/>
    <s v="Mortgage"/>
    <n v="46.25"/>
    <n v="22612"/>
    <n v="70935"/>
    <x v="583"/>
    <s v="Pending"/>
    <s v="No"/>
    <x v="3"/>
    <x v="1312"/>
    <x v="1314"/>
    <n v="257"/>
    <n v="213"/>
    <n v="0.35149999999999998"/>
    <n v="34918700"/>
    <n v="50901.895043731776"/>
    <n v="99996"/>
    <n v="5091"/>
    <n v="927278.75999999954"/>
    <n v="1351.7183090379001"/>
    <n v="0.35149999999999998"/>
    <n v="321074455.50999969"/>
    <x v="1"/>
    <n v="20196.84"/>
  </r>
  <r>
    <s v="LN01316"/>
    <x v="1315"/>
    <n v="45"/>
    <s v="Female"/>
    <s v="Single"/>
    <s v="Employed"/>
    <n v="102613"/>
    <n v="821"/>
    <n v="93201"/>
    <n v="10.220000000000001"/>
    <n v="180"/>
    <s v="Business"/>
    <n v="23.11"/>
    <n v="31684"/>
    <n v="64690"/>
    <x v="854"/>
    <s v="Pending"/>
    <s v="No"/>
    <x v="0"/>
    <x v="1313"/>
    <x v="1315"/>
    <n v="257"/>
    <n v="213"/>
    <n v="0.35149999999999998"/>
    <n v="34843959"/>
    <n v="50867.093430656932"/>
    <n v="99996"/>
    <n v="5091"/>
    <n v="925595.68999999948"/>
    <n v="1351.234583941605"/>
    <n v="0.35149999999999998"/>
    <n v="320147176.7499997"/>
    <x v="1"/>
    <n v="6848.4000000000005"/>
  </r>
  <r>
    <s v="LN01317"/>
    <x v="1316"/>
    <n v="32"/>
    <s v="Male"/>
    <s v="Married"/>
    <s v="Employed"/>
    <n v="198896"/>
    <n v="626"/>
    <n v="15237"/>
    <n v="6.68"/>
    <n v="180"/>
    <s v="Auto"/>
    <n v="48.7"/>
    <n v="57733"/>
    <n v="243570"/>
    <x v="838"/>
    <s v="Rejected"/>
    <s v="Yes"/>
    <x v="0"/>
    <x v="1314"/>
    <x v="1316"/>
    <n v="257"/>
    <n v="213"/>
    <n v="0.35149999999999998"/>
    <n v="34750758"/>
    <n v="50805.201754385962"/>
    <n v="99996"/>
    <n v="5091"/>
    <n v="925024.98999999953"/>
    <n v="1352.3757163742682"/>
    <n v="0.35149999999999998"/>
    <n v="319221581.0599997"/>
    <x v="1"/>
    <n v="1083.5999999999999"/>
  </r>
  <r>
    <s v="LN01318"/>
    <x v="1317"/>
    <n v="46"/>
    <s v="Female"/>
    <s v="Divorced"/>
    <s v="Employed"/>
    <n v="22243"/>
    <n v="687"/>
    <n v="66229"/>
    <n v="16.190000000000001"/>
    <n v="60"/>
    <s v="Mortgage"/>
    <n v="17.27"/>
    <n v="58106"/>
    <n v="67633"/>
    <x v="855"/>
    <s v="Pending"/>
    <s v="Yes"/>
    <x v="0"/>
    <x v="1315"/>
    <x v="1317"/>
    <n v="257"/>
    <n v="212"/>
    <n v="0.35149999999999998"/>
    <n v="34735521"/>
    <n v="50857.278184480238"/>
    <n v="99996"/>
    <n v="5091"/>
    <n v="924934.68999999948"/>
    <n v="1354.2235578330885"/>
    <n v="0.35149999999999998"/>
    <n v="318296556.06999969"/>
    <x v="1"/>
    <n v="15390.24"/>
  </r>
  <r>
    <s v="LN01319"/>
    <x v="1318"/>
    <n v="40"/>
    <s v="Female"/>
    <s v="Married"/>
    <s v="Unemployed"/>
    <n v="141337"/>
    <n v="474"/>
    <n v="19741"/>
    <n v="21.09"/>
    <n v="12"/>
    <s v="Personal"/>
    <n v="21.79"/>
    <n v="58145"/>
    <n v="20752"/>
    <x v="856"/>
    <s v="Rejected"/>
    <s v="Yes"/>
    <x v="1"/>
    <x v="1316"/>
    <x v="1318"/>
    <n v="257"/>
    <n v="212"/>
    <n v="0.35149999999999998"/>
    <n v="34669292"/>
    <n v="50834.739002932554"/>
    <n v="99996"/>
    <n v="5091"/>
    <n v="923652.16999999946"/>
    <n v="1354.3286950146619"/>
    <n v="0.35149999999999998"/>
    <n v="317371621.37999976"/>
    <x v="1"/>
    <n v="23904.36"/>
  </r>
  <r>
    <s v="LN01320"/>
    <x v="1319"/>
    <n v="63"/>
    <s v="Male"/>
    <s v="Married"/>
    <s v="Self-Employed"/>
    <n v="133414"/>
    <n v="573"/>
    <n v="33608"/>
    <n v="21.43"/>
    <n v="240"/>
    <s v="Personal"/>
    <n v="33.340000000000003"/>
    <n v="71216"/>
    <n v="19431"/>
    <x v="857"/>
    <s v="Approved"/>
    <s v="No"/>
    <x v="2"/>
    <x v="1317"/>
    <x v="1319"/>
    <n v="257"/>
    <n v="211"/>
    <n v="0.35149999999999998"/>
    <n v="34649551"/>
    <n v="50880.397944199707"/>
    <n v="99996"/>
    <n v="5091"/>
    <n v="921660.13999999955"/>
    <n v="1353.3922760646103"/>
    <n v="0.35149999999999998"/>
    <n v="316447969.2099998"/>
    <x v="0"/>
    <n v="2040.48"/>
  </r>
  <r>
    <s v="LN01321"/>
    <x v="1320"/>
    <n v="64"/>
    <s v="Female"/>
    <s v="Married"/>
    <s v="Self-Employed"/>
    <n v="141214"/>
    <n v="431"/>
    <n v="16824"/>
    <n v="11.46"/>
    <n v="180"/>
    <s v="Education"/>
    <n v="51.83"/>
    <n v="65600"/>
    <n v="83383"/>
    <x v="311"/>
    <s v="Approved"/>
    <s v="No"/>
    <x v="1"/>
    <x v="1318"/>
    <x v="1320"/>
    <n v="256"/>
    <n v="211"/>
    <n v="0.35149999999999998"/>
    <n v="34615943"/>
    <n v="50905.798529411768"/>
    <n v="99996"/>
    <n v="5091"/>
    <n v="921490.09999999951"/>
    <n v="1355.1324999999993"/>
    <n v="0.35149999999999998"/>
    <n v="315526309.06999987"/>
    <x v="1"/>
    <n v="1250.1600000000001"/>
  </r>
  <r>
    <s v="LN01322"/>
    <x v="1321"/>
    <n v="64"/>
    <s v="Male"/>
    <s v="Married"/>
    <s v="Employed"/>
    <n v="141435"/>
    <n v="449"/>
    <n v="57021"/>
    <n v="3.87"/>
    <n v="360"/>
    <s v="Auto"/>
    <n v="48.36"/>
    <n v="78903"/>
    <n v="6874"/>
    <x v="560"/>
    <s v="Pending"/>
    <s v="No"/>
    <x v="3"/>
    <x v="1319"/>
    <x v="1321"/>
    <n v="255"/>
    <n v="211"/>
    <n v="0.35149999999999998"/>
    <n v="34599119"/>
    <n v="50955.992636229748"/>
    <n v="99996"/>
    <n v="5091"/>
    <n v="921385.91999999946"/>
    <n v="1356.974845360824"/>
    <n v="0.35149999999999998"/>
    <n v="314604818.96999979"/>
    <x v="1"/>
    <n v="1974.2400000000002"/>
  </r>
  <r>
    <s v="LN01323"/>
    <x v="1322"/>
    <n v="43"/>
    <s v="Female"/>
    <s v="Divorced"/>
    <s v="Self-Employed"/>
    <n v="126734"/>
    <n v="808"/>
    <n v="34631"/>
    <n v="19.739999999999998"/>
    <n v="48"/>
    <s v="Auto"/>
    <n v="22.2"/>
    <n v="49408"/>
    <n v="197142"/>
    <x v="858"/>
    <s v="Rejected"/>
    <s v="Yes"/>
    <x v="4"/>
    <x v="1320"/>
    <x v="1322"/>
    <n v="255"/>
    <n v="211"/>
    <n v="0.35149999999999998"/>
    <n v="34542098"/>
    <n v="50947.047197640117"/>
    <n v="99996"/>
    <n v="5091"/>
    <n v="921221.39999999944"/>
    <n v="1358.7336283185832"/>
    <n v="0.35149999999999998"/>
    <n v="313683433.04999983"/>
    <x v="1"/>
    <n v="10366.799999999999"/>
  </r>
  <r>
    <s v="LN01324"/>
    <x v="1323"/>
    <n v="25"/>
    <s v="Male"/>
    <s v="Single"/>
    <s v="Self-Employed"/>
    <n v="73770"/>
    <n v="457"/>
    <n v="99475"/>
    <n v="13.91"/>
    <n v="12"/>
    <s v="Mortgage"/>
    <n v="49.56"/>
    <n v="56553"/>
    <n v="111969"/>
    <x v="859"/>
    <s v="Approved"/>
    <s v="No"/>
    <x v="3"/>
    <x v="1321"/>
    <x v="1323"/>
    <n v="255"/>
    <n v="210"/>
    <n v="0.35149999999999998"/>
    <n v="34507467"/>
    <n v="50971.147710487443"/>
    <n v="99996"/>
    <n v="5091"/>
    <n v="920357.49999999953"/>
    <n v="1359.4645494830127"/>
    <n v="0.35149999999999998"/>
    <n v="312762211.64999986"/>
    <x v="1"/>
    <n v="113311.92"/>
  </r>
  <r>
    <s v="LN01325"/>
    <x v="1324"/>
    <n v="49"/>
    <s v="Male"/>
    <s v="Divorced"/>
    <s v="Unemployed"/>
    <n v="123975"/>
    <n v="804"/>
    <n v="36599"/>
    <n v="16.98"/>
    <n v="180"/>
    <s v="Personal"/>
    <n v="57.73"/>
    <n v="76738"/>
    <n v="97761"/>
    <x v="860"/>
    <s v="Pending"/>
    <s v="No"/>
    <x v="4"/>
    <x v="1322"/>
    <x v="1324"/>
    <n v="254"/>
    <n v="210"/>
    <n v="0.35149999999999998"/>
    <n v="34407992"/>
    <n v="50899.396449704145"/>
    <n v="99996"/>
    <n v="5091"/>
    <n v="910914.8399999995"/>
    <n v="1347.507159763313"/>
    <n v="0.35149999999999998"/>
    <n v="311841854.14999986"/>
    <x v="0"/>
    <n v="2854.2"/>
  </r>
  <r>
    <s v="LN01326"/>
    <x v="1325"/>
    <n v="26"/>
    <s v="Male"/>
    <s v="Single"/>
    <s v="Self-Employed"/>
    <n v="172681"/>
    <n v="456"/>
    <n v="22457"/>
    <n v="8.43"/>
    <n v="360"/>
    <s v="Mortgage"/>
    <n v="23.64"/>
    <n v="15194"/>
    <n v="45980"/>
    <x v="604"/>
    <s v="Rejected"/>
    <s v="No"/>
    <x v="0"/>
    <x v="1323"/>
    <x v="1325"/>
    <n v="254"/>
    <n v="210"/>
    <n v="0.35149999999999998"/>
    <n v="34371393"/>
    <n v="50920.58222222222"/>
    <n v="99996"/>
    <n v="5091"/>
    <n v="910676.98999999953"/>
    <n v="1349.1510962962957"/>
    <n v="0.35149999999999998"/>
    <n v="310930939.30999982"/>
    <x v="1"/>
    <n v="811.68000000000006"/>
  </r>
  <r>
    <s v="LN01327"/>
    <x v="1326"/>
    <n v="47"/>
    <s v="Female"/>
    <s v="Divorced"/>
    <s v="Employed"/>
    <n v="177361"/>
    <n v="586"/>
    <n v="50041"/>
    <n v="15.66"/>
    <n v="120"/>
    <s v="Auto"/>
    <n v="14.12"/>
    <n v="33707"/>
    <n v="157943"/>
    <x v="24"/>
    <s v="Approved"/>
    <s v="No"/>
    <x v="4"/>
    <x v="1324"/>
    <x v="1326"/>
    <n v="254"/>
    <n v="209"/>
    <n v="0.35149999999999998"/>
    <n v="34348936"/>
    <n v="50962.813056379819"/>
    <n v="99996"/>
    <n v="5091"/>
    <n v="910609.34999999951"/>
    <n v="1351.0524480712158"/>
    <n v="0.35149999999999998"/>
    <n v="310020262.31999981"/>
    <x v="1"/>
    <n v="5787.72"/>
  </r>
  <r>
    <s v="LN01328"/>
    <x v="1327"/>
    <n v="45"/>
    <s v="Male"/>
    <s v="Divorced"/>
    <s v="Employed"/>
    <n v="169998"/>
    <n v="414"/>
    <n v="19741"/>
    <n v="17.649999999999999"/>
    <n v="180"/>
    <s v="Education"/>
    <n v="12.22"/>
    <n v="37592"/>
    <n v="70757"/>
    <x v="241"/>
    <s v="Pending"/>
    <s v="Yes"/>
    <x v="4"/>
    <x v="1325"/>
    <x v="1327"/>
    <n v="253"/>
    <n v="209"/>
    <n v="0.35149999999999998"/>
    <n v="34298895"/>
    <n v="50964.182763744429"/>
    <n v="99996"/>
    <n v="5091"/>
    <n v="910127.03999999957"/>
    <n v="1352.3432986627038"/>
    <n v="0.35149999999999998"/>
    <n v="309109652.96999973"/>
    <x v="1"/>
    <n v="1548.3600000000001"/>
  </r>
  <r>
    <s v="LN01329"/>
    <x v="1328"/>
    <n v="22"/>
    <s v="Male"/>
    <s v="Divorced"/>
    <s v="Self-Employed"/>
    <n v="83883"/>
    <n v="378"/>
    <n v="47999"/>
    <n v="19.010000000000002"/>
    <n v="240"/>
    <s v="Education"/>
    <n v="23.84"/>
    <n v="63105"/>
    <n v="162187"/>
    <x v="861"/>
    <s v="Pending"/>
    <s v="No"/>
    <x v="2"/>
    <x v="1326"/>
    <x v="1328"/>
    <n v="253"/>
    <n v="209"/>
    <n v="0.35149999999999998"/>
    <n v="34279154"/>
    <n v="51010.645833333336"/>
    <n v="99996"/>
    <n v="5091"/>
    <n v="909998.00999999954"/>
    <n v="1354.1637053571421"/>
    <n v="0.35149999999999998"/>
    <n v="308199525.92999977"/>
    <x v="1"/>
    <n v="2856.2400000000002"/>
  </r>
  <r>
    <s v="LN01330"/>
    <x v="1329"/>
    <n v="22"/>
    <s v="Female"/>
    <s v="Married"/>
    <s v="Unemployed"/>
    <n v="149046"/>
    <n v="591"/>
    <n v="75844"/>
    <n v="18.850000000000001"/>
    <n v="24"/>
    <s v="Auto"/>
    <n v="45.43"/>
    <n v="70759"/>
    <n v="161058"/>
    <x v="862"/>
    <s v="Rejected"/>
    <s v="No"/>
    <x v="1"/>
    <x v="1327"/>
    <x v="1329"/>
    <n v="253"/>
    <n v="209"/>
    <n v="0.35149999999999998"/>
    <n v="34231155"/>
    <n v="51015.134128166916"/>
    <n v="99996"/>
    <n v="5091"/>
    <n v="909759.98999999953"/>
    <n v="1355.8271087928458"/>
    <n v="0.35149999999999998"/>
    <n v="307289527.91999972"/>
    <x v="1"/>
    <n v="45070.32"/>
  </r>
  <r>
    <s v="LN01331"/>
    <x v="1330"/>
    <n v="27"/>
    <s v="Male"/>
    <s v="Single"/>
    <s v="Self-Employed"/>
    <n v="46726"/>
    <n v="816"/>
    <n v="14550"/>
    <n v="4.13"/>
    <n v="360"/>
    <s v="Education"/>
    <n v="7.07"/>
    <n v="348"/>
    <n v="180716"/>
    <x v="15"/>
    <s v="Rejected"/>
    <s v="No"/>
    <x v="2"/>
    <x v="1328"/>
    <x v="1330"/>
    <n v="253"/>
    <n v="208"/>
    <n v="0.35149999999999998"/>
    <n v="34155311"/>
    <n v="50978.076119402984"/>
    <n v="99996"/>
    <n v="5091"/>
    <n v="906004.12999999966"/>
    <n v="1352.2449701492533"/>
    <n v="0.35149999999999998"/>
    <n v="306379767.92999977"/>
    <x v="1"/>
    <n v="505.08000000000004"/>
  </r>
  <r>
    <s v="LN01332"/>
    <x v="1331"/>
    <n v="43"/>
    <s v="Female"/>
    <s v="Divorced"/>
    <s v="Self-Employed"/>
    <n v="123260"/>
    <n v="729"/>
    <n v="35469"/>
    <n v="7.18"/>
    <n v="360"/>
    <s v="Mortgage"/>
    <n v="36.96"/>
    <n v="47726"/>
    <n v="11606"/>
    <x v="863"/>
    <s v="Pending"/>
    <s v="Yes"/>
    <x v="2"/>
    <x v="1329"/>
    <x v="1331"/>
    <n v="253"/>
    <n v="207"/>
    <n v="0.35149999999999998"/>
    <n v="34140761"/>
    <n v="51032.52765321375"/>
    <n v="99996"/>
    <n v="5091"/>
    <n v="905962.03999999957"/>
    <n v="1354.2033482810159"/>
    <n v="0.35149999999999998"/>
    <n v="305473763.79999971"/>
    <x v="1"/>
    <n v="1267.1999999999998"/>
  </r>
  <r>
    <s v="LN01333"/>
    <x v="1332"/>
    <n v="36"/>
    <s v="Female"/>
    <s v="Divorced"/>
    <s v="Employed"/>
    <n v="93198"/>
    <n v="355"/>
    <n v="39160"/>
    <n v="4.3899999999999997"/>
    <n v="360"/>
    <s v="Education"/>
    <n v="34"/>
    <n v="37109"/>
    <n v="99951"/>
    <x v="864"/>
    <s v="Rejected"/>
    <s v="Yes"/>
    <x v="3"/>
    <x v="1330"/>
    <x v="1332"/>
    <n v="253"/>
    <n v="207"/>
    <n v="0.35149999999999998"/>
    <n v="34105292"/>
    <n v="51055.826347305388"/>
    <n v="99996"/>
    <n v="5091"/>
    <n v="905856.43999999959"/>
    <n v="1356.0725149700593"/>
    <n v="0.35149999999999998"/>
    <n v="304567801.75999981"/>
    <x v="1"/>
    <n v="1362.6"/>
  </r>
  <r>
    <s v="LN01334"/>
    <x v="1333"/>
    <n v="25"/>
    <s v="Female"/>
    <s v="Divorced"/>
    <s v="Self-Employed"/>
    <n v="23430"/>
    <n v="408"/>
    <n v="18842"/>
    <n v="9.74"/>
    <n v="24"/>
    <s v="Business"/>
    <n v="11.9"/>
    <n v="40493"/>
    <n v="36763"/>
    <x v="865"/>
    <s v="Approved"/>
    <s v="Yes"/>
    <x v="0"/>
    <x v="1331"/>
    <x v="1333"/>
    <n v="253"/>
    <n v="206"/>
    <n v="0.35149999999999998"/>
    <n v="34066132"/>
    <n v="51073.661169415289"/>
    <n v="99996"/>
    <n v="5091"/>
    <n v="905742.88999999955"/>
    <n v="1357.9353673163412"/>
    <n v="0.35149999999999998"/>
    <n v="303661945.31999975"/>
    <x v="1"/>
    <n v="10338.599999999999"/>
  </r>
  <r>
    <s v="LN01335"/>
    <x v="1334"/>
    <n v="38"/>
    <s v="Female"/>
    <s v="Married"/>
    <s v="Employed"/>
    <n v="140972"/>
    <n v="763"/>
    <n v="81658"/>
    <n v="10.82"/>
    <n v="240"/>
    <s v="Mortgage"/>
    <n v="23.14"/>
    <n v="45988"/>
    <n v="30900"/>
    <x v="57"/>
    <s v="Approved"/>
    <s v="Yes"/>
    <x v="1"/>
    <x v="1332"/>
    <x v="1334"/>
    <n v="252"/>
    <n v="206"/>
    <n v="0.35149999999999998"/>
    <n v="34047290"/>
    <n v="51122.057057057056"/>
    <n v="99996"/>
    <n v="5091"/>
    <n v="904881.33999999973"/>
    <n v="1358.6806906906902"/>
    <n v="0.35149999999999998"/>
    <n v="302756202.42999977"/>
    <x v="1"/>
    <n v="4524.72"/>
  </r>
  <r>
    <s v="LN01336"/>
    <x v="1335"/>
    <n v="53"/>
    <s v="Male"/>
    <s v="Divorced"/>
    <s v="Self-Employed"/>
    <n v="199128"/>
    <n v="320"/>
    <n v="37836"/>
    <n v="11.46"/>
    <n v="360"/>
    <s v="Mortgage"/>
    <n v="30.63"/>
    <n v="75839"/>
    <n v="213540"/>
    <x v="866"/>
    <s v="Rejected"/>
    <s v="Yes"/>
    <x v="3"/>
    <x v="1333"/>
    <x v="1335"/>
    <n v="251"/>
    <n v="206"/>
    <n v="0.35149999999999998"/>
    <n v="33965632"/>
    <n v="51076.13834586466"/>
    <n v="99996"/>
    <n v="5091"/>
    <n v="904504.27999999968"/>
    <n v="1360.1568120300747"/>
    <n v="0.35149999999999998"/>
    <n v="301851321.08999979"/>
    <x v="1"/>
    <n v="1405.68"/>
  </r>
  <r>
    <s v="LN01337"/>
    <x v="1336"/>
    <n v="43"/>
    <s v="Female"/>
    <s v="Married"/>
    <s v="Self-Employed"/>
    <n v="42841"/>
    <n v="849"/>
    <n v="95942"/>
    <n v="17.170000000000002"/>
    <n v="48"/>
    <s v="Mortgage"/>
    <n v="38.31"/>
    <n v="3072"/>
    <n v="64491"/>
    <x v="31"/>
    <s v="Rejected"/>
    <s v="No"/>
    <x v="4"/>
    <x v="1334"/>
    <x v="1336"/>
    <n v="251"/>
    <n v="205"/>
    <n v="0.35149999999999998"/>
    <n v="33927796"/>
    <n v="51096.078313253012"/>
    <n v="99996"/>
    <n v="5091"/>
    <n v="904387.13999999966"/>
    <n v="1362.0288253012043"/>
    <n v="0.35149999999999998"/>
    <n v="300946816.80999982"/>
    <x v="1"/>
    <n v="28103.760000000002"/>
  </r>
  <r>
    <s v="LN01338"/>
    <x v="1337"/>
    <n v="30"/>
    <s v="Female"/>
    <s v="Divorced"/>
    <s v="Employed"/>
    <n v="92948"/>
    <n v="335"/>
    <n v="51654"/>
    <n v="4.1500000000000004"/>
    <n v="120"/>
    <s v="Education"/>
    <n v="46.62"/>
    <n v="28203"/>
    <n v="62673"/>
    <x v="690"/>
    <s v="Approved"/>
    <s v="Yes"/>
    <x v="2"/>
    <x v="1335"/>
    <x v="1337"/>
    <n v="251"/>
    <n v="204"/>
    <n v="0.35149999999999998"/>
    <n v="33831854"/>
    <n v="51028.437405731522"/>
    <n v="99996"/>
    <n v="5091"/>
    <n v="902045.15999999968"/>
    <n v="1360.5507692307688"/>
    <n v="0.35149999999999998"/>
    <n v="300042429.66999966"/>
    <x v="1"/>
    <n v="5379.72"/>
  </r>
  <r>
    <s v="LN01339"/>
    <x v="1338"/>
    <n v="42"/>
    <s v="Female"/>
    <s v="Divorced"/>
    <s v="Self-Employed"/>
    <n v="116708"/>
    <n v="348"/>
    <n v="32045"/>
    <n v="3.61"/>
    <n v="36"/>
    <s v="Mortgage"/>
    <n v="45.93"/>
    <n v="6903"/>
    <n v="27412"/>
    <x v="867"/>
    <s v="Approved"/>
    <s v="Yes"/>
    <x v="3"/>
    <x v="1336"/>
    <x v="1338"/>
    <n v="250"/>
    <n v="204"/>
    <n v="0.35149999999999998"/>
    <n v="33780200"/>
    <n v="51027.492447129909"/>
    <n v="99996"/>
    <n v="5091"/>
    <n v="901596.84999999974"/>
    <n v="1361.9287764350449"/>
    <n v="0.35149999999999998"/>
    <n v="299140384.50999963"/>
    <x v="1"/>
    <n v="11067.24"/>
  </r>
  <r>
    <s v="LN01340"/>
    <x v="1339"/>
    <n v="32"/>
    <s v="Male"/>
    <s v="Divorced"/>
    <s v="Self-Employed"/>
    <n v="27928"/>
    <n v="490"/>
    <n v="88556"/>
    <n v="6.12"/>
    <n v="24"/>
    <s v="Auto"/>
    <n v="21.56"/>
    <n v="67681"/>
    <n v="42037"/>
    <x v="252"/>
    <s v="Approved"/>
    <s v="No"/>
    <x v="1"/>
    <x v="1337"/>
    <x v="1339"/>
    <n v="249"/>
    <n v="204"/>
    <n v="0.35149999999999998"/>
    <n v="33748155"/>
    <n v="51056.210287443268"/>
    <n v="99996"/>
    <n v="5091"/>
    <n v="900674.57999999973"/>
    <n v="1362.5939183055971"/>
    <n v="0.35149999999999998"/>
    <n v="298238787.65999955"/>
    <x v="1"/>
    <n v="46987.8"/>
  </r>
  <r>
    <s v="LN01341"/>
    <x v="1340"/>
    <n v="30"/>
    <s v="Female"/>
    <s v="Divorced"/>
    <s v="Unemployed"/>
    <n v="34018"/>
    <n v="832"/>
    <n v="61844"/>
    <n v="17.52"/>
    <n v="24"/>
    <s v="Auto"/>
    <n v="36.33"/>
    <n v="57340"/>
    <n v="93574"/>
    <x v="497"/>
    <s v="Rejected"/>
    <s v="No"/>
    <x v="4"/>
    <x v="1338"/>
    <x v="1340"/>
    <n v="248"/>
    <n v="204"/>
    <n v="0.35149999999999998"/>
    <n v="33659599"/>
    <n v="50999.392424242425"/>
    <n v="99996"/>
    <n v="5091"/>
    <n v="896758.9299999997"/>
    <n v="1358.725651515151"/>
    <n v="0.35149999999999998"/>
    <n v="297338113.07999957"/>
    <x v="1"/>
    <n v="36339.479999999996"/>
  </r>
  <r>
    <s v="LN01342"/>
    <x v="1341"/>
    <n v="26"/>
    <s v="Male"/>
    <s v="Single"/>
    <s v="Unemployed"/>
    <n v="79721"/>
    <n v="429"/>
    <n v="70861"/>
    <n v="17.96"/>
    <n v="36"/>
    <s v="Education"/>
    <n v="32.979999999999997"/>
    <n v="69974"/>
    <n v="183018"/>
    <x v="868"/>
    <s v="Approved"/>
    <s v="No"/>
    <x v="0"/>
    <x v="1339"/>
    <x v="1341"/>
    <n v="248"/>
    <n v="203"/>
    <n v="0.35149999999999998"/>
    <n v="33597755"/>
    <n v="50982.936267071324"/>
    <n v="99996"/>
    <n v="5091"/>
    <n v="893730.63999999966"/>
    <n v="1356.192169954476"/>
    <n v="0.35149999999999998"/>
    <n v="296441354.14999956"/>
    <x v="1"/>
    <n v="27862.560000000001"/>
  </r>
  <r>
    <s v="LN01343"/>
    <x v="1342"/>
    <n v="27"/>
    <s v="Male"/>
    <s v="Divorced"/>
    <s v="Employed"/>
    <n v="30290"/>
    <n v="531"/>
    <n v="55054"/>
    <n v="20.58"/>
    <n v="360"/>
    <s v="Mortgage"/>
    <n v="55.4"/>
    <n v="21811"/>
    <n v="188368"/>
    <x v="72"/>
    <s v="Rejected"/>
    <s v="No"/>
    <x v="3"/>
    <x v="1340"/>
    <x v="1342"/>
    <n v="247"/>
    <n v="203"/>
    <n v="0.35149999999999998"/>
    <n v="33526894"/>
    <n v="50952.726443768996"/>
    <n v="99996"/>
    <n v="5091"/>
    <n v="891408.75999999966"/>
    <n v="1354.7245592705162"/>
    <n v="0.35149999999999998"/>
    <n v="295547623.50999951"/>
    <x v="1"/>
    <n v="2212.8000000000002"/>
  </r>
  <r>
    <s v="LN01344"/>
    <x v="1343"/>
    <n v="44"/>
    <s v="Male"/>
    <s v="Divorced"/>
    <s v="Unemployed"/>
    <n v="132154"/>
    <n v="532"/>
    <n v="33154"/>
    <n v="23.64"/>
    <n v="24"/>
    <s v="Education"/>
    <n v="37.159999999999997"/>
    <n v="46450"/>
    <n v="191732"/>
    <x v="596"/>
    <s v="Pending"/>
    <s v="Yes"/>
    <x v="3"/>
    <x v="1341"/>
    <x v="1343"/>
    <n v="247"/>
    <n v="202"/>
    <n v="0.35149999999999998"/>
    <n v="33471840"/>
    <n v="50946.48401826484"/>
    <n v="99996"/>
    <n v="5091"/>
    <n v="891224.35999999975"/>
    <n v="1356.5058751902584"/>
    <n v="0.35149999999999998"/>
    <n v="294656214.74999946"/>
    <x v="1"/>
    <n v="20495.760000000002"/>
  </r>
  <r>
    <s v="LN01345"/>
    <x v="1344"/>
    <n v="25"/>
    <s v="Female"/>
    <s v="Married"/>
    <s v="Unemployed"/>
    <n v="167921"/>
    <n v="772"/>
    <n v="49367"/>
    <n v="22.19"/>
    <n v="120"/>
    <s v="Auto"/>
    <n v="55.29"/>
    <n v="1336"/>
    <n v="145565"/>
    <x v="577"/>
    <s v="Pending"/>
    <s v="Yes"/>
    <x v="1"/>
    <x v="1342"/>
    <x v="1344"/>
    <n v="247"/>
    <n v="202"/>
    <n v="0.35149999999999998"/>
    <n v="33438686"/>
    <n v="50973.606707317071"/>
    <n v="99996"/>
    <n v="5091"/>
    <n v="889516.37999999966"/>
    <n v="1355.9700914634141"/>
    <n v="0.35149999999999998"/>
    <n v="293764990.38999945"/>
    <x v="1"/>
    <n v="6032.16"/>
  </r>
  <r>
    <s v="LN01346"/>
    <x v="1345"/>
    <n v="36"/>
    <s v="Male"/>
    <s v="Married"/>
    <s v="Employed"/>
    <n v="171551"/>
    <n v="734"/>
    <n v="74463"/>
    <n v="19.72"/>
    <n v="48"/>
    <s v="Personal"/>
    <n v="39.89"/>
    <n v="37460"/>
    <n v="64203"/>
    <x v="869"/>
    <s v="Pending"/>
    <s v="Yes"/>
    <x v="2"/>
    <x v="1343"/>
    <x v="1345"/>
    <n v="247"/>
    <n v="202"/>
    <n v="0.35149999999999998"/>
    <n v="33389319"/>
    <n v="50976.05954198473"/>
    <n v="99996"/>
    <n v="5091"/>
    <n v="889013.69999999949"/>
    <n v="1357.2728244274801"/>
    <n v="0.35149999999999998"/>
    <n v="292875474.00999951"/>
    <x v="1"/>
    <n v="22286.760000000002"/>
  </r>
  <r>
    <s v="LN01347"/>
    <x v="1346"/>
    <n v="50"/>
    <s v="Male"/>
    <s v="Single"/>
    <s v="Self-Employed"/>
    <n v="20521"/>
    <n v="739"/>
    <n v="11512"/>
    <n v="15.85"/>
    <n v="36"/>
    <s v="Education"/>
    <n v="52.8"/>
    <n v="17343"/>
    <n v="72994"/>
    <x v="870"/>
    <s v="Rejected"/>
    <s v="No"/>
    <x v="1"/>
    <x v="1344"/>
    <x v="1346"/>
    <n v="247"/>
    <n v="202"/>
    <n v="0.35149999999999998"/>
    <n v="33314856"/>
    <n v="50940.146788990824"/>
    <n v="99996"/>
    <n v="5091"/>
    <n v="887156.46999999951"/>
    <n v="1356.5083639143722"/>
    <n v="0.35149999999999998"/>
    <n v="291986460.30999959"/>
    <x v="1"/>
    <n v="4445.5199999999995"/>
  </r>
  <r>
    <s v="LN01348"/>
    <x v="1347"/>
    <n v="48"/>
    <s v="Male"/>
    <s v="Divorced"/>
    <s v="Self-Employed"/>
    <n v="74727"/>
    <n v="787"/>
    <n v="68373"/>
    <n v="13.84"/>
    <n v="360"/>
    <s v="Education"/>
    <n v="43.14"/>
    <n v="3788"/>
    <n v="103129"/>
    <x v="741"/>
    <s v="Rejected"/>
    <s v="No"/>
    <x v="0"/>
    <x v="1345"/>
    <x v="1347"/>
    <n v="247"/>
    <n v="201"/>
    <n v="0.35149999999999998"/>
    <n v="33303344"/>
    <n v="51000.526799387444"/>
    <n v="99996"/>
    <n v="5091"/>
    <n v="886786.00999999943"/>
    <n v="1358.0183920367526"/>
    <n v="0.35149999999999998"/>
    <n v="291099303.83999962"/>
    <x v="1"/>
    <n v="2594.52"/>
  </r>
  <r>
    <s v="LN01349"/>
    <x v="1348"/>
    <n v="29"/>
    <s v="Female"/>
    <s v="Divorced"/>
    <s v="Employed"/>
    <n v="145478"/>
    <n v="489"/>
    <n v="8895"/>
    <n v="13.02"/>
    <n v="60"/>
    <s v="Auto"/>
    <n v="24.45"/>
    <n v="76100"/>
    <n v="24631"/>
    <x v="397"/>
    <s v="Approved"/>
    <s v="No"/>
    <x v="2"/>
    <x v="1346"/>
    <x v="1348"/>
    <n v="247"/>
    <n v="200"/>
    <n v="0.35149999999999998"/>
    <n v="33234971"/>
    <n v="50973.88190184049"/>
    <n v="99996"/>
    <n v="5091"/>
    <n v="886569.79999999946"/>
    <n v="1359.7696319018396"/>
    <n v="0.35149999999999998"/>
    <n v="290212517.82999963"/>
    <x v="1"/>
    <n v="2010.6000000000001"/>
  </r>
  <r>
    <s v="LN01350"/>
    <x v="1349"/>
    <n v="46"/>
    <s v="Female"/>
    <s v="Single"/>
    <s v="Employed"/>
    <n v="166263"/>
    <n v="798"/>
    <n v="26701"/>
    <n v="7.81"/>
    <n v="36"/>
    <s v="Mortgage"/>
    <n v="42.33"/>
    <n v="4888"/>
    <n v="138874"/>
    <x v="111"/>
    <s v="Pending"/>
    <s v="Yes"/>
    <x v="2"/>
    <x v="1347"/>
    <x v="1349"/>
    <n v="246"/>
    <n v="200"/>
    <n v="0.35149999999999998"/>
    <n v="33226076"/>
    <n v="51038.519201228875"/>
    <n v="99996"/>
    <n v="5091"/>
    <n v="886402.24999999953"/>
    <n v="1361.6009984639011"/>
    <n v="0.35149999999999998"/>
    <n v="289325948.02999961"/>
    <x v="1"/>
    <n v="9595.44"/>
  </r>
  <r>
    <s v="LN01351"/>
    <x v="1350"/>
    <n v="55"/>
    <s v="Male"/>
    <s v="Single"/>
    <s v="Unemployed"/>
    <n v="50777"/>
    <n v="842"/>
    <n v="84971"/>
    <n v="6.82"/>
    <n v="36"/>
    <s v="Mortgage"/>
    <n v="19.95"/>
    <n v="35725"/>
    <n v="51827"/>
    <x v="848"/>
    <s v="Pending"/>
    <s v="No"/>
    <x v="4"/>
    <x v="1348"/>
    <x v="1350"/>
    <n v="246"/>
    <n v="200"/>
    <n v="0.35149999999999998"/>
    <n v="33199375"/>
    <n v="51075.961538461539"/>
    <n v="99996"/>
    <n v="5091"/>
    <n v="885602.62999999954"/>
    <n v="1362.4655846153839"/>
    <n v="0.35149999999999998"/>
    <n v="288439545.77999967"/>
    <x v="1"/>
    <n v="30255.360000000001"/>
  </r>
  <r>
    <s v="LN01352"/>
    <x v="1351"/>
    <n v="56"/>
    <s v="Male"/>
    <s v="Single"/>
    <s v="Self-Employed"/>
    <n v="89216"/>
    <n v="735"/>
    <n v="31014"/>
    <n v="4.99"/>
    <n v="60"/>
    <s v="Auto"/>
    <n v="17.010000000000002"/>
    <n v="27736"/>
    <n v="201139"/>
    <x v="131"/>
    <s v="Rejected"/>
    <s v="No"/>
    <x v="2"/>
    <x v="1349"/>
    <x v="1351"/>
    <n v="246"/>
    <n v="200"/>
    <n v="0.35149999999999998"/>
    <n v="33114404"/>
    <n v="51023.734976887521"/>
    <n v="99996"/>
    <n v="5091"/>
    <n v="883081.34999999963"/>
    <n v="1360.680046224961"/>
    <n v="0.35149999999999998"/>
    <n v="287553943.14999962"/>
    <x v="1"/>
    <n v="6512.2800000000007"/>
  </r>
  <r>
    <s v="LN01353"/>
    <x v="1352"/>
    <n v="24"/>
    <s v="Male"/>
    <s v="Divorced"/>
    <s v="Unemployed"/>
    <n v="95201"/>
    <n v="388"/>
    <n v="62848"/>
    <n v="22.56"/>
    <n v="12"/>
    <s v="Personal"/>
    <n v="30.01"/>
    <n v="52045"/>
    <n v="78838"/>
    <x v="871"/>
    <s v="Approved"/>
    <s v="No"/>
    <x v="4"/>
    <x v="1350"/>
    <x v="1352"/>
    <n v="246"/>
    <n v="199"/>
    <n v="0.35149999999999998"/>
    <n v="33083390"/>
    <n v="51054.614197530864"/>
    <n v="99996"/>
    <n v="5091"/>
    <n v="882538.65999999968"/>
    <n v="1361.9423765432093"/>
    <n v="0.35149999999999998"/>
    <n v="286670861.79999965"/>
    <x v="1"/>
    <n v="77026.559999999998"/>
  </r>
  <r>
    <s v="LN01354"/>
    <x v="1353"/>
    <n v="64"/>
    <s v="Male"/>
    <s v="Married"/>
    <s v="Self-Employed"/>
    <n v="179717"/>
    <n v="558"/>
    <n v="16405"/>
    <n v="22.34"/>
    <n v="60"/>
    <s v="Education"/>
    <n v="48.58"/>
    <n v="52710"/>
    <n v="51943"/>
    <x v="214"/>
    <s v="Pending"/>
    <s v="Yes"/>
    <x v="1"/>
    <x v="1351"/>
    <x v="1353"/>
    <n v="245"/>
    <n v="199"/>
    <n v="0.35149999999999998"/>
    <n v="33020542"/>
    <n v="51036.386398763527"/>
    <n v="99996"/>
    <n v="5091"/>
    <n v="876119.77999999968"/>
    <n v="1354.1263987635234"/>
    <n v="0.35149999999999998"/>
    <n v="285788323.13999969"/>
    <x v="0"/>
    <n v="4014"/>
  </r>
  <r>
    <s v="LN01355"/>
    <x v="1354"/>
    <n v="34"/>
    <s v="Female"/>
    <s v="Divorced"/>
    <s v="Self-Employed"/>
    <n v="54404"/>
    <n v="345"/>
    <n v="96169"/>
    <n v="7.41"/>
    <n v="60"/>
    <s v="Auto"/>
    <n v="41.64"/>
    <n v="30283"/>
    <n v="109456"/>
    <x v="834"/>
    <s v="Rejected"/>
    <s v="Yes"/>
    <x v="2"/>
    <x v="1352"/>
    <x v="1354"/>
    <n v="245"/>
    <n v="199"/>
    <n v="0.35149999999999998"/>
    <n v="33004137"/>
    <n v="51089.99535603715"/>
    <n v="99996"/>
    <n v="5091"/>
    <n v="875785.27999999968"/>
    <n v="1355.7047678018571"/>
    <n v="0.35149999999999998"/>
    <n v="284912203.35999966"/>
    <x v="1"/>
    <n v="20659.079999999998"/>
  </r>
  <r>
    <s v="LN01356"/>
    <x v="1355"/>
    <n v="63"/>
    <s v="Male"/>
    <s v="Married"/>
    <s v="Employed"/>
    <n v="184828"/>
    <n v="671"/>
    <n v="41373"/>
    <n v="14.62"/>
    <n v="120"/>
    <s v="Mortgage"/>
    <n v="52.42"/>
    <n v="37188"/>
    <n v="216153"/>
    <x v="872"/>
    <s v="Rejected"/>
    <s v="No"/>
    <x v="0"/>
    <x v="1353"/>
    <x v="1355"/>
    <n v="245"/>
    <n v="198"/>
    <n v="0.35149999999999998"/>
    <n v="32907968"/>
    <n v="51020.105426356589"/>
    <n v="99996"/>
    <n v="5091"/>
    <n v="874063.68999999959"/>
    <n v="1355.1375038759684"/>
    <n v="0.35149999999999998"/>
    <n v="284036418.07999963"/>
    <x v="1"/>
    <n v="4742.16"/>
  </r>
  <r>
    <s v="LN01357"/>
    <x v="1356"/>
    <n v="61"/>
    <s v="Male"/>
    <s v="Divorced"/>
    <s v="Self-Employed"/>
    <n v="146010"/>
    <n v="629"/>
    <n v="98704"/>
    <n v="13.91"/>
    <n v="120"/>
    <s v="Auto"/>
    <n v="19.41"/>
    <n v="53442"/>
    <n v="106851"/>
    <x v="873"/>
    <s v="Rejected"/>
    <s v="No"/>
    <x v="2"/>
    <x v="1354"/>
    <x v="1356"/>
    <n v="245"/>
    <n v="197"/>
    <n v="0.35149999999999998"/>
    <n v="32866595"/>
    <n v="51035.085403726705"/>
    <n v="99996"/>
    <n v="5091"/>
    <n v="873668.50999999954"/>
    <n v="1356.6281211180117"/>
    <n v="0.35149999999999998"/>
    <n v="283162354.38999963"/>
    <x v="1"/>
    <n v="11243.400000000001"/>
  </r>
  <r>
    <s v="LN01358"/>
    <x v="1357"/>
    <n v="57"/>
    <s v="Male"/>
    <s v="Married"/>
    <s v="Employed"/>
    <n v="62799"/>
    <n v="624"/>
    <n v="72929"/>
    <n v="16.09"/>
    <n v="180"/>
    <s v="Personal"/>
    <n v="39.229999999999997"/>
    <n v="26020"/>
    <n v="64332"/>
    <x v="740"/>
    <s v="Approved"/>
    <s v="No"/>
    <x v="3"/>
    <x v="1355"/>
    <x v="1357"/>
    <n v="245"/>
    <n v="196"/>
    <n v="0.35149999999999998"/>
    <n v="32767891"/>
    <n v="50960.950233281495"/>
    <n v="99996"/>
    <n v="5091"/>
    <n v="872731.55999999959"/>
    <n v="1357.2808087091751"/>
    <n v="0.35149999999999998"/>
    <n v="282288685.87999958"/>
    <x v="1"/>
    <n v="5644.2000000000007"/>
  </r>
  <r>
    <s v="LN01359"/>
    <x v="1358"/>
    <n v="65"/>
    <s v="Male"/>
    <s v="Divorced"/>
    <s v="Unemployed"/>
    <n v="83458"/>
    <n v="466"/>
    <n v="96987"/>
    <n v="13.18"/>
    <n v="12"/>
    <s v="Education"/>
    <n v="50.03"/>
    <n v="24604"/>
    <n v="36121"/>
    <x v="816"/>
    <s v="Rejected"/>
    <s v="No"/>
    <x v="4"/>
    <x v="1356"/>
    <x v="1358"/>
    <n v="244"/>
    <n v="196"/>
    <n v="0.35149999999999998"/>
    <n v="32694962"/>
    <n v="50926.732087227414"/>
    <n v="99996"/>
    <n v="5091"/>
    <n v="872261.20999999961"/>
    <n v="1358.6623208722735"/>
    <n v="0.35149999999999998"/>
    <n v="281415954.31999952"/>
    <x v="1"/>
    <n v="109769.88"/>
  </r>
  <r>
    <s v="LN01360"/>
    <x v="1359"/>
    <n v="32"/>
    <s v="Male"/>
    <s v="Divorced"/>
    <s v="Employed"/>
    <n v="68949"/>
    <n v="553"/>
    <n v="60347"/>
    <n v="9.44"/>
    <n v="180"/>
    <s v="Education"/>
    <n v="56.2"/>
    <n v="26943"/>
    <n v="117819"/>
    <x v="874"/>
    <s v="Approved"/>
    <s v="No"/>
    <x v="2"/>
    <x v="1357"/>
    <x v="1359"/>
    <n v="244"/>
    <n v="195"/>
    <n v="0.35149999999999998"/>
    <n v="32597975"/>
    <n v="50854.8751950078"/>
    <n v="99996"/>
    <n v="5091"/>
    <n v="863113.71999999962"/>
    <n v="1346.5112636505455"/>
    <n v="0.35149999999999998"/>
    <n v="280543693.1099996"/>
    <x v="0"/>
    <n v="4402.92"/>
  </r>
  <r>
    <s v="LN01361"/>
    <x v="1360"/>
    <n v="34"/>
    <s v="Male"/>
    <s v="Married"/>
    <s v="Self-Employed"/>
    <n v="26946"/>
    <n v="579"/>
    <n v="24046"/>
    <n v="15.75"/>
    <n v="120"/>
    <s v="Education"/>
    <n v="45.23"/>
    <n v="5205"/>
    <n v="105602"/>
    <x v="51"/>
    <s v="Rejected"/>
    <s v="Yes"/>
    <x v="0"/>
    <x v="1358"/>
    <x v="1360"/>
    <n v="243"/>
    <n v="195"/>
    <n v="0.35149999999999998"/>
    <n v="32537628"/>
    <n v="50840.043749999997"/>
    <n v="99996"/>
    <n v="5091"/>
    <n v="862746.80999999959"/>
    <n v="1348.0418906249993"/>
    <n v="0.35149999999999998"/>
    <n v="279680579.38999951"/>
    <x v="1"/>
    <n v="2783.2799999999997"/>
  </r>
  <r>
    <s v="LN01362"/>
    <x v="1361"/>
    <n v="36"/>
    <s v="Female"/>
    <s v="Divorced"/>
    <s v="Self-Employed"/>
    <n v="43816"/>
    <n v="604"/>
    <n v="76139"/>
    <n v="19.04"/>
    <n v="12"/>
    <s v="Business"/>
    <n v="44.39"/>
    <n v="26247"/>
    <n v="134657"/>
    <x v="659"/>
    <s v="Pending"/>
    <s v="No"/>
    <x v="1"/>
    <x v="1359"/>
    <x v="1361"/>
    <n v="243"/>
    <n v="194"/>
    <n v="0.35149999999999998"/>
    <n v="32513582"/>
    <n v="50881.974960876367"/>
    <n v="99996"/>
    <n v="5091"/>
    <n v="862514.86999999965"/>
    <n v="1349.7885289514861"/>
    <n v="0.35149999999999998"/>
    <n v="278817832.57999957"/>
    <x v="1"/>
    <n v="90635.88"/>
  </r>
  <r>
    <s v="LN01363"/>
    <x v="1362"/>
    <n v="64"/>
    <s v="Male"/>
    <s v="Single"/>
    <s v="Self-Employed"/>
    <n v="119452"/>
    <n v="807"/>
    <n v="29728"/>
    <n v="17.72"/>
    <n v="360"/>
    <s v="Education"/>
    <n v="53.06"/>
    <n v="22518"/>
    <n v="53936"/>
    <x v="875"/>
    <s v="Approved"/>
    <s v="No"/>
    <x v="1"/>
    <x v="1360"/>
    <x v="1362"/>
    <n v="243"/>
    <n v="194"/>
    <n v="0.35149999999999998"/>
    <n v="32437443"/>
    <n v="50842.387147335423"/>
    <n v="99996"/>
    <n v="5091"/>
    <n v="854961.87999999977"/>
    <n v="1340.0656426332284"/>
    <n v="0.35149999999999998"/>
    <n v="277955317.7099995"/>
    <x v="0"/>
    <n v="1166.52"/>
  </r>
  <r>
    <s v="LN01364"/>
    <x v="1363"/>
    <n v="41"/>
    <s v="Female"/>
    <s v="Divorced"/>
    <s v="Employed"/>
    <n v="155526"/>
    <n v="573"/>
    <n v="37246"/>
    <n v="16.329999999999998"/>
    <n v="60"/>
    <s v="Auto"/>
    <n v="54.57"/>
    <n v="51182"/>
    <n v="202593"/>
    <x v="721"/>
    <s v="Rejected"/>
    <s v="Yes"/>
    <x v="2"/>
    <x v="1361"/>
    <x v="1363"/>
    <n v="242"/>
    <n v="194"/>
    <n v="0.35149999999999998"/>
    <n v="32407715"/>
    <n v="50875.533751962321"/>
    <n v="99996"/>
    <n v="5091"/>
    <n v="854864.66999999969"/>
    <n v="1342.0167503924642"/>
    <n v="0.35149999999999998"/>
    <n v="277100355.82999951"/>
    <x v="1"/>
    <n v="8665.68"/>
  </r>
  <r>
    <s v="LN01365"/>
    <x v="1364"/>
    <n v="24"/>
    <s v="Male"/>
    <s v="Divorced"/>
    <s v="Unemployed"/>
    <n v="189860"/>
    <n v="613"/>
    <n v="38695"/>
    <n v="22.64"/>
    <n v="48"/>
    <s v="Business"/>
    <n v="45.51"/>
    <n v="5589"/>
    <n v="70501"/>
    <x v="876"/>
    <s v="Pending"/>
    <s v="Yes"/>
    <x v="0"/>
    <x v="1362"/>
    <x v="1364"/>
    <n v="242"/>
    <n v="193"/>
    <n v="0.35149999999999998"/>
    <n v="32370469"/>
    <n v="50896.963836477989"/>
    <n v="99996"/>
    <n v="5091"/>
    <n v="854142.52999999968"/>
    <n v="1342.9913993710686"/>
    <n v="0.35149999999999998"/>
    <n v="276245491.15999955"/>
    <x v="1"/>
    <n v="11863.92"/>
  </r>
  <r>
    <s v="LN01366"/>
    <x v="1365"/>
    <n v="42"/>
    <s v="Female"/>
    <s v="Single"/>
    <s v="Unemployed"/>
    <n v="33598"/>
    <n v="825"/>
    <n v="65304"/>
    <n v="9.36"/>
    <n v="180"/>
    <s v="Auto"/>
    <n v="13.87"/>
    <n v="28835"/>
    <n v="32252"/>
    <x v="711"/>
    <s v="Rejected"/>
    <s v="Yes"/>
    <x v="0"/>
    <x v="1363"/>
    <x v="1365"/>
    <n v="242"/>
    <n v="193"/>
    <n v="0.35149999999999998"/>
    <n v="32331774"/>
    <n v="50916.179527559056"/>
    <n v="99996"/>
    <n v="5091"/>
    <n v="853153.86999999976"/>
    <n v="1343.5494015748027"/>
    <n v="0.35149999999999998"/>
    <n v="275391348.62999958"/>
    <x v="1"/>
    <n v="4761.12"/>
  </r>
  <r>
    <s v="LN01367"/>
    <x v="1366"/>
    <n v="59"/>
    <s v="Male"/>
    <s v="Single"/>
    <s v="Self-Employed"/>
    <n v="133019"/>
    <n v="809"/>
    <n v="28413"/>
    <n v="6.64"/>
    <n v="240"/>
    <s v="Personal"/>
    <n v="51.75"/>
    <n v="74544"/>
    <n v="84020"/>
    <x v="877"/>
    <s v="Approved"/>
    <s v="No"/>
    <x v="4"/>
    <x v="1364"/>
    <x v="1366"/>
    <n v="242"/>
    <n v="192"/>
    <n v="0.35149999999999998"/>
    <n v="32266470"/>
    <n v="50893.485804416407"/>
    <n v="99996"/>
    <n v="5091"/>
    <n v="852757.10999999975"/>
    <n v="1345.0427602523655"/>
    <n v="0.35149999999999998"/>
    <n v="274538194.75999963"/>
    <x v="1"/>
    <n v="1515"/>
  </r>
  <r>
    <s v="LN01368"/>
    <x v="1367"/>
    <n v="25"/>
    <s v="Male"/>
    <s v="Single"/>
    <s v="Unemployed"/>
    <n v="150771"/>
    <n v="644"/>
    <n v="82178"/>
    <n v="4.8899999999999997"/>
    <n v="180"/>
    <s v="Education"/>
    <n v="8.91"/>
    <n v="4464"/>
    <n v="52892"/>
    <x v="795"/>
    <s v="Approved"/>
    <s v="Yes"/>
    <x v="2"/>
    <x v="1365"/>
    <x v="1367"/>
    <n v="241"/>
    <n v="192"/>
    <n v="0.35149999999999998"/>
    <n v="32238057"/>
    <n v="50929"/>
    <n v="99996"/>
    <n v="5091"/>
    <n v="852630.85999999975"/>
    <n v="1346.968183254344"/>
    <n v="0.35149999999999998"/>
    <n v="273685437.64999974"/>
    <x v="1"/>
    <n v="5746.4400000000005"/>
  </r>
  <r>
    <s v="LN01369"/>
    <x v="1368"/>
    <n v="42"/>
    <s v="Female"/>
    <s v="Married"/>
    <s v="Self-Employed"/>
    <n v="76108"/>
    <n v="342"/>
    <n v="84948"/>
    <n v="20.75"/>
    <n v="180"/>
    <s v="Auto"/>
    <n v="20.98"/>
    <n v="30727"/>
    <n v="150628"/>
    <x v="878"/>
    <s v="Approved"/>
    <s v="No"/>
    <x v="4"/>
    <x v="1366"/>
    <x v="1368"/>
    <n v="240"/>
    <n v="192"/>
    <n v="0.35149999999999998"/>
    <n v="32155879"/>
    <n v="50879.555379746838"/>
    <n v="99996"/>
    <n v="5091"/>
    <n v="852151.98999999964"/>
    <n v="1348.3417563291134"/>
    <n v="0.35149999999999998"/>
    <n v="272832806.78999978"/>
    <x v="1"/>
    <n v="6838.32"/>
  </r>
  <r>
    <s v="LN01370"/>
    <x v="1369"/>
    <n v="49"/>
    <s v="Female"/>
    <s v="Divorced"/>
    <s v="Employed"/>
    <n v="22165"/>
    <n v="648"/>
    <n v="33785"/>
    <n v="15.92"/>
    <n v="48"/>
    <s v="Education"/>
    <n v="32.549999999999997"/>
    <n v="15786"/>
    <n v="205206"/>
    <x v="879"/>
    <s v="Pending"/>
    <s v="No"/>
    <x v="1"/>
    <x v="1367"/>
    <x v="1369"/>
    <n v="239"/>
    <n v="192"/>
    <n v="0.35149999999999998"/>
    <n v="32070931"/>
    <n v="50825.56418383518"/>
    <n v="99996"/>
    <n v="5091"/>
    <n v="851582.12999999966"/>
    <n v="1349.5754833597459"/>
    <n v="0.35149999999999998"/>
    <n v="271980654.79999983"/>
    <x v="1"/>
    <n v="9790.92"/>
  </r>
  <r>
    <s v="LN01371"/>
    <x v="1370"/>
    <n v="31"/>
    <s v="Male"/>
    <s v="Divorced"/>
    <s v="Employed"/>
    <n v="151407"/>
    <n v="789"/>
    <n v="14110"/>
    <n v="17.93"/>
    <n v="12"/>
    <s v="Auto"/>
    <n v="9.94"/>
    <n v="53701"/>
    <n v="201118"/>
    <x v="880"/>
    <s v="Rejected"/>
    <s v="No"/>
    <x v="1"/>
    <x v="1368"/>
    <x v="1370"/>
    <n v="239"/>
    <n v="192"/>
    <n v="0.35149999999999998"/>
    <n v="32037146"/>
    <n v="50852.612698412697"/>
    <n v="99996"/>
    <n v="5091"/>
    <n v="850766.21999999951"/>
    <n v="1350.4225714285706"/>
    <n v="0.35149999999999998"/>
    <n v="271129072.6699999"/>
    <x v="1"/>
    <n v="16639.920000000002"/>
  </r>
  <r>
    <s v="LN01372"/>
    <x v="1371"/>
    <n v="62"/>
    <s v="Female"/>
    <s v="Divorced"/>
    <s v="Unemployed"/>
    <n v="96808"/>
    <n v="638"/>
    <n v="31641"/>
    <n v="11.21"/>
    <n v="36"/>
    <s v="Personal"/>
    <n v="5.23"/>
    <n v="30163"/>
    <n v="124840"/>
    <x v="580"/>
    <s v="Pending"/>
    <s v="No"/>
    <x v="0"/>
    <x v="1369"/>
    <x v="1371"/>
    <n v="239"/>
    <n v="191"/>
    <n v="0.35149999999999998"/>
    <n v="32023036"/>
    <n v="50911.027027027027"/>
    <n v="99996"/>
    <n v="5091"/>
    <n v="849379.55999999959"/>
    <n v="1350.3649602543715"/>
    <n v="0.35149999999999998"/>
    <n v="270278306.44999993"/>
    <x v="0"/>
    <n v="11729.28"/>
  </r>
  <r>
    <s v="LN01373"/>
    <x v="1372"/>
    <n v="59"/>
    <s v="Female"/>
    <s v="Single"/>
    <s v="Employed"/>
    <n v="125207"/>
    <n v="807"/>
    <n v="92501"/>
    <n v="14.03"/>
    <n v="120"/>
    <s v="Personal"/>
    <n v="57.15"/>
    <n v="53456"/>
    <n v="240521"/>
    <x v="833"/>
    <s v="Rejected"/>
    <s v="Yes"/>
    <x v="4"/>
    <x v="1370"/>
    <x v="1372"/>
    <n v="239"/>
    <n v="191"/>
    <n v="0.35149999999999998"/>
    <n v="31991395"/>
    <n v="50941.711783439488"/>
    <n v="99996"/>
    <n v="5091"/>
    <n v="848402.11999999953"/>
    <n v="1350.9587898089164"/>
    <n v="0.35149999999999998"/>
    <n v="269428926.88999999"/>
    <x v="1"/>
    <n v="10547.880000000001"/>
  </r>
  <r>
    <s v="LN01374"/>
    <x v="1373"/>
    <n v="36"/>
    <s v="Female"/>
    <s v="Married"/>
    <s v="Unemployed"/>
    <n v="114207"/>
    <n v="650"/>
    <n v="5853"/>
    <n v="10.16"/>
    <n v="120"/>
    <s v="Auto"/>
    <n v="26.37"/>
    <n v="16318"/>
    <n v="198989"/>
    <x v="881"/>
    <s v="Approved"/>
    <s v="Yes"/>
    <x v="1"/>
    <x v="1371"/>
    <x v="1373"/>
    <n v="239"/>
    <n v="190"/>
    <n v="0.35149999999999998"/>
    <n v="31898894"/>
    <n v="50875.429027113234"/>
    <n v="99996"/>
    <n v="5091"/>
    <n v="847523.12999999954"/>
    <n v="1351.7115311004777"/>
    <n v="0.35149999999999998"/>
    <n v="268580524.77000004"/>
    <x v="1"/>
    <n v="644.76"/>
  </r>
  <r>
    <s v="LN01375"/>
    <x v="1374"/>
    <n v="26"/>
    <s v="Female"/>
    <s v="Divorced"/>
    <s v="Unemployed"/>
    <n v="68088"/>
    <n v="546"/>
    <n v="14015"/>
    <n v="16.23"/>
    <n v="240"/>
    <s v="Personal"/>
    <n v="41.05"/>
    <n v="34802"/>
    <n v="189279"/>
    <x v="78"/>
    <s v="Pending"/>
    <s v="No"/>
    <x v="2"/>
    <x v="1372"/>
    <x v="1374"/>
    <n v="238"/>
    <n v="190"/>
    <n v="0.35149999999999998"/>
    <n v="31893041"/>
    <n v="50947.349840255592"/>
    <n v="99996"/>
    <n v="5091"/>
    <n v="847469.39999999956"/>
    <n v="1353.7849840255583"/>
    <n v="0.35149999999999998"/>
    <n v="267733001.63999996"/>
    <x v="1"/>
    <n v="814.44"/>
  </r>
  <r>
    <s v="LN01376"/>
    <x v="1375"/>
    <n v="38"/>
    <s v="Male"/>
    <s v="Married"/>
    <s v="Unemployed"/>
    <n v="102029"/>
    <n v="307"/>
    <n v="96252"/>
    <n v="18.52"/>
    <n v="120"/>
    <s v="Business"/>
    <n v="49.46"/>
    <n v="26812"/>
    <n v="113250"/>
    <x v="241"/>
    <s v="Rejected"/>
    <s v="Yes"/>
    <x v="3"/>
    <x v="1373"/>
    <x v="1375"/>
    <n v="238"/>
    <n v="190"/>
    <n v="0.35149999999999998"/>
    <n v="31879026"/>
    <n v="51006.441599999998"/>
    <n v="99996"/>
    <n v="5091"/>
    <n v="847401.52999999956"/>
    <n v="1355.8424479999992"/>
    <n v="0.35149999999999998"/>
    <n v="266885532.24000001"/>
    <x v="1"/>
    <n v="11407.8"/>
  </r>
  <r>
    <s v="LN01377"/>
    <x v="1376"/>
    <n v="58"/>
    <s v="Male"/>
    <s v="Divorced"/>
    <s v="Unemployed"/>
    <n v="136933"/>
    <n v="305"/>
    <n v="32347"/>
    <n v="7.52"/>
    <n v="36"/>
    <s v="Education"/>
    <n v="30.53"/>
    <n v="72310"/>
    <n v="196308"/>
    <x v="882"/>
    <s v="Rejected"/>
    <s v="Yes"/>
    <x v="1"/>
    <x v="1374"/>
    <x v="1376"/>
    <n v="238"/>
    <n v="189"/>
    <n v="0.35149999999999998"/>
    <n v="31782774"/>
    <n v="50933.932692307695"/>
    <n v="99996"/>
    <n v="5091"/>
    <n v="846450.87999999954"/>
    <n v="1356.4917948717941"/>
    <n v="0.35149999999999998"/>
    <n v="266038130.71000001"/>
    <x v="1"/>
    <n v="11593.2"/>
  </r>
  <r>
    <s v="LN01378"/>
    <x v="1377"/>
    <n v="42"/>
    <s v="Male"/>
    <s v="Divorced"/>
    <s v="Employed"/>
    <n v="55037"/>
    <n v="818"/>
    <n v="48358"/>
    <n v="5.67"/>
    <n v="12"/>
    <s v="Auto"/>
    <n v="36.53"/>
    <n v="27919"/>
    <n v="42611"/>
    <x v="766"/>
    <s v="Rejected"/>
    <s v="No"/>
    <x v="4"/>
    <x v="1375"/>
    <x v="1377"/>
    <n v="238"/>
    <n v="188"/>
    <n v="0.35149999999999998"/>
    <n v="31750427"/>
    <n v="50963.767255216691"/>
    <n v="99996"/>
    <n v="5091"/>
    <n v="845484.77999999956"/>
    <n v="1357.1184269662915"/>
    <n v="0.35149999999999998"/>
    <n v="265191679.82999998"/>
    <x v="1"/>
    <n v="51099.839999999997"/>
  </r>
  <r>
    <s v="LN01379"/>
    <x v="1378"/>
    <n v="35"/>
    <s v="Female"/>
    <s v="Divorced"/>
    <s v="Self-Employed"/>
    <n v="108411"/>
    <n v="775"/>
    <n v="32897"/>
    <n v="6.9"/>
    <n v="180"/>
    <s v="Auto"/>
    <n v="6.31"/>
    <n v="1392"/>
    <n v="232476"/>
    <x v="174"/>
    <s v="Approved"/>
    <s v="No"/>
    <x v="3"/>
    <x v="1376"/>
    <x v="1378"/>
    <n v="238"/>
    <n v="187"/>
    <n v="0.35149999999999998"/>
    <n v="31702069"/>
    <n v="50967.956591639871"/>
    <n v="99996"/>
    <n v="5091"/>
    <n v="841226.45999999938"/>
    <n v="1352.4541157556259"/>
    <n v="0.35149999999999998"/>
    <n v="264346195.04999998"/>
    <x v="0"/>
    <n v="2344.44"/>
  </r>
  <r>
    <s v="LN01380"/>
    <x v="1379"/>
    <n v="28"/>
    <s v="Male"/>
    <s v="Married"/>
    <s v="Employed"/>
    <n v="38830"/>
    <n v="336"/>
    <n v="33835"/>
    <n v="15.42"/>
    <n v="24"/>
    <s v="Business"/>
    <n v="18.579999999999998"/>
    <n v="40027"/>
    <n v="146386"/>
    <x v="49"/>
    <s v="Approved"/>
    <s v="No"/>
    <x v="2"/>
    <x v="1377"/>
    <x v="1379"/>
    <n v="237"/>
    <n v="187"/>
    <n v="0.35149999999999998"/>
    <n v="31669172"/>
    <n v="50997.056360708535"/>
    <n v="99996"/>
    <n v="5091"/>
    <n v="841031.08999999939"/>
    <n v="1354.3173752012872"/>
    <n v="0.35149999999999998"/>
    <n v="263504968.59"/>
    <x v="1"/>
    <n v="19526.16"/>
  </r>
  <r>
    <s v="LN01381"/>
    <x v="1380"/>
    <n v="23"/>
    <s v="Male"/>
    <s v="Divorced"/>
    <s v="Employed"/>
    <n v="189140"/>
    <n v="614"/>
    <n v="14899"/>
    <n v="22.17"/>
    <n v="60"/>
    <s v="Auto"/>
    <n v="12.77"/>
    <n v="38309"/>
    <n v="92906"/>
    <x v="51"/>
    <s v="Approved"/>
    <s v="Yes"/>
    <x v="0"/>
    <x v="1378"/>
    <x v="1380"/>
    <n v="236"/>
    <n v="187"/>
    <n v="0.35149999999999998"/>
    <n v="31635337"/>
    <n v="51024.737096774195"/>
    <n v="99996"/>
    <n v="5091"/>
    <n v="839403.90999999945"/>
    <n v="1353.8772741935475"/>
    <n v="0.35149999999999998"/>
    <n v="262663937.49999997"/>
    <x v="1"/>
    <n v="3640.44"/>
  </r>
  <r>
    <s v="LN01382"/>
    <x v="1381"/>
    <n v="59"/>
    <s v="Female"/>
    <s v="Married"/>
    <s v="Employed"/>
    <n v="185387"/>
    <n v="681"/>
    <n v="83612"/>
    <n v="10.75"/>
    <n v="60"/>
    <s v="Auto"/>
    <n v="22.85"/>
    <n v="64157"/>
    <n v="131196"/>
    <x v="870"/>
    <s v="Approved"/>
    <s v="No"/>
    <x v="0"/>
    <x v="1379"/>
    <x v="1381"/>
    <n v="235"/>
    <n v="187"/>
    <n v="0.35149999999999998"/>
    <n v="31620438"/>
    <n v="51083.098546042005"/>
    <n v="99996"/>
    <n v="5091"/>
    <n v="839100.53999999946"/>
    <n v="1355.5743780290784"/>
    <n v="0.35149999999999998"/>
    <n v="261824533.58999994"/>
    <x v="1"/>
    <n v="18520.079999999998"/>
  </r>
  <r>
    <s v="LN01383"/>
    <x v="1382"/>
    <n v="42"/>
    <s v="Male"/>
    <s v="Married"/>
    <s v="Self-Employed"/>
    <n v="35181"/>
    <n v="617"/>
    <n v="84105"/>
    <n v="6.43"/>
    <n v="180"/>
    <s v="Business"/>
    <n v="30.07"/>
    <n v="16043"/>
    <n v="180702"/>
    <x v="802"/>
    <s v="Approved"/>
    <s v="Yes"/>
    <x v="0"/>
    <x v="1380"/>
    <x v="1382"/>
    <n v="234"/>
    <n v="187"/>
    <n v="0.35149999999999998"/>
    <n v="31536826"/>
    <n v="51030.462783171519"/>
    <n v="99996"/>
    <n v="5091"/>
    <n v="837557.19999999949"/>
    <n v="1355.2705501618116"/>
    <n v="0.35149999999999998"/>
    <n v="260985433.04999995"/>
    <x v="1"/>
    <n v="5967.4800000000005"/>
  </r>
  <r>
    <s v="LN01384"/>
    <x v="1383"/>
    <n v="48"/>
    <s v="Female"/>
    <s v="Married"/>
    <s v="Employed"/>
    <n v="119197"/>
    <n v="779"/>
    <n v="67729"/>
    <n v="15.07"/>
    <n v="48"/>
    <s v="Business"/>
    <n v="35.58"/>
    <n v="34448"/>
    <n v="165283"/>
    <x v="883"/>
    <s v="Pending"/>
    <s v="No"/>
    <x v="2"/>
    <x v="1381"/>
    <x v="1383"/>
    <n v="233"/>
    <n v="187"/>
    <n v="0.35149999999999998"/>
    <n v="31452721"/>
    <n v="50976.857374392217"/>
    <n v="99996"/>
    <n v="5091"/>
    <n v="837059.90999999945"/>
    <n v="1356.6611183144237"/>
    <n v="0.35149999999999998"/>
    <n v="260147875.84999996"/>
    <x v="1"/>
    <n v="19483.920000000002"/>
  </r>
  <r>
    <s v="LN01385"/>
    <x v="1384"/>
    <n v="63"/>
    <s v="Female"/>
    <s v="Single"/>
    <s v="Self-Employed"/>
    <n v="101817"/>
    <n v="387"/>
    <n v="30011"/>
    <n v="15.78"/>
    <n v="180"/>
    <s v="Auto"/>
    <n v="52.05"/>
    <n v="69746"/>
    <n v="45670"/>
    <x v="141"/>
    <s v="Approved"/>
    <s v="Yes"/>
    <x v="0"/>
    <x v="1382"/>
    <x v="1384"/>
    <n v="233"/>
    <n v="187"/>
    <n v="0.35149999999999998"/>
    <n v="31384992"/>
    <n v="50949.662337662339"/>
    <n v="99996"/>
    <n v="5091"/>
    <n v="835436.24999999942"/>
    <n v="1356.2276785714275"/>
    <n v="0.35149999999999998"/>
    <n v="259310815.93999997"/>
    <x v="1"/>
    <n v="2316.48"/>
  </r>
  <r>
    <s v="LN01386"/>
    <x v="1385"/>
    <n v="45"/>
    <s v="Male"/>
    <s v="Married"/>
    <s v="Self-Employed"/>
    <n v="64602"/>
    <n v="634"/>
    <n v="18058"/>
    <n v="8.18"/>
    <n v="48"/>
    <s v="Auto"/>
    <n v="31.25"/>
    <n v="9418"/>
    <n v="97767"/>
    <x v="279"/>
    <s v="Rejected"/>
    <s v="Yes"/>
    <x v="2"/>
    <x v="1383"/>
    <x v="1385"/>
    <n v="232"/>
    <n v="187"/>
    <n v="0.35149999999999998"/>
    <n v="31354981"/>
    <n v="50983.708943089434"/>
    <n v="99996"/>
    <n v="5091"/>
    <n v="835243.2099999995"/>
    <n v="1358.1190406504056"/>
    <n v="0.35149999999999998"/>
    <n v="258475379.68999997"/>
    <x v="1"/>
    <n v="4883.76"/>
  </r>
  <r>
    <s v="LN01387"/>
    <x v="1386"/>
    <n v="31"/>
    <s v="Female"/>
    <s v="Single"/>
    <s v="Unemployed"/>
    <n v="41258"/>
    <n v="621"/>
    <n v="34855"/>
    <n v="15.3"/>
    <n v="120"/>
    <s v="Personal"/>
    <n v="40.799999999999997"/>
    <n v="71967"/>
    <n v="211000"/>
    <x v="884"/>
    <s v="Rejected"/>
    <s v="No"/>
    <x v="4"/>
    <x v="1384"/>
    <x v="1386"/>
    <n v="232"/>
    <n v="186"/>
    <n v="0.35149999999999998"/>
    <n v="31336923"/>
    <n v="51037.333876221499"/>
    <n v="99996"/>
    <n v="5091"/>
    <n v="834836.2299999994"/>
    <n v="1359.6681270358297"/>
    <n v="0.35149999999999998"/>
    <n v="257640136.47999999"/>
    <x v="1"/>
    <n v="4018.7999999999997"/>
  </r>
  <r>
    <s v="LN01388"/>
    <x v="1387"/>
    <n v="58"/>
    <s v="Male"/>
    <s v="Married"/>
    <s v="Employed"/>
    <n v="168483"/>
    <n v="362"/>
    <n v="26102"/>
    <n v="16.59"/>
    <n v="360"/>
    <s v="Education"/>
    <n v="47.7"/>
    <n v="71284"/>
    <n v="59991"/>
    <x v="798"/>
    <s v="Rejected"/>
    <s v="Yes"/>
    <x v="1"/>
    <x v="1385"/>
    <x v="1387"/>
    <n v="232"/>
    <n v="185"/>
    <n v="0.35149999999999998"/>
    <n v="31302068"/>
    <n v="51063.732463295266"/>
    <n v="99996"/>
    <n v="5091"/>
    <n v="834501.32999999949"/>
    <n v="1361.3398531810758"/>
    <n v="0.35149999999999998"/>
    <n v="256805300.24999994"/>
    <x v="1"/>
    <n v="1014.36"/>
  </r>
  <r>
    <s v="LN01389"/>
    <x v="1388"/>
    <n v="33"/>
    <s v="Male"/>
    <s v="Divorced"/>
    <s v="Unemployed"/>
    <n v="176109"/>
    <n v="555"/>
    <n v="43885"/>
    <n v="7.26"/>
    <n v="360"/>
    <s v="Mortgage"/>
    <n v="52.06"/>
    <n v="46314"/>
    <n v="240345"/>
    <x v="885"/>
    <s v="Approved"/>
    <s v="No"/>
    <x v="0"/>
    <x v="1386"/>
    <x v="1388"/>
    <n v="232"/>
    <n v="184"/>
    <n v="0.35149999999999998"/>
    <n v="31275966"/>
    <n v="51104.51960784314"/>
    <n v="99996"/>
    <n v="5091"/>
    <n v="834416.79999999946"/>
    <n v="1363.4261437908488"/>
    <n v="0.35149999999999998"/>
    <n v="255970798.91999996"/>
    <x v="1"/>
    <n v="1569"/>
  </r>
  <r>
    <s v="LN01390"/>
    <x v="1389"/>
    <n v="36"/>
    <s v="Female"/>
    <s v="Single"/>
    <s v="Employed"/>
    <n v="101477"/>
    <n v="467"/>
    <n v="10727"/>
    <n v="12.48"/>
    <n v="120"/>
    <s v="Personal"/>
    <n v="48.58"/>
    <n v="58543"/>
    <n v="130265"/>
    <x v="335"/>
    <s v="Approved"/>
    <s v="Yes"/>
    <x v="4"/>
    <x v="1387"/>
    <x v="1389"/>
    <n v="231"/>
    <n v="184"/>
    <n v="0.35149999999999998"/>
    <n v="31232081"/>
    <n v="51116.335515548279"/>
    <n v="99996"/>
    <n v="5091"/>
    <n v="834286.04999999946"/>
    <n v="1365.4436170212757"/>
    <n v="0.35149999999999998"/>
    <n v="255136382.11999997"/>
    <x v="1"/>
    <n v="1206.5999999999999"/>
  </r>
  <r>
    <s v="LN01391"/>
    <x v="1390"/>
    <n v="63"/>
    <s v="Female"/>
    <s v="Single"/>
    <s v="Employed"/>
    <n v="148952"/>
    <n v="345"/>
    <n v="36585"/>
    <n v="7.35"/>
    <n v="48"/>
    <s v="Auto"/>
    <n v="29.73"/>
    <n v="64675"/>
    <n v="143334"/>
    <x v="886"/>
    <s v="Rejected"/>
    <s v="No"/>
    <x v="4"/>
    <x v="1388"/>
    <x v="1390"/>
    <n v="230"/>
    <n v="184"/>
    <n v="0.35149999999999998"/>
    <n v="31221354"/>
    <n v="51182.547540983607"/>
    <n v="99996"/>
    <n v="5091"/>
    <n v="834185.49999999942"/>
    <n v="1367.5172131147531"/>
    <n v="0.35149999999999998"/>
    <n v="254302096.06999999"/>
    <x v="1"/>
    <n v="9818.52"/>
  </r>
  <r>
    <s v="LN01392"/>
    <x v="1391"/>
    <n v="64"/>
    <s v="Male"/>
    <s v="Married"/>
    <s v="Self-Employed"/>
    <n v="175453"/>
    <n v="724"/>
    <n v="69134"/>
    <n v="14.01"/>
    <n v="180"/>
    <s v="Education"/>
    <n v="15.78"/>
    <n v="9837"/>
    <n v="181512"/>
    <x v="761"/>
    <s v="Rejected"/>
    <s v="No"/>
    <x v="4"/>
    <x v="1389"/>
    <x v="1391"/>
    <n v="230"/>
    <n v="183"/>
    <n v="0.35149999999999998"/>
    <n v="31184769"/>
    <n v="51206.517241379312"/>
    <n v="99996"/>
    <n v="5091"/>
    <n v="833367.28999999946"/>
    <n v="1368.4191954022979"/>
    <n v="0.35149999999999998"/>
    <n v="253467910.56999996"/>
    <x v="1"/>
    <n v="5254.68"/>
  </r>
  <r>
    <s v="LN01393"/>
    <x v="1392"/>
    <n v="25"/>
    <s v="Female"/>
    <s v="Married"/>
    <s v="Employed"/>
    <n v="161116"/>
    <n v="681"/>
    <n v="28649"/>
    <n v="9.43"/>
    <n v="12"/>
    <s v="Auto"/>
    <n v="18.149999999999999"/>
    <n v="19287"/>
    <n v="214990"/>
    <x v="473"/>
    <s v="Approved"/>
    <s v="Yes"/>
    <x v="4"/>
    <x v="1390"/>
    <x v="1392"/>
    <n v="230"/>
    <n v="182"/>
    <n v="0.35149999999999998"/>
    <n v="31115635"/>
    <n v="51177.03125"/>
    <n v="99996"/>
    <n v="5091"/>
    <n v="832929.39999999944"/>
    <n v="1369.9496710526307"/>
    <n v="0.35149999999999998"/>
    <n v="252634543.27999997"/>
    <x v="1"/>
    <n v="31350.600000000002"/>
  </r>
  <r>
    <s v="LN01394"/>
    <x v="1393"/>
    <n v="25"/>
    <s v="Male"/>
    <s v="Married"/>
    <s v="Self-Employed"/>
    <n v="106347"/>
    <n v="671"/>
    <n v="74031"/>
    <n v="19.13"/>
    <n v="240"/>
    <s v="Personal"/>
    <n v="53.61"/>
    <n v="12504"/>
    <n v="170286"/>
    <x v="28"/>
    <s v="Rejected"/>
    <s v="No"/>
    <x v="0"/>
    <x v="1391"/>
    <x v="1393"/>
    <n v="229"/>
    <n v="182"/>
    <n v="0.35149999999999998"/>
    <n v="31086986"/>
    <n v="51214.144975288305"/>
    <n v="99996"/>
    <n v="5091"/>
    <n v="830316.84999999939"/>
    <n v="1367.9025535420089"/>
    <n v="0.35149999999999998"/>
    <n v="251801613.87999997"/>
    <x v="0"/>
    <n v="4409.6400000000003"/>
  </r>
  <r>
    <s v="LN01395"/>
    <x v="1394"/>
    <n v="47"/>
    <s v="Female"/>
    <s v="Divorced"/>
    <s v="Unemployed"/>
    <n v="72340"/>
    <n v="433"/>
    <n v="44941"/>
    <n v="12.02"/>
    <n v="360"/>
    <s v="Education"/>
    <n v="48"/>
    <n v="23370"/>
    <n v="66719"/>
    <x v="824"/>
    <s v="Approved"/>
    <s v="Yes"/>
    <x v="0"/>
    <x v="1392"/>
    <x v="1394"/>
    <n v="229"/>
    <n v="181"/>
    <n v="0.35149999999999998"/>
    <n v="31012955"/>
    <n v="51176.493399339932"/>
    <n v="99996"/>
    <n v="5091"/>
    <n v="829949.37999999942"/>
    <n v="1369.5534323432335"/>
    <n v="0.35149999999999998"/>
    <n v="250971297.02999997"/>
    <x v="1"/>
    <n v="1678.08"/>
  </r>
  <r>
    <s v="LN01396"/>
    <x v="1395"/>
    <n v="22"/>
    <s v="Female"/>
    <s v="Married"/>
    <s v="Self-Employed"/>
    <n v="21166"/>
    <n v="566"/>
    <n v="9359"/>
    <n v="5.74"/>
    <n v="12"/>
    <s v="Business"/>
    <n v="16.329999999999998"/>
    <n v="4419"/>
    <n v="136762"/>
    <x v="887"/>
    <s v="Pending"/>
    <s v="No"/>
    <x v="4"/>
    <x v="1393"/>
    <x v="1395"/>
    <n v="228"/>
    <n v="181"/>
    <n v="0.35149999999999998"/>
    <n v="30968014"/>
    <n v="51186.8"/>
    <n v="99996"/>
    <n v="5091"/>
    <n v="829809.53999999934"/>
    <n v="1371.5860165289246"/>
    <n v="0.35149999999999998"/>
    <n v="250141347.65000001"/>
    <x v="1"/>
    <n v="9896.16"/>
  </r>
  <r>
    <s v="LN01397"/>
    <x v="1396"/>
    <n v="49"/>
    <s v="Female"/>
    <s v="Married"/>
    <s v="Self-Employed"/>
    <n v="39419"/>
    <n v="631"/>
    <n v="43951"/>
    <n v="13.06"/>
    <n v="36"/>
    <s v="Auto"/>
    <n v="59.64"/>
    <n v="7690"/>
    <n v="143767"/>
    <x v="341"/>
    <s v="Rejected"/>
    <s v="No"/>
    <x v="2"/>
    <x v="1394"/>
    <x v="1396"/>
    <n v="228"/>
    <n v="181"/>
    <n v="0.35149999999999998"/>
    <n v="30958655"/>
    <n v="51256.051324503314"/>
    <n v="99996"/>
    <n v="5091"/>
    <n v="828984.8599999994"/>
    <n v="1372.4914900662243"/>
    <n v="0.35149999999999998"/>
    <n v="249311538.10999995"/>
    <x v="0"/>
    <n v="16563.72"/>
  </r>
  <r>
    <s v="LN01398"/>
    <x v="1397"/>
    <n v="64"/>
    <s v="Male"/>
    <s v="Divorced"/>
    <s v="Employed"/>
    <n v="96436"/>
    <n v="624"/>
    <n v="54253"/>
    <n v="13.81"/>
    <n v="360"/>
    <s v="Auto"/>
    <n v="47.56"/>
    <n v="31470"/>
    <n v="213633"/>
    <x v="888"/>
    <s v="Rejected"/>
    <s v="Yes"/>
    <x v="3"/>
    <x v="1395"/>
    <x v="1397"/>
    <n v="228"/>
    <n v="180"/>
    <n v="0.35149999999999998"/>
    <n v="30914704"/>
    <n v="51268.165837479268"/>
    <n v="99996"/>
    <n v="5091"/>
    <n v="827604.54999999935"/>
    <n v="1372.4785240464334"/>
    <n v="0.35149999999999998"/>
    <n v="248482553.25"/>
    <x v="1"/>
    <n v="2058.12"/>
  </r>
  <r>
    <s v="LN01399"/>
    <x v="1398"/>
    <n v="55"/>
    <s v="Male"/>
    <s v="Married"/>
    <s v="Employed"/>
    <n v="31307"/>
    <n v="612"/>
    <n v="58567"/>
    <n v="21.78"/>
    <n v="24"/>
    <s v="Auto"/>
    <n v="58.19"/>
    <n v="5531"/>
    <n v="219231"/>
    <x v="736"/>
    <s v="Pending"/>
    <s v="Yes"/>
    <x v="2"/>
    <x v="1396"/>
    <x v="1398"/>
    <n v="228"/>
    <n v="179"/>
    <n v="0.35149999999999998"/>
    <n v="30860451"/>
    <n v="51263.207641196015"/>
    <n v="99996"/>
    <n v="5091"/>
    <n v="827433.03999999934"/>
    <n v="1374.4734883720919"/>
    <n v="0.35149999999999998"/>
    <n v="247654948.69999999"/>
    <x v="1"/>
    <n v="35661.479999999996"/>
  </r>
  <r>
    <s v="LN01400"/>
    <x v="1399"/>
    <n v="21"/>
    <s v="Female"/>
    <s v="Single"/>
    <s v="Self-Employed"/>
    <n v="67416"/>
    <n v="427"/>
    <n v="10880"/>
    <n v="12.65"/>
    <n v="120"/>
    <s v="Business"/>
    <n v="38.33"/>
    <n v="34666"/>
    <n v="76529"/>
    <x v="255"/>
    <s v="Approved"/>
    <s v="Yes"/>
    <x v="0"/>
    <x v="1397"/>
    <x v="1399"/>
    <n v="228"/>
    <n v="179"/>
    <n v="0.35149999999999998"/>
    <n v="30801884"/>
    <n v="51251.054908485858"/>
    <n v="99996"/>
    <n v="5091"/>
    <n v="824461.24999999942"/>
    <n v="1371.8157237936762"/>
    <n v="0.35149999999999998"/>
    <n v="246827515.65999997"/>
    <x v="1"/>
    <n v="1225.68"/>
  </r>
  <r>
    <s v="LN01401"/>
    <x v="1400"/>
    <n v="63"/>
    <s v="Male"/>
    <s v="Married"/>
    <s v="Self-Employed"/>
    <n v="116670"/>
    <n v="837"/>
    <n v="33253"/>
    <n v="22.76"/>
    <n v="48"/>
    <s v="Education"/>
    <n v="43.65"/>
    <n v="51252"/>
    <n v="46645"/>
    <x v="313"/>
    <s v="Rejected"/>
    <s v="Yes"/>
    <x v="0"/>
    <x v="1398"/>
    <x v="1400"/>
    <n v="227"/>
    <n v="179"/>
    <n v="0.35149999999999998"/>
    <n v="30791004"/>
    <n v="51318.34"/>
    <n v="99996"/>
    <n v="5091"/>
    <n v="824359.1099999994"/>
    <n v="1373.931849999999"/>
    <n v="0.35149999999999998"/>
    <n v="246003054.41"/>
    <x v="1"/>
    <n v="10205.400000000001"/>
  </r>
  <r>
    <s v="LN01402"/>
    <x v="1401"/>
    <n v="21"/>
    <s v="Male"/>
    <s v="Divorced"/>
    <s v="Self-Employed"/>
    <n v="53693"/>
    <n v="550"/>
    <n v="27976"/>
    <n v="10.29"/>
    <n v="36"/>
    <s v="Auto"/>
    <n v="30.43"/>
    <n v="67689"/>
    <n v="182989"/>
    <x v="385"/>
    <s v="Pending"/>
    <s v="No"/>
    <x v="2"/>
    <x v="1399"/>
    <x v="1401"/>
    <n v="227"/>
    <n v="178"/>
    <n v="0.35149999999999998"/>
    <n v="30757751"/>
    <n v="51348.499165275462"/>
    <n v="99996"/>
    <n v="5091"/>
    <n v="823508.65999999945"/>
    <n v="1374.8057762938222"/>
    <n v="0.35149999999999998"/>
    <n v="245178695.30000001"/>
    <x v="1"/>
    <n v="10284.960000000001"/>
  </r>
  <r>
    <s v="LN01403"/>
    <x v="1402"/>
    <n v="37"/>
    <s v="Female"/>
    <s v="Divorced"/>
    <s v="Unemployed"/>
    <n v="111025"/>
    <n v="480"/>
    <n v="5667"/>
    <n v="22.58"/>
    <n v="60"/>
    <s v="Personal"/>
    <n v="54.58"/>
    <n v="54368"/>
    <n v="212913"/>
    <x v="495"/>
    <s v="Rejected"/>
    <s v="Yes"/>
    <x v="4"/>
    <x v="1400"/>
    <x v="1402"/>
    <n v="227"/>
    <n v="178"/>
    <n v="0.35149999999999998"/>
    <n v="30729775"/>
    <n v="51387.583612040136"/>
    <n v="99996"/>
    <n v="5091"/>
    <n v="822651.57999999938"/>
    <n v="1375.6715384615375"/>
    <n v="0.35149999999999998"/>
    <n v="244355186.64000002"/>
    <x v="1"/>
    <n v="1389.3600000000001"/>
  </r>
  <r>
    <s v="LN01404"/>
    <x v="1403"/>
    <n v="37"/>
    <s v="Female"/>
    <s v="Single"/>
    <s v="Unemployed"/>
    <n v="68920"/>
    <n v="803"/>
    <n v="80658"/>
    <n v="15.04"/>
    <n v="48"/>
    <s v="Auto"/>
    <n v="37.64"/>
    <n v="34994"/>
    <n v="135322"/>
    <x v="446"/>
    <s v="Approved"/>
    <s v="No"/>
    <x v="3"/>
    <x v="1401"/>
    <x v="1403"/>
    <n v="227"/>
    <n v="177"/>
    <n v="0.35149999999999998"/>
    <n v="30724108"/>
    <n v="51464.167504187608"/>
    <n v="99996"/>
    <n v="5091"/>
    <n v="822535.79999999935"/>
    <n v="1377.7819095477375"/>
    <n v="0.35149999999999998"/>
    <n v="243532535.06"/>
    <x v="1"/>
    <n v="23197.199999999997"/>
  </r>
  <r>
    <s v="LN01405"/>
    <x v="1404"/>
    <n v="34"/>
    <s v="Female"/>
    <s v="Single"/>
    <s v="Unemployed"/>
    <n v="80903"/>
    <n v="610"/>
    <n v="67149"/>
    <n v="8.2899999999999991"/>
    <n v="48"/>
    <s v="Mortgage"/>
    <n v="27.33"/>
    <n v="22067"/>
    <n v="133317"/>
    <x v="132"/>
    <s v="Approved"/>
    <s v="Yes"/>
    <x v="4"/>
    <x v="1402"/>
    <x v="1404"/>
    <n v="226"/>
    <n v="177"/>
    <n v="0.35149999999999998"/>
    <n v="30643450"/>
    <n v="51415.18456375839"/>
    <n v="99996"/>
    <n v="5091"/>
    <n v="820602.69999999949"/>
    <n v="1376.8501677852341"/>
    <n v="0.35149999999999998"/>
    <n v="242709999.26000002"/>
    <x v="1"/>
    <n v="18178.920000000002"/>
  </r>
  <r>
    <s v="LN01406"/>
    <x v="1405"/>
    <n v="21"/>
    <s v="Female"/>
    <s v="Married"/>
    <s v="Employed"/>
    <n v="54377"/>
    <n v="817"/>
    <n v="8843"/>
    <n v="5.9"/>
    <n v="180"/>
    <s v="Business"/>
    <n v="26.25"/>
    <n v="46798"/>
    <n v="11038"/>
    <x v="889"/>
    <s v="Approved"/>
    <s v="No"/>
    <x v="4"/>
    <x v="1403"/>
    <x v="1405"/>
    <n v="225"/>
    <n v="177"/>
    <n v="0.35149999999999998"/>
    <n v="30576301"/>
    <n v="51388.74117647059"/>
    <n v="99996"/>
    <n v="5091"/>
    <n v="819087.78999999946"/>
    <n v="1376.6181344537806"/>
    <n v="0.35149999999999998"/>
    <n v="241889396.55999997"/>
    <x v="1"/>
    <n v="624.36"/>
  </r>
  <r>
    <s v="LN01407"/>
    <x v="1406"/>
    <n v="27"/>
    <s v="Female"/>
    <s v="Married"/>
    <s v="Employed"/>
    <n v="91043"/>
    <n v="653"/>
    <n v="47001"/>
    <n v="14.16"/>
    <n v="12"/>
    <s v="Business"/>
    <n v="44.41"/>
    <n v="38219"/>
    <n v="247365"/>
    <x v="718"/>
    <s v="Rejected"/>
    <s v="Yes"/>
    <x v="0"/>
    <x v="1404"/>
    <x v="1406"/>
    <n v="224"/>
    <n v="177"/>
    <n v="0.35149999999999998"/>
    <n v="30567458"/>
    <n v="51460.367003367006"/>
    <n v="99996"/>
    <n v="5091"/>
    <n v="819035.75999999943"/>
    <n v="1378.8480808080799"/>
    <n v="0.35149999999999998"/>
    <n v="241070308.76999998"/>
    <x v="1"/>
    <n v="53656.319999999992"/>
  </r>
  <r>
    <s v="LN01408"/>
    <x v="1407"/>
    <n v="41"/>
    <s v="Female"/>
    <s v="Divorced"/>
    <s v="Self-Employed"/>
    <n v="69995"/>
    <n v="399"/>
    <n v="99505"/>
    <n v="14.46"/>
    <n v="120"/>
    <s v="Auto"/>
    <n v="14.35"/>
    <n v="59175"/>
    <n v="86494"/>
    <x v="544"/>
    <s v="Approved"/>
    <s v="Yes"/>
    <x v="2"/>
    <x v="1405"/>
    <x v="1407"/>
    <n v="224"/>
    <n v="176"/>
    <n v="0.35149999999999998"/>
    <n v="30520457"/>
    <n v="51467.887015177068"/>
    <n v="99996"/>
    <n v="5091"/>
    <n v="814564.39999999944"/>
    <n v="1373.6330522765588"/>
    <n v="0.35149999999999998"/>
    <n v="240251273.00999996"/>
    <x v="0"/>
    <n v="11389.32"/>
  </r>
  <r>
    <s v="LN01409"/>
    <x v="1408"/>
    <n v="41"/>
    <s v="Female"/>
    <s v="Divorced"/>
    <s v="Self-Employed"/>
    <n v="178505"/>
    <n v="339"/>
    <n v="80551"/>
    <n v="18.38"/>
    <n v="12"/>
    <s v="Business"/>
    <n v="22.14"/>
    <n v="73921"/>
    <n v="162210"/>
    <x v="890"/>
    <s v="Approved"/>
    <s v="No"/>
    <x v="4"/>
    <x v="1406"/>
    <x v="1408"/>
    <n v="223"/>
    <n v="176"/>
    <n v="0.35149999999999998"/>
    <n v="30420952"/>
    <n v="51386.74324324324"/>
    <n v="99996"/>
    <n v="5091"/>
    <n v="813615.28999999946"/>
    <n v="1374.3501520270261"/>
    <n v="0.35149999999999998"/>
    <n v="239436708.60999995"/>
    <x v="1"/>
    <n v="95356.319999999992"/>
  </r>
  <r>
    <s v="LN01410"/>
    <x v="1409"/>
    <n v="57"/>
    <s v="Female"/>
    <s v="Married"/>
    <s v="Self-Employed"/>
    <n v="106658"/>
    <n v="833"/>
    <n v="85253"/>
    <n v="15.36"/>
    <n v="180"/>
    <s v="Business"/>
    <n v="31.74"/>
    <n v="2641"/>
    <n v="163477"/>
    <x v="39"/>
    <s v="Approved"/>
    <s v="Yes"/>
    <x v="2"/>
    <x v="1407"/>
    <x v="1409"/>
    <n v="222"/>
    <n v="176"/>
    <n v="0.35149999999999998"/>
    <n v="30340401"/>
    <n v="51337.395939086295"/>
    <n v="99996"/>
    <n v="5091"/>
    <n v="805668.92999999935"/>
    <n v="1363.2299999999989"/>
    <n v="0.35149999999999998"/>
    <n v="238623093.31999996"/>
    <x v="0"/>
    <n v="6556.5599999999995"/>
  </r>
  <r>
    <s v="LN01411"/>
    <x v="1410"/>
    <n v="51"/>
    <s v="Female"/>
    <s v="Divorced"/>
    <s v="Employed"/>
    <n v="31961"/>
    <n v="737"/>
    <n v="51427"/>
    <n v="12.24"/>
    <n v="60"/>
    <s v="Auto"/>
    <n v="14.46"/>
    <n v="18016"/>
    <n v="47173"/>
    <x v="891"/>
    <s v="Approved"/>
    <s v="No"/>
    <x v="2"/>
    <x v="1408"/>
    <x v="1410"/>
    <n v="221"/>
    <n v="176"/>
    <n v="0.35149999999999998"/>
    <n v="30255148"/>
    <n v="51279.911864406778"/>
    <n v="99996"/>
    <n v="5091"/>
    <n v="805122.54999999935"/>
    <n v="1364.6144915254226"/>
    <n v="0.35149999999999998"/>
    <n v="237817424.38999996"/>
    <x v="1"/>
    <n v="11544.36"/>
  </r>
  <r>
    <s v="LN01412"/>
    <x v="1411"/>
    <n v="63"/>
    <s v="Male"/>
    <s v="Married"/>
    <s v="Self-Employed"/>
    <n v="54055"/>
    <n v="563"/>
    <n v="61718"/>
    <n v="15.59"/>
    <n v="36"/>
    <s v="Auto"/>
    <n v="23.9"/>
    <n v="31706"/>
    <n v="59658"/>
    <x v="892"/>
    <s v="Approved"/>
    <s v="Yes"/>
    <x v="4"/>
    <x v="1409"/>
    <x v="1411"/>
    <n v="220"/>
    <n v="176"/>
    <n v="0.35149999999999998"/>
    <n v="30203721"/>
    <n v="51279.662139219014"/>
    <n v="99996"/>
    <n v="5091"/>
    <n v="804160.51999999932"/>
    <n v="1365.2979966044131"/>
    <n v="0.35149999999999998"/>
    <n v="237012301.83999997"/>
    <x v="1"/>
    <n v="23779.920000000002"/>
  </r>
  <r>
    <s v="LN01413"/>
    <x v="1412"/>
    <n v="38"/>
    <s v="Female"/>
    <s v="Single"/>
    <s v="Unemployed"/>
    <n v="121074"/>
    <n v="513"/>
    <n v="16937"/>
    <n v="5.39"/>
    <n v="24"/>
    <s v="Mortgage"/>
    <n v="59.29"/>
    <n v="16992"/>
    <n v="170758"/>
    <x v="893"/>
    <s v="Rejected"/>
    <s v="Yes"/>
    <x v="0"/>
    <x v="1410"/>
    <x v="1412"/>
    <n v="219"/>
    <n v="176"/>
    <n v="0.35149999999999998"/>
    <n v="30142003"/>
    <n v="51261.909863945577"/>
    <n v="99996"/>
    <n v="5091"/>
    <n v="802178.85999999929"/>
    <n v="1364.2497619047606"/>
    <n v="0.35149999999999998"/>
    <n v="236208141.31999996"/>
    <x v="1"/>
    <n v="8925"/>
  </r>
  <r>
    <s v="LN01414"/>
    <x v="1413"/>
    <n v="32"/>
    <s v="Male"/>
    <s v="Divorced"/>
    <s v="Unemployed"/>
    <n v="112934"/>
    <n v="348"/>
    <n v="27088"/>
    <n v="9.58"/>
    <n v="48"/>
    <s v="Auto"/>
    <n v="52.56"/>
    <n v="65940"/>
    <n v="201116"/>
    <x v="706"/>
    <s v="Approved"/>
    <s v="Yes"/>
    <x v="1"/>
    <x v="1411"/>
    <x v="1413"/>
    <n v="219"/>
    <n v="175"/>
    <n v="0.35149999999999998"/>
    <n v="30125066"/>
    <n v="51320.385008517886"/>
    <n v="99996"/>
    <n v="5091"/>
    <n v="801435.1099999994"/>
    <n v="1365.3068313458252"/>
    <n v="0.35149999999999998"/>
    <n v="235405962.45999995"/>
    <x v="1"/>
    <n v="7420.7999999999993"/>
  </r>
  <r>
    <s v="LN01415"/>
    <x v="1414"/>
    <n v="48"/>
    <s v="Female"/>
    <s v="Single"/>
    <s v="Unemployed"/>
    <n v="104223"/>
    <n v="615"/>
    <n v="73848"/>
    <n v="4.53"/>
    <n v="120"/>
    <s v="Personal"/>
    <n v="51.14"/>
    <n v="12119"/>
    <n v="24192"/>
    <x v="866"/>
    <s v="Rejected"/>
    <s v="Yes"/>
    <x v="1"/>
    <x v="1412"/>
    <x v="1414"/>
    <n v="218"/>
    <n v="175"/>
    <n v="0.35149999999999998"/>
    <n v="30097978"/>
    <n v="51361.737201365191"/>
    <n v="99996"/>
    <n v="5091"/>
    <n v="800816.70999999938"/>
    <n v="1366.5814163822515"/>
    <n v="0.35149999999999998"/>
    <n v="234604527.34999993"/>
    <x v="1"/>
    <n v="7719.36"/>
  </r>
  <r>
    <s v="LN01416"/>
    <x v="1415"/>
    <n v="24"/>
    <s v="Male"/>
    <s v="Married"/>
    <s v="Employed"/>
    <n v="69802"/>
    <n v="543"/>
    <n v="54934"/>
    <n v="11.77"/>
    <n v="24"/>
    <s v="Mortgage"/>
    <n v="47.13"/>
    <n v="8115"/>
    <n v="28273"/>
    <x v="894"/>
    <s v="Pending"/>
    <s v="No"/>
    <x v="0"/>
    <x v="1413"/>
    <x v="1415"/>
    <n v="218"/>
    <n v="174"/>
    <n v="0.35149999999999998"/>
    <n v="30024130"/>
    <n v="51323.299145299148"/>
    <n v="99996"/>
    <n v="5091"/>
    <n v="800173.42999999935"/>
    <n v="1367.817829059828"/>
    <n v="0.35149999999999998"/>
    <n v="233803710.63999993"/>
    <x v="1"/>
    <n v="30699.840000000004"/>
  </r>
  <r>
    <s v="LN01417"/>
    <x v="1416"/>
    <n v="29"/>
    <s v="Female"/>
    <s v="Married"/>
    <s v="Unemployed"/>
    <n v="197486"/>
    <n v="339"/>
    <n v="75024"/>
    <n v="17.53"/>
    <n v="36"/>
    <s v="Education"/>
    <n v="13.61"/>
    <n v="10659"/>
    <n v="47559"/>
    <x v="572"/>
    <s v="Rejected"/>
    <s v="No"/>
    <x v="2"/>
    <x v="1414"/>
    <x v="1416"/>
    <n v="218"/>
    <n v="174"/>
    <n v="0.35149999999999998"/>
    <n v="29969196"/>
    <n v="51317.116438356163"/>
    <n v="99996"/>
    <n v="5091"/>
    <n v="797615.1099999994"/>
    <n v="1365.7792979452045"/>
    <n v="0.35149999999999998"/>
    <n v="233003537.20999995"/>
    <x v="1"/>
    <n v="29391.96"/>
  </r>
  <r>
    <s v="LN01418"/>
    <x v="1417"/>
    <n v="41"/>
    <s v="Male"/>
    <s v="Divorced"/>
    <s v="Unemployed"/>
    <n v="152022"/>
    <n v="783"/>
    <n v="79025"/>
    <n v="15.16"/>
    <n v="240"/>
    <s v="Personal"/>
    <n v="38.99"/>
    <n v="70958"/>
    <n v="52204"/>
    <x v="14"/>
    <s v="Pending"/>
    <s v="Yes"/>
    <x v="0"/>
    <x v="1415"/>
    <x v="1417"/>
    <n v="218"/>
    <n v="173"/>
    <n v="0.35149999999999998"/>
    <n v="29894172"/>
    <n v="51276.452830188682"/>
    <n v="99996"/>
    <n v="5091"/>
    <n v="795165.77999999945"/>
    <n v="1363.9207204116628"/>
    <n v="0.35149999999999998"/>
    <n v="232205922.09999993"/>
    <x v="1"/>
    <n v="4550.28"/>
  </r>
  <r>
    <s v="LN01419"/>
    <x v="1418"/>
    <n v="55"/>
    <s v="Female"/>
    <s v="Single"/>
    <s v="Self-Employed"/>
    <n v="107501"/>
    <n v="396"/>
    <n v="77123"/>
    <n v="13.29"/>
    <n v="24"/>
    <s v="Business"/>
    <n v="42.25"/>
    <n v="18289"/>
    <n v="57936"/>
    <x v="540"/>
    <s v="Rejected"/>
    <s v="No"/>
    <x v="0"/>
    <x v="1416"/>
    <x v="1418"/>
    <n v="218"/>
    <n v="173"/>
    <n v="0.35149999999999998"/>
    <n v="29815147"/>
    <n v="51228.77491408935"/>
    <n v="99996"/>
    <n v="5091"/>
    <n v="794786.58999999939"/>
    <n v="1365.6126975945006"/>
    <n v="0.35149999999999998"/>
    <n v="231410756.31999993"/>
    <x v="1"/>
    <n v="43686.36"/>
  </r>
  <r>
    <s v="LN01420"/>
    <x v="1419"/>
    <n v="60"/>
    <s v="Male"/>
    <s v="Divorced"/>
    <s v="Unemployed"/>
    <n v="41938"/>
    <n v="775"/>
    <n v="21705"/>
    <n v="21.75"/>
    <n v="360"/>
    <s v="Personal"/>
    <n v="30.26"/>
    <n v="35556"/>
    <n v="154771"/>
    <x v="698"/>
    <s v="Pending"/>
    <s v="Yes"/>
    <x v="0"/>
    <x v="1417"/>
    <x v="1419"/>
    <n v="218"/>
    <n v="172"/>
    <n v="0.35149999999999998"/>
    <n v="29738024"/>
    <n v="51184.206540447507"/>
    <n v="99996"/>
    <n v="5091"/>
    <n v="791146.05999999936"/>
    <n v="1361.6971772805496"/>
    <n v="0.35149999999999998"/>
    <n v="230615969.72999993"/>
    <x v="1"/>
    <n v="880.92"/>
  </r>
  <r>
    <s v="LN01421"/>
    <x v="1420"/>
    <n v="44"/>
    <s v="Male"/>
    <s v="Married"/>
    <s v="Unemployed"/>
    <n v="132903"/>
    <n v="754"/>
    <n v="49208"/>
    <n v="18.46"/>
    <n v="180"/>
    <s v="Personal"/>
    <n v="59.32"/>
    <n v="16637"/>
    <n v="131484"/>
    <x v="895"/>
    <s v="Pending"/>
    <s v="No"/>
    <x v="4"/>
    <x v="1418"/>
    <x v="1420"/>
    <n v="218"/>
    <n v="172"/>
    <n v="0.35149999999999998"/>
    <n v="29716319"/>
    <n v="51235.032758620691"/>
    <n v="99996"/>
    <n v="5091"/>
    <n v="791072.64999999932"/>
    <n v="1363.9183620689644"/>
    <n v="0.35149999999999998"/>
    <n v="229824823.66999996"/>
    <x v="1"/>
    <n v="3886.08"/>
  </r>
  <r>
    <s v="LN01422"/>
    <x v="1421"/>
    <n v="63"/>
    <s v="Male"/>
    <s v="Single"/>
    <s v="Self-Employed"/>
    <n v="70809"/>
    <n v="316"/>
    <n v="87174"/>
    <n v="19.420000000000002"/>
    <n v="360"/>
    <s v="Mortgage"/>
    <n v="20.14"/>
    <n v="44744"/>
    <n v="146521"/>
    <x v="679"/>
    <s v="Rejected"/>
    <s v="Yes"/>
    <x v="4"/>
    <x v="1419"/>
    <x v="1421"/>
    <n v="218"/>
    <n v="172"/>
    <n v="0.35149999999999998"/>
    <n v="29667111"/>
    <n v="51238.533678756474"/>
    <n v="99996"/>
    <n v="5091"/>
    <n v="790748.80999999936"/>
    <n v="1365.7146977547484"/>
    <n v="0.35149999999999998"/>
    <n v="229033751.01999995"/>
    <x v="1"/>
    <n v="3470.16"/>
  </r>
  <r>
    <s v="LN01423"/>
    <x v="1422"/>
    <n v="62"/>
    <s v="Female"/>
    <s v="Single"/>
    <s v="Unemployed"/>
    <n v="160526"/>
    <n v="653"/>
    <n v="30955"/>
    <n v="20.61"/>
    <n v="120"/>
    <s v="Mortgage"/>
    <n v="55.51"/>
    <n v="52113"/>
    <n v="154648"/>
    <x v="896"/>
    <s v="Approved"/>
    <s v="Yes"/>
    <x v="3"/>
    <x v="1420"/>
    <x v="1422"/>
    <n v="218"/>
    <n v="171"/>
    <n v="0.35149999999999998"/>
    <n v="29579937"/>
    <n v="51176.361591695502"/>
    <n v="99996"/>
    <n v="5091"/>
    <n v="790459.62999999942"/>
    <n v="1367.577214532871"/>
    <n v="0.35149999999999998"/>
    <n v="228243002.20999998"/>
    <x v="1"/>
    <n v="3733.44"/>
  </r>
  <r>
    <s v="LN01424"/>
    <x v="1423"/>
    <n v="43"/>
    <s v="Male"/>
    <s v="Married"/>
    <s v="Employed"/>
    <n v="63121"/>
    <n v="334"/>
    <n v="16077"/>
    <n v="5.17"/>
    <n v="60"/>
    <s v="Personal"/>
    <n v="34.159999999999997"/>
    <n v="31556"/>
    <n v="41220"/>
    <x v="192"/>
    <s v="Pending"/>
    <s v="Yes"/>
    <x v="3"/>
    <x v="1421"/>
    <x v="1423"/>
    <n v="217"/>
    <n v="171"/>
    <n v="0.35149999999999998"/>
    <n v="29548982"/>
    <n v="51211.407279029459"/>
    <n v="99996"/>
    <n v="5091"/>
    <n v="790148.50999999931"/>
    <n v="1369.4081629116106"/>
    <n v="0.35149999999999998"/>
    <n v="227452542.57999995"/>
    <x v="1"/>
    <n v="3381.6000000000004"/>
  </r>
  <r>
    <s v="LN01425"/>
    <x v="1424"/>
    <n v="41"/>
    <s v="Female"/>
    <s v="Divorced"/>
    <s v="Unemployed"/>
    <n v="80395"/>
    <n v="759"/>
    <n v="62853"/>
    <n v="11.01"/>
    <n v="48"/>
    <s v="Auto"/>
    <n v="12.5"/>
    <n v="68024"/>
    <n v="5299"/>
    <x v="655"/>
    <s v="Pending"/>
    <s v="No"/>
    <x v="2"/>
    <x v="1422"/>
    <x v="1424"/>
    <n v="217"/>
    <n v="171"/>
    <n v="0.35149999999999998"/>
    <n v="29532905"/>
    <n v="51272.404513888891"/>
    <n v="99996"/>
    <n v="5091"/>
    <n v="789866.70999999926"/>
    <n v="1371.2963715277765"/>
    <n v="0.35149999999999998"/>
    <n v="226662394.06999999"/>
    <x v="1"/>
    <n v="17443.32"/>
  </r>
  <r>
    <s v="LN01426"/>
    <x v="1425"/>
    <n v="21"/>
    <s v="Male"/>
    <s v="Divorced"/>
    <s v="Employed"/>
    <n v="167205"/>
    <n v="461"/>
    <n v="90798"/>
    <n v="9.2899999999999991"/>
    <n v="360"/>
    <s v="Education"/>
    <n v="31.88"/>
    <n v="29717"/>
    <n v="191255"/>
    <x v="897"/>
    <s v="Pending"/>
    <s v="Yes"/>
    <x v="4"/>
    <x v="1423"/>
    <x v="1425"/>
    <n v="217"/>
    <n v="171"/>
    <n v="0.35149999999999998"/>
    <n v="29470052"/>
    <n v="51252.264347826087"/>
    <n v="99996"/>
    <n v="5091"/>
    <n v="788413.09999999939"/>
    <n v="1371.1532173913033"/>
    <n v="0.35149999999999998"/>
    <n v="225872527.35999998"/>
    <x v="1"/>
    <n v="3307.7999999999997"/>
  </r>
  <r>
    <s v="LN01427"/>
    <x v="1426"/>
    <n v="31"/>
    <s v="Female"/>
    <s v="Single"/>
    <s v="Unemployed"/>
    <n v="126611"/>
    <n v="559"/>
    <n v="21944"/>
    <n v="3.94"/>
    <n v="24"/>
    <s v="Education"/>
    <n v="56.67"/>
    <n v="74847"/>
    <n v="180865"/>
    <x v="898"/>
    <s v="Approved"/>
    <s v="Yes"/>
    <x v="4"/>
    <x v="1424"/>
    <x v="1426"/>
    <n v="217"/>
    <n v="171"/>
    <n v="0.35149999999999998"/>
    <n v="29379254"/>
    <n v="51183.369337979093"/>
    <n v="99996"/>
    <n v="5091"/>
    <n v="788137.44999999937"/>
    <n v="1373.0617595818806"/>
    <n v="0.35149999999999998"/>
    <n v="225084114.25999999"/>
    <x v="1"/>
    <n v="11404.32"/>
  </r>
  <r>
    <s v="LN01428"/>
    <x v="1427"/>
    <n v="36"/>
    <s v="Female"/>
    <s v="Divorced"/>
    <s v="Employed"/>
    <n v="81949"/>
    <n v="337"/>
    <n v="83024"/>
    <n v="15.81"/>
    <n v="360"/>
    <s v="Personal"/>
    <n v="33.43"/>
    <n v="2363"/>
    <n v="200123"/>
    <x v="899"/>
    <s v="Rejected"/>
    <s v="Yes"/>
    <x v="1"/>
    <x v="1425"/>
    <x v="1427"/>
    <n v="216"/>
    <n v="171"/>
    <n v="0.35149999999999998"/>
    <n v="29357310"/>
    <n v="51234.397905759164"/>
    <n v="99996"/>
    <n v="5091"/>
    <n v="787187.08999999915"/>
    <n v="1373.7994589877821"/>
    <n v="0.35149999999999998"/>
    <n v="224295976.81"/>
    <x v="1"/>
    <n v="3204.96"/>
  </r>
  <r>
    <s v="LN01429"/>
    <x v="1428"/>
    <n v="39"/>
    <s v="Female"/>
    <s v="Married"/>
    <s v="Self-Employed"/>
    <n v="104448"/>
    <n v="567"/>
    <n v="27095"/>
    <n v="6.73"/>
    <n v="360"/>
    <s v="Auto"/>
    <n v="8.81"/>
    <n v="25128"/>
    <n v="140590"/>
    <x v="900"/>
    <s v="Approved"/>
    <s v="Yes"/>
    <x v="0"/>
    <x v="1426"/>
    <x v="1428"/>
    <n v="216"/>
    <n v="170"/>
    <n v="0.35149999999999998"/>
    <n v="29274286"/>
    <n v="51178.821678321678"/>
    <n v="99996"/>
    <n v="5091"/>
    <n v="786920.00999999919"/>
    <n v="1375.7342832167817"/>
    <n v="0.35149999999999998"/>
    <n v="223508789.72"/>
    <x v="1"/>
    <n v="963.96"/>
  </r>
  <r>
    <s v="LN01430"/>
    <x v="1429"/>
    <n v="23"/>
    <s v="Male"/>
    <s v="Divorced"/>
    <s v="Unemployed"/>
    <n v="53389"/>
    <n v="619"/>
    <n v="16282"/>
    <n v="18.95"/>
    <n v="12"/>
    <s v="Education"/>
    <n v="15.21"/>
    <n v="7134"/>
    <n v="107271"/>
    <x v="464"/>
    <s v="Pending"/>
    <s v="No"/>
    <x v="1"/>
    <x v="1427"/>
    <x v="1429"/>
    <n v="215"/>
    <n v="170"/>
    <n v="0.35149999999999998"/>
    <n v="29247191"/>
    <n v="51221"/>
    <n v="99996"/>
    <n v="5091"/>
    <n v="786839.67999999924"/>
    <n v="1378.0029422066536"/>
    <n v="0.35149999999999998"/>
    <n v="222721869.71000001"/>
    <x v="1"/>
    <n v="19367.400000000001"/>
  </r>
  <r>
    <s v="LN01431"/>
    <x v="1430"/>
    <n v="50"/>
    <s v="Female"/>
    <s v="Single"/>
    <s v="Self-Employed"/>
    <n v="153607"/>
    <n v="316"/>
    <n v="69873"/>
    <n v="7.45"/>
    <n v="180"/>
    <s v="Mortgage"/>
    <n v="57.39"/>
    <n v="1495"/>
    <n v="177063"/>
    <x v="134"/>
    <s v="Approved"/>
    <s v="No"/>
    <x v="1"/>
    <x v="1428"/>
    <x v="1430"/>
    <n v="215"/>
    <n v="170"/>
    <n v="0.35149999999999998"/>
    <n v="29230909"/>
    <n v="51282.296491228073"/>
    <n v="99996"/>
    <n v="5091"/>
    <n v="785225.72999999917"/>
    <n v="1377.5889999999986"/>
    <n v="0.35149999999999998"/>
    <n v="221935030.03"/>
    <x v="0"/>
    <n v="5005.2000000000007"/>
  </r>
  <r>
    <s v="LN01432"/>
    <x v="1431"/>
    <n v="46"/>
    <s v="Female"/>
    <s v="Married"/>
    <s v="Employed"/>
    <n v="82540"/>
    <n v="641"/>
    <n v="70937"/>
    <n v="7.89"/>
    <n v="120"/>
    <s v="Business"/>
    <n v="25.52"/>
    <n v="57316"/>
    <n v="152135"/>
    <x v="901"/>
    <s v="Rejected"/>
    <s v="No"/>
    <x v="3"/>
    <x v="1429"/>
    <x v="1431"/>
    <n v="214"/>
    <n v="170"/>
    <n v="0.35149999999999998"/>
    <n v="29161036"/>
    <n v="51249.623901581719"/>
    <n v="99996"/>
    <n v="5091"/>
    <n v="784808.62999999919"/>
    <n v="1379.2770298769758"/>
    <n v="0.35149999999999998"/>
    <n v="221149804.30000001"/>
    <x v="1"/>
    <n v="7653.36"/>
  </r>
  <r>
    <s v="LN01433"/>
    <x v="1432"/>
    <n v="59"/>
    <s v="Female"/>
    <s v="Single"/>
    <s v="Self-Employed"/>
    <n v="145146"/>
    <n v="691"/>
    <n v="6991"/>
    <n v="7.34"/>
    <n v="360"/>
    <s v="Business"/>
    <n v="40.61"/>
    <n v="13322"/>
    <n v="137964"/>
    <x v="902"/>
    <s v="Approved"/>
    <s v="Yes"/>
    <x v="4"/>
    <x v="1430"/>
    <x v="1432"/>
    <n v="214"/>
    <n v="169"/>
    <n v="0.35149999999999998"/>
    <n v="29090099"/>
    <n v="51214.963028169012"/>
    <n v="99996"/>
    <n v="5091"/>
    <n v="784170.84999999928"/>
    <n v="1380.5824823943649"/>
    <n v="0.35149999999999998"/>
    <n v="220364995.66999999"/>
    <x v="1"/>
    <n v="250.07999999999998"/>
  </r>
  <r>
    <s v="LN01434"/>
    <x v="1433"/>
    <n v="50"/>
    <s v="Male"/>
    <s v="Divorced"/>
    <s v="Unemployed"/>
    <n v="72207"/>
    <n v="501"/>
    <n v="26545"/>
    <n v="3.66"/>
    <n v="36"/>
    <s v="Auto"/>
    <n v="19.989999999999998"/>
    <n v="59292"/>
    <n v="219005"/>
    <x v="219"/>
    <s v="Approved"/>
    <s v="No"/>
    <x v="3"/>
    <x v="1431"/>
    <x v="1433"/>
    <n v="213"/>
    <n v="169"/>
    <n v="0.35149999999999998"/>
    <n v="29083108"/>
    <n v="51292.9594356261"/>
    <n v="99996"/>
    <n v="5091"/>
    <n v="784150.00999999931"/>
    <n v="1382.9806172839494"/>
    <n v="0.35149999999999998"/>
    <n v="219580824.81999999"/>
    <x v="1"/>
    <n v="9172.2000000000007"/>
  </r>
  <r>
    <s v="LN01435"/>
    <x v="1434"/>
    <n v="35"/>
    <s v="Female"/>
    <s v="Married"/>
    <s v="Self-Employed"/>
    <n v="162087"/>
    <n v="769"/>
    <n v="64228"/>
    <n v="7.62"/>
    <n v="48"/>
    <s v="Mortgage"/>
    <n v="37.44"/>
    <n v="16952"/>
    <n v="179625"/>
    <x v="691"/>
    <s v="Rejected"/>
    <s v="No"/>
    <x v="2"/>
    <x v="1432"/>
    <x v="1434"/>
    <n v="212"/>
    <n v="169"/>
    <n v="0.35149999999999998"/>
    <n v="29056563"/>
    <n v="51336.683745583039"/>
    <n v="99996"/>
    <n v="5091"/>
    <n v="783385.65999999922"/>
    <n v="1384.0736042402814"/>
    <n v="0.35149999999999998"/>
    <n v="218796674.80999997"/>
    <x v="1"/>
    <n v="17280.599999999999"/>
  </r>
  <r>
    <s v="LN01436"/>
    <x v="1435"/>
    <n v="53"/>
    <s v="Female"/>
    <s v="Single"/>
    <s v="Employed"/>
    <n v="184912"/>
    <n v="479"/>
    <n v="30959"/>
    <n v="20.66"/>
    <n v="360"/>
    <s v="Education"/>
    <n v="17.89"/>
    <n v="72792"/>
    <n v="228378"/>
    <x v="903"/>
    <s v="Rejected"/>
    <s v="Yes"/>
    <x v="2"/>
    <x v="1433"/>
    <x v="1435"/>
    <n v="212"/>
    <n v="168"/>
    <n v="0.35149999999999998"/>
    <n v="28992335"/>
    <n v="51313.867256637168"/>
    <n v="99996"/>
    <n v="5091"/>
    <n v="781945.60999999929"/>
    <n v="1383.9745309734501"/>
    <n v="0.35149999999999998"/>
    <n v="218013289.14999995"/>
    <x v="1"/>
    <n v="1245.1200000000001"/>
  </r>
  <r>
    <s v="LN01437"/>
    <x v="1436"/>
    <n v="47"/>
    <s v="Male"/>
    <s v="Married"/>
    <s v="Self-Employed"/>
    <n v="111175"/>
    <n v="372"/>
    <n v="36802"/>
    <n v="9.3800000000000008"/>
    <n v="12"/>
    <s v="Auto"/>
    <n v="16.71"/>
    <n v="8194"/>
    <n v="153323"/>
    <x v="904"/>
    <s v="Approved"/>
    <s v="No"/>
    <x v="3"/>
    <x v="1434"/>
    <x v="1436"/>
    <n v="212"/>
    <n v="167"/>
    <n v="0.35149999999999998"/>
    <n v="28961376"/>
    <n v="51349.957446808512"/>
    <n v="99996"/>
    <n v="5091"/>
    <n v="781841.84999999928"/>
    <n v="1386.2444148936158"/>
    <n v="0.35149999999999998"/>
    <n v="217231343.53999996"/>
    <x v="1"/>
    <n v="40254"/>
  </r>
  <r>
    <s v="LN01438"/>
    <x v="1437"/>
    <n v="38"/>
    <s v="Male"/>
    <s v="Divorced"/>
    <s v="Unemployed"/>
    <n v="175868"/>
    <n v="613"/>
    <n v="70645"/>
    <n v="17.739999999999998"/>
    <n v="48"/>
    <s v="Personal"/>
    <n v="10.02"/>
    <n v="49636"/>
    <n v="162562"/>
    <x v="819"/>
    <s v="Rejected"/>
    <s v="Yes"/>
    <x v="2"/>
    <x v="1435"/>
    <x v="1437"/>
    <n v="211"/>
    <n v="167"/>
    <n v="0.35149999999999998"/>
    <n v="28924574"/>
    <n v="51375.797513321493"/>
    <n v="99996"/>
    <n v="5091"/>
    <n v="778487.34999999939"/>
    <n v="1382.7484014209581"/>
    <n v="0.35149999999999998"/>
    <n v="216449501.68999994"/>
    <x v="0"/>
    <n v="20794.32"/>
  </r>
  <r>
    <s v="LN01439"/>
    <x v="1438"/>
    <n v="26"/>
    <s v="Male"/>
    <s v="Married"/>
    <s v="Self-Employed"/>
    <n v="137532"/>
    <n v="604"/>
    <n v="61017"/>
    <n v="17.7"/>
    <n v="60"/>
    <s v="Education"/>
    <n v="47.61"/>
    <n v="9149"/>
    <n v="129450"/>
    <x v="879"/>
    <s v="Approved"/>
    <s v="Yes"/>
    <x v="4"/>
    <x v="1436"/>
    <x v="1438"/>
    <n v="211"/>
    <n v="166"/>
    <n v="0.35149999999999998"/>
    <n v="28853929"/>
    <n v="51341.510676156584"/>
    <n v="99996"/>
    <n v="5091"/>
    <n v="776754.48999999953"/>
    <n v="1382.1254270462625"/>
    <n v="0.35149999999999998"/>
    <n v="215671014.33999997"/>
    <x v="1"/>
    <n v="14363.400000000001"/>
  </r>
  <r>
    <s v="LN01440"/>
    <x v="1439"/>
    <n v="50"/>
    <s v="Female"/>
    <s v="Divorced"/>
    <s v="Self-Employed"/>
    <n v="34678"/>
    <n v="499"/>
    <n v="58250"/>
    <n v="18.329999999999998"/>
    <n v="180"/>
    <s v="Education"/>
    <n v="28.76"/>
    <n v="7402"/>
    <n v="234011"/>
    <x v="861"/>
    <s v="Pending"/>
    <s v="No"/>
    <x v="4"/>
    <x v="1437"/>
    <x v="1439"/>
    <n v="210"/>
    <n v="166"/>
    <n v="0.35149999999999998"/>
    <n v="28792912"/>
    <n v="51324.263814616759"/>
    <n v="99996"/>
    <n v="5091"/>
    <n v="775557.53999999957"/>
    <n v="1382.4555080213895"/>
    <n v="0.35149999999999998"/>
    <n v="214894259.84999993"/>
    <x v="1"/>
    <n v="4595.16"/>
  </r>
  <r>
    <s v="LN01441"/>
    <x v="1440"/>
    <n v="31"/>
    <s v="Female"/>
    <s v="Single"/>
    <s v="Self-Employed"/>
    <n v="156270"/>
    <n v="448"/>
    <n v="99417"/>
    <n v="18.2"/>
    <n v="360"/>
    <s v="Business"/>
    <n v="29.03"/>
    <n v="12293"/>
    <n v="95152"/>
    <x v="759"/>
    <s v="Approved"/>
    <s v="Yes"/>
    <x v="0"/>
    <x v="1438"/>
    <x v="1440"/>
    <n v="210"/>
    <n v="166"/>
    <n v="0.35149999999999998"/>
    <n v="28734662"/>
    <n v="51311.896428571432"/>
    <n v="99996"/>
    <n v="5091"/>
    <n v="775174.60999999952"/>
    <n v="1384.2403749999992"/>
    <n v="0.35149999999999998"/>
    <n v="214118702.30999994"/>
    <x v="1"/>
    <n v="3917.04"/>
  </r>
  <r>
    <s v="LN01442"/>
    <x v="1441"/>
    <n v="40"/>
    <s v="Male"/>
    <s v="Single"/>
    <s v="Unemployed"/>
    <n v="53192"/>
    <n v="400"/>
    <n v="13402"/>
    <n v="4.84"/>
    <n v="120"/>
    <s v="Education"/>
    <n v="40.270000000000003"/>
    <n v="41803"/>
    <n v="246422"/>
    <x v="694"/>
    <s v="Pending"/>
    <s v="No"/>
    <x v="2"/>
    <x v="1439"/>
    <x v="1441"/>
    <n v="209"/>
    <n v="166"/>
    <n v="0.35149999999999998"/>
    <n v="28635245"/>
    <n v="51225.840787119858"/>
    <n v="99996"/>
    <n v="5091"/>
    <n v="774848.18999999948"/>
    <n v="1386.1327191413229"/>
    <n v="0.35149999999999998"/>
    <n v="213343527.69999993"/>
    <x v="1"/>
    <n v="1405.08"/>
  </r>
  <r>
    <s v="LN01443"/>
    <x v="1442"/>
    <n v="41"/>
    <s v="Male"/>
    <s v="Divorced"/>
    <s v="Self-Employed"/>
    <n v="63039"/>
    <n v="613"/>
    <n v="55013"/>
    <n v="3.68"/>
    <n v="360"/>
    <s v="Business"/>
    <n v="39.53"/>
    <n v="13341"/>
    <n v="208346"/>
    <x v="905"/>
    <s v="Rejected"/>
    <s v="No"/>
    <x v="3"/>
    <x v="1440"/>
    <x v="1442"/>
    <n v="209"/>
    <n v="166"/>
    <n v="0.35149999999999998"/>
    <n v="28621843"/>
    <n v="51293.625448028673"/>
    <n v="99996"/>
    <n v="5091"/>
    <n v="774731.09999999951"/>
    <n v="1388.406989247311"/>
    <n v="0.35149999999999998"/>
    <n v="212568679.50999993"/>
    <x v="1"/>
    <n v="1901.28"/>
  </r>
  <r>
    <s v="LN01444"/>
    <x v="1443"/>
    <n v="48"/>
    <s v="Male"/>
    <s v="Divorced"/>
    <s v="Self-Employed"/>
    <n v="100735"/>
    <n v="525"/>
    <n v="29474"/>
    <n v="7.49"/>
    <n v="240"/>
    <s v="Mortgage"/>
    <n v="41.58"/>
    <n v="47952"/>
    <n v="123387"/>
    <x v="906"/>
    <s v="Approved"/>
    <s v="Yes"/>
    <x v="0"/>
    <x v="1441"/>
    <x v="1443"/>
    <n v="209"/>
    <n v="165"/>
    <n v="0.35149999999999998"/>
    <n v="28566830"/>
    <n v="51286.947935368044"/>
    <n v="99996"/>
    <n v="5091"/>
    <n v="774572.65999999957"/>
    <n v="1390.6151885098736"/>
    <n v="0.35149999999999998"/>
    <n v="211793948.40999994"/>
    <x v="1"/>
    <n v="1584.12"/>
  </r>
  <r>
    <s v="LN01445"/>
    <x v="1444"/>
    <n v="43"/>
    <s v="Male"/>
    <s v="Single"/>
    <s v="Self-Employed"/>
    <n v="199889"/>
    <n v="530"/>
    <n v="7475"/>
    <n v="21.03"/>
    <n v="24"/>
    <s v="Business"/>
    <n v="40.450000000000003"/>
    <n v="36989"/>
    <n v="102404"/>
    <x v="531"/>
    <s v="Pending"/>
    <s v="Yes"/>
    <x v="2"/>
    <x v="1442"/>
    <x v="1444"/>
    <n v="208"/>
    <n v="165"/>
    <n v="0.35149999999999998"/>
    <n v="28537356"/>
    <n v="51326.179856115108"/>
    <n v="99996"/>
    <n v="5091"/>
    <n v="774440.64999999956"/>
    <n v="1392.8788669064741"/>
    <n v="0.35149999999999998"/>
    <n v="211019375.74999994"/>
    <x v="1"/>
    <n v="4523.5199999999995"/>
  </r>
  <r>
    <s v="LN01446"/>
    <x v="1445"/>
    <n v="35"/>
    <s v="Female"/>
    <s v="Divorced"/>
    <s v="Self-Employed"/>
    <n v="78327"/>
    <n v="671"/>
    <n v="59572"/>
    <n v="20.04"/>
    <n v="24"/>
    <s v="Education"/>
    <n v="44.68"/>
    <n v="55912"/>
    <n v="173234"/>
    <x v="907"/>
    <s v="Rejected"/>
    <s v="No"/>
    <x v="2"/>
    <x v="1443"/>
    <x v="1445"/>
    <n v="208"/>
    <n v="165"/>
    <n v="0.35149999999999998"/>
    <n v="28529881"/>
    <n v="51405.190990990988"/>
    <n v="99996"/>
    <n v="5091"/>
    <n v="774063.68999999959"/>
    <n v="1394.7093513513507"/>
    <n v="0.35149999999999998"/>
    <n v="210244935.09999996"/>
    <x v="1"/>
    <n v="35755.08"/>
  </r>
  <r>
    <s v="LN01447"/>
    <x v="1446"/>
    <n v="53"/>
    <s v="Male"/>
    <s v="Single"/>
    <s v="Employed"/>
    <n v="22857"/>
    <n v="686"/>
    <n v="68329"/>
    <n v="20.13"/>
    <n v="36"/>
    <s v="Business"/>
    <n v="48.94"/>
    <n v="56711"/>
    <n v="186053"/>
    <x v="908"/>
    <s v="Rejected"/>
    <s v="Yes"/>
    <x v="2"/>
    <x v="1444"/>
    <x v="1446"/>
    <n v="208"/>
    <n v="164"/>
    <n v="0.35149999999999998"/>
    <n v="28470309"/>
    <n v="51390.449458483752"/>
    <n v="99996"/>
    <n v="5091"/>
    <n v="771084.09999999951"/>
    <n v="1391.8485559566777"/>
    <n v="0.35149999999999998"/>
    <n v="209470871.40999997"/>
    <x v="1"/>
    <n v="27361.199999999997"/>
  </r>
  <r>
    <s v="LN01448"/>
    <x v="1447"/>
    <n v="62"/>
    <s v="Female"/>
    <s v="Single"/>
    <s v="Employed"/>
    <n v="66529"/>
    <n v="559"/>
    <n v="66056"/>
    <n v="8.1"/>
    <n v="360"/>
    <s v="Business"/>
    <n v="38.92"/>
    <n v="33196"/>
    <n v="121759"/>
    <x v="909"/>
    <s v="Pending"/>
    <s v="No"/>
    <x v="1"/>
    <x v="1445"/>
    <x v="1447"/>
    <n v="208"/>
    <n v="163"/>
    <n v="0.35149999999999998"/>
    <n v="28401980"/>
    <n v="51359.819168173599"/>
    <n v="99996"/>
    <n v="5091"/>
    <n v="768803.99999999953"/>
    <n v="1390.242314647377"/>
    <n v="0.35149999999999998"/>
    <n v="208699787.31000003"/>
    <x v="1"/>
    <n v="2380.1999999999998"/>
  </r>
  <r>
    <s v="LN01449"/>
    <x v="1448"/>
    <n v="64"/>
    <s v="Male"/>
    <s v="Married"/>
    <s v="Employed"/>
    <n v="151092"/>
    <n v="659"/>
    <n v="55030"/>
    <n v="16.47"/>
    <n v="60"/>
    <s v="Business"/>
    <n v="14.36"/>
    <n v="47039"/>
    <n v="154652"/>
    <x v="647"/>
    <s v="Rejected"/>
    <s v="No"/>
    <x v="3"/>
    <x v="1446"/>
    <x v="1448"/>
    <n v="208"/>
    <n v="163"/>
    <n v="0.35149999999999998"/>
    <n v="28335924"/>
    <n v="51333.195652173912"/>
    <n v="99996"/>
    <n v="5091"/>
    <n v="768605.64999999956"/>
    <n v="1392.4015398550716"/>
    <n v="0.35149999999999998"/>
    <n v="207930983.31000003"/>
    <x v="1"/>
    <n v="12818.64"/>
  </r>
  <r>
    <s v="LN01450"/>
    <x v="1449"/>
    <n v="30"/>
    <s v="Female"/>
    <s v="Single"/>
    <s v="Unemployed"/>
    <n v="198980"/>
    <n v="780"/>
    <n v="71489"/>
    <n v="4.12"/>
    <n v="60"/>
    <s v="Mortgage"/>
    <n v="59.51"/>
    <n v="59849"/>
    <n v="144394"/>
    <x v="405"/>
    <s v="Approved"/>
    <s v="No"/>
    <x v="3"/>
    <x v="1447"/>
    <x v="1449"/>
    <n v="208"/>
    <n v="162"/>
    <n v="0.35149999999999998"/>
    <n v="28280894"/>
    <n v="51326.486388384757"/>
    <n v="99996"/>
    <n v="5091"/>
    <n v="767537.42999999959"/>
    <n v="1392.9898911070773"/>
    <n v="0.35149999999999998"/>
    <n v="207162377.66000003"/>
    <x v="1"/>
    <n v="14886.84"/>
  </r>
  <r>
    <s v="LN01451"/>
    <x v="1450"/>
    <n v="35"/>
    <s v="Female"/>
    <s v="Divorced"/>
    <s v="Employed"/>
    <n v="105499"/>
    <n v="818"/>
    <n v="34855"/>
    <n v="15.85"/>
    <n v="120"/>
    <s v="Mortgage"/>
    <n v="6.36"/>
    <n v="76092"/>
    <n v="182978"/>
    <x v="135"/>
    <s v="Rejected"/>
    <s v="No"/>
    <x v="0"/>
    <x v="1448"/>
    <x v="1450"/>
    <n v="207"/>
    <n v="162"/>
    <n v="0.35149999999999998"/>
    <n v="28209405"/>
    <n v="51289.827272727271"/>
    <n v="99996"/>
    <n v="5091"/>
    <n v="766296.85999999952"/>
    <n v="1393.2670181818173"/>
    <n v="0.35149999999999998"/>
    <n v="206394840.23000002"/>
    <x v="1"/>
    <n v="4038"/>
  </r>
  <r>
    <s v="LN01452"/>
    <x v="1451"/>
    <n v="30"/>
    <s v="Female"/>
    <s v="Single"/>
    <s v="Self-Employed"/>
    <n v="86638"/>
    <n v="432"/>
    <n v="86339"/>
    <n v="4.9000000000000004"/>
    <n v="24"/>
    <s v="Education"/>
    <n v="38.159999999999997"/>
    <n v="34219"/>
    <n v="64926"/>
    <x v="420"/>
    <s v="Pending"/>
    <s v="Yes"/>
    <x v="1"/>
    <x v="1449"/>
    <x v="1451"/>
    <n v="207"/>
    <n v="161"/>
    <n v="0.35149999999999998"/>
    <n v="28174550"/>
    <n v="51319.763205828778"/>
    <n v="99996"/>
    <n v="5091"/>
    <n v="765960.35999999952"/>
    <n v="1395.191912568305"/>
    <n v="0.35149999999999998"/>
    <n v="205628543.37000003"/>
    <x v="1"/>
    <n v="45284.76"/>
  </r>
  <r>
    <s v="LN01453"/>
    <x v="1452"/>
    <n v="58"/>
    <s v="Female"/>
    <s v="Single"/>
    <s v="Unemployed"/>
    <n v="116683"/>
    <n v="814"/>
    <n v="45521"/>
    <n v="15.08"/>
    <n v="24"/>
    <s v="Mortgage"/>
    <n v="34.64"/>
    <n v="40082"/>
    <n v="14060"/>
    <x v="45"/>
    <s v="Approved"/>
    <s v="Yes"/>
    <x v="2"/>
    <x v="1450"/>
    <x v="1452"/>
    <n v="207"/>
    <n v="161"/>
    <n v="0.35149999999999998"/>
    <n v="28088211"/>
    <n v="51255.859489051094"/>
    <n v="99996"/>
    <n v="5091"/>
    <n v="762186.62999999966"/>
    <n v="1390.8515145985396"/>
    <n v="0.35149999999999998"/>
    <n v="204862583.01000005"/>
    <x v="1"/>
    <n v="26192.760000000002"/>
  </r>
  <r>
    <s v="LN01454"/>
    <x v="1453"/>
    <n v="40"/>
    <s v="Female"/>
    <s v="Single"/>
    <s v="Employed"/>
    <n v="38155"/>
    <n v="375"/>
    <n v="73823"/>
    <n v="12.4"/>
    <n v="24"/>
    <s v="Mortgage"/>
    <n v="33.979999999999997"/>
    <n v="42279"/>
    <n v="21966"/>
    <x v="655"/>
    <s v="Approved"/>
    <s v="Yes"/>
    <x v="0"/>
    <x v="1451"/>
    <x v="1453"/>
    <n v="206"/>
    <n v="161"/>
    <n v="0.35149999999999998"/>
    <n v="28042690"/>
    <n v="51266.343692870199"/>
    <n v="99996"/>
    <n v="5091"/>
    <n v="760003.89999999967"/>
    <n v="1389.4038391224858"/>
    <n v="0.35149999999999998"/>
    <n v="204100396.38000003"/>
    <x v="1"/>
    <n v="41488.559999999998"/>
  </r>
  <r>
    <s v="LN01455"/>
    <x v="1454"/>
    <n v="57"/>
    <s v="Male"/>
    <s v="Married"/>
    <s v="Self-Employed"/>
    <n v="170976"/>
    <n v="847"/>
    <n v="26075"/>
    <n v="23.39"/>
    <n v="60"/>
    <s v="Business"/>
    <n v="35.630000000000003"/>
    <n v="46131"/>
    <n v="221966"/>
    <x v="910"/>
    <s v="Rejected"/>
    <s v="No"/>
    <x v="1"/>
    <x v="1452"/>
    <x v="1454"/>
    <n v="205"/>
    <n v="161"/>
    <n v="0.35149999999999998"/>
    <n v="27968867"/>
    <n v="51225.031135531135"/>
    <n v="99996"/>
    <n v="5091"/>
    <n v="756546.51999999979"/>
    <n v="1385.6163369963367"/>
    <n v="0.35149999999999998"/>
    <n v="203340392.48000002"/>
    <x v="1"/>
    <n v="6434.76"/>
  </r>
  <r>
    <s v="LN01456"/>
    <x v="1455"/>
    <n v="31"/>
    <s v="Male"/>
    <s v="Married"/>
    <s v="Employed"/>
    <n v="105147"/>
    <n v="541"/>
    <n v="6529"/>
    <n v="3.55"/>
    <n v="36"/>
    <s v="Personal"/>
    <n v="42.13"/>
    <n v="14132"/>
    <n v="49292"/>
    <x v="861"/>
    <s v="Approved"/>
    <s v="No"/>
    <x v="1"/>
    <x v="1453"/>
    <x v="1455"/>
    <n v="205"/>
    <n v="160"/>
    <n v="0.35149999999999998"/>
    <n v="27942792"/>
    <n v="51271.177981651374"/>
    <n v="99996"/>
    <n v="5091"/>
    <n v="756010.2899999998"/>
    <n v="1387.1748440366969"/>
    <n v="0.35149999999999998"/>
    <n v="202583845.96000001"/>
    <x v="1"/>
    <n v="2253.6000000000004"/>
  </r>
  <r>
    <s v="LN01457"/>
    <x v="1456"/>
    <n v="26"/>
    <s v="Male"/>
    <s v="Married"/>
    <s v="Employed"/>
    <n v="137137"/>
    <n v="823"/>
    <n v="85340"/>
    <n v="6.44"/>
    <n v="360"/>
    <s v="Mortgage"/>
    <n v="52.07"/>
    <n v="73406"/>
    <n v="192443"/>
    <x v="911"/>
    <s v="Rejected"/>
    <s v="No"/>
    <x v="3"/>
    <x v="1454"/>
    <x v="1456"/>
    <n v="204"/>
    <n v="160"/>
    <n v="0.35149999999999998"/>
    <n v="27936263"/>
    <n v="51353.424632352944"/>
    <n v="99996"/>
    <n v="5091"/>
    <n v="755822.48999999987"/>
    <n v="1389.379577205882"/>
    <n v="0.35149999999999998"/>
    <n v="201827835.67000008"/>
    <x v="1"/>
    <n v="3027.84"/>
  </r>
  <r>
    <s v="LN01458"/>
    <x v="1457"/>
    <n v="22"/>
    <s v="Female"/>
    <s v="Single"/>
    <s v="Unemployed"/>
    <n v="188069"/>
    <n v="537"/>
    <n v="60223"/>
    <n v="16.010000000000002"/>
    <n v="24"/>
    <s v="Business"/>
    <n v="24.76"/>
    <n v="757"/>
    <n v="154326"/>
    <x v="495"/>
    <s v="Approved"/>
    <s v="No"/>
    <x v="2"/>
    <x v="1455"/>
    <x v="1457"/>
    <n v="204"/>
    <n v="159"/>
    <n v="0.35149999999999998"/>
    <n v="27850923"/>
    <n v="51290.834254143643"/>
    <n v="99996"/>
    <n v="5091"/>
    <n v="755570.16999999981"/>
    <n v="1391.473609576427"/>
    <n v="0.35149999999999998"/>
    <n v="201072013.18000007"/>
    <x v="1"/>
    <n v="34932.36"/>
  </r>
  <r>
    <s v="LN01459"/>
    <x v="1458"/>
    <n v="34"/>
    <s v="Male"/>
    <s v="Divorced"/>
    <s v="Unemployed"/>
    <n v="159930"/>
    <n v="508"/>
    <n v="52986"/>
    <n v="4.8"/>
    <n v="48"/>
    <s v="Auto"/>
    <n v="19.66"/>
    <n v="37177"/>
    <n v="181614"/>
    <x v="885"/>
    <s v="Approved"/>
    <s v="No"/>
    <x v="2"/>
    <x v="1456"/>
    <x v="1458"/>
    <n v="203"/>
    <n v="159"/>
    <n v="0.35149999999999998"/>
    <n v="27790700"/>
    <n v="51274.354243542439"/>
    <n v="99996"/>
    <n v="5091"/>
    <n v="752659.13999999978"/>
    <n v="1388.6699999999996"/>
    <n v="0.35149999999999998"/>
    <n v="200316443.01000011"/>
    <x v="1"/>
    <n v="13882.32"/>
  </r>
  <r>
    <s v="LN01460"/>
    <x v="1459"/>
    <n v="65"/>
    <s v="Male"/>
    <s v="Single"/>
    <s v="Self-Employed"/>
    <n v="84146"/>
    <n v="303"/>
    <n v="30637"/>
    <n v="16.03"/>
    <n v="48"/>
    <s v="Personal"/>
    <n v="58.9"/>
    <n v="75691"/>
    <n v="184089"/>
    <x v="23"/>
    <s v="Pending"/>
    <s v="Yes"/>
    <x v="4"/>
    <x v="1457"/>
    <x v="1459"/>
    <n v="202"/>
    <n v="159"/>
    <n v="0.35149999999999998"/>
    <n v="27737714"/>
    <n v="51271.190388170056"/>
    <n v="99996"/>
    <n v="5091"/>
    <n v="751502.27999999968"/>
    <n v="1389.0984842883543"/>
    <n v="0.35149999999999998"/>
    <n v="199563783.87000006"/>
    <x v="1"/>
    <n v="8887.08"/>
  </r>
  <r>
    <s v="LN01461"/>
    <x v="1460"/>
    <n v="60"/>
    <s v="Male"/>
    <s v="Married"/>
    <s v="Self-Employed"/>
    <n v="150196"/>
    <n v="571"/>
    <n v="63016"/>
    <n v="18.18"/>
    <n v="240"/>
    <s v="Auto"/>
    <n v="35.32"/>
    <n v="47637"/>
    <n v="2715"/>
    <x v="912"/>
    <s v="Pending"/>
    <s v="Yes"/>
    <x v="2"/>
    <x v="1458"/>
    <x v="1460"/>
    <n v="202"/>
    <n v="159"/>
    <n v="0.35149999999999998"/>
    <n v="27707077"/>
    <n v="51309.40185185185"/>
    <n v="99996"/>
    <n v="5091"/>
    <n v="750761.68999999971"/>
    <n v="1390.2994259259253"/>
    <n v="0.35149999999999998"/>
    <n v="198812281.59000003"/>
    <x v="1"/>
    <n v="3723.6000000000004"/>
  </r>
  <r>
    <s v="LN01462"/>
    <x v="1461"/>
    <n v="62"/>
    <s v="Female"/>
    <s v="Married"/>
    <s v="Self-Employed"/>
    <n v="140962"/>
    <n v="345"/>
    <n v="63299"/>
    <n v="17.3"/>
    <n v="12"/>
    <s v="Education"/>
    <n v="40.53"/>
    <n v="26750"/>
    <n v="213875"/>
    <x v="220"/>
    <s v="Pending"/>
    <s v="No"/>
    <x v="0"/>
    <x v="1459"/>
    <x v="1461"/>
    <n v="202"/>
    <n v="159"/>
    <n v="0.35149999999999998"/>
    <n v="27644061"/>
    <n v="51287.682745825601"/>
    <n v="99996"/>
    <n v="5091"/>
    <n v="750451.38999999966"/>
    <n v="1392.3031354359919"/>
    <n v="0.35149999999999998"/>
    <n v="198061519.90000004"/>
    <x v="1"/>
    <n v="74249.759999999995"/>
  </r>
  <r>
    <s v="LN01463"/>
    <x v="1462"/>
    <n v="48"/>
    <s v="Female"/>
    <s v="Married"/>
    <s v="Employed"/>
    <n v="100301"/>
    <n v="747"/>
    <n v="19330"/>
    <n v="23.73"/>
    <n v="60"/>
    <s v="Business"/>
    <n v="27.29"/>
    <n v="36013"/>
    <n v="13989"/>
    <x v="118"/>
    <s v="Rejected"/>
    <s v="Yes"/>
    <x v="1"/>
    <x v="1460"/>
    <x v="1462"/>
    <n v="202"/>
    <n v="159"/>
    <n v="0.35149999999999998"/>
    <n v="27580762"/>
    <n v="51265.356877323422"/>
    <n v="99996"/>
    <n v="5091"/>
    <n v="744263.90999999968"/>
    <n v="1383.3901672862448"/>
    <n v="0.35149999999999998"/>
    <n v="197311068.51000005"/>
    <x v="0"/>
    <n v="4783.4400000000005"/>
  </r>
  <r>
    <s v="LN01464"/>
    <x v="1463"/>
    <n v="36"/>
    <s v="Male"/>
    <s v="Divorced"/>
    <s v="Self-Employed"/>
    <n v="59404"/>
    <n v="711"/>
    <n v="18227"/>
    <n v="20.84"/>
    <n v="180"/>
    <s v="Personal"/>
    <n v="41.7"/>
    <n v="43913"/>
    <n v="97376"/>
    <x v="148"/>
    <s v="Pending"/>
    <s v="No"/>
    <x v="1"/>
    <x v="1461"/>
    <x v="1463"/>
    <n v="202"/>
    <n v="158"/>
    <n v="0.35149999999999998"/>
    <n v="27561432"/>
    <n v="51324.82681564246"/>
    <n v="99996"/>
    <n v="5091"/>
    <n v="743865.28999999969"/>
    <n v="1385.2240037243942"/>
    <n v="0.35149999999999998"/>
    <n v="196566804.60000008"/>
    <x v="1"/>
    <n v="1468.32"/>
  </r>
  <r>
    <s v="LN01465"/>
    <x v="1464"/>
    <n v="43"/>
    <s v="Male"/>
    <s v="Married"/>
    <s v="Unemployed"/>
    <n v="44469"/>
    <n v="586"/>
    <n v="28921"/>
    <n v="11.13"/>
    <n v="240"/>
    <s v="Mortgage"/>
    <n v="12.31"/>
    <n v="64546"/>
    <n v="191711"/>
    <x v="913"/>
    <s v="Approved"/>
    <s v="No"/>
    <x v="0"/>
    <x v="1462"/>
    <x v="1464"/>
    <n v="202"/>
    <n v="158"/>
    <n v="0.35149999999999998"/>
    <n v="27543205"/>
    <n v="51386.576492537315"/>
    <n v="99996"/>
    <n v="5091"/>
    <n v="743742.9299999997"/>
    <n v="1387.5800932835816"/>
    <n v="0.35149999999999998"/>
    <n v="195822939.31000006"/>
    <x v="1"/>
    <n v="1607.04"/>
  </r>
  <r>
    <s v="LN01466"/>
    <x v="1465"/>
    <n v="44"/>
    <s v="Female"/>
    <s v="Divorced"/>
    <s v="Employed"/>
    <n v="90449"/>
    <n v="813"/>
    <n v="12702"/>
    <n v="4.2699999999999996"/>
    <n v="36"/>
    <s v="Auto"/>
    <n v="42.66"/>
    <n v="9362"/>
    <n v="125169"/>
    <x v="914"/>
    <s v="Pending"/>
    <s v="Yes"/>
    <x v="2"/>
    <x v="1463"/>
    <x v="1465"/>
    <n v="201"/>
    <n v="158"/>
    <n v="0.35149999999999998"/>
    <n v="27514284"/>
    <n v="51428.568224299066"/>
    <n v="99996"/>
    <n v="5091"/>
    <n v="743609.00999999966"/>
    <n v="1389.9233831775693"/>
    <n v="0.35149999999999998"/>
    <n v="195079196.38000003"/>
    <x v="1"/>
    <n v="4414.7999999999993"/>
  </r>
  <r>
    <s v="LN01467"/>
    <x v="1466"/>
    <n v="43"/>
    <s v="Male"/>
    <s v="Divorced"/>
    <s v="Self-Employed"/>
    <n v="122983"/>
    <n v="634"/>
    <n v="68479"/>
    <n v="13.25"/>
    <n v="24"/>
    <s v="Business"/>
    <n v="22.12"/>
    <n v="77050"/>
    <n v="5395"/>
    <x v="61"/>
    <s v="Approved"/>
    <s v="Yes"/>
    <x v="3"/>
    <x v="1464"/>
    <x v="1466"/>
    <n v="201"/>
    <n v="158"/>
    <n v="0.35149999999999998"/>
    <n v="27501582"/>
    <n v="51501.089887640446"/>
    <n v="99996"/>
    <n v="5091"/>
    <n v="743241.10999999975"/>
    <n v="1391.8372846441944"/>
    <n v="0.35149999999999998"/>
    <n v="194335587.37000006"/>
    <x v="1"/>
    <n v="38776.199999999997"/>
  </r>
  <r>
    <s v="LN01468"/>
    <x v="1467"/>
    <n v="54"/>
    <s v="Male"/>
    <s v="Single"/>
    <s v="Unemployed"/>
    <n v="92174"/>
    <n v="392"/>
    <n v="6384"/>
    <n v="22.12"/>
    <n v="60"/>
    <s v="Business"/>
    <n v="30.78"/>
    <n v="63323"/>
    <n v="196802"/>
    <x v="425"/>
    <s v="Approved"/>
    <s v="No"/>
    <x v="3"/>
    <x v="1465"/>
    <x v="1467"/>
    <n v="200"/>
    <n v="158"/>
    <n v="0.35149999999999998"/>
    <n v="27433103"/>
    <n v="51469.236397748595"/>
    <n v="99996"/>
    <n v="5091"/>
    <n v="740009.75999999966"/>
    <n v="1388.3860412757967"/>
    <n v="0.35149999999999998"/>
    <n v="193592346.26000005"/>
    <x v="1"/>
    <n v="1559.28"/>
  </r>
  <r>
    <s v="LN01469"/>
    <x v="1468"/>
    <n v="38"/>
    <s v="Male"/>
    <s v="Divorced"/>
    <s v="Unemployed"/>
    <n v="107040"/>
    <n v="658"/>
    <n v="67133"/>
    <n v="20.18"/>
    <n v="48"/>
    <s v="Education"/>
    <n v="24"/>
    <n v="54202"/>
    <n v="203997"/>
    <x v="915"/>
    <s v="Approved"/>
    <s v="No"/>
    <x v="0"/>
    <x v="1466"/>
    <x v="1468"/>
    <n v="199"/>
    <n v="158"/>
    <n v="0.35149999999999998"/>
    <n v="27426719"/>
    <n v="51553.983082706764"/>
    <n v="99996"/>
    <n v="5091"/>
    <n v="739879.8199999996"/>
    <n v="1390.7515413533827"/>
    <n v="0.35149999999999998"/>
    <n v="192852336.50000003"/>
    <x v="1"/>
    <n v="20170.079999999998"/>
  </r>
  <r>
    <s v="LN01470"/>
    <x v="1469"/>
    <n v="21"/>
    <s v="Female"/>
    <s v="Married"/>
    <s v="Employed"/>
    <n v="20134"/>
    <n v="580"/>
    <n v="14697"/>
    <n v="16.28"/>
    <n v="48"/>
    <s v="Mortgage"/>
    <n v="32.18"/>
    <n v="50814"/>
    <n v="55856"/>
    <x v="700"/>
    <s v="Approved"/>
    <s v="Yes"/>
    <x v="1"/>
    <x v="1467"/>
    <x v="1469"/>
    <n v="198"/>
    <n v="158"/>
    <n v="0.35149999999999998"/>
    <n v="27359586"/>
    <n v="51524.644067796609"/>
    <n v="99996"/>
    <n v="5091"/>
    <n v="738198.97999999963"/>
    <n v="1390.2052354048958"/>
    <n v="0.35149999999999998"/>
    <n v="192112456.68000007"/>
    <x v="1"/>
    <n v="4272.3599999999997"/>
  </r>
  <r>
    <s v="LN01471"/>
    <x v="1470"/>
    <n v="52"/>
    <s v="Male"/>
    <s v="Single"/>
    <s v="Self-Employed"/>
    <n v="112853"/>
    <n v="677"/>
    <n v="47169"/>
    <n v="19.149999999999999"/>
    <n v="60"/>
    <s v="Auto"/>
    <n v="55.5"/>
    <n v="18632"/>
    <n v="95542"/>
    <x v="151"/>
    <s v="Approved"/>
    <s v="No"/>
    <x v="4"/>
    <x v="1468"/>
    <x v="1470"/>
    <n v="197"/>
    <n v="158"/>
    <n v="0.35149999999999998"/>
    <n v="27344889"/>
    <n v="51594.130188679243"/>
    <n v="99996"/>
    <n v="5091"/>
    <n v="737842.94999999972"/>
    <n v="1392.1565094339617"/>
    <n v="0.35149999999999998"/>
    <n v="191374257.70000005"/>
    <x v="1"/>
    <n v="11240.400000000001"/>
  </r>
  <r>
    <s v="LN01472"/>
    <x v="1471"/>
    <n v="37"/>
    <s v="Female"/>
    <s v="Married"/>
    <s v="Self-Employed"/>
    <n v="44384"/>
    <n v="578"/>
    <n v="66120"/>
    <n v="3.81"/>
    <n v="180"/>
    <s v="Auto"/>
    <n v="45.63"/>
    <n v="69830"/>
    <n v="201165"/>
    <x v="250"/>
    <s v="Pending"/>
    <s v="No"/>
    <x v="0"/>
    <x v="1469"/>
    <x v="1471"/>
    <n v="196"/>
    <n v="158"/>
    <n v="0.35149999999999998"/>
    <n v="27297720"/>
    <n v="51602.495274102082"/>
    <n v="99996"/>
    <n v="5091"/>
    <n v="736906.24999999965"/>
    <n v="1393.0174858223056"/>
    <n v="0.35149999999999998"/>
    <n v="190636414.75000003"/>
    <x v="1"/>
    <n v="4575.96"/>
  </r>
  <r>
    <s v="LN01473"/>
    <x v="1472"/>
    <n v="39"/>
    <s v="Male"/>
    <s v="Divorced"/>
    <s v="Unemployed"/>
    <n v="115202"/>
    <n v="586"/>
    <n v="17610"/>
    <n v="16.920000000000002"/>
    <n v="240"/>
    <s v="Business"/>
    <n v="43.73"/>
    <n v="31303"/>
    <n v="136794"/>
    <x v="916"/>
    <s v="Rejected"/>
    <s v="Yes"/>
    <x v="3"/>
    <x v="1470"/>
    <x v="1472"/>
    <n v="196"/>
    <n v="158"/>
    <n v="0.35149999999999998"/>
    <n v="27231600"/>
    <n v="51575"/>
    <n v="99996"/>
    <n v="5091"/>
    <n v="736524.91999999969"/>
    <n v="1394.9335606060599"/>
    <n v="0.35149999999999998"/>
    <n v="189899508.50000003"/>
    <x v="1"/>
    <n v="1029.48"/>
  </r>
  <r>
    <s v="LN01474"/>
    <x v="1473"/>
    <n v="59"/>
    <s v="Female"/>
    <s v="Divorced"/>
    <s v="Self-Employed"/>
    <n v="178393"/>
    <n v="634"/>
    <n v="41209"/>
    <n v="21.47"/>
    <n v="48"/>
    <s v="Business"/>
    <n v="37.81"/>
    <n v="41559"/>
    <n v="29071"/>
    <x v="428"/>
    <s v="Approved"/>
    <s v="No"/>
    <x v="0"/>
    <x v="1471"/>
    <x v="1473"/>
    <n v="196"/>
    <n v="157"/>
    <n v="0.35149999999999998"/>
    <n v="27213990"/>
    <n v="51639.449715370021"/>
    <n v="99996"/>
    <n v="5091"/>
    <n v="736439.12999999966"/>
    <n v="1397.4177039848191"/>
    <n v="0.35149999999999998"/>
    <n v="189162983.58000004"/>
    <x v="1"/>
    <n v="12514.199999999999"/>
  </r>
  <r>
    <s v="LN01475"/>
    <x v="1474"/>
    <n v="29"/>
    <s v="Female"/>
    <s v="Married"/>
    <s v="Self-Employed"/>
    <n v="89374"/>
    <n v="841"/>
    <n v="75435"/>
    <n v="16.559999999999999"/>
    <n v="240"/>
    <s v="Auto"/>
    <n v="52.51"/>
    <n v="54157"/>
    <n v="149498"/>
    <x v="694"/>
    <s v="Rejected"/>
    <s v="No"/>
    <x v="0"/>
    <x v="1472"/>
    <x v="1474"/>
    <n v="195"/>
    <n v="157"/>
    <n v="0.35149999999999998"/>
    <n v="27172781"/>
    <n v="51659.279467680608"/>
    <n v="99996"/>
    <n v="5091"/>
    <n v="735396.27999999968"/>
    <n v="1398.0917870722428"/>
    <n v="0.35149999999999998"/>
    <n v="188426544.45000008"/>
    <x v="1"/>
    <n v="4396.32"/>
  </r>
  <r>
    <s v="LN01476"/>
    <x v="1475"/>
    <n v="33"/>
    <s v="Male"/>
    <s v="Married"/>
    <s v="Self-Employed"/>
    <n v="111459"/>
    <n v="749"/>
    <n v="17096"/>
    <n v="17.02"/>
    <n v="120"/>
    <s v="Education"/>
    <n v="45.34"/>
    <n v="6558"/>
    <n v="41669"/>
    <x v="917"/>
    <s v="Approved"/>
    <s v="Yes"/>
    <x v="3"/>
    <x v="1473"/>
    <x v="1475"/>
    <n v="195"/>
    <n v="156"/>
    <n v="0.35149999999999998"/>
    <n v="27097346"/>
    <n v="51613.992380952383"/>
    <n v="99996"/>
    <n v="5091"/>
    <n v="735029.91999999969"/>
    <n v="1400.0569904761899"/>
    <n v="0.35149999999999998"/>
    <n v="187691148.17000008"/>
    <x v="1"/>
    <n v="2000.52"/>
  </r>
  <r>
    <s v="LN01477"/>
    <x v="1476"/>
    <n v="40"/>
    <s v="Male"/>
    <s v="Married"/>
    <s v="Unemployed"/>
    <n v="137061"/>
    <n v="337"/>
    <n v="66340"/>
    <n v="19.57"/>
    <n v="48"/>
    <s v="Education"/>
    <n v="48.68"/>
    <n v="66886"/>
    <n v="263"/>
    <x v="867"/>
    <s v="Pending"/>
    <s v="Yes"/>
    <x v="1"/>
    <x v="1474"/>
    <x v="1476"/>
    <n v="194"/>
    <n v="156"/>
    <n v="0.35149999999999998"/>
    <n v="27080250"/>
    <n v="51679.866412213742"/>
    <n v="99996"/>
    <n v="5091"/>
    <n v="734863.20999999961"/>
    <n v="1402.4107061068694"/>
    <n v="0.35149999999999998"/>
    <n v="186956118.25000006"/>
    <x v="1"/>
    <n v="19830.72"/>
  </r>
  <r>
    <s v="LN01478"/>
    <x v="1477"/>
    <n v="29"/>
    <s v="Male"/>
    <s v="Divorced"/>
    <s v="Unemployed"/>
    <n v="89437"/>
    <n v="517"/>
    <n v="87937"/>
    <n v="5.96"/>
    <n v="12"/>
    <s v="Personal"/>
    <n v="15.67"/>
    <n v="74377"/>
    <n v="232062"/>
    <x v="676"/>
    <s v="Pending"/>
    <s v="Yes"/>
    <x v="4"/>
    <x v="1475"/>
    <x v="1477"/>
    <n v="194"/>
    <n v="156"/>
    <n v="0.35149999999999998"/>
    <n v="27013910"/>
    <n v="51651.835564053537"/>
    <n v="99996"/>
    <n v="5091"/>
    <n v="733210.64999999967"/>
    <n v="1401.9324091778196"/>
    <n v="0.35149999999999998"/>
    <n v="186221255.04000005"/>
    <x v="1"/>
    <n v="93178.08"/>
  </r>
  <r>
    <s v="LN01479"/>
    <x v="1478"/>
    <n v="26"/>
    <s v="Female"/>
    <s v="Married"/>
    <s v="Unemployed"/>
    <n v="91364"/>
    <n v="300"/>
    <n v="76601"/>
    <n v="5.84"/>
    <n v="240"/>
    <s v="Education"/>
    <n v="21.97"/>
    <n v="30976"/>
    <n v="172820"/>
    <x v="918"/>
    <s v="Approved"/>
    <s v="Yes"/>
    <x v="1"/>
    <x v="1476"/>
    <x v="1478"/>
    <n v="194"/>
    <n v="156"/>
    <n v="0.35149999999999998"/>
    <n v="26925973"/>
    <n v="51582.323754789271"/>
    <n v="99996"/>
    <n v="5091"/>
    <n v="725445.80999999971"/>
    <n v="1389.7429310344821"/>
    <n v="0.35149999999999998"/>
    <n v="185488044.39000005"/>
    <x v="0"/>
    <n v="4053.7200000000003"/>
  </r>
  <r>
    <s v="LN01480"/>
    <x v="1479"/>
    <n v="59"/>
    <s v="Male"/>
    <s v="Married"/>
    <s v="Unemployed"/>
    <n v="196339"/>
    <n v="389"/>
    <n v="82286"/>
    <n v="6.25"/>
    <n v="24"/>
    <s v="Personal"/>
    <n v="19.899999999999999"/>
    <n v="16538"/>
    <n v="146789"/>
    <x v="822"/>
    <s v="Pending"/>
    <s v="No"/>
    <x v="0"/>
    <x v="1477"/>
    <x v="1479"/>
    <n v="193"/>
    <n v="156"/>
    <n v="0.35149999999999998"/>
    <n v="26849372"/>
    <n v="51534.303262955851"/>
    <n v="99996"/>
    <n v="5091"/>
    <n v="725107.99999999977"/>
    <n v="1391.7619961612279"/>
    <n v="0.35149999999999998"/>
    <n v="184762598.58000004"/>
    <x v="1"/>
    <n v="43714.44"/>
  </r>
  <r>
    <s v="LN01481"/>
    <x v="1480"/>
    <n v="38"/>
    <s v="Female"/>
    <s v="Divorced"/>
    <s v="Self-Employed"/>
    <n v="199703"/>
    <n v="790"/>
    <n v="6772"/>
    <n v="15.78"/>
    <n v="48"/>
    <s v="Mortgage"/>
    <n v="48.76"/>
    <n v="31354"/>
    <n v="88752"/>
    <x v="919"/>
    <s v="Approved"/>
    <s v="Yes"/>
    <x v="2"/>
    <x v="1478"/>
    <x v="1480"/>
    <n v="193"/>
    <n v="156"/>
    <n v="0.35149999999999998"/>
    <n v="26767086"/>
    <n v="51475.165384615386"/>
    <n v="99996"/>
    <n v="5091"/>
    <n v="721465.12999999977"/>
    <n v="1387.432942307692"/>
    <n v="0.35149999999999998"/>
    <n v="184037490.58000004"/>
    <x v="1"/>
    <n v="1960.1999999999998"/>
  </r>
  <r>
    <s v="LN01482"/>
    <x v="1481"/>
    <n v="50"/>
    <s v="Male"/>
    <s v="Married"/>
    <s v="Unemployed"/>
    <n v="193142"/>
    <n v="462"/>
    <n v="81092"/>
    <n v="4"/>
    <n v="240"/>
    <s v="Education"/>
    <n v="45.43"/>
    <n v="73714"/>
    <n v="84494"/>
    <x v="920"/>
    <s v="Approved"/>
    <s v="Yes"/>
    <x v="0"/>
    <x v="1479"/>
    <x v="1481"/>
    <n v="192"/>
    <n v="156"/>
    <n v="0.35149999999999998"/>
    <n v="26760314"/>
    <n v="51561.298651252408"/>
    <n v="99996"/>
    <n v="5091"/>
    <n v="721301.77999999991"/>
    <n v="1389.7914836223506"/>
    <n v="0.35149999999999998"/>
    <n v="183316025.45000002"/>
    <x v="1"/>
    <n v="4216.7999999999993"/>
  </r>
  <r>
    <s v="LN01483"/>
    <x v="1482"/>
    <n v="47"/>
    <s v="Female"/>
    <s v="Divorced"/>
    <s v="Employed"/>
    <n v="165014"/>
    <n v="532"/>
    <n v="52821"/>
    <n v="7.18"/>
    <n v="240"/>
    <s v="Mortgage"/>
    <n v="37.340000000000003"/>
    <n v="61633"/>
    <n v="147730"/>
    <x v="921"/>
    <s v="Rejected"/>
    <s v="No"/>
    <x v="0"/>
    <x v="1480"/>
    <x v="1482"/>
    <n v="191"/>
    <n v="156"/>
    <n v="0.35149999999999998"/>
    <n v="26679222"/>
    <n v="51504.289575289578"/>
    <n v="99996"/>
    <n v="5091"/>
    <n v="720950.37999999989"/>
    <n v="1391.7961003861001"/>
    <n v="0.35149999999999998"/>
    <n v="182594723.67000002"/>
    <x v="1"/>
    <n v="2830.68"/>
  </r>
  <r>
    <s v="LN01484"/>
    <x v="1483"/>
    <n v="62"/>
    <s v="Male"/>
    <s v="Married"/>
    <s v="Self-Employed"/>
    <n v="187324"/>
    <n v="452"/>
    <n v="96015"/>
    <n v="5.66"/>
    <n v="24"/>
    <s v="Business"/>
    <n v="34.79"/>
    <n v="25098"/>
    <n v="17765"/>
    <x v="302"/>
    <s v="Rejected"/>
    <s v="No"/>
    <x v="2"/>
    <x v="1481"/>
    <x v="1483"/>
    <n v="191"/>
    <n v="155"/>
    <n v="0.35149999999999998"/>
    <n v="26626401"/>
    <n v="51501.742746615084"/>
    <n v="99996"/>
    <n v="5091"/>
    <n v="720714.48999999987"/>
    <n v="1394.0318955512571"/>
    <n v="0.35149999999999998"/>
    <n v="181873773.28999996"/>
    <x v="1"/>
    <n v="50724.72"/>
  </r>
  <r>
    <s v="LN01485"/>
    <x v="1484"/>
    <n v="29"/>
    <s v="Male"/>
    <s v="Married"/>
    <s v="Employed"/>
    <n v="66502"/>
    <n v="379"/>
    <n v="23323"/>
    <n v="18.39"/>
    <n v="12"/>
    <s v="Personal"/>
    <n v="23.57"/>
    <n v="28889"/>
    <n v="241648"/>
    <x v="464"/>
    <s v="Approved"/>
    <s v="Yes"/>
    <x v="2"/>
    <x v="1482"/>
    <x v="1484"/>
    <n v="191"/>
    <n v="154"/>
    <n v="0.35149999999999998"/>
    <n v="26530386"/>
    <n v="51415.476744186046"/>
    <n v="99996"/>
    <n v="5091"/>
    <n v="716487.42999999993"/>
    <n v="1388.5415310077517"/>
    <n v="0.35149999999999998"/>
    <n v="181153058.79999998"/>
    <x v="1"/>
    <n v="27612.120000000003"/>
  </r>
  <r>
    <s v="LN01486"/>
    <x v="1485"/>
    <n v="25"/>
    <s v="Male"/>
    <s v="Married"/>
    <s v="Employed"/>
    <n v="116821"/>
    <n v="373"/>
    <n v="26558"/>
    <n v="4.43"/>
    <n v="36"/>
    <s v="Education"/>
    <n v="56.26"/>
    <n v="34742"/>
    <n v="137462"/>
    <x v="896"/>
    <s v="Approved"/>
    <s v="No"/>
    <x v="4"/>
    <x v="1483"/>
    <x v="1485"/>
    <n v="190"/>
    <n v="154"/>
    <n v="0.35149999999999998"/>
    <n v="26507063"/>
    <n v="51470.025242718446"/>
    <n v="99996"/>
    <n v="5091"/>
    <n v="714186.41999999993"/>
    <n v="1386.7697475728153"/>
    <n v="0.35149999999999998"/>
    <n v="180436571.36999997"/>
    <x v="0"/>
    <n v="9244.7999999999993"/>
  </r>
  <r>
    <s v="LN01487"/>
    <x v="1486"/>
    <n v="30"/>
    <s v="Female"/>
    <s v="Single"/>
    <s v="Unemployed"/>
    <n v="173610"/>
    <n v="480"/>
    <n v="93628"/>
    <n v="18.559999999999999"/>
    <n v="60"/>
    <s v="Education"/>
    <n v="33.450000000000003"/>
    <n v="52339"/>
    <n v="40679"/>
    <x v="755"/>
    <s v="Approved"/>
    <s v="Yes"/>
    <x v="4"/>
    <x v="1484"/>
    <x v="1486"/>
    <n v="189"/>
    <n v="154"/>
    <n v="0.35149999999999998"/>
    <n v="26480505"/>
    <n v="51518.492217898834"/>
    <n v="99996"/>
    <n v="5091"/>
    <n v="713416.0199999999"/>
    <n v="1387.9689105058364"/>
    <n v="0.35149999999999998"/>
    <n v="179722384.94999996"/>
    <x v="1"/>
    <n v="22201.079999999998"/>
  </r>
  <r>
    <s v="LN01488"/>
    <x v="1487"/>
    <n v="30"/>
    <s v="Female"/>
    <s v="Married"/>
    <s v="Self-Employed"/>
    <n v="58182"/>
    <n v="362"/>
    <n v="18593"/>
    <n v="12.76"/>
    <n v="180"/>
    <s v="Mortgage"/>
    <n v="7.17"/>
    <n v="27871"/>
    <n v="238878"/>
    <x v="75"/>
    <s v="Pending"/>
    <s v="Yes"/>
    <x v="1"/>
    <x v="1485"/>
    <x v="1487"/>
    <n v="188"/>
    <n v="154"/>
    <n v="0.35149999999999998"/>
    <n v="26386877"/>
    <n v="51436.407407407409"/>
    <n v="99996"/>
    <n v="5091"/>
    <n v="711565.92999999993"/>
    <n v="1387.0680896686158"/>
    <n v="0.35149999999999998"/>
    <n v="179008968.92999995"/>
    <x v="1"/>
    <n v="1397.6399999999999"/>
  </r>
  <r>
    <s v="LN01489"/>
    <x v="1488"/>
    <n v="60"/>
    <s v="Female"/>
    <s v="Divorced"/>
    <s v="Unemployed"/>
    <n v="192221"/>
    <n v="696"/>
    <n v="5795"/>
    <n v="16.2"/>
    <n v="240"/>
    <s v="Education"/>
    <n v="22.53"/>
    <n v="39308"/>
    <n v="71927"/>
    <x v="922"/>
    <s v="Rejected"/>
    <s v="Yes"/>
    <x v="4"/>
    <x v="1486"/>
    <x v="1488"/>
    <n v="188"/>
    <n v="154"/>
    <n v="0.35149999999999998"/>
    <n v="26368284"/>
    <n v="51500.5546875"/>
    <n v="99996"/>
    <n v="5091"/>
    <n v="711449.46"/>
    <n v="1389.5497265624999"/>
    <n v="0.35149999999999998"/>
    <n v="178297402.99999997"/>
    <x v="1"/>
    <n v="336.71999999999997"/>
  </r>
  <r>
    <s v="LN01490"/>
    <x v="1489"/>
    <n v="49"/>
    <s v="Male"/>
    <s v="Married"/>
    <s v="Employed"/>
    <n v="116429"/>
    <n v="586"/>
    <n v="35740"/>
    <n v="21.7"/>
    <n v="60"/>
    <s v="Business"/>
    <n v="46.94"/>
    <n v="50248"/>
    <n v="32960"/>
    <x v="697"/>
    <s v="Rejected"/>
    <s v="No"/>
    <x v="2"/>
    <x v="1487"/>
    <x v="1489"/>
    <n v="188"/>
    <n v="153"/>
    <n v="0.35149999999999998"/>
    <n v="26362489"/>
    <n v="51589.998043052838"/>
    <n v="99996"/>
    <n v="5091"/>
    <n v="711421.4"/>
    <n v="1392.2140900195695"/>
    <n v="0.35149999999999998"/>
    <n v="177585953.53999996"/>
    <x v="1"/>
    <n v="8699.16"/>
  </r>
  <r>
    <s v="LN01491"/>
    <x v="1490"/>
    <n v="22"/>
    <s v="Male"/>
    <s v="Married"/>
    <s v="Unemployed"/>
    <n v="54048"/>
    <n v="775"/>
    <n v="50853"/>
    <n v="5.73"/>
    <n v="120"/>
    <s v="Education"/>
    <n v="44.73"/>
    <n v="60521"/>
    <n v="5349"/>
    <x v="923"/>
    <s v="Approved"/>
    <s v="No"/>
    <x v="0"/>
    <x v="1488"/>
    <x v="1490"/>
    <n v="188"/>
    <n v="152"/>
    <n v="0.35149999999999998"/>
    <n v="26326749"/>
    <n v="51621.076470588232"/>
    <n v="99996"/>
    <n v="5091"/>
    <n v="710696.47"/>
    <n v="1393.5224901960785"/>
    <n v="0.35149999999999998"/>
    <n v="176874532.13999999"/>
    <x v="1"/>
    <n v="5376.72"/>
  </r>
  <r>
    <s v="LN01492"/>
    <x v="1491"/>
    <n v="57"/>
    <s v="Male"/>
    <s v="Divorced"/>
    <s v="Self-Employed"/>
    <n v="60293"/>
    <n v="504"/>
    <n v="63120"/>
    <n v="8.25"/>
    <n v="24"/>
    <s v="Auto"/>
    <n v="42.79"/>
    <n v="11972"/>
    <n v="156681"/>
    <x v="129"/>
    <s v="Approved"/>
    <s v="Yes"/>
    <x v="0"/>
    <x v="1489"/>
    <x v="1491"/>
    <n v="187"/>
    <n v="152"/>
    <n v="0.35149999999999998"/>
    <n v="26275896"/>
    <n v="51622.585461689589"/>
    <n v="99996"/>
    <n v="5091"/>
    <n v="710248.41"/>
    <n v="1395.3799803536347"/>
    <n v="0.35149999999999998"/>
    <n v="176163835.66999996"/>
    <x v="1"/>
    <n v="34163.64"/>
  </r>
  <r>
    <s v="LN01493"/>
    <x v="1492"/>
    <n v="50"/>
    <s v="Male"/>
    <s v="Married"/>
    <s v="Self-Employed"/>
    <n v="41409"/>
    <n v="639"/>
    <n v="67143"/>
    <n v="20.05"/>
    <n v="48"/>
    <s v="Personal"/>
    <n v="15.62"/>
    <n v="71308"/>
    <n v="25843"/>
    <x v="209"/>
    <s v="Approved"/>
    <s v="Yes"/>
    <x v="4"/>
    <x v="1490"/>
    <x v="1492"/>
    <n v="186"/>
    <n v="152"/>
    <n v="0.35149999999999998"/>
    <n v="26212776"/>
    <n v="51599.952755905513"/>
    <n v="99996"/>
    <n v="5091"/>
    <n v="707401.43999999983"/>
    <n v="1392.522519685039"/>
    <n v="0.35149999999999998"/>
    <n v="175453587.25999999"/>
    <x v="1"/>
    <n v="20151.239999999998"/>
  </r>
  <r>
    <s v="LN01494"/>
    <x v="1493"/>
    <n v="33"/>
    <s v="Male"/>
    <s v="Single"/>
    <s v="Unemployed"/>
    <n v="162448"/>
    <n v="678"/>
    <n v="85972"/>
    <n v="14.33"/>
    <n v="60"/>
    <s v="Business"/>
    <n v="18.89"/>
    <n v="24203"/>
    <n v="215573"/>
    <x v="924"/>
    <s v="Pending"/>
    <s v="Yes"/>
    <x v="2"/>
    <x v="1491"/>
    <x v="1493"/>
    <n v="185"/>
    <n v="152"/>
    <n v="0.35149999999999998"/>
    <n v="26145633"/>
    <n v="51569.295857988167"/>
    <n v="99996"/>
    <n v="5091"/>
    <n v="705722.16999999981"/>
    <n v="1391.9569428007885"/>
    <n v="0.35149999999999998"/>
    <n v="174746185.82000002"/>
    <x v="1"/>
    <n v="19658.400000000001"/>
  </r>
  <r>
    <s v="LN01495"/>
    <x v="1494"/>
    <n v="62"/>
    <s v="Female"/>
    <s v="Divorced"/>
    <s v="Employed"/>
    <n v="46772"/>
    <n v="496"/>
    <n v="63448"/>
    <n v="17.82"/>
    <n v="12"/>
    <s v="Education"/>
    <n v="56.44"/>
    <n v="53439"/>
    <n v="124434"/>
    <x v="925"/>
    <s v="Pending"/>
    <s v="Yes"/>
    <x v="3"/>
    <x v="1492"/>
    <x v="1494"/>
    <n v="185"/>
    <n v="152"/>
    <n v="0.35149999999999998"/>
    <n v="26059661"/>
    <n v="51501.306324110672"/>
    <n v="99996"/>
    <n v="5091"/>
    <n v="704083.96999999974"/>
    <n v="1391.4702964426872"/>
    <n v="0.35149999999999998"/>
    <n v="174040463.65000001"/>
    <x v="1"/>
    <n v="74754.48"/>
  </r>
  <r>
    <s v="LN01496"/>
    <x v="1495"/>
    <n v="36"/>
    <s v="Male"/>
    <s v="Married"/>
    <s v="Self-Employed"/>
    <n v="140068"/>
    <n v="823"/>
    <n v="5399"/>
    <n v="5.0599999999999996"/>
    <n v="120"/>
    <s v="Mortgage"/>
    <n v="52.97"/>
    <n v="52613"/>
    <n v="51467"/>
    <x v="926"/>
    <s v="Pending"/>
    <s v="Yes"/>
    <x v="3"/>
    <x v="1493"/>
    <x v="1495"/>
    <n v="185"/>
    <n v="152"/>
    <n v="0.35149999999999998"/>
    <n v="25996213"/>
    <n v="51477.649504950496"/>
    <n v="99996"/>
    <n v="5091"/>
    <n v="697854.4299999997"/>
    <n v="1381.889960396039"/>
    <n v="0.35149999999999998"/>
    <n v="173336379.68000001"/>
    <x v="0"/>
    <n v="567.24"/>
  </r>
  <r>
    <s v="LN01497"/>
    <x v="1496"/>
    <n v="61"/>
    <s v="Male"/>
    <s v="Divorced"/>
    <s v="Self-Employed"/>
    <n v="50747"/>
    <n v="623"/>
    <n v="98830"/>
    <n v="16.87"/>
    <n v="240"/>
    <s v="Personal"/>
    <n v="32.119999999999997"/>
    <n v="9149"/>
    <n v="73023"/>
    <x v="927"/>
    <s v="Pending"/>
    <s v="No"/>
    <x v="1"/>
    <x v="1494"/>
    <x v="1496"/>
    <n v="185"/>
    <n v="152"/>
    <n v="0.35149999999999998"/>
    <n v="25990814"/>
    <n v="51569.075396825399"/>
    <n v="99996"/>
    <n v="5091"/>
    <n v="697807.15999999968"/>
    <n v="1384.5380158730152"/>
    <n v="0.35149999999999998"/>
    <n v="172638525.25"/>
    <x v="1"/>
    <n v="5775.12"/>
  </r>
  <r>
    <s v="LN01498"/>
    <x v="1497"/>
    <n v="29"/>
    <s v="Female"/>
    <s v="Divorced"/>
    <s v="Self-Employed"/>
    <n v="116521"/>
    <n v="426"/>
    <n v="28561"/>
    <n v="9.6"/>
    <n v="36"/>
    <s v="Education"/>
    <n v="12.93"/>
    <n v="26419"/>
    <n v="201942"/>
    <x v="928"/>
    <s v="Approved"/>
    <s v="No"/>
    <x v="1"/>
    <x v="1495"/>
    <x v="1497"/>
    <n v="185"/>
    <n v="152"/>
    <n v="0.35149999999999998"/>
    <n v="25891984"/>
    <n v="51475.117296222663"/>
    <n v="99996"/>
    <n v="5091"/>
    <n v="697325.89999999967"/>
    <n v="1386.3337972166992"/>
    <n v="0.35149999999999998"/>
    <n v="171940718.09"/>
    <x v="1"/>
    <n v="10434.24"/>
  </r>
  <r>
    <s v="LN01499"/>
    <x v="1498"/>
    <n v="49"/>
    <s v="Male"/>
    <s v="Divorced"/>
    <s v="Self-Employed"/>
    <n v="83649"/>
    <n v="649"/>
    <n v="12223"/>
    <n v="7.25"/>
    <n v="36"/>
    <s v="Auto"/>
    <n v="22.32"/>
    <n v="63262"/>
    <n v="181901"/>
    <x v="668"/>
    <s v="Pending"/>
    <s v="No"/>
    <x v="0"/>
    <x v="1496"/>
    <x v="1498"/>
    <n v="184"/>
    <n v="152"/>
    <n v="0.35149999999999998"/>
    <n v="25863423"/>
    <n v="51520.762948207172"/>
    <n v="99996"/>
    <n v="5091"/>
    <n v="696456.37999999977"/>
    <n v="1387.3633067729079"/>
    <n v="0.35149999999999998"/>
    <n v="171243392.19000003"/>
    <x v="1"/>
    <n v="4369.68"/>
  </r>
  <r>
    <s v="LN01500"/>
    <x v="1499"/>
    <n v="29"/>
    <s v="Male"/>
    <s v="Married"/>
    <s v="Self-Employed"/>
    <n v="162814"/>
    <n v="468"/>
    <n v="96131"/>
    <n v="4.4000000000000004"/>
    <n v="60"/>
    <s v="Business"/>
    <n v="56.38"/>
    <n v="53605"/>
    <n v="147683"/>
    <x v="201"/>
    <s v="Approved"/>
    <s v="Yes"/>
    <x v="2"/>
    <x v="1497"/>
    <x v="1499"/>
    <n v="184"/>
    <n v="152"/>
    <n v="0.35149999999999998"/>
    <n v="25851200"/>
    <n v="51599.201596806386"/>
    <n v="99996"/>
    <n v="5091"/>
    <n v="696092.23999999976"/>
    <n v="1389.4056686626741"/>
    <n v="0.35149999999999998"/>
    <n v="170546935.81"/>
    <x v="1"/>
    <n v="20072.16"/>
  </r>
  <r>
    <s v="LN01501"/>
    <x v="1500"/>
    <n v="46"/>
    <s v="Male"/>
    <s v="Divorced"/>
    <s v="Unemployed"/>
    <n v="67009"/>
    <n v="552"/>
    <n v="80765"/>
    <n v="18.79"/>
    <n v="24"/>
    <s v="Auto"/>
    <n v="26.92"/>
    <n v="947"/>
    <n v="216874"/>
    <x v="648"/>
    <s v="Approved"/>
    <s v="Yes"/>
    <x v="3"/>
    <x v="1498"/>
    <x v="1500"/>
    <n v="183"/>
    <n v="152"/>
    <n v="0.35149999999999998"/>
    <n v="25755069"/>
    <n v="51510.137999999999"/>
    <n v="99996"/>
    <n v="5091"/>
    <n v="694419.55999999982"/>
    <n v="1388.8391199999996"/>
    <n v="0.35149999999999998"/>
    <n v="169850843.56999999"/>
    <x v="1"/>
    <n v="47970.36"/>
  </r>
  <r>
    <s v="LN01502"/>
    <x v="1501"/>
    <n v="22"/>
    <s v="Male"/>
    <s v="Married"/>
    <s v="Unemployed"/>
    <n v="113114"/>
    <n v="563"/>
    <n v="71453"/>
    <n v="21.46"/>
    <n v="240"/>
    <s v="Education"/>
    <n v="27.23"/>
    <n v="67032"/>
    <n v="99857"/>
    <x v="929"/>
    <s v="Pending"/>
    <s v="No"/>
    <x v="3"/>
    <x v="1499"/>
    <x v="1501"/>
    <n v="182"/>
    <n v="152"/>
    <n v="0.35149999999999998"/>
    <n v="25674304"/>
    <n v="51451.511022044091"/>
    <n v="99996"/>
    <n v="5091"/>
    <n v="690422.0299999998"/>
    <n v="1383.6112825651298"/>
    <n v="0.35149999999999998"/>
    <n v="169156424.00999999"/>
    <x v="1"/>
    <n v="4339.32"/>
  </r>
  <r>
    <s v="LN01503"/>
    <x v="1502"/>
    <n v="39"/>
    <s v="Male"/>
    <s v="Divorced"/>
    <s v="Unemployed"/>
    <n v="28661"/>
    <n v="811"/>
    <n v="92657"/>
    <n v="7.23"/>
    <n v="360"/>
    <s v="Education"/>
    <n v="8.2100000000000009"/>
    <n v="74438"/>
    <n v="236743"/>
    <x v="790"/>
    <s v="Approved"/>
    <s v="No"/>
    <x v="0"/>
    <x v="1500"/>
    <x v="1502"/>
    <n v="182"/>
    <n v="152"/>
    <n v="0.35149999999999998"/>
    <n v="25602851"/>
    <n v="51411.347389558236"/>
    <n v="99996"/>
    <n v="5091"/>
    <n v="690060.41999999969"/>
    <n v="1385.6634939759031"/>
    <n v="0.35149999999999998"/>
    <n v="168466001.97999999"/>
    <x v="1"/>
    <n v="3311.88"/>
  </r>
  <r>
    <s v="LN01504"/>
    <x v="1503"/>
    <n v="39"/>
    <s v="Female"/>
    <s v="Divorced"/>
    <s v="Self-Employed"/>
    <n v="119807"/>
    <n v="597"/>
    <n v="35169"/>
    <n v="23.7"/>
    <n v="60"/>
    <s v="Auto"/>
    <n v="6.34"/>
    <n v="41646"/>
    <n v="195830"/>
    <x v="930"/>
    <s v="Approved"/>
    <s v="No"/>
    <x v="1"/>
    <x v="1501"/>
    <x v="1503"/>
    <n v="181"/>
    <n v="152"/>
    <n v="0.35149999999999998"/>
    <n v="25510194"/>
    <n v="51328.358148893363"/>
    <n v="99996"/>
    <n v="5091"/>
    <n v="689784.42999999982"/>
    <n v="1387.8962374245468"/>
    <n v="0.35149999999999998"/>
    <n v="167775941.56"/>
    <x v="1"/>
    <n v="8700.84"/>
  </r>
  <r>
    <s v="LN01505"/>
    <x v="1504"/>
    <n v="27"/>
    <s v="Male"/>
    <s v="Divorced"/>
    <s v="Unemployed"/>
    <n v="126462"/>
    <n v="369"/>
    <n v="14188"/>
    <n v="6.7"/>
    <n v="120"/>
    <s v="Business"/>
    <n v="19.53"/>
    <n v="22911"/>
    <n v="23501"/>
    <x v="931"/>
    <s v="Approved"/>
    <s v="No"/>
    <x v="3"/>
    <x v="1502"/>
    <x v="1504"/>
    <n v="180"/>
    <n v="152"/>
    <n v="0.35149999999999998"/>
    <n v="25475025"/>
    <n v="51360.9375"/>
    <n v="99996"/>
    <n v="5091"/>
    <n v="689059.35999999975"/>
    <n v="1389.2325806451609"/>
    <n v="0.35149999999999998"/>
    <n v="167086157.13000003"/>
    <x v="1"/>
    <n v="1513.8000000000002"/>
  </r>
  <r>
    <s v="LN01506"/>
    <x v="1505"/>
    <n v="33"/>
    <s v="Female"/>
    <s v="Single"/>
    <s v="Employed"/>
    <n v="83203"/>
    <n v="354"/>
    <n v="91294"/>
    <n v="21.82"/>
    <n v="36"/>
    <s v="Personal"/>
    <n v="22.49"/>
    <n v="5653"/>
    <n v="29953"/>
    <x v="932"/>
    <s v="Rejected"/>
    <s v="No"/>
    <x v="4"/>
    <x v="1503"/>
    <x v="1505"/>
    <n v="179"/>
    <n v="152"/>
    <n v="0.35149999999999998"/>
    <n v="25460837"/>
    <n v="51436.034343434345"/>
    <n v="99996"/>
    <n v="5091"/>
    <n v="688933.20999999973"/>
    <n v="1391.784262626262"/>
    <n v="0.35149999999999998"/>
    <n v="166397097.77000004"/>
    <x v="1"/>
    <n v="37071.479999999996"/>
  </r>
  <r>
    <s v="LN01507"/>
    <x v="1506"/>
    <n v="31"/>
    <s v="Female"/>
    <s v="Divorced"/>
    <s v="Unemployed"/>
    <n v="126860"/>
    <n v="834"/>
    <n v="97294"/>
    <n v="12.74"/>
    <n v="36"/>
    <s v="Education"/>
    <n v="27.2"/>
    <n v="55108"/>
    <n v="126486"/>
    <x v="837"/>
    <s v="Approved"/>
    <s v="Yes"/>
    <x v="2"/>
    <x v="1504"/>
    <x v="1506"/>
    <n v="179"/>
    <n v="151"/>
    <n v="0.35149999999999998"/>
    <n v="25369543"/>
    <n v="51355.350202429152"/>
    <n v="99996"/>
    <n v="5091"/>
    <n v="685843.91999999981"/>
    <n v="1388.3480161943316"/>
    <n v="0.35149999999999998"/>
    <n v="165708164.56000003"/>
    <x v="1"/>
    <n v="36563.040000000001"/>
  </r>
  <r>
    <s v="LN01508"/>
    <x v="1507"/>
    <n v="22"/>
    <s v="Female"/>
    <s v="Single"/>
    <s v="Unemployed"/>
    <n v="40588"/>
    <n v="438"/>
    <n v="32668"/>
    <n v="4.76"/>
    <n v="60"/>
    <s v="Education"/>
    <n v="13.67"/>
    <n v="64977"/>
    <n v="68849"/>
    <x v="466"/>
    <s v="Rejected"/>
    <s v="No"/>
    <x v="2"/>
    <x v="1505"/>
    <x v="1507"/>
    <n v="178"/>
    <n v="151"/>
    <n v="0.35149999999999998"/>
    <n v="25272249"/>
    <n v="51262.168356997972"/>
    <n v="99996"/>
    <n v="5091"/>
    <n v="682796.99999999977"/>
    <n v="1384.9837728194721"/>
    <n v="0.35149999999999998"/>
    <n v="165022320.64000005"/>
    <x v="1"/>
    <n v="6844.5599999999995"/>
  </r>
  <r>
    <s v="LN01509"/>
    <x v="1508"/>
    <n v="44"/>
    <s v="Male"/>
    <s v="Divorced"/>
    <s v="Unemployed"/>
    <n v="47857"/>
    <n v="623"/>
    <n v="73781"/>
    <n v="6.95"/>
    <n v="120"/>
    <s v="Personal"/>
    <n v="33.18"/>
    <n v="15800"/>
    <n v="191499"/>
    <x v="634"/>
    <s v="Pending"/>
    <s v="Yes"/>
    <x v="2"/>
    <x v="1506"/>
    <x v="1508"/>
    <n v="178"/>
    <n v="150"/>
    <n v="0.35149999999999998"/>
    <n v="25239581"/>
    <n v="51299.961382113819"/>
    <n v="99996"/>
    <n v="5091"/>
    <n v="682226.61999999976"/>
    <n v="1386.639471544715"/>
    <n v="0.35149999999999998"/>
    <n v="164339523.64000005"/>
    <x v="1"/>
    <n v="7890.84"/>
  </r>
  <r>
    <s v="LN01510"/>
    <x v="1509"/>
    <n v="30"/>
    <s v="Female"/>
    <s v="Married"/>
    <s v="Unemployed"/>
    <n v="57135"/>
    <n v="333"/>
    <n v="26189"/>
    <n v="17.059999999999999"/>
    <n v="60"/>
    <s v="Education"/>
    <n v="34.200000000000003"/>
    <n v="51021"/>
    <n v="139441"/>
    <x v="592"/>
    <s v="Approved"/>
    <s v="Yes"/>
    <x v="2"/>
    <x v="1507"/>
    <x v="1509"/>
    <n v="178"/>
    <n v="150"/>
    <n v="0.35149999999999998"/>
    <n v="25165800"/>
    <n v="51254.175152749493"/>
    <n v="99996"/>
    <n v="5091"/>
    <n v="681569.0499999997"/>
    <n v="1388.1243380855392"/>
    <n v="0.35149999999999998"/>
    <n v="163657297.02000004"/>
    <x v="1"/>
    <n v="6131.4"/>
  </r>
  <r>
    <s v="LN01511"/>
    <x v="1510"/>
    <n v="40"/>
    <s v="Male"/>
    <s v="Married"/>
    <s v="Self-Employed"/>
    <n v="80643"/>
    <n v="788"/>
    <n v="5606"/>
    <n v="17.670000000000002"/>
    <n v="24"/>
    <s v="Mortgage"/>
    <n v="47.7"/>
    <n v="2305"/>
    <n v="117008"/>
    <x v="933"/>
    <s v="Approved"/>
    <s v="Yes"/>
    <x v="3"/>
    <x v="1508"/>
    <x v="1510"/>
    <n v="177"/>
    <n v="150"/>
    <n v="0.35149999999999998"/>
    <n v="25139611"/>
    <n v="51305.328571428574"/>
    <n v="99996"/>
    <n v="5091"/>
    <n v="681058.09999999974"/>
    <n v="1389.9144897959179"/>
    <n v="0.35149999999999998"/>
    <n v="162975727.97000006"/>
    <x v="1"/>
    <n v="3298.32"/>
  </r>
  <r>
    <s v="LN01512"/>
    <x v="1511"/>
    <n v="22"/>
    <s v="Female"/>
    <s v="Married"/>
    <s v="Employed"/>
    <n v="122703"/>
    <n v="362"/>
    <n v="57852"/>
    <n v="16.399999999999999"/>
    <n v="120"/>
    <s v="Business"/>
    <n v="19.73"/>
    <n v="59661"/>
    <n v="28016"/>
    <x v="934"/>
    <s v="Rejected"/>
    <s v="No"/>
    <x v="0"/>
    <x v="1509"/>
    <x v="1511"/>
    <n v="176"/>
    <n v="150"/>
    <n v="0.35149999999999998"/>
    <n v="25134005"/>
    <n v="51398.783231083842"/>
    <n v="99996"/>
    <n v="5091"/>
    <n v="680783.23999999976"/>
    <n v="1392.1947648261753"/>
    <n v="0.35149999999999998"/>
    <n v="162294669.87000009"/>
    <x v="1"/>
    <n v="6733.92"/>
  </r>
  <r>
    <s v="LN01513"/>
    <x v="1512"/>
    <n v="43"/>
    <s v="Female"/>
    <s v="Married"/>
    <s v="Self-Employed"/>
    <n v="144723"/>
    <n v="438"/>
    <n v="13369"/>
    <n v="13.47"/>
    <n v="48"/>
    <s v="Mortgage"/>
    <n v="5.21"/>
    <n v="1319"/>
    <n v="102766"/>
    <x v="314"/>
    <s v="Approved"/>
    <s v="No"/>
    <x v="2"/>
    <x v="1510"/>
    <x v="1512"/>
    <n v="176"/>
    <n v="149"/>
    <n v="0.35149999999999998"/>
    <n v="25076153"/>
    <n v="51385.559426229505"/>
    <n v="99996"/>
    <n v="5091"/>
    <n v="680222.07999999973"/>
    <n v="1393.8977049180323"/>
    <n v="0.35149999999999998"/>
    <n v="161613886.63000008"/>
    <x v="1"/>
    <n v="3792.4800000000005"/>
  </r>
  <r>
    <s v="LN01514"/>
    <x v="1513"/>
    <n v="57"/>
    <s v="Female"/>
    <s v="Single"/>
    <s v="Employed"/>
    <n v="179740"/>
    <n v="452"/>
    <n v="87298"/>
    <n v="18.82"/>
    <n v="12"/>
    <s v="Personal"/>
    <n v="19.14"/>
    <n v="65983"/>
    <n v="138843"/>
    <x v="104"/>
    <s v="Pending"/>
    <s v="No"/>
    <x v="1"/>
    <x v="1511"/>
    <x v="1513"/>
    <n v="175"/>
    <n v="149"/>
    <n v="0.35149999999999998"/>
    <n v="25062784"/>
    <n v="51463.622176591372"/>
    <n v="99996"/>
    <n v="5091"/>
    <n v="679906.03999999969"/>
    <n v="1396.1109650924018"/>
    <n v="0.35149999999999998"/>
    <n v="160933664.55000007"/>
    <x v="1"/>
    <n v="103727.51999999999"/>
  </r>
  <r>
    <s v="LN01515"/>
    <x v="1514"/>
    <n v="63"/>
    <s v="Male"/>
    <s v="Single"/>
    <s v="Self-Employed"/>
    <n v="130729"/>
    <n v="742"/>
    <n v="69826"/>
    <n v="8.17"/>
    <n v="24"/>
    <s v="Mortgage"/>
    <n v="36.42"/>
    <n v="73559"/>
    <n v="178320"/>
    <x v="43"/>
    <s v="Pending"/>
    <s v="No"/>
    <x v="3"/>
    <x v="1512"/>
    <x v="1514"/>
    <n v="175"/>
    <n v="149"/>
    <n v="0.35149999999999998"/>
    <n v="24975486"/>
    <n v="51389.888888888891"/>
    <n v="99996"/>
    <n v="5091"/>
    <n v="671262.08"/>
    <n v="1381.1976954732509"/>
    <n v="0.35149999999999998"/>
    <n v="160253758.51000008"/>
    <x v="0"/>
    <n v="37765.440000000002"/>
  </r>
  <r>
    <s v="LN01516"/>
    <x v="1515"/>
    <n v="55"/>
    <s v="Female"/>
    <s v="Divorced"/>
    <s v="Unemployed"/>
    <n v="154691"/>
    <n v="417"/>
    <n v="43917"/>
    <n v="13.22"/>
    <n v="60"/>
    <s v="Education"/>
    <n v="34.69"/>
    <n v="73328"/>
    <n v="143709"/>
    <x v="907"/>
    <s v="Rejected"/>
    <s v="No"/>
    <x v="1"/>
    <x v="1513"/>
    <x v="1515"/>
    <n v="175"/>
    <n v="149"/>
    <n v="0.35149999999999998"/>
    <n v="24905660"/>
    <n v="51351.876288659791"/>
    <n v="99996"/>
    <n v="5091"/>
    <n v="668114.95999999985"/>
    <n v="1377.5566185567006"/>
    <n v="0.35149999999999998"/>
    <n v="159582496.4300001"/>
    <x v="1"/>
    <n v="9944.52"/>
  </r>
  <r>
    <s v="LN01517"/>
    <x v="1516"/>
    <n v="22"/>
    <s v="Female"/>
    <s v="Single"/>
    <s v="Employed"/>
    <n v="168400"/>
    <n v="846"/>
    <n v="12928"/>
    <n v="19.34"/>
    <n v="12"/>
    <s v="Business"/>
    <n v="22.61"/>
    <n v="4302"/>
    <n v="177307"/>
    <x v="935"/>
    <s v="Approved"/>
    <s v="No"/>
    <x v="1"/>
    <x v="1514"/>
    <x v="1516"/>
    <n v="175"/>
    <n v="148"/>
    <n v="0.35149999999999998"/>
    <n v="24861743"/>
    <n v="51367.237603305788"/>
    <n v="99996"/>
    <n v="5091"/>
    <n v="667286.24999999977"/>
    <n v="1378.6905991735532"/>
    <n v="0.35149999999999998"/>
    <n v="158914381.47000009"/>
    <x v="1"/>
    <n v="15428.28"/>
  </r>
  <r>
    <s v="LN01518"/>
    <x v="1517"/>
    <n v="28"/>
    <s v="Male"/>
    <s v="Married"/>
    <s v="Self-Employed"/>
    <n v="193512"/>
    <n v="682"/>
    <n v="11952"/>
    <n v="13.98"/>
    <n v="48"/>
    <s v="Personal"/>
    <n v="47.37"/>
    <n v="44372"/>
    <n v="177923"/>
    <x v="936"/>
    <s v="Approved"/>
    <s v="Yes"/>
    <x v="2"/>
    <x v="1515"/>
    <x v="1517"/>
    <n v="174"/>
    <n v="148"/>
    <n v="0.35149999999999998"/>
    <n v="24848815"/>
    <n v="51446.821946169774"/>
    <n v="99996"/>
    <n v="5091"/>
    <n v="666000.55999999971"/>
    <n v="1378.8831469979291"/>
    <n v="0.35149999999999998"/>
    <n v="158247095.22000003"/>
    <x v="0"/>
    <n v="3405.7200000000003"/>
  </r>
  <r>
    <s v="LN01519"/>
    <x v="1518"/>
    <n v="33"/>
    <s v="Male"/>
    <s v="Single"/>
    <s v="Unemployed"/>
    <n v="26957"/>
    <n v="623"/>
    <n v="23164"/>
    <n v="19.62"/>
    <n v="24"/>
    <s v="Auto"/>
    <n v="13.52"/>
    <n v="28417"/>
    <n v="80564"/>
    <x v="27"/>
    <s v="Rejected"/>
    <s v="Yes"/>
    <x v="4"/>
    <x v="1516"/>
    <x v="1518"/>
    <n v="173"/>
    <n v="148"/>
    <n v="0.35149999999999998"/>
    <n v="24836863"/>
    <n v="51528.761410788378"/>
    <n v="99996"/>
    <n v="5091"/>
    <n v="665716.74999999965"/>
    <n v="1381.1550829875512"/>
    <n v="0.35149999999999998"/>
    <n v="157581094.66000006"/>
    <x v="1"/>
    <n v="13854.36"/>
  </r>
  <r>
    <s v="LN01520"/>
    <x v="1519"/>
    <n v="59"/>
    <s v="Female"/>
    <s v="Married"/>
    <s v="Self-Employed"/>
    <n v="20970"/>
    <n v="428"/>
    <n v="23438"/>
    <n v="8.76"/>
    <n v="240"/>
    <s v="Business"/>
    <n v="24.82"/>
    <n v="74525"/>
    <n v="146446"/>
    <x v="937"/>
    <s v="Pending"/>
    <s v="No"/>
    <x v="3"/>
    <x v="1517"/>
    <x v="1519"/>
    <n v="173"/>
    <n v="147"/>
    <n v="0.35149999999999998"/>
    <n v="24813699"/>
    <n v="51587.731808731805"/>
    <n v="99996"/>
    <n v="5091"/>
    <n v="664562.21999999974"/>
    <n v="1381.6262370062364"/>
    <n v="0.35149999999999998"/>
    <n v="156915377.91000006"/>
    <x v="1"/>
    <n v="1274.52"/>
  </r>
  <r>
    <s v="LN01521"/>
    <x v="1520"/>
    <n v="64"/>
    <s v="Male"/>
    <s v="Single"/>
    <s v="Unemployed"/>
    <n v="62121"/>
    <n v="678"/>
    <n v="93352"/>
    <n v="23.8"/>
    <n v="48"/>
    <s v="Auto"/>
    <n v="53.68"/>
    <n v="37329"/>
    <n v="101456"/>
    <x v="601"/>
    <s v="Pending"/>
    <s v="Yes"/>
    <x v="1"/>
    <x v="1518"/>
    <x v="1520"/>
    <n v="173"/>
    <n v="147"/>
    <n v="0.35149999999999998"/>
    <n v="24790261"/>
    <n v="51646.377083333333"/>
    <n v="99996"/>
    <n v="5091"/>
    <n v="664456.00999999978"/>
    <n v="1384.2833541666662"/>
    <n v="0.35149999999999998"/>
    <n v="156250815.69000009"/>
    <x v="1"/>
    <n v="28892.399999999998"/>
  </r>
  <r>
    <s v="LN01522"/>
    <x v="1521"/>
    <n v="58"/>
    <s v="Male"/>
    <s v="Single"/>
    <s v="Unemployed"/>
    <n v="187362"/>
    <n v="673"/>
    <n v="53003"/>
    <n v="5.82"/>
    <n v="24"/>
    <s v="Personal"/>
    <n v="9.98"/>
    <n v="8963"/>
    <n v="27083"/>
    <x v="938"/>
    <s v="Pending"/>
    <s v="No"/>
    <x v="2"/>
    <x v="1519"/>
    <x v="1521"/>
    <n v="173"/>
    <n v="147"/>
    <n v="0.35149999999999998"/>
    <n v="24696909"/>
    <n v="51559.308977035493"/>
    <n v="99996"/>
    <n v="5091"/>
    <n v="662048.30999999982"/>
    <n v="1382.1467849686844"/>
    <n v="0.35149999999999998"/>
    <n v="155586359.6800001"/>
    <x v="1"/>
    <n v="28043.879999999997"/>
  </r>
  <r>
    <s v="LN01523"/>
    <x v="1522"/>
    <n v="49"/>
    <s v="Male"/>
    <s v="Divorced"/>
    <s v="Self-Employed"/>
    <n v="71762"/>
    <n v="413"/>
    <n v="14930"/>
    <n v="4.6500000000000004"/>
    <n v="180"/>
    <s v="Mortgage"/>
    <n v="57.09"/>
    <n v="18715"/>
    <n v="52312"/>
    <x v="224"/>
    <s v="Approved"/>
    <s v="Yes"/>
    <x v="2"/>
    <x v="1520"/>
    <x v="1522"/>
    <n v="173"/>
    <n v="147"/>
    <n v="0.35149999999999998"/>
    <n v="24643906"/>
    <n v="51556.288702928869"/>
    <n v="99996"/>
    <n v="5091"/>
    <n v="659711.31999999972"/>
    <n v="1380.1492050209199"/>
    <n v="0.35149999999999998"/>
    <n v="154924311.37000009"/>
    <x v="1"/>
    <n v="1041.5999999999999"/>
  </r>
  <r>
    <s v="LN01524"/>
    <x v="1523"/>
    <n v="45"/>
    <s v="Female"/>
    <s v="Divorced"/>
    <s v="Self-Employed"/>
    <n v="133373"/>
    <n v="729"/>
    <n v="46131"/>
    <n v="23.87"/>
    <n v="12"/>
    <s v="Education"/>
    <n v="26.79"/>
    <n v="67748"/>
    <n v="108610"/>
    <x v="939"/>
    <s v="Rejected"/>
    <s v="Yes"/>
    <x v="1"/>
    <x v="1521"/>
    <x v="1523"/>
    <n v="172"/>
    <n v="147"/>
    <n v="0.35149999999999998"/>
    <n v="24628976"/>
    <n v="51633.073375262058"/>
    <n v="99996"/>
    <n v="5091"/>
    <n v="659624.51999999979"/>
    <n v="1382.8606289308173"/>
    <n v="0.35149999999999998"/>
    <n v="154264600.05000004"/>
    <x v="1"/>
    <n v="57142.44"/>
  </r>
  <r>
    <s v="LN01525"/>
    <x v="1524"/>
    <n v="22"/>
    <s v="Male"/>
    <s v="Married"/>
    <s v="Self-Employed"/>
    <n v="118720"/>
    <n v="820"/>
    <n v="85176"/>
    <n v="4.9800000000000004"/>
    <n v="24"/>
    <s v="Business"/>
    <n v="11.43"/>
    <n v="30535"/>
    <n v="12059"/>
    <x v="940"/>
    <s v="Pending"/>
    <s v="Yes"/>
    <x v="1"/>
    <x v="1522"/>
    <x v="1524"/>
    <n v="172"/>
    <n v="146"/>
    <n v="0.35149999999999998"/>
    <n v="24582845"/>
    <n v="51644.632352941175"/>
    <n v="99996"/>
    <n v="5091"/>
    <n v="654862.64999999979"/>
    <n v="1375.7618697478988"/>
    <n v="0.35149999999999998"/>
    <n v="153604975.53000006"/>
    <x v="0"/>
    <n v="44708.88"/>
  </r>
  <r>
    <s v="LN01526"/>
    <x v="1525"/>
    <n v="28"/>
    <s v="Female"/>
    <s v="Single"/>
    <s v="Self-Employed"/>
    <n v="53770"/>
    <n v="423"/>
    <n v="48394"/>
    <n v="4.72"/>
    <n v="12"/>
    <s v="Personal"/>
    <n v="6.58"/>
    <n v="5875"/>
    <n v="245042"/>
    <x v="410"/>
    <s v="Pending"/>
    <s v="No"/>
    <x v="0"/>
    <x v="1523"/>
    <x v="1525"/>
    <n v="172"/>
    <n v="146"/>
    <n v="0.35149999999999998"/>
    <n v="24497669"/>
    <n v="51574.04"/>
    <n v="99996"/>
    <n v="5091"/>
    <n v="651136.9099999998"/>
    <n v="1370.8145473684206"/>
    <n v="0.35149999999999998"/>
    <n v="152950112.88000008"/>
    <x v="1"/>
    <n v="50678.16"/>
  </r>
  <r>
    <s v="LN01527"/>
    <x v="1526"/>
    <n v="42"/>
    <s v="Female"/>
    <s v="Married"/>
    <s v="Self-Employed"/>
    <n v="105325"/>
    <n v="489"/>
    <n v="80236"/>
    <n v="23.28"/>
    <n v="36"/>
    <s v="Auto"/>
    <n v="58.49"/>
    <n v="10432"/>
    <n v="35288"/>
    <x v="941"/>
    <s v="Pending"/>
    <s v="Yes"/>
    <x v="1"/>
    <x v="1524"/>
    <x v="1526"/>
    <n v="172"/>
    <n v="146"/>
    <n v="0.35149999999999998"/>
    <n v="24449275"/>
    <n v="51580.748945147679"/>
    <n v="99996"/>
    <n v="5091"/>
    <n v="646913.72999999986"/>
    <n v="1364.7968987341769"/>
    <n v="0.35149999999999998"/>
    <n v="152298975.97000006"/>
    <x v="0"/>
    <n v="32971.68"/>
  </r>
  <r>
    <s v="LN01528"/>
    <x v="1527"/>
    <n v="43"/>
    <s v="Female"/>
    <s v="Divorced"/>
    <s v="Employed"/>
    <n v="49546"/>
    <n v="543"/>
    <n v="77908"/>
    <n v="7.39"/>
    <n v="12"/>
    <s v="Mortgage"/>
    <n v="40.950000000000003"/>
    <n v="22058"/>
    <n v="145059"/>
    <x v="823"/>
    <s v="Approved"/>
    <s v="No"/>
    <x v="2"/>
    <x v="1525"/>
    <x v="1527"/>
    <n v="172"/>
    <n v="146"/>
    <n v="0.35149999999999998"/>
    <n v="24369039"/>
    <n v="51520.167019027482"/>
    <n v="99996"/>
    <n v="5091"/>
    <n v="644166.08999999985"/>
    <n v="1361.8733403805493"/>
    <n v="0.35149999999999998"/>
    <n v="151652062.24000004"/>
    <x v="1"/>
    <n v="83665.440000000002"/>
  </r>
  <r>
    <s v="LN01529"/>
    <x v="1528"/>
    <n v="38"/>
    <s v="Male"/>
    <s v="Married"/>
    <s v="Unemployed"/>
    <n v="127028"/>
    <n v="615"/>
    <n v="92180"/>
    <n v="8.9499999999999993"/>
    <n v="60"/>
    <s v="Business"/>
    <n v="30.95"/>
    <n v="39295"/>
    <n v="148690"/>
    <x v="889"/>
    <s v="Rejected"/>
    <s v="No"/>
    <x v="2"/>
    <x v="1526"/>
    <x v="1528"/>
    <n v="171"/>
    <n v="146"/>
    <n v="0.35149999999999998"/>
    <n v="24291131"/>
    <n v="51464.260593220337"/>
    <n v="99996"/>
    <n v="5091"/>
    <n v="637193.96999999986"/>
    <n v="1349.9872245762708"/>
    <n v="0.35149999999999998"/>
    <n v="151007896.15000004"/>
    <x v="0"/>
    <n v="20086.079999999998"/>
  </r>
  <r>
    <s v="LN01530"/>
    <x v="1529"/>
    <n v="45"/>
    <s v="Male"/>
    <s v="Married"/>
    <s v="Employed"/>
    <n v="173889"/>
    <n v="538"/>
    <n v="47183"/>
    <n v="14.1"/>
    <n v="60"/>
    <s v="Auto"/>
    <n v="10.47"/>
    <n v="53856"/>
    <n v="177240"/>
    <x v="114"/>
    <s v="Approved"/>
    <s v="No"/>
    <x v="0"/>
    <x v="1527"/>
    <x v="1529"/>
    <n v="171"/>
    <n v="145"/>
    <n v="0.35149999999999998"/>
    <n v="24198951"/>
    <n v="51377.815286624202"/>
    <n v="99996"/>
    <n v="5091"/>
    <n v="635520.13"/>
    <n v="1349.2996390658175"/>
    <n v="0.35149999999999998"/>
    <n v="150370702.18000004"/>
    <x v="1"/>
    <n v="10767.119999999999"/>
  </r>
  <r>
    <s v="LN01531"/>
    <x v="1530"/>
    <n v="40"/>
    <s v="Female"/>
    <s v="Married"/>
    <s v="Employed"/>
    <n v="167851"/>
    <n v="835"/>
    <n v="24801"/>
    <n v="10.53"/>
    <n v="240"/>
    <s v="Mortgage"/>
    <n v="49.93"/>
    <n v="74490"/>
    <n v="108509"/>
    <x v="942"/>
    <s v="Rejected"/>
    <s v="Yes"/>
    <x v="2"/>
    <x v="1528"/>
    <x v="1530"/>
    <n v="170"/>
    <n v="145"/>
    <n v="0.35149999999999998"/>
    <n v="24151768"/>
    <n v="51386.740425531912"/>
    <n v="99996"/>
    <n v="5091"/>
    <n v="634622.87"/>
    <n v="1350.2614255319149"/>
    <n v="0.35149999999999998"/>
    <n v="149735182.05000007"/>
    <x v="1"/>
    <n v="1370.6399999999999"/>
  </r>
  <r>
    <s v="LN01532"/>
    <x v="1531"/>
    <n v="64"/>
    <s v="Male"/>
    <s v="Single"/>
    <s v="Unemployed"/>
    <n v="87321"/>
    <n v="744"/>
    <n v="15322"/>
    <n v="23.18"/>
    <n v="240"/>
    <s v="Education"/>
    <n v="10.65"/>
    <n v="49177"/>
    <n v="164770"/>
    <x v="240"/>
    <s v="Approved"/>
    <s v="No"/>
    <x v="3"/>
    <x v="1529"/>
    <x v="1531"/>
    <n v="170"/>
    <n v="144"/>
    <n v="0.35149999999999998"/>
    <n v="24126967"/>
    <n v="51443.426439232411"/>
    <n v="99996"/>
    <n v="5091"/>
    <n v="634508.65"/>
    <n v="1352.896908315565"/>
    <n v="0.35149999999999998"/>
    <n v="149100559.1800001"/>
    <x v="1"/>
    <n v="943.68000000000006"/>
  </r>
  <r>
    <s v="LN01533"/>
    <x v="1532"/>
    <n v="39"/>
    <s v="Female"/>
    <s v="Single"/>
    <s v="Employed"/>
    <n v="141829"/>
    <n v="661"/>
    <n v="42325"/>
    <n v="20.39"/>
    <n v="60"/>
    <s v="Mortgage"/>
    <n v="24.59"/>
    <n v="79215"/>
    <n v="131530"/>
    <x v="276"/>
    <s v="Pending"/>
    <s v="Yes"/>
    <x v="4"/>
    <x v="1530"/>
    <x v="1532"/>
    <n v="169"/>
    <n v="144"/>
    <n v="0.35149999999999998"/>
    <n v="24111645"/>
    <n v="51520.608974358976"/>
    <n v="99996"/>
    <n v="5091"/>
    <n v="634430.01"/>
    <n v="1355.6196794871796"/>
    <n v="0.35149999999999998"/>
    <n v="148466050.53000009"/>
    <x v="1"/>
    <n v="10191"/>
  </r>
  <r>
    <s v="LN01534"/>
    <x v="1533"/>
    <n v="24"/>
    <s v="Male"/>
    <s v="Divorced"/>
    <s v="Self-Employed"/>
    <n v="139671"/>
    <n v="363"/>
    <n v="76785"/>
    <n v="10.72"/>
    <n v="48"/>
    <s v="Personal"/>
    <n v="37.26"/>
    <n v="69566"/>
    <n v="32398"/>
    <x v="943"/>
    <s v="Approved"/>
    <s v="No"/>
    <x v="1"/>
    <x v="1531"/>
    <x v="1533"/>
    <n v="169"/>
    <n v="144"/>
    <n v="0.35149999999999998"/>
    <n v="24069320"/>
    <n v="51540.299785867239"/>
    <n v="99996"/>
    <n v="5091"/>
    <n v="633580.75999999989"/>
    <n v="1356.7039828693787"/>
    <n v="0.35149999999999998"/>
    <n v="147831620.5200001"/>
    <x v="1"/>
    <n v="21254.04"/>
  </r>
  <r>
    <s v="LN01535"/>
    <x v="1534"/>
    <n v="31"/>
    <s v="Male"/>
    <s v="Single"/>
    <s v="Self-Employed"/>
    <n v="91973"/>
    <n v="395"/>
    <n v="45748"/>
    <n v="20.36"/>
    <n v="12"/>
    <s v="Auto"/>
    <n v="6.22"/>
    <n v="3377"/>
    <n v="37643"/>
    <x v="885"/>
    <s v="Pending"/>
    <s v="Yes"/>
    <x v="1"/>
    <x v="1532"/>
    <x v="1534"/>
    <n v="168"/>
    <n v="144"/>
    <n v="0.35149999999999998"/>
    <n v="23992535"/>
    <n v="51486.126609442057"/>
    <n v="99996"/>
    <n v="5091"/>
    <n v="631809.59000000008"/>
    <n v="1355.8145708154509"/>
    <n v="0.35149999999999998"/>
    <n v="147198039.76000011"/>
    <x v="1"/>
    <n v="55062.240000000005"/>
  </r>
  <r>
    <s v="LN01536"/>
    <x v="1535"/>
    <n v="38"/>
    <s v="Male"/>
    <s v="Single"/>
    <s v="Self-Employed"/>
    <n v="115471"/>
    <n v="703"/>
    <n v="54120"/>
    <n v="4.55"/>
    <n v="24"/>
    <s v="Mortgage"/>
    <n v="45.09"/>
    <n v="5949"/>
    <n v="193623"/>
    <x v="245"/>
    <s v="Rejected"/>
    <s v="No"/>
    <x v="1"/>
    <x v="1533"/>
    <x v="1535"/>
    <n v="168"/>
    <n v="144"/>
    <n v="0.35149999999999998"/>
    <n v="23946787"/>
    <n v="51498.466666666667"/>
    <n v="99996"/>
    <n v="5091"/>
    <n v="627221.07000000007"/>
    <n v="1348.8625161290324"/>
    <n v="0.35149999999999998"/>
    <n v="146566230.17000011"/>
    <x v="0"/>
    <n v="28291.199999999997"/>
  </r>
  <r>
    <s v="LN01537"/>
    <x v="1536"/>
    <n v="24"/>
    <s v="Male"/>
    <s v="Single"/>
    <s v="Self-Employed"/>
    <n v="56131"/>
    <n v="783"/>
    <n v="17857"/>
    <n v="11.11"/>
    <n v="48"/>
    <s v="Education"/>
    <n v="55.25"/>
    <n v="77958"/>
    <n v="205725"/>
    <x v="944"/>
    <s v="Rejected"/>
    <s v="Yes"/>
    <x v="1"/>
    <x v="1534"/>
    <x v="1536"/>
    <n v="168"/>
    <n v="143"/>
    <n v="0.35149999999999998"/>
    <n v="23892667"/>
    <n v="51492.816810344826"/>
    <n v="99996"/>
    <n v="5091"/>
    <n v="624863.47000000009"/>
    <n v="1346.6885129310347"/>
    <n v="0.35149999999999998"/>
    <n v="145939009.10000008"/>
    <x v="1"/>
    <n v="4960.2000000000007"/>
  </r>
  <r>
    <s v="LN01538"/>
    <x v="1537"/>
    <n v="34"/>
    <s v="Female"/>
    <s v="Divorced"/>
    <s v="Unemployed"/>
    <n v="106064"/>
    <n v="362"/>
    <n v="48138"/>
    <n v="21.91"/>
    <n v="360"/>
    <s v="Personal"/>
    <n v="34.99"/>
    <n v="35119"/>
    <n v="53594"/>
    <x v="945"/>
    <s v="Pending"/>
    <s v="No"/>
    <x v="0"/>
    <x v="1535"/>
    <x v="1537"/>
    <n v="168"/>
    <n v="142"/>
    <n v="0.35149999999999998"/>
    <n v="23874810"/>
    <n v="51565.464362850973"/>
    <n v="99996"/>
    <n v="5091"/>
    <n v="624450.12000000011"/>
    <n v="1348.7043628509721"/>
    <n v="0.35149999999999998"/>
    <n v="145314145.63000005"/>
    <x v="1"/>
    <n v="1956.12"/>
  </r>
  <r>
    <s v="LN01539"/>
    <x v="1538"/>
    <n v="53"/>
    <s v="Male"/>
    <s v="Married"/>
    <s v="Employed"/>
    <n v="55116"/>
    <n v="762"/>
    <n v="5673"/>
    <n v="18.75"/>
    <n v="24"/>
    <s v="Auto"/>
    <n v="27.31"/>
    <n v="16134"/>
    <n v="230016"/>
    <x v="156"/>
    <s v="Pending"/>
    <s v="Yes"/>
    <x v="4"/>
    <x v="1536"/>
    <x v="1538"/>
    <n v="168"/>
    <n v="142"/>
    <n v="0.35149999999999998"/>
    <n v="23826672"/>
    <n v="51572.883116883117"/>
    <n v="99996"/>
    <n v="5091"/>
    <n v="624287.1100000001"/>
    <n v="1351.270800865801"/>
    <n v="0.35149999999999998"/>
    <n v="144689695.51000005"/>
    <x v="1"/>
    <n v="3368.3999999999996"/>
  </r>
  <r>
    <s v="LN01540"/>
    <x v="1539"/>
    <n v="35"/>
    <s v="Male"/>
    <s v="Single"/>
    <s v="Unemployed"/>
    <n v="95065"/>
    <n v="363"/>
    <n v="75610"/>
    <n v="14.51"/>
    <n v="60"/>
    <s v="Auto"/>
    <n v="50.26"/>
    <n v="53374"/>
    <n v="71090"/>
    <x v="830"/>
    <s v="Pending"/>
    <s v="No"/>
    <x v="2"/>
    <x v="1537"/>
    <x v="1539"/>
    <n v="168"/>
    <n v="142"/>
    <n v="0.35149999999999998"/>
    <n v="23820999"/>
    <n v="51672.449023861169"/>
    <n v="99996"/>
    <n v="5091"/>
    <n v="624006.41000000015"/>
    <n v="1353.5930802603041"/>
    <n v="0.35149999999999998"/>
    <n v="144065408.4000001"/>
    <x v="1"/>
    <n v="17316.239999999998"/>
  </r>
  <r>
    <s v="LN01541"/>
    <x v="1540"/>
    <n v="61"/>
    <s v="Female"/>
    <s v="Married"/>
    <s v="Self-Employed"/>
    <n v="127390"/>
    <n v="699"/>
    <n v="86416"/>
    <n v="6.37"/>
    <n v="48"/>
    <s v="Mortgage"/>
    <n v="29.25"/>
    <n v="15950"/>
    <n v="205031"/>
    <x v="605"/>
    <s v="Rejected"/>
    <s v="No"/>
    <x v="3"/>
    <x v="1538"/>
    <x v="1540"/>
    <n v="168"/>
    <n v="142"/>
    <n v="0.35149999999999998"/>
    <n v="23745389"/>
    <n v="51620.410869565218"/>
    <n v="99996"/>
    <n v="5091"/>
    <n v="622563.39000000013"/>
    <n v="1353.3986739130437"/>
    <n v="0.35149999999999998"/>
    <n v="143441401.9900001"/>
    <x v="1"/>
    <n v="22980.12"/>
  </r>
  <r>
    <s v="LN01542"/>
    <x v="1541"/>
    <n v="58"/>
    <s v="Female"/>
    <s v="Divorced"/>
    <s v="Unemployed"/>
    <n v="57411"/>
    <n v="775"/>
    <n v="63793"/>
    <n v="15.46"/>
    <n v="24"/>
    <s v="Auto"/>
    <n v="38.5"/>
    <n v="56687"/>
    <n v="224551"/>
    <x v="663"/>
    <s v="Rejected"/>
    <s v="Yes"/>
    <x v="1"/>
    <x v="1539"/>
    <x v="1541"/>
    <n v="168"/>
    <n v="141"/>
    <n v="0.35149999999999998"/>
    <n v="23658973"/>
    <n v="51544.603485838779"/>
    <n v="99996"/>
    <n v="5091"/>
    <n v="620648.38"/>
    <n v="1352.1751198257082"/>
    <n v="0.35149999999999998"/>
    <n v="142818838.60000005"/>
    <x v="1"/>
    <n v="36827.64"/>
  </r>
  <r>
    <s v="LN01543"/>
    <x v="1542"/>
    <n v="30"/>
    <s v="Female"/>
    <s v="Single"/>
    <s v="Self-Employed"/>
    <n v="187143"/>
    <n v="567"/>
    <n v="70180"/>
    <n v="8.92"/>
    <n v="240"/>
    <s v="Education"/>
    <n v="52.24"/>
    <n v="65869"/>
    <n v="39403"/>
    <x v="97"/>
    <s v="Pending"/>
    <s v="No"/>
    <x v="0"/>
    <x v="1540"/>
    <x v="1542"/>
    <n v="168"/>
    <n v="140"/>
    <n v="0.35149999999999998"/>
    <n v="23595180"/>
    <n v="51517.860262008733"/>
    <n v="99996"/>
    <n v="5091"/>
    <n v="617579.41"/>
    <n v="1348.4266593886464"/>
    <n v="0.35149999999999998"/>
    <n v="142198190.22000009"/>
    <x v="1"/>
    <n v="3822"/>
  </r>
  <r>
    <s v="LN01544"/>
    <x v="1543"/>
    <n v="44"/>
    <s v="Male"/>
    <s v="Divorced"/>
    <s v="Unemployed"/>
    <n v="110198"/>
    <n v="656"/>
    <n v="24528"/>
    <n v="17.989999999999998"/>
    <n v="12"/>
    <s v="Auto"/>
    <n v="30.09"/>
    <n v="47648"/>
    <n v="243090"/>
    <x v="230"/>
    <s v="Approved"/>
    <s v="Yes"/>
    <x v="2"/>
    <x v="1541"/>
    <x v="1543"/>
    <n v="168"/>
    <n v="140"/>
    <n v="0.35149999999999998"/>
    <n v="23525000"/>
    <n v="51477.024070021878"/>
    <n v="99996"/>
    <n v="5091"/>
    <n v="617260.91"/>
    <n v="1350.6803282275712"/>
    <n v="0.35149999999999998"/>
    <n v="141580610.81000003"/>
    <x v="1"/>
    <n v="28940.639999999999"/>
  </r>
  <r>
    <s v="LN01545"/>
    <x v="1544"/>
    <n v="43"/>
    <s v="Male"/>
    <s v="Divorced"/>
    <s v="Unemployed"/>
    <n v="169965"/>
    <n v="725"/>
    <n v="93707"/>
    <n v="10.4"/>
    <n v="60"/>
    <s v="Mortgage"/>
    <n v="34.15"/>
    <n v="54983"/>
    <n v="64921"/>
    <x v="946"/>
    <s v="Rejected"/>
    <s v="Yes"/>
    <x v="1"/>
    <x v="1542"/>
    <x v="1544"/>
    <n v="167"/>
    <n v="140"/>
    <n v="0.35149999999999998"/>
    <n v="23500472"/>
    <n v="51536.122807017542"/>
    <n v="99996"/>
    <n v="5091"/>
    <n v="614849.19000000006"/>
    <n v="1348.3534868421054"/>
    <n v="0.35149999999999998"/>
    <n v="140963349.90000004"/>
    <x v="0"/>
    <n v="20690.52"/>
  </r>
  <r>
    <s v="LN01546"/>
    <x v="1545"/>
    <n v="46"/>
    <s v="Male"/>
    <s v="Single"/>
    <s v="Unemployed"/>
    <n v="78649"/>
    <n v="384"/>
    <n v="45078"/>
    <n v="12.73"/>
    <n v="360"/>
    <s v="Personal"/>
    <n v="59.44"/>
    <n v="63965"/>
    <n v="106239"/>
    <x v="72"/>
    <s v="Pending"/>
    <s v="No"/>
    <x v="2"/>
    <x v="1543"/>
    <x v="1545"/>
    <n v="167"/>
    <n v="139"/>
    <n v="0.35149999999999998"/>
    <n v="23406765"/>
    <n v="51443.439560439561"/>
    <n v="99996"/>
    <n v="5091"/>
    <n v="613124.98"/>
    <n v="1347.5274285714286"/>
    <n v="0.35149999999999998"/>
    <n v="140348500.71000001"/>
    <x v="1"/>
    <n v="1693.92"/>
  </r>
  <r>
    <s v="LN01547"/>
    <x v="1546"/>
    <n v="28"/>
    <s v="Female"/>
    <s v="Divorced"/>
    <s v="Unemployed"/>
    <n v="179732"/>
    <n v="345"/>
    <n v="21978"/>
    <n v="15.1"/>
    <n v="180"/>
    <s v="Mortgage"/>
    <n v="7.67"/>
    <n v="37947"/>
    <n v="107902"/>
    <x v="125"/>
    <s v="Rejected"/>
    <s v="No"/>
    <x v="0"/>
    <x v="1544"/>
    <x v="1546"/>
    <n v="167"/>
    <n v="139"/>
    <n v="0.35149999999999998"/>
    <n v="23361687"/>
    <n v="51457.46035242291"/>
    <n v="99996"/>
    <n v="5091"/>
    <n v="612983.81999999995"/>
    <n v="1350.1846255506607"/>
    <n v="0.35149999999999998"/>
    <n v="139735375.72999996"/>
    <x v="1"/>
    <n v="1686.48"/>
  </r>
  <r>
    <s v="LN01548"/>
    <x v="1547"/>
    <n v="32"/>
    <s v="Male"/>
    <s v="Married"/>
    <s v="Unemployed"/>
    <n v="102027"/>
    <n v="723"/>
    <n v="63253"/>
    <n v="14.97"/>
    <n v="240"/>
    <s v="Mortgage"/>
    <n v="29.83"/>
    <n v="45377"/>
    <n v="74702"/>
    <x v="595"/>
    <s v="Approved"/>
    <s v="Yes"/>
    <x v="3"/>
    <x v="1545"/>
    <x v="1547"/>
    <n v="167"/>
    <n v="138"/>
    <n v="0.35149999999999998"/>
    <n v="23339709"/>
    <n v="51522.536423841062"/>
    <n v="99996"/>
    <n v="5091"/>
    <n v="612843.28"/>
    <n v="1352.8549227373069"/>
    <n v="0.35149999999999998"/>
    <n v="139122391.90999997"/>
    <x v="1"/>
    <n v="3636.12"/>
  </r>
  <r>
    <s v="LN01549"/>
    <x v="1548"/>
    <n v="46"/>
    <s v="Male"/>
    <s v="Single"/>
    <s v="Self-Employed"/>
    <n v="31466"/>
    <n v="521"/>
    <n v="64150"/>
    <n v="5.32"/>
    <n v="120"/>
    <s v="Education"/>
    <n v="16.079999999999998"/>
    <n v="10836"/>
    <n v="51680"/>
    <x v="947"/>
    <s v="Approved"/>
    <s v="Yes"/>
    <x v="0"/>
    <x v="1546"/>
    <x v="1548"/>
    <n v="166"/>
    <n v="138"/>
    <n v="0.35149999999999998"/>
    <n v="23276456"/>
    <n v="51496.58407079646"/>
    <n v="99996"/>
    <n v="5091"/>
    <n v="612540.2699999999"/>
    <n v="1355.177588495575"/>
    <n v="0.35149999999999998"/>
    <n v="138509548.62999997"/>
    <x v="1"/>
    <n v="6756.24"/>
  </r>
  <r>
    <s v="LN01550"/>
    <x v="1549"/>
    <n v="65"/>
    <s v="Female"/>
    <s v="Single"/>
    <s v="Employed"/>
    <n v="166981"/>
    <n v="680"/>
    <n v="97815"/>
    <n v="15.95"/>
    <n v="24"/>
    <s v="Business"/>
    <n v="35.159999999999997"/>
    <n v="7943"/>
    <n v="106710"/>
    <x v="516"/>
    <s v="Approved"/>
    <s v="No"/>
    <x v="2"/>
    <x v="1547"/>
    <x v="1549"/>
    <n v="165"/>
    <n v="138"/>
    <n v="0.35149999999999998"/>
    <n v="23212306"/>
    <n v="51468.527716186254"/>
    <n v="99996"/>
    <n v="5091"/>
    <n v="611977.24999999988"/>
    <n v="1356.9340354767182"/>
    <n v="0.35149999999999998"/>
    <n v="137897008.35999995"/>
    <x v="1"/>
    <n v="56708.28"/>
  </r>
  <r>
    <s v="LN01551"/>
    <x v="1550"/>
    <n v="40"/>
    <s v="Male"/>
    <s v="Divorced"/>
    <s v="Unemployed"/>
    <n v="190405"/>
    <n v="567"/>
    <n v="24675"/>
    <n v="8.92"/>
    <n v="360"/>
    <s v="Auto"/>
    <n v="29.14"/>
    <n v="73389"/>
    <n v="205647"/>
    <x v="948"/>
    <s v="Pending"/>
    <s v="Yes"/>
    <x v="3"/>
    <x v="1548"/>
    <x v="1550"/>
    <n v="164"/>
    <n v="138"/>
    <n v="0.35149999999999998"/>
    <n v="23114491"/>
    <n v="51365.535555555558"/>
    <n v="99996"/>
    <n v="5091"/>
    <n v="607251.55999999994"/>
    <n v="1349.4479111111109"/>
    <n v="0.35149999999999998"/>
    <n v="137285031.10999995"/>
    <x v="1"/>
    <n v="895.92"/>
  </r>
  <r>
    <s v="LN01552"/>
    <x v="1551"/>
    <n v="41"/>
    <s v="Male"/>
    <s v="Single"/>
    <s v="Self-Employed"/>
    <n v="154341"/>
    <n v="702"/>
    <n v="23653"/>
    <n v="12.3"/>
    <n v="24"/>
    <s v="Business"/>
    <n v="44.33"/>
    <n v="63456"/>
    <n v="37695"/>
    <x v="949"/>
    <s v="Approved"/>
    <s v="Yes"/>
    <x v="3"/>
    <x v="1549"/>
    <x v="1551"/>
    <n v="164"/>
    <n v="138"/>
    <n v="0.35149999999999998"/>
    <n v="23089816"/>
    <n v="51424.979955456569"/>
    <n v="99996"/>
    <n v="5091"/>
    <n v="607176.89999999991"/>
    <n v="1352.287082405345"/>
    <n v="0.35149999999999998"/>
    <n v="136677779.54999995"/>
    <x v="1"/>
    <n v="13281.119999999999"/>
  </r>
  <r>
    <s v="LN01553"/>
    <x v="1552"/>
    <n v="44"/>
    <s v="Male"/>
    <s v="Single"/>
    <s v="Unemployed"/>
    <n v="198758"/>
    <n v="554"/>
    <n v="88382"/>
    <n v="5.86"/>
    <n v="48"/>
    <s v="Education"/>
    <n v="44.33"/>
    <n v="70989"/>
    <n v="240654"/>
    <x v="453"/>
    <s v="Approved"/>
    <s v="Yes"/>
    <x v="1"/>
    <x v="1550"/>
    <x v="1552"/>
    <n v="163"/>
    <n v="138"/>
    <n v="0.35149999999999998"/>
    <n v="23066163"/>
    <n v="51486.970982142855"/>
    <n v="99996"/>
    <n v="5091"/>
    <n v="606070.1399999999"/>
    <n v="1352.8351339285712"/>
    <n v="0.35149999999999998"/>
    <n v="136070602.64999998"/>
    <x v="1"/>
    <n v="23390.28"/>
  </r>
  <r>
    <s v="LN01554"/>
    <x v="1553"/>
    <n v="63"/>
    <s v="Male"/>
    <s v="Single"/>
    <s v="Self-Employed"/>
    <n v="183294"/>
    <n v="786"/>
    <n v="67676"/>
    <n v="11.81"/>
    <n v="12"/>
    <s v="Auto"/>
    <n v="22.45"/>
    <n v="19076"/>
    <n v="54595"/>
    <x v="531"/>
    <s v="Pending"/>
    <s v="No"/>
    <x v="0"/>
    <x v="1551"/>
    <x v="1553"/>
    <n v="162"/>
    <n v="138"/>
    <n v="0.35149999999999998"/>
    <n v="22977781"/>
    <n v="51404.43176733781"/>
    <n v="99996"/>
    <n v="5091"/>
    <n v="604120.94999999995"/>
    <n v="1351.5010067114092"/>
    <n v="0.35149999999999998"/>
    <n v="135464532.50999999"/>
    <x v="1"/>
    <n v="75668.52"/>
  </r>
  <r>
    <s v="LN01555"/>
    <x v="1554"/>
    <n v="52"/>
    <s v="Female"/>
    <s v="Single"/>
    <s v="Employed"/>
    <n v="132852"/>
    <n v="419"/>
    <n v="68292"/>
    <n v="9.06"/>
    <n v="240"/>
    <s v="Business"/>
    <n v="39.19"/>
    <n v="54702"/>
    <n v="226371"/>
    <x v="492"/>
    <s v="Pending"/>
    <s v="Yes"/>
    <x v="0"/>
    <x v="1552"/>
    <x v="1554"/>
    <n v="162"/>
    <n v="138"/>
    <n v="0.35149999999999998"/>
    <n v="22910105"/>
    <n v="51367.94843049327"/>
    <n v="99996"/>
    <n v="5091"/>
    <n v="597815.23999999987"/>
    <n v="1340.392914798206"/>
    <n v="0.35149999999999998"/>
    <n v="134860411.56"/>
    <x v="0"/>
    <n v="3723.96"/>
  </r>
  <r>
    <s v="LN01556"/>
    <x v="1555"/>
    <n v="57"/>
    <s v="Female"/>
    <s v="Divorced"/>
    <s v="Unemployed"/>
    <n v="158727"/>
    <n v="652"/>
    <n v="11032"/>
    <n v="5.94"/>
    <n v="60"/>
    <s v="Education"/>
    <n v="49.23"/>
    <n v="24683"/>
    <n v="66925"/>
    <x v="662"/>
    <s v="Approved"/>
    <s v="Yes"/>
    <x v="3"/>
    <x v="1553"/>
    <x v="1555"/>
    <n v="162"/>
    <n v="138"/>
    <n v="0.35149999999999998"/>
    <n v="22841813"/>
    <n v="51329.916853932584"/>
    <n v="99996"/>
    <n v="5091"/>
    <n v="597504.90999999992"/>
    <n v="1342.7076629213482"/>
    <n v="0.35149999999999998"/>
    <n v="134262596.31999999"/>
    <x v="1"/>
    <n v="2337.48"/>
  </r>
  <r>
    <s v="LN01557"/>
    <x v="1556"/>
    <n v="25"/>
    <s v="Male"/>
    <s v="Single"/>
    <s v="Employed"/>
    <n v="172174"/>
    <n v="639"/>
    <n v="13600"/>
    <n v="12.4"/>
    <n v="120"/>
    <s v="Personal"/>
    <n v="15.74"/>
    <n v="16602"/>
    <n v="83701"/>
    <x v="42"/>
    <s v="Approved"/>
    <s v="No"/>
    <x v="0"/>
    <x v="1554"/>
    <x v="1556"/>
    <n v="161"/>
    <n v="138"/>
    <n v="0.35149999999999998"/>
    <n v="22830781"/>
    <n v="51420.677927927929"/>
    <n v="99996"/>
    <n v="5091"/>
    <n v="597310.11999999988"/>
    <n v="1345.2930630630628"/>
    <n v="0.35149999999999998"/>
    <n v="133665091.40999997"/>
    <x v="1"/>
    <n v="1528.68"/>
  </r>
  <r>
    <s v="LN01558"/>
    <x v="1557"/>
    <n v="29"/>
    <s v="Female"/>
    <s v="Married"/>
    <s v="Employed"/>
    <n v="77222"/>
    <n v="804"/>
    <n v="40772"/>
    <n v="8.41"/>
    <n v="240"/>
    <s v="Business"/>
    <n v="31.22"/>
    <n v="953"/>
    <n v="191793"/>
    <x v="448"/>
    <s v="Rejected"/>
    <s v="No"/>
    <x v="2"/>
    <x v="1555"/>
    <x v="1557"/>
    <n v="160"/>
    <n v="138"/>
    <n v="0.35149999999999998"/>
    <n v="22817181"/>
    <n v="51506.051918735895"/>
    <n v="99996"/>
    <n v="5091"/>
    <n v="597182.72999999986"/>
    <n v="1348.0422799097062"/>
    <n v="0.35149999999999998"/>
    <n v="133067781.28999996"/>
    <x v="1"/>
    <n v="2210.04"/>
  </r>
  <r>
    <s v="LN01559"/>
    <x v="1558"/>
    <n v="28"/>
    <s v="Female"/>
    <s v="Married"/>
    <s v="Self-Employed"/>
    <n v="60753"/>
    <n v="817"/>
    <n v="58876"/>
    <n v="6.69"/>
    <n v="240"/>
    <s v="Personal"/>
    <n v="48.57"/>
    <n v="60990"/>
    <n v="198311"/>
    <x v="421"/>
    <s v="Pending"/>
    <s v="No"/>
    <x v="2"/>
    <x v="1556"/>
    <x v="1558"/>
    <n v="160"/>
    <n v="137"/>
    <n v="0.35149999999999998"/>
    <n v="22776409"/>
    <n v="51530.337104072401"/>
    <n v="99996"/>
    <n v="5091"/>
    <n v="596998.55999999982"/>
    <n v="1350.6754751131218"/>
    <n v="0.35149999999999998"/>
    <n v="132470598.55999997"/>
    <x v="1"/>
    <n v="3140.76"/>
  </r>
  <r>
    <s v="LN01560"/>
    <x v="1559"/>
    <n v="34"/>
    <s v="Female"/>
    <s v="Single"/>
    <s v="Unemployed"/>
    <n v="93556"/>
    <n v="486"/>
    <n v="76125"/>
    <n v="6.87"/>
    <n v="360"/>
    <s v="Personal"/>
    <n v="11.31"/>
    <n v="77691"/>
    <n v="211627"/>
    <x v="950"/>
    <s v="Rejected"/>
    <s v="No"/>
    <x v="1"/>
    <x v="1557"/>
    <x v="1559"/>
    <n v="160"/>
    <n v="137"/>
    <n v="0.35149999999999998"/>
    <n v="22717533"/>
    <n v="51513.680272108846"/>
    <n v="99996"/>
    <n v="5091"/>
    <n v="596736.82999999984"/>
    <n v="1353.1447392290245"/>
    <n v="0.35149999999999998"/>
    <n v="131873599.99999999"/>
    <x v="1"/>
    <n v="2711.88"/>
  </r>
  <r>
    <s v="LN01561"/>
    <x v="1560"/>
    <n v="37"/>
    <s v="Male"/>
    <s v="Single"/>
    <s v="Self-Employed"/>
    <n v="162915"/>
    <n v="660"/>
    <n v="22816"/>
    <n v="22.86"/>
    <n v="120"/>
    <s v="Auto"/>
    <n v="11.81"/>
    <n v="55873"/>
    <n v="212296"/>
    <x v="951"/>
    <s v="Pending"/>
    <s v="No"/>
    <x v="1"/>
    <x v="1558"/>
    <x v="1560"/>
    <n v="160"/>
    <n v="136"/>
    <n v="0.35149999999999998"/>
    <n v="22641408"/>
    <n v="51457.745454545453"/>
    <n v="99996"/>
    <n v="5091"/>
    <n v="596510.83999999985"/>
    <n v="1355.7064545454541"/>
    <n v="0.35149999999999998"/>
    <n v="131276863.16999999"/>
    <x v="1"/>
    <n v="2803.2"/>
  </r>
  <r>
    <s v="LN01562"/>
    <x v="1561"/>
    <n v="44"/>
    <s v="Female"/>
    <s v="Single"/>
    <s v="Self-Employed"/>
    <n v="45425"/>
    <n v="816"/>
    <n v="16531"/>
    <n v="14.48"/>
    <n v="360"/>
    <s v="Business"/>
    <n v="25.61"/>
    <n v="23314"/>
    <n v="38055"/>
    <x v="952"/>
    <s v="Rejected"/>
    <s v="No"/>
    <x v="1"/>
    <x v="1559"/>
    <x v="1561"/>
    <n v="160"/>
    <n v="136"/>
    <n v="0.35149999999999998"/>
    <n v="22618592"/>
    <n v="51522.988610478358"/>
    <n v="99996"/>
    <n v="5091"/>
    <n v="596277.23999999987"/>
    <n v="1358.2625056947604"/>
    <n v="0.35149999999999998"/>
    <n v="130680352.32999997"/>
    <x v="1"/>
    <n v="630.84"/>
  </r>
  <r>
    <s v="LN01563"/>
    <x v="1562"/>
    <n v="43"/>
    <s v="Female"/>
    <s v="Divorced"/>
    <s v="Unemployed"/>
    <n v="63630"/>
    <n v="324"/>
    <n v="51040"/>
    <n v="6.84"/>
    <n v="48"/>
    <s v="Business"/>
    <n v="25.39"/>
    <n v="72344"/>
    <n v="179631"/>
    <x v="405"/>
    <s v="Approved"/>
    <s v="Yes"/>
    <x v="2"/>
    <x v="1560"/>
    <x v="1562"/>
    <n v="160"/>
    <n v="135"/>
    <n v="0.35149999999999998"/>
    <n v="22602061"/>
    <n v="51602.878995433792"/>
    <n v="99996"/>
    <n v="5091"/>
    <n v="596224.66999999981"/>
    <n v="1361.2435388127849"/>
    <n v="0.35149999999999998"/>
    <n v="130084075.08999996"/>
    <x v="1"/>
    <n v="13632.84"/>
  </r>
  <r>
    <s v="LN01564"/>
    <x v="1563"/>
    <n v="61"/>
    <s v="Female"/>
    <s v="Married"/>
    <s v="Unemployed"/>
    <n v="77805"/>
    <n v="457"/>
    <n v="47143"/>
    <n v="12.46"/>
    <n v="48"/>
    <s v="Auto"/>
    <n v="54.75"/>
    <n v="10876"/>
    <n v="10115"/>
    <x v="282"/>
    <s v="Approved"/>
    <s v="Yes"/>
    <x v="2"/>
    <x v="1561"/>
    <x v="1563"/>
    <n v="159"/>
    <n v="135"/>
    <n v="0.35149999999999998"/>
    <n v="22551021"/>
    <n v="51604.167048054922"/>
    <n v="99996"/>
    <n v="5091"/>
    <n v="595088.59999999986"/>
    <n v="1361.7588100686496"/>
    <n v="0.35149999999999998"/>
    <n v="129487850.41999997"/>
    <x v="1"/>
    <n v="13254.24"/>
  </r>
  <r>
    <s v="LN01565"/>
    <x v="1564"/>
    <n v="33"/>
    <s v="Female"/>
    <s v="Divorced"/>
    <s v="Self-Employed"/>
    <n v="29498"/>
    <n v="736"/>
    <n v="15422"/>
    <n v="12.14"/>
    <n v="240"/>
    <s v="Business"/>
    <n v="25.42"/>
    <n v="11538"/>
    <n v="167299"/>
    <x v="660"/>
    <s v="Rejected"/>
    <s v="No"/>
    <x v="0"/>
    <x v="1562"/>
    <x v="1564"/>
    <n v="158"/>
    <n v="135"/>
    <n v="0.35149999999999998"/>
    <n v="22503878"/>
    <n v="51614.399082568809"/>
    <n v="99996"/>
    <n v="5091"/>
    <n v="593984.07999999984"/>
    <n v="1362.3488073394492"/>
    <n v="0.35149999999999998"/>
    <n v="128892761.81999996"/>
    <x v="1"/>
    <n v="864.72"/>
  </r>
  <r>
    <s v="LN01566"/>
    <x v="1565"/>
    <n v="51"/>
    <s v="Female"/>
    <s v="Single"/>
    <s v="Unemployed"/>
    <n v="149276"/>
    <n v="688"/>
    <n v="36669"/>
    <n v="13.36"/>
    <n v="180"/>
    <s v="Auto"/>
    <n v="15.33"/>
    <n v="30468"/>
    <n v="215616"/>
    <x v="953"/>
    <s v="Rejected"/>
    <s v="Yes"/>
    <x v="1"/>
    <x v="1563"/>
    <x v="1565"/>
    <n v="158"/>
    <n v="134"/>
    <n v="0.35149999999999998"/>
    <n v="22488456"/>
    <n v="51697.599999999999"/>
    <n v="99996"/>
    <n v="5091"/>
    <n v="593912.01999999979"/>
    <n v="1365.3149885057467"/>
    <n v="0.35149999999999998"/>
    <n v="128298777.73999996"/>
    <x v="1"/>
    <n v="2771.16"/>
  </r>
  <r>
    <s v="LN01567"/>
    <x v="1566"/>
    <n v="36"/>
    <s v="Male"/>
    <s v="Single"/>
    <s v="Employed"/>
    <n v="52099"/>
    <n v="760"/>
    <n v="45579"/>
    <n v="6.35"/>
    <n v="60"/>
    <s v="Auto"/>
    <n v="9.26"/>
    <n v="38176"/>
    <n v="52071"/>
    <x v="42"/>
    <s v="Pending"/>
    <s v="Yes"/>
    <x v="1"/>
    <x v="1564"/>
    <x v="1566"/>
    <n v="158"/>
    <n v="133"/>
    <n v="0.35149999999999998"/>
    <n v="22451787"/>
    <n v="51732.228110599077"/>
    <n v="99996"/>
    <n v="5091"/>
    <n v="593681.08999999985"/>
    <n v="1367.928778801843"/>
    <n v="0.35149999999999998"/>
    <n v="127704865.71999997"/>
    <x v="1"/>
    <n v="9694.68"/>
  </r>
  <r>
    <s v="LN01568"/>
    <x v="1567"/>
    <n v="33"/>
    <s v="Female"/>
    <s v="Married"/>
    <s v="Unemployed"/>
    <n v="101634"/>
    <n v="452"/>
    <n v="8279"/>
    <n v="9.81"/>
    <n v="240"/>
    <s v="Personal"/>
    <n v="13.61"/>
    <n v="70256"/>
    <n v="223070"/>
    <x v="954"/>
    <s v="Rejected"/>
    <s v="No"/>
    <x v="2"/>
    <x v="1565"/>
    <x v="1567"/>
    <n v="158"/>
    <n v="133"/>
    <n v="0.35149999999999998"/>
    <n v="22406208"/>
    <n v="51746.438799076212"/>
    <n v="99996"/>
    <n v="5091"/>
    <n v="592873.19999999984"/>
    <n v="1369.2221709006924"/>
    <n v="0.35149999999999998"/>
    <n v="127111184.62999997"/>
    <x v="1"/>
    <n v="454.56000000000006"/>
  </r>
  <r>
    <s v="LN01569"/>
    <x v="1568"/>
    <n v="48"/>
    <s v="Male"/>
    <s v="Single"/>
    <s v="Employed"/>
    <n v="70694"/>
    <n v="452"/>
    <n v="69465"/>
    <n v="20.61"/>
    <n v="12"/>
    <s v="Personal"/>
    <n v="21.47"/>
    <n v="70913"/>
    <n v="189598"/>
    <x v="955"/>
    <s v="Approved"/>
    <s v="Yes"/>
    <x v="1"/>
    <x v="1566"/>
    <x v="1568"/>
    <n v="158"/>
    <n v="132"/>
    <n v="0.35149999999999998"/>
    <n v="22397929"/>
    <n v="51847.057870370372"/>
    <n v="99996"/>
    <n v="5091"/>
    <n v="592835.31999999983"/>
    <n v="1372.3039814814811"/>
    <n v="0.35149999999999998"/>
    <n v="126518311.42999998"/>
    <x v="1"/>
    <n v="83781.72"/>
  </r>
  <r>
    <s v="LN01570"/>
    <x v="1569"/>
    <n v="23"/>
    <s v="Female"/>
    <s v="Divorced"/>
    <s v="Employed"/>
    <n v="21022"/>
    <n v="507"/>
    <n v="41686"/>
    <n v="5.99"/>
    <n v="48"/>
    <s v="Personal"/>
    <n v="40.590000000000003"/>
    <n v="6316"/>
    <n v="24897"/>
    <x v="956"/>
    <s v="Approved"/>
    <s v="No"/>
    <x v="4"/>
    <x v="1567"/>
    <x v="1569"/>
    <n v="157"/>
    <n v="132"/>
    <n v="0.35149999999999998"/>
    <n v="22328464"/>
    <n v="51806.18097447796"/>
    <n v="99996"/>
    <n v="5091"/>
    <n v="585853.51"/>
    <n v="1359.2888863109049"/>
    <n v="0.35149999999999998"/>
    <n v="125925476.10999998"/>
    <x v="0"/>
    <n v="11045.76"/>
  </r>
  <r>
    <s v="LN01571"/>
    <x v="1570"/>
    <n v="31"/>
    <s v="Male"/>
    <s v="Single"/>
    <s v="Unemployed"/>
    <n v="107196"/>
    <n v="334"/>
    <n v="79817"/>
    <n v="15.51"/>
    <n v="240"/>
    <s v="Business"/>
    <n v="12.38"/>
    <n v="73229"/>
    <n v="81296"/>
    <x v="957"/>
    <s v="Pending"/>
    <s v="No"/>
    <x v="0"/>
    <x v="1568"/>
    <x v="1570"/>
    <n v="156"/>
    <n v="132"/>
    <n v="0.35149999999999998"/>
    <n v="22286778"/>
    <n v="51829.716279069769"/>
    <n v="99996"/>
    <n v="5091"/>
    <n v="584933.02999999991"/>
    <n v="1360.3093720930231"/>
    <n v="0.35149999999999998"/>
    <n v="125339622.59999998"/>
    <x v="1"/>
    <n v="4609.7999999999993"/>
  </r>
  <r>
    <s v="LN01572"/>
    <x v="1571"/>
    <n v="54"/>
    <s v="Female"/>
    <s v="Single"/>
    <s v="Unemployed"/>
    <n v="64905"/>
    <n v="635"/>
    <n v="52253"/>
    <n v="5.14"/>
    <n v="60"/>
    <s v="Mortgage"/>
    <n v="33.229999999999997"/>
    <n v="69649"/>
    <n v="153284"/>
    <x v="83"/>
    <s v="Approved"/>
    <s v="Yes"/>
    <x v="3"/>
    <x v="1569"/>
    <x v="1571"/>
    <n v="156"/>
    <n v="132"/>
    <n v="0.35149999999999998"/>
    <n v="22206961"/>
    <n v="51764.477855477853"/>
    <n v="99996"/>
    <n v="5091"/>
    <n v="584548.88"/>
    <n v="1362.5848018648019"/>
    <n v="0.35149999999999998"/>
    <n v="124754689.56999998"/>
    <x v="1"/>
    <n v="10987.8"/>
  </r>
  <r>
    <s v="LN01573"/>
    <x v="1572"/>
    <n v="32"/>
    <s v="Male"/>
    <s v="Single"/>
    <s v="Unemployed"/>
    <n v="75708"/>
    <n v="762"/>
    <n v="44633"/>
    <n v="18"/>
    <n v="24"/>
    <s v="Business"/>
    <n v="34.049999999999997"/>
    <n v="14983"/>
    <n v="225353"/>
    <x v="958"/>
    <s v="Approved"/>
    <s v="No"/>
    <x v="2"/>
    <x v="1570"/>
    <x v="1572"/>
    <n v="155"/>
    <n v="132"/>
    <n v="0.35149999999999998"/>
    <n v="22154708"/>
    <n v="51763.336448598129"/>
    <n v="99996"/>
    <n v="5091"/>
    <n v="583633.2300000001"/>
    <n v="1363.6290420560749"/>
    <n v="0.35149999999999998"/>
    <n v="124170140.68999998"/>
    <x v="1"/>
    <n v="26333.52"/>
  </r>
  <r>
    <s v="LN01574"/>
    <x v="1573"/>
    <n v="23"/>
    <s v="Female"/>
    <s v="Married"/>
    <s v="Unemployed"/>
    <n v="171310"/>
    <n v="462"/>
    <n v="30585"/>
    <n v="15.91"/>
    <n v="48"/>
    <s v="Education"/>
    <n v="41.37"/>
    <n v="33221"/>
    <n v="190981"/>
    <x v="650"/>
    <s v="Pending"/>
    <s v="No"/>
    <x v="1"/>
    <x v="1571"/>
    <x v="1573"/>
    <n v="154"/>
    <n v="132"/>
    <n v="0.35149999999999998"/>
    <n v="22110075"/>
    <n v="51780.035128805619"/>
    <n v="99996"/>
    <n v="5091"/>
    <n v="581438.77"/>
    <n v="1361.6833021077284"/>
    <n v="0.35149999999999998"/>
    <n v="123586507.45999999"/>
    <x v="1"/>
    <n v="8862.7199999999993"/>
  </r>
  <r>
    <s v="LN01575"/>
    <x v="1574"/>
    <n v="55"/>
    <s v="Male"/>
    <s v="Single"/>
    <s v="Self-Employed"/>
    <n v="41866"/>
    <n v="361"/>
    <n v="47967"/>
    <n v="8.25"/>
    <n v="360"/>
    <s v="Business"/>
    <n v="34.47"/>
    <n v="45160"/>
    <n v="174238"/>
    <x v="323"/>
    <s v="Pending"/>
    <s v="Yes"/>
    <x v="1"/>
    <x v="1572"/>
    <x v="1574"/>
    <n v="154"/>
    <n v="132"/>
    <n v="0.35149999999999998"/>
    <n v="22079490"/>
    <n v="51829.788732394365"/>
    <n v="99996"/>
    <n v="5091"/>
    <n v="580700.21"/>
    <n v="1363.1460328638498"/>
    <n v="0.35149999999999998"/>
    <n v="123005068.69000001"/>
    <x v="1"/>
    <n v="1730.7599999999998"/>
  </r>
  <r>
    <s v="LN01576"/>
    <x v="1575"/>
    <n v="56"/>
    <s v="Female"/>
    <s v="Married"/>
    <s v="Employed"/>
    <n v="113222"/>
    <n v="651"/>
    <n v="66373"/>
    <n v="12.12"/>
    <n v="120"/>
    <s v="Auto"/>
    <n v="7.11"/>
    <n v="14811"/>
    <n v="45938"/>
    <x v="959"/>
    <s v="Pending"/>
    <s v="Yes"/>
    <x v="0"/>
    <x v="1573"/>
    <x v="1575"/>
    <n v="154"/>
    <n v="132"/>
    <n v="0.35149999999999998"/>
    <n v="22031523"/>
    <n v="51838.87764705882"/>
    <n v="99996"/>
    <n v="5091"/>
    <n v="580555.98"/>
    <n v="1366.0140705882352"/>
    <n v="0.35149999999999998"/>
    <n v="122424368.48"/>
    <x v="1"/>
    <n v="7441.7999999999993"/>
  </r>
  <r>
    <s v="LN01577"/>
    <x v="1576"/>
    <n v="43"/>
    <s v="Male"/>
    <s v="Single"/>
    <s v="Employed"/>
    <n v="189787"/>
    <n v="514"/>
    <n v="20806"/>
    <n v="8.7799999999999994"/>
    <n v="36"/>
    <s v="Education"/>
    <n v="43.73"/>
    <n v="61731"/>
    <n v="25704"/>
    <x v="960"/>
    <s v="Approved"/>
    <s v="Yes"/>
    <x v="1"/>
    <x v="1574"/>
    <x v="1576"/>
    <n v="154"/>
    <n v="132"/>
    <n v="0.35149999999999998"/>
    <n v="21965150"/>
    <n v="51804.599056603773"/>
    <n v="99996"/>
    <n v="5091"/>
    <n v="579935.82999999996"/>
    <n v="1367.7731839622641"/>
    <n v="0.35149999999999998"/>
    <n v="121843812.5"/>
    <x v="1"/>
    <n v="7544.2800000000007"/>
  </r>
  <r>
    <s v="LN01578"/>
    <x v="1577"/>
    <n v="49"/>
    <s v="Female"/>
    <s v="Divorced"/>
    <s v="Unemployed"/>
    <n v="59911"/>
    <n v="749"/>
    <n v="83541"/>
    <n v="8.58"/>
    <n v="48"/>
    <s v="Personal"/>
    <n v="40.4"/>
    <n v="11152"/>
    <n v="222792"/>
    <x v="478"/>
    <s v="Rejected"/>
    <s v="No"/>
    <x v="0"/>
    <x v="1575"/>
    <x v="1577"/>
    <n v="153"/>
    <n v="132"/>
    <n v="0.35149999999999998"/>
    <n v="21944344"/>
    <n v="51877.881796690308"/>
    <n v="99996"/>
    <n v="5091"/>
    <n v="579307.14"/>
    <n v="1369.520425531915"/>
    <n v="0.35149999999999998"/>
    <n v="121263876.66999999"/>
    <x v="1"/>
    <n v="22677.239999999998"/>
  </r>
  <r>
    <s v="LN01579"/>
    <x v="1578"/>
    <n v="43"/>
    <s v="Male"/>
    <s v="Single"/>
    <s v="Self-Employed"/>
    <n v="129277"/>
    <n v="614"/>
    <n v="44529"/>
    <n v="7.62"/>
    <n v="240"/>
    <s v="Mortgage"/>
    <n v="26.92"/>
    <n v="8778"/>
    <n v="123994"/>
    <x v="961"/>
    <s v="Pending"/>
    <s v="No"/>
    <x v="0"/>
    <x v="1576"/>
    <x v="1578"/>
    <n v="153"/>
    <n v="131"/>
    <n v="0.35149999999999998"/>
    <n v="21860803"/>
    <n v="51802.850710900471"/>
    <n v="99996"/>
    <n v="5091"/>
    <n v="577417.37"/>
    <n v="1368.2876066350711"/>
    <n v="0.35149999999999998"/>
    <n v="120684569.53"/>
    <x v="1"/>
    <n v="2396.16"/>
  </r>
  <r>
    <s v="LN01580"/>
    <x v="1579"/>
    <n v="52"/>
    <s v="Female"/>
    <s v="Married"/>
    <s v="Self-Employed"/>
    <n v="20274"/>
    <n v="604"/>
    <n v="82140"/>
    <n v="15.77"/>
    <n v="24"/>
    <s v="Business"/>
    <n v="47.23"/>
    <n v="50990"/>
    <n v="186887"/>
    <x v="46"/>
    <s v="Approved"/>
    <s v="Yes"/>
    <x v="3"/>
    <x v="1577"/>
    <x v="1579"/>
    <n v="153"/>
    <n v="131"/>
    <n v="0.35149999999999998"/>
    <n v="21816274"/>
    <n v="51820.128266033251"/>
    <n v="99996"/>
    <n v="5091"/>
    <n v="577217.68999999994"/>
    <n v="1371.0633966745843"/>
    <n v="0.35149999999999998"/>
    <n v="120107152.16"/>
    <x v="1"/>
    <n v="47546.76"/>
  </r>
  <r>
    <s v="LN01581"/>
    <x v="1580"/>
    <n v="60"/>
    <s v="Male"/>
    <s v="Single"/>
    <s v="Self-Employed"/>
    <n v="52035"/>
    <n v="695"/>
    <n v="93046"/>
    <n v="23.96"/>
    <n v="36"/>
    <s v="Mortgage"/>
    <n v="12.23"/>
    <n v="55653"/>
    <n v="25354"/>
    <x v="691"/>
    <s v="Rejected"/>
    <s v="No"/>
    <x v="1"/>
    <x v="1578"/>
    <x v="1580"/>
    <n v="152"/>
    <n v="131"/>
    <n v="0.35149999999999998"/>
    <n v="21734134"/>
    <n v="51747.938095238096"/>
    <n v="99996"/>
    <n v="5091"/>
    <n v="573255.46"/>
    <n v="1364.8939523809522"/>
    <n v="0.35149999999999998"/>
    <n v="119529934.47000001"/>
    <x v="1"/>
    <n v="38446.559999999998"/>
  </r>
  <r>
    <s v="LN01582"/>
    <x v="1581"/>
    <n v="55"/>
    <s v="Female"/>
    <s v="Married"/>
    <s v="Employed"/>
    <n v="116614"/>
    <n v="669"/>
    <n v="18864"/>
    <n v="13.93"/>
    <n v="180"/>
    <s v="Business"/>
    <n v="58.75"/>
    <n v="21498"/>
    <n v="39771"/>
    <x v="962"/>
    <s v="Pending"/>
    <s v="Yes"/>
    <x v="3"/>
    <x v="1579"/>
    <x v="1581"/>
    <n v="152"/>
    <n v="130"/>
    <n v="0.35149999999999998"/>
    <n v="21641088"/>
    <n v="51649.374701670647"/>
    <n v="99996"/>
    <n v="5091"/>
    <n v="570051.57999999996"/>
    <n v="1360.5049642004772"/>
    <n v="0.35149999999999998"/>
    <n v="118956679.01000001"/>
    <x v="1"/>
    <n v="1432.8000000000002"/>
  </r>
  <r>
    <s v="LN01583"/>
    <x v="1582"/>
    <n v="64"/>
    <s v="Male"/>
    <s v="Single"/>
    <s v="Unemployed"/>
    <n v="39012"/>
    <n v="828"/>
    <n v="25672"/>
    <n v="3.76"/>
    <n v="36"/>
    <s v="Business"/>
    <n v="32.6"/>
    <n v="61434"/>
    <n v="170229"/>
    <x v="620"/>
    <s v="Pending"/>
    <s v="No"/>
    <x v="1"/>
    <x v="1580"/>
    <x v="1582"/>
    <n v="152"/>
    <n v="130"/>
    <n v="0.35149999999999998"/>
    <n v="21622224"/>
    <n v="51727.808612440189"/>
    <n v="99996"/>
    <n v="5091"/>
    <n v="569932.17999999993"/>
    <n v="1363.4741148325356"/>
    <n v="0.35149999999999998"/>
    <n v="118386627.43000001"/>
    <x v="1"/>
    <n v="8879.0399999999991"/>
  </r>
  <r>
    <s v="LN01584"/>
    <x v="1583"/>
    <n v="42"/>
    <s v="Male"/>
    <s v="Married"/>
    <s v="Unemployed"/>
    <n v="42122"/>
    <n v="509"/>
    <n v="94443"/>
    <n v="21.09"/>
    <n v="240"/>
    <s v="Education"/>
    <n v="9.83"/>
    <n v="23336"/>
    <n v="109122"/>
    <x v="27"/>
    <s v="Approved"/>
    <s v="Yes"/>
    <x v="4"/>
    <x v="1581"/>
    <x v="1583"/>
    <n v="152"/>
    <n v="130"/>
    <n v="0.35149999999999998"/>
    <n v="21596552"/>
    <n v="51790.292565947246"/>
    <n v="99996"/>
    <n v="5091"/>
    <n v="569192.25999999989"/>
    <n v="1364.9694484412466"/>
    <n v="0.35149999999999998"/>
    <n v="117816695.25"/>
    <x v="1"/>
    <n v="5718"/>
  </r>
  <r>
    <s v="LN01585"/>
    <x v="1584"/>
    <n v="35"/>
    <s v="Male"/>
    <s v="Married"/>
    <s v="Employed"/>
    <n v="167221"/>
    <n v="457"/>
    <n v="28946"/>
    <n v="11.46"/>
    <n v="36"/>
    <s v="Auto"/>
    <n v="29.72"/>
    <n v="54094"/>
    <n v="36273"/>
    <x v="963"/>
    <s v="Pending"/>
    <s v="Yes"/>
    <x v="4"/>
    <x v="1582"/>
    <x v="1584"/>
    <n v="151"/>
    <n v="130"/>
    <n v="0.35149999999999998"/>
    <n v="21502109"/>
    <n v="51687.762019230766"/>
    <n v="99996"/>
    <n v="5091"/>
    <n v="568715.76"/>
    <n v="1367.1051923076923"/>
    <n v="0.35149999999999998"/>
    <n v="117247502.98999998"/>
    <x v="1"/>
    <n v="10754.400000000001"/>
  </r>
  <r>
    <s v="LN01586"/>
    <x v="1585"/>
    <n v="35"/>
    <s v="Female"/>
    <s v="Single"/>
    <s v="Self-Employed"/>
    <n v="72358"/>
    <n v="781"/>
    <n v="86176"/>
    <n v="7.03"/>
    <n v="36"/>
    <s v="Business"/>
    <n v="15.14"/>
    <n v="57949"/>
    <n v="82697"/>
    <x v="489"/>
    <s v="Pending"/>
    <s v="Yes"/>
    <x v="4"/>
    <x v="1583"/>
    <x v="1585"/>
    <n v="151"/>
    <n v="130"/>
    <n v="0.35149999999999998"/>
    <n v="21473163"/>
    <n v="51742.561445783133"/>
    <n v="99996"/>
    <n v="5091"/>
    <n v="567819.55999999994"/>
    <n v="1368.2399036144577"/>
    <n v="0.35149999999999998"/>
    <n v="116678787.22999997"/>
    <x v="1"/>
    <n v="30744.720000000001"/>
  </r>
  <r>
    <s v="LN01587"/>
    <x v="1586"/>
    <n v="49"/>
    <s v="Female"/>
    <s v="Single"/>
    <s v="Unemployed"/>
    <n v="140738"/>
    <n v="776"/>
    <n v="6923"/>
    <n v="14.74"/>
    <n v="180"/>
    <s v="Personal"/>
    <n v="59.94"/>
    <n v="19236"/>
    <n v="75874"/>
    <x v="923"/>
    <s v="Rejected"/>
    <s v="Yes"/>
    <x v="1"/>
    <x v="1584"/>
    <x v="1586"/>
    <n v="151"/>
    <n v="130"/>
    <n v="0.35149999999999998"/>
    <n v="21386987"/>
    <n v="51659.388888888891"/>
    <n v="99996"/>
    <n v="5091"/>
    <n v="565257.50000000012"/>
    <n v="1365.3562801932369"/>
    <n v="0.35149999999999998"/>
    <n v="116110967.66999997"/>
    <x v="1"/>
    <n v="529.56000000000006"/>
  </r>
  <r>
    <s v="LN01588"/>
    <x v="1587"/>
    <n v="53"/>
    <s v="Male"/>
    <s v="Married"/>
    <s v="Unemployed"/>
    <n v="27056"/>
    <n v="807"/>
    <n v="56837"/>
    <n v="21.13"/>
    <n v="24"/>
    <s v="Auto"/>
    <n v="9.5299999999999994"/>
    <n v="3150"/>
    <n v="126791"/>
    <x v="964"/>
    <s v="Approved"/>
    <s v="Yes"/>
    <x v="4"/>
    <x v="1585"/>
    <x v="1587"/>
    <n v="151"/>
    <n v="129"/>
    <n v="0.35149999999999998"/>
    <n v="21380064"/>
    <n v="51767.709443099273"/>
    <n v="99996"/>
    <n v="5091"/>
    <n v="565213.37000000011"/>
    <n v="1368.5553753026636"/>
    <n v="0.35149999999999998"/>
    <n v="115545710.16999997"/>
    <x v="1"/>
    <n v="34423.32"/>
  </r>
  <r>
    <s v="LN01589"/>
    <x v="1588"/>
    <n v="31"/>
    <s v="Male"/>
    <s v="Divorced"/>
    <s v="Employed"/>
    <n v="154690"/>
    <n v="596"/>
    <n v="99360"/>
    <n v="5.82"/>
    <n v="12"/>
    <s v="Mortgage"/>
    <n v="48.06"/>
    <n v="235"/>
    <n v="241791"/>
    <x v="517"/>
    <s v="Rejected"/>
    <s v="No"/>
    <x v="3"/>
    <x v="1586"/>
    <x v="1588"/>
    <n v="150"/>
    <n v="129"/>
    <n v="0.35149999999999998"/>
    <n v="21323227"/>
    <n v="51755.405339805824"/>
    <n v="99996"/>
    <n v="5091"/>
    <n v="562344.76000000013"/>
    <n v="1364.9144660194179"/>
    <n v="0.35149999999999998"/>
    <n v="114980496.79999998"/>
    <x v="1"/>
    <n v="105142.79999999999"/>
  </r>
  <r>
    <s v="LN01590"/>
    <x v="1589"/>
    <n v="38"/>
    <s v="Male"/>
    <s v="Married"/>
    <s v="Employed"/>
    <n v="40412"/>
    <n v="715"/>
    <n v="54338"/>
    <n v="10.58"/>
    <n v="240"/>
    <s v="Mortgage"/>
    <n v="54.24"/>
    <n v="52673"/>
    <n v="77941"/>
    <x v="127"/>
    <s v="Pending"/>
    <s v="No"/>
    <x v="4"/>
    <x v="1587"/>
    <x v="1589"/>
    <n v="150"/>
    <n v="128"/>
    <n v="0.35149999999999998"/>
    <n v="21223867"/>
    <n v="51639.579075425791"/>
    <n v="99996"/>
    <n v="5091"/>
    <n v="553582.8600000001"/>
    <n v="1346.9169343065696"/>
    <n v="0.35149999999999998"/>
    <n v="114418152.03999999"/>
    <x v="0"/>
    <n v="3004.32"/>
  </r>
  <r>
    <s v="LN01591"/>
    <x v="1590"/>
    <n v="40"/>
    <s v="Male"/>
    <s v="Single"/>
    <s v="Unemployed"/>
    <n v="124503"/>
    <n v="626"/>
    <n v="46588"/>
    <n v="16.579999999999998"/>
    <n v="360"/>
    <s v="Auto"/>
    <n v="16.510000000000002"/>
    <n v="27706"/>
    <n v="68894"/>
    <x v="820"/>
    <s v="Approved"/>
    <s v="No"/>
    <x v="4"/>
    <x v="1588"/>
    <x v="1590"/>
    <n v="150"/>
    <n v="128"/>
    <n v="0.35149999999999998"/>
    <n v="21169529"/>
    <n v="51632.997560975607"/>
    <n v="99996"/>
    <n v="5091"/>
    <n v="553332.50000000012"/>
    <n v="1349.5914634146345"/>
    <n v="0.35149999999999998"/>
    <n v="113864569.17999999"/>
    <x v="1"/>
    <n v="1810.44"/>
  </r>
  <r>
    <s v="LN01592"/>
    <x v="1591"/>
    <n v="24"/>
    <s v="Female"/>
    <s v="Married"/>
    <s v="Self-Employed"/>
    <n v="79128"/>
    <n v="539"/>
    <n v="8239"/>
    <n v="16.690000000000001"/>
    <n v="48"/>
    <s v="Mortgage"/>
    <n v="8.58"/>
    <n v="73750"/>
    <n v="206800"/>
    <x v="416"/>
    <s v="Approved"/>
    <s v="No"/>
    <x v="1"/>
    <x v="1589"/>
    <x v="1591"/>
    <n v="149"/>
    <n v="128"/>
    <n v="0.35149999999999998"/>
    <n v="21122941"/>
    <n v="51645.332518337411"/>
    <n v="99996"/>
    <n v="5091"/>
    <n v="553181.63000000012"/>
    <n v="1352.5223227383865"/>
    <n v="0.35149999999999998"/>
    <n v="113311236.68000001"/>
    <x v="1"/>
    <n v="2403.48"/>
  </r>
  <r>
    <s v="LN01593"/>
    <x v="1592"/>
    <n v="33"/>
    <s v="Male"/>
    <s v="Married"/>
    <s v="Employed"/>
    <n v="115641"/>
    <n v="730"/>
    <n v="24760"/>
    <n v="6.17"/>
    <n v="360"/>
    <s v="Auto"/>
    <n v="41.94"/>
    <n v="59818"/>
    <n v="134735"/>
    <x v="965"/>
    <s v="Approved"/>
    <s v="No"/>
    <x v="2"/>
    <x v="1590"/>
    <x v="1592"/>
    <n v="148"/>
    <n v="128"/>
    <n v="0.35149999999999998"/>
    <n v="21114702"/>
    <n v="51751.720588235294"/>
    <n v="99996"/>
    <n v="5091"/>
    <n v="552981.34000000008"/>
    <n v="1355.3464215686276"/>
    <n v="0.35149999999999998"/>
    <n v="112758055.05000001"/>
    <x v="1"/>
    <n v="876.24"/>
  </r>
  <r>
    <s v="LN01594"/>
    <x v="1593"/>
    <n v="53"/>
    <s v="Female"/>
    <s v="Divorced"/>
    <s v="Employed"/>
    <n v="124109"/>
    <n v="627"/>
    <n v="20544"/>
    <n v="13.24"/>
    <n v="48"/>
    <s v="Personal"/>
    <n v="32.200000000000003"/>
    <n v="23176"/>
    <n v="87889"/>
    <x v="966"/>
    <s v="Approved"/>
    <s v="No"/>
    <x v="4"/>
    <x v="1591"/>
    <x v="1593"/>
    <n v="147"/>
    <n v="128"/>
    <n v="0.35149999999999998"/>
    <n v="21089942"/>
    <n v="51818.039312039313"/>
    <n v="99996"/>
    <n v="5091"/>
    <n v="552908.32000000007"/>
    <n v="1358.4971007371009"/>
    <n v="0.35149999999999998"/>
    <n v="112205073.71000001"/>
    <x v="1"/>
    <n v="5816.04"/>
  </r>
  <r>
    <s v="LN01595"/>
    <x v="1594"/>
    <n v="32"/>
    <s v="Male"/>
    <s v="Single"/>
    <s v="Self-Employed"/>
    <n v="125247"/>
    <n v="306"/>
    <n v="68601"/>
    <n v="4.21"/>
    <n v="24"/>
    <s v="Mortgage"/>
    <n v="30.88"/>
    <n v="70476"/>
    <n v="88592"/>
    <x v="298"/>
    <s v="Approved"/>
    <s v="No"/>
    <x v="0"/>
    <x v="1592"/>
    <x v="1594"/>
    <n v="146"/>
    <n v="128"/>
    <n v="0.35149999999999998"/>
    <n v="21069398"/>
    <n v="51895.068965517239"/>
    <n v="99996"/>
    <n v="5091"/>
    <n v="552423.65000000014"/>
    <n v="1360.6493842364534"/>
    <n v="0.35149999999999998"/>
    <n v="111652165.39000003"/>
    <x v="1"/>
    <n v="35744.520000000004"/>
  </r>
  <r>
    <s v="LN01596"/>
    <x v="1595"/>
    <n v="37"/>
    <s v="Female"/>
    <s v="Single"/>
    <s v="Employed"/>
    <n v="107256"/>
    <n v="723"/>
    <n v="13773"/>
    <n v="15.38"/>
    <n v="180"/>
    <s v="Personal"/>
    <n v="36.5"/>
    <n v="22529"/>
    <n v="2862"/>
    <x v="837"/>
    <s v="Pending"/>
    <s v="Yes"/>
    <x v="0"/>
    <x v="1593"/>
    <x v="1595"/>
    <n v="145"/>
    <n v="128"/>
    <n v="0.35149999999999998"/>
    <n v="21000797"/>
    <n v="51853.81975308642"/>
    <n v="99996"/>
    <n v="5091"/>
    <n v="549444.94000000018"/>
    <n v="1356.6541728395066"/>
    <n v="0.35149999999999998"/>
    <n v="111099741.74000001"/>
    <x v="1"/>
    <n v="1059.3600000000001"/>
  </r>
  <r>
    <s v="LN01597"/>
    <x v="1596"/>
    <n v="45"/>
    <s v="Female"/>
    <s v="Married"/>
    <s v="Self-Employed"/>
    <n v="197742"/>
    <n v="544"/>
    <n v="44729"/>
    <n v="17.239999999999998"/>
    <n v="120"/>
    <s v="Personal"/>
    <n v="29.88"/>
    <n v="9140"/>
    <n v="49140"/>
    <x v="508"/>
    <s v="Pending"/>
    <s v="Yes"/>
    <x v="2"/>
    <x v="1594"/>
    <x v="1596"/>
    <n v="145"/>
    <n v="128"/>
    <n v="0.35149999999999998"/>
    <n v="20987024"/>
    <n v="51948.079207920789"/>
    <n v="99996"/>
    <n v="5091"/>
    <n v="549356.66000000015"/>
    <n v="1359.7937128712874"/>
    <n v="0.35149999999999998"/>
    <n v="110550296.80000003"/>
    <x v="1"/>
    <n v="5244"/>
  </r>
  <r>
    <s v="LN01598"/>
    <x v="1597"/>
    <n v="46"/>
    <s v="Male"/>
    <s v="Single"/>
    <s v="Unemployed"/>
    <n v="28698"/>
    <n v="550"/>
    <n v="23195"/>
    <n v="3.52"/>
    <n v="12"/>
    <s v="Business"/>
    <n v="59.2"/>
    <n v="64547"/>
    <n v="11759"/>
    <x v="652"/>
    <s v="Pending"/>
    <s v="Yes"/>
    <x v="0"/>
    <x v="1595"/>
    <x v="1597"/>
    <n v="145"/>
    <n v="128"/>
    <n v="0.35149999999999998"/>
    <n v="20942295"/>
    <n v="51965.992555831268"/>
    <n v="99996"/>
    <n v="5091"/>
    <n v="548919.66000000015"/>
    <n v="1362.0835235732013"/>
    <n v="0.35149999999999998"/>
    <n v="110000940.14000003"/>
    <x v="1"/>
    <n v="24011.52"/>
  </r>
  <r>
    <s v="LN01599"/>
    <x v="1598"/>
    <n v="51"/>
    <s v="Female"/>
    <s v="Single"/>
    <s v="Unemployed"/>
    <n v="35845"/>
    <n v="484"/>
    <n v="6074"/>
    <n v="23.72"/>
    <n v="360"/>
    <s v="Personal"/>
    <n v="57.28"/>
    <n v="60728"/>
    <n v="131371"/>
    <x v="369"/>
    <s v="Approved"/>
    <s v="No"/>
    <x v="1"/>
    <x v="1596"/>
    <x v="1598"/>
    <n v="145"/>
    <n v="128"/>
    <n v="0.35149999999999998"/>
    <n v="20919100"/>
    <n v="52037.562189054726"/>
    <n v="99996"/>
    <n v="5091"/>
    <n v="546918.70000000019"/>
    <n v="1360.4942786069657"/>
    <n v="0.35149999999999998"/>
    <n v="109452020.48000002"/>
    <x v="0"/>
    <n v="250.44"/>
  </r>
  <r>
    <s v="LN01600"/>
    <x v="1599"/>
    <n v="44"/>
    <s v="Female"/>
    <s v="Single"/>
    <s v="Self-Employed"/>
    <n v="116700"/>
    <n v="551"/>
    <n v="31934"/>
    <n v="5.52"/>
    <n v="12"/>
    <s v="Education"/>
    <n v="18.91"/>
    <n v="41044"/>
    <n v="66623"/>
    <x v="750"/>
    <s v="Pending"/>
    <s v="No"/>
    <x v="1"/>
    <x v="1597"/>
    <x v="1599"/>
    <n v="144"/>
    <n v="128"/>
    <n v="0.35149999999999998"/>
    <n v="20913026"/>
    <n v="52152.184538653368"/>
    <n v="99996"/>
    <n v="5091"/>
    <n v="546897.83000000019"/>
    <n v="1363.8349875311726"/>
    <n v="0.35149999999999998"/>
    <n v="108905101.78000002"/>
    <x v="1"/>
    <n v="33696.720000000001"/>
  </r>
  <r>
    <s v="LN01601"/>
    <x v="1600"/>
    <n v="32"/>
    <s v="Female"/>
    <s v="Married"/>
    <s v="Employed"/>
    <n v="197193"/>
    <n v="323"/>
    <n v="58549"/>
    <n v="7.59"/>
    <n v="12"/>
    <s v="Personal"/>
    <n v="30.4"/>
    <n v="4315"/>
    <n v="90416"/>
    <x v="694"/>
    <s v="Rejected"/>
    <s v="Yes"/>
    <x v="3"/>
    <x v="1598"/>
    <x v="1600"/>
    <n v="144"/>
    <n v="128"/>
    <n v="0.35149999999999998"/>
    <n v="20881092"/>
    <n v="52202.73"/>
    <n v="99996"/>
    <n v="5091"/>
    <n v="544089.77"/>
    <n v="1360.2244250000001"/>
    <n v="0.35149999999999998"/>
    <n v="108358203.95000003"/>
    <x v="0"/>
    <n v="62992.92"/>
  </r>
  <r>
    <s v="LN01602"/>
    <x v="1601"/>
    <n v="59"/>
    <s v="Female"/>
    <s v="Married"/>
    <s v="Self-Employed"/>
    <n v="44108"/>
    <n v="488"/>
    <n v="84654"/>
    <n v="21.98"/>
    <n v="24"/>
    <s v="Auto"/>
    <n v="29.16"/>
    <n v="37883"/>
    <n v="31030"/>
    <x v="70"/>
    <s v="Pending"/>
    <s v="Yes"/>
    <x v="1"/>
    <x v="1599"/>
    <x v="1601"/>
    <n v="144"/>
    <n v="127"/>
    <n v="0.35149999999999998"/>
    <n v="20822543"/>
    <n v="52186.824561403511"/>
    <n v="99996"/>
    <n v="5091"/>
    <n v="538840.36000000022"/>
    <n v="1350.4770927318302"/>
    <n v="0.35149999999999998"/>
    <n v="107814114.18000002"/>
    <x v="0"/>
    <n v="51630.479999999996"/>
  </r>
  <r>
    <s v="LN01603"/>
    <x v="1602"/>
    <n v="29"/>
    <s v="Female"/>
    <s v="Married"/>
    <s v="Self-Employed"/>
    <n v="119943"/>
    <n v="706"/>
    <n v="25854"/>
    <n v="20.78"/>
    <n v="180"/>
    <s v="Personal"/>
    <n v="28.48"/>
    <n v="37097"/>
    <n v="129417"/>
    <x v="967"/>
    <s v="Approved"/>
    <s v="No"/>
    <x v="0"/>
    <x v="1600"/>
    <x v="1602"/>
    <n v="144"/>
    <n v="127"/>
    <n v="0.35149999999999998"/>
    <n v="20737889"/>
    <n v="52105.248743718592"/>
    <n v="99996"/>
    <n v="5091"/>
    <n v="534537.82000000007"/>
    <n v="1343.0598492462314"/>
    <n v="0.35149999999999998"/>
    <n v="107275273.82000002"/>
    <x v="1"/>
    <n v="2081.7599999999998"/>
  </r>
  <r>
    <s v="LN01604"/>
    <x v="1603"/>
    <n v="25"/>
    <s v="Male"/>
    <s v="Divorced"/>
    <s v="Self-Employed"/>
    <n v="46220"/>
    <n v="559"/>
    <n v="55601"/>
    <n v="14.23"/>
    <n v="24"/>
    <s v="Business"/>
    <n v="18.14"/>
    <n v="6141"/>
    <n v="108581"/>
    <x v="968"/>
    <s v="Pending"/>
    <s v="Yes"/>
    <x v="1"/>
    <x v="1601"/>
    <x v="1603"/>
    <n v="143"/>
    <n v="127"/>
    <n v="0.35149999999999998"/>
    <n v="20712035"/>
    <n v="52171.372795969772"/>
    <n v="99996"/>
    <n v="5091"/>
    <n v="534364.34000000008"/>
    <n v="1346.0058942065493"/>
    <n v="0.35149999999999998"/>
    <n v="106740736.00000003"/>
    <x v="1"/>
    <n v="31756.560000000001"/>
  </r>
  <r>
    <s v="LN01605"/>
    <x v="1604"/>
    <n v="43"/>
    <s v="Female"/>
    <s v="Divorced"/>
    <s v="Self-Employed"/>
    <n v="47067"/>
    <n v="722"/>
    <n v="24327"/>
    <n v="10.32"/>
    <n v="48"/>
    <s v="Auto"/>
    <n v="10.4"/>
    <n v="32838"/>
    <n v="104315"/>
    <x v="969"/>
    <s v="Approved"/>
    <s v="Yes"/>
    <x v="2"/>
    <x v="1602"/>
    <x v="1604"/>
    <n v="143"/>
    <n v="127"/>
    <n v="0.35149999999999998"/>
    <n v="20656434"/>
    <n v="52162.71212121212"/>
    <n v="99996"/>
    <n v="5091"/>
    <n v="531717.96"/>
    <n v="1342.722121212121"/>
    <n v="0.35149999999999998"/>
    <n v="106206371.66000001"/>
    <x v="1"/>
    <n v="6709.4400000000005"/>
  </r>
  <r>
    <s v="LN01606"/>
    <x v="1605"/>
    <n v="42"/>
    <s v="Female"/>
    <s v="Divorced"/>
    <s v="Self-Employed"/>
    <n v="124381"/>
    <n v="488"/>
    <n v="18079"/>
    <n v="20.82"/>
    <n v="60"/>
    <s v="Education"/>
    <n v="18.53"/>
    <n v="50360"/>
    <n v="66575"/>
    <x v="856"/>
    <s v="Rejected"/>
    <s v="No"/>
    <x v="2"/>
    <x v="1603"/>
    <x v="1605"/>
    <n v="142"/>
    <n v="127"/>
    <n v="0.35149999999999998"/>
    <n v="20632107"/>
    <n v="52233.182278481014"/>
    <n v="99996"/>
    <n v="5091"/>
    <n v="531158.84"/>
    <n v="1344.7059240506328"/>
    <n v="0.35149999999999998"/>
    <n v="105674653.70000002"/>
    <x v="1"/>
    <n v="4368.6000000000004"/>
  </r>
  <r>
    <s v="LN01607"/>
    <x v="1606"/>
    <n v="64"/>
    <s v="Male"/>
    <s v="Married"/>
    <s v="Self-Employed"/>
    <n v="173396"/>
    <n v="794"/>
    <n v="92832"/>
    <n v="21.97"/>
    <n v="180"/>
    <s v="Business"/>
    <n v="27.83"/>
    <n v="50363"/>
    <n v="152674"/>
    <x v="970"/>
    <s v="Rejected"/>
    <s v="Yes"/>
    <x v="3"/>
    <x v="1604"/>
    <x v="1606"/>
    <n v="142"/>
    <n v="126"/>
    <n v="0.35149999999999998"/>
    <n v="20614028"/>
    <n v="52319.868020304566"/>
    <n v="99996"/>
    <n v="5091"/>
    <n v="530794.78999999992"/>
    <n v="1347.1948984771573"/>
    <n v="0.35149999999999998"/>
    <n v="105143494.86000001"/>
    <x v="1"/>
    <n v="7548.48"/>
  </r>
  <r>
    <s v="LN01608"/>
    <x v="1607"/>
    <n v="39"/>
    <s v="Male"/>
    <s v="Married"/>
    <s v="Self-Employed"/>
    <n v="84394"/>
    <n v="364"/>
    <n v="97368"/>
    <n v="22.91"/>
    <n v="60"/>
    <s v="Mortgage"/>
    <n v="56.63"/>
    <n v="13701"/>
    <n v="175368"/>
    <x v="292"/>
    <s v="Pending"/>
    <s v="Yes"/>
    <x v="2"/>
    <x v="1605"/>
    <x v="1607"/>
    <n v="142"/>
    <n v="125"/>
    <n v="0.35149999999999998"/>
    <n v="20521196"/>
    <n v="52216.783715012723"/>
    <n v="99996"/>
    <n v="5091"/>
    <n v="530165.74999999988"/>
    <n v="1349.0222646310431"/>
    <n v="0.35149999999999998"/>
    <n v="104612700.07000002"/>
    <x v="1"/>
    <n v="23934.959999999999"/>
  </r>
  <r>
    <s v="LN01609"/>
    <x v="1608"/>
    <n v="63"/>
    <s v="Female"/>
    <s v="Divorced"/>
    <s v="Unemployed"/>
    <n v="63247"/>
    <n v="731"/>
    <n v="49537"/>
    <n v="19.28"/>
    <n v="120"/>
    <s v="Mortgage"/>
    <n v="19.739999999999998"/>
    <n v="6025"/>
    <n v="29232"/>
    <x v="971"/>
    <s v="Rejected"/>
    <s v="No"/>
    <x v="1"/>
    <x v="1606"/>
    <x v="1608"/>
    <n v="142"/>
    <n v="125"/>
    <n v="0.35149999999999998"/>
    <n v="20423828"/>
    <n v="52101.602040816324"/>
    <n v="99996"/>
    <n v="5091"/>
    <n v="528171.16999999993"/>
    <n v="1347.3754336734692"/>
    <n v="0.35149999999999998"/>
    <n v="104082534.32000002"/>
    <x v="1"/>
    <n v="5908.7999999999993"/>
  </r>
  <r>
    <s v="LN01610"/>
    <x v="1609"/>
    <n v="42"/>
    <s v="Male"/>
    <s v="Married"/>
    <s v="Self-Employed"/>
    <n v="63308"/>
    <n v="612"/>
    <n v="29872"/>
    <n v="19.690000000000001"/>
    <n v="24"/>
    <s v="Mortgage"/>
    <n v="53.62"/>
    <n v="47524"/>
    <n v="1671"/>
    <x v="972"/>
    <s v="Rejected"/>
    <s v="Yes"/>
    <x v="2"/>
    <x v="1607"/>
    <x v="1609"/>
    <n v="142"/>
    <n v="124"/>
    <n v="0.35149999999999998"/>
    <n v="20374291"/>
    <n v="52108.16112531969"/>
    <n v="99996"/>
    <n v="5091"/>
    <n v="527678.7699999999"/>
    <n v="1349.562071611253"/>
    <n v="0.35149999999999998"/>
    <n v="103554363.15000002"/>
    <x v="1"/>
    <n v="17876.88"/>
  </r>
  <r>
    <s v="LN01611"/>
    <x v="1610"/>
    <n v="21"/>
    <s v="Male"/>
    <s v="Married"/>
    <s v="Self-Employed"/>
    <n v="195022"/>
    <n v="463"/>
    <n v="17630"/>
    <n v="14.13"/>
    <n v="36"/>
    <s v="Personal"/>
    <n v="13.75"/>
    <n v="11547"/>
    <n v="118363"/>
    <x v="381"/>
    <s v="Rejected"/>
    <s v="No"/>
    <x v="3"/>
    <x v="1608"/>
    <x v="1610"/>
    <n v="142"/>
    <n v="123"/>
    <n v="0.35149999999999998"/>
    <n v="20344419"/>
    <n v="52165.176923076921"/>
    <n v="99996"/>
    <n v="5091"/>
    <n v="526189.02999999991"/>
    <n v="1349.2026410256408"/>
    <n v="0.35149999999999998"/>
    <n v="103026684.38000001"/>
    <x v="1"/>
    <n v="6707.0399999999991"/>
  </r>
  <r>
    <s v="LN01612"/>
    <x v="1611"/>
    <n v="53"/>
    <s v="Male"/>
    <s v="Divorced"/>
    <s v="Unemployed"/>
    <n v="54306"/>
    <n v="697"/>
    <n v="75724"/>
    <n v="6.58"/>
    <n v="240"/>
    <s v="Auto"/>
    <n v="49.57"/>
    <n v="17609"/>
    <n v="25186"/>
    <x v="589"/>
    <s v="Pending"/>
    <s v="No"/>
    <x v="4"/>
    <x v="1609"/>
    <x v="1611"/>
    <n v="142"/>
    <n v="122"/>
    <n v="0.35149999999999998"/>
    <n v="20326789"/>
    <n v="52253.956298200515"/>
    <n v="99996"/>
    <n v="5091"/>
    <n v="525630.11"/>
    <n v="1351.2342159383034"/>
    <n v="0.35149999999999998"/>
    <n v="102500495.35000002"/>
    <x v="1"/>
    <n v="4035.3599999999997"/>
  </r>
  <r>
    <s v="LN01613"/>
    <x v="1612"/>
    <n v="58"/>
    <s v="Male"/>
    <s v="Single"/>
    <s v="Self-Employed"/>
    <n v="182790"/>
    <n v="401"/>
    <n v="81964"/>
    <n v="7.98"/>
    <n v="12"/>
    <s v="Auto"/>
    <n v="9.24"/>
    <n v="36247"/>
    <n v="59692"/>
    <x v="779"/>
    <s v="Pending"/>
    <s v="No"/>
    <x v="0"/>
    <x v="1610"/>
    <x v="1612"/>
    <n v="142"/>
    <n v="122"/>
    <n v="0.35149999999999998"/>
    <n v="20251065"/>
    <n v="52193.466494845357"/>
    <n v="99996"/>
    <n v="5091"/>
    <n v="525293.82999999996"/>
    <n v="1353.8500773195876"/>
    <n v="0.35149999999999998"/>
    <n v="101974865.24000004"/>
    <x v="1"/>
    <n v="88504.680000000008"/>
  </r>
  <r>
    <s v="LN01614"/>
    <x v="1613"/>
    <n v="34"/>
    <s v="Female"/>
    <s v="Divorced"/>
    <s v="Employed"/>
    <n v="36206"/>
    <n v="773"/>
    <n v="75036"/>
    <n v="16.34"/>
    <n v="24"/>
    <s v="Education"/>
    <n v="46.04"/>
    <n v="71219"/>
    <n v="170388"/>
    <x v="973"/>
    <s v="Rejected"/>
    <s v="No"/>
    <x v="4"/>
    <x v="1611"/>
    <x v="1613"/>
    <n v="142"/>
    <n v="122"/>
    <n v="0.35149999999999998"/>
    <n v="20169101"/>
    <n v="52116.540051679585"/>
    <n v="99996"/>
    <n v="5091"/>
    <n v="517918.43999999989"/>
    <n v="1338.2905426356585"/>
    <n v="0.35149999999999998"/>
    <n v="101449571.41000003"/>
    <x v="0"/>
    <n v="43648.44"/>
  </r>
  <r>
    <s v="LN01615"/>
    <x v="1614"/>
    <n v="44"/>
    <s v="Male"/>
    <s v="Single"/>
    <s v="Employed"/>
    <n v="57502"/>
    <n v="651"/>
    <n v="97234"/>
    <n v="11.82"/>
    <n v="180"/>
    <s v="Business"/>
    <n v="38.880000000000003"/>
    <n v="56014"/>
    <n v="56461"/>
    <x v="268"/>
    <s v="Approved"/>
    <s v="Yes"/>
    <x v="3"/>
    <x v="1612"/>
    <x v="1614"/>
    <n v="142"/>
    <n v="121"/>
    <n v="0.35149999999999998"/>
    <n v="20094065"/>
    <n v="52057.163212435233"/>
    <n v="99996"/>
    <n v="5091"/>
    <n v="514281.06999999989"/>
    <n v="1332.3343782383417"/>
    <n v="0.35149999999999998"/>
    <n v="100931652.97000004"/>
    <x v="1"/>
    <n v="7248.48"/>
  </r>
  <r>
    <s v="LN01616"/>
    <x v="1615"/>
    <n v="27"/>
    <s v="Male"/>
    <s v="Divorced"/>
    <s v="Employed"/>
    <n v="21059"/>
    <n v="305"/>
    <n v="30145"/>
    <n v="17.850000000000001"/>
    <n v="120"/>
    <s v="Personal"/>
    <n v="18.63"/>
    <n v="44952"/>
    <n v="156512"/>
    <x v="287"/>
    <s v="Approved"/>
    <s v="No"/>
    <x v="0"/>
    <x v="1613"/>
    <x v="1615"/>
    <n v="141"/>
    <n v="121"/>
    <n v="0.35149999999999998"/>
    <n v="19996831"/>
    <n v="51939.820779220776"/>
    <n v="99996"/>
    <n v="5091"/>
    <n v="513677.02999999997"/>
    <n v="1334.2260519480519"/>
    <n v="0.35149999999999998"/>
    <n v="100417371.90000004"/>
    <x v="1"/>
    <n v="3552.6000000000004"/>
  </r>
  <r>
    <s v="LN01617"/>
    <x v="1616"/>
    <n v="59"/>
    <s v="Female"/>
    <s v="Divorced"/>
    <s v="Self-Employed"/>
    <n v="183284"/>
    <n v="575"/>
    <n v="18218"/>
    <n v="15.28"/>
    <n v="24"/>
    <s v="Personal"/>
    <n v="7.52"/>
    <n v="34824"/>
    <n v="165919"/>
    <x v="945"/>
    <s v="Approved"/>
    <s v="No"/>
    <x v="1"/>
    <x v="1614"/>
    <x v="1616"/>
    <n v="140"/>
    <n v="121"/>
    <n v="0.35149999999999998"/>
    <n v="19966686"/>
    <n v="51996.578125"/>
    <n v="99996"/>
    <n v="5091"/>
    <n v="513380.97999999992"/>
    <n v="1336.9296354166665"/>
    <n v="0.35149999999999998"/>
    <n v="99903694.870000035"/>
    <x v="1"/>
    <n v="10500.84"/>
  </r>
  <r>
    <s v="LN01618"/>
    <x v="1617"/>
    <n v="30"/>
    <s v="Male"/>
    <s v="Divorced"/>
    <s v="Employed"/>
    <n v="147975"/>
    <n v="717"/>
    <n v="99996"/>
    <n v="16.89"/>
    <n v="120"/>
    <s v="Business"/>
    <n v="16.100000000000001"/>
    <n v="73475"/>
    <n v="30553"/>
    <x v="614"/>
    <s v="Rejected"/>
    <s v="No"/>
    <x v="2"/>
    <x v="1615"/>
    <x v="1617"/>
    <n v="139"/>
    <n v="121"/>
    <n v="0.35149999999999998"/>
    <n v="19948468"/>
    <n v="52084.772845953004"/>
    <n v="99996"/>
    <n v="5091"/>
    <n v="512505.90999999992"/>
    <n v="1338.1355352480416"/>
    <n v="0.35149999999999998"/>
    <n v="99390313.89000003"/>
    <x v="1"/>
    <n v="11688.48"/>
  </r>
  <r>
    <s v="LN01619"/>
    <x v="1618"/>
    <n v="64"/>
    <s v="Female"/>
    <s v="Married"/>
    <s v="Unemployed"/>
    <n v="119725"/>
    <n v="662"/>
    <n v="6164"/>
    <n v="5.6"/>
    <n v="180"/>
    <s v="Education"/>
    <n v="10.74"/>
    <n v="42502"/>
    <n v="196300"/>
    <x v="974"/>
    <s v="Rejected"/>
    <s v="No"/>
    <x v="0"/>
    <x v="1616"/>
    <x v="1618"/>
    <n v="139"/>
    <n v="120"/>
    <n v="0.35149999999999998"/>
    <n v="19848472"/>
    <n v="51959.350785340313"/>
    <n v="99664"/>
    <n v="5091"/>
    <n v="511531.86999999994"/>
    <n v="1339.0886649214658"/>
    <n v="0.35149999999999998"/>
    <n v="98877807.980000019"/>
    <x v="1"/>
    <n v="433.91999999999996"/>
  </r>
  <r>
    <s v="LN01620"/>
    <x v="1619"/>
    <n v="58"/>
    <s v="Female"/>
    <s v="Single"/>
    <s v="Employed"/>
    <n v="86317"/>
    <n v="848"/>
    <n v="76087"/>
    <n v="22.66"/>
    <n v="48"/>
    <s v="Business"/>
    <n v="14.53"/>
    <n v="10366"/>
    <n v="14230"/>
    <x v="847"/>
    <s v="Rejected"/>
    <s v="No"/>
    <x v="2"/>
    <x v="1617"/>
    <x v="1619"/>
    <n v="139"/>
    <n v="119"/>
    <n v="0.35149999999999998"/>
    <n v="19842308"/>
    <n v="52079.548556430447"/>
    <n v="99664"/>
    <n v="5091"/>
    <n v="511495.7099999999"/>
    <n v="1342.5084251968501"/>
    <n v="0.35149999999999998"/>
    <n v="98366276.110000029"/>
    <x v="1"/>
    <n v="23332.079999999998"/>
  </r>
  <r>
    <s v="LN01621"/>
    <x v="1620"/>
    <n v="33"/>
    <s v="Female"/>
    <s v="Single"/>
    <s v="Employed"/>
    <n v="102835"/>
    <n v="383"/>
    <n v="78015"/>
    <n v="16.239999999999998"/>
    <n v="48"/>
    <s v="Business"/>
    <n v="19.34"/>
    <n v="18729"/>
    <n v="41475"/>
    <x v="682"/>
    <s v="Pending"/>
    <s v="No"/>
    <x v="0"/>
    <x v="1618"/>
    <x v="1620"/>
    <n v="139"/>
    <n v="118"/>
    <n v="0.35149999999999998"/>
    <n v="19766221"/>
    <n v="52016.371052631577"/>
    <n v="99664"/>
    <n v="5091"/>
    <n v="509551.36999999994"/>
    <n v="1340.9246578947366"/>
    <n v="0.35149999999999998"/>
    <n v="97854780.400000021"/>
    <x v="1"/>
    <n v="22671.119999999999"/>
  </r>
  <r>
    <s v="LN01622"/>
    <x v="1621"/>
    <n v="43"/>
    <s v="Male"/>
    <s v="Divorced"/>
    <s v="Self-Employed"/>
    <n v="98937"/>
    <n v="644"/>
    <n v="37587"/>
    <n v="12.68"/>
    <n v="60"/>
    <s v="Education"/>
    <n v="55.73"/>
    <n v="37093"/>
    <n v="111278"/>
    <x v="975"/>
    <s v="Pending"/>
    <s v="Yes"/>
    <x v="0"/>
    <x v="1619"/>
    <x v="1621"/>
    <n v="139"/>
    <n v="118"/>
    <n v="0.35149999999999998"/>
    <n v="19688206"/>
    <n v="51947.77308707124"/>
    <n v="99664"/>
    <n v="5091"/>
    <n v="507662.10999999993"/>
    <n v="1339.4778627968335"/>
    <n v="0.35149999999999998"/>
    <n v="97345229.030000016"/>
    <x v="1"/>
    <n v="8470.56"/>
  </r>
  <r>
    <s v="LN01623"/>
    <x v="1622"/>
    <n v="37"/>
    <s v="Female"/>
    <s v="Single"/>
    <s v="Employed"/>
    <n v="112513"/>
    <n v="534"/>
    <n v="56989"/>
    <n v="23.26"/>
    <n v="12"/>
    <s v="Education"/>
    <n v="12.35"/>
    <n v="53105"/>
    <n v="163336"/>
    <x v="354"/>
    <s v="Approved"/>
    <s v="Yes"/>
    <x v="3"/>
    <x v="1620"/>
    <x v="1622"/>
    <n v="139"/>
    <n v="118"/>
    <n v="0.35149999999999998"/>
    <n v="19650619"/>
    <n v="51985.764550264554"/>
    <n v="99664"/>
    <n v="5091"/>
    <n v="506956.22999999992"/>
    <n v="1341.1540476190473"/>
    <n v="0.35149999999999998"/>
    <n v="96837566.920000017"/>
    <x v="1"/>
    <n v="70244.639999999999"/>
  </r>
  <r>
    <s v="LN01624"/>
    <x v="1623"/>
    <n v="52"/>
    <s v="Male"/>
    <s v="Divorced"/>
    <s v="Self-Employed"/>
    <n v="36966"/>
    <n v="508"/>
    <n v="36185"/>
    <n v="16.010000000000002"/>
    <n v="240"/>
    <s v="Education"/>
    <n v="44.37"/>
    <n v="59262"/>
    <n v="240462"/>
    <x v="800"/>
    <s v="Pending"/>
    <s v="No"/>
    <x v="2"/>
    <x v="1621"/>
    <x v="1623"/>
    <n v="138"/>
    <n v="118"/>
    <n v="0.35149999999999998"/>
    <n v="19593630"/>
    <n v="51972.493368700263"/>
    <n v="99664"/>
    <n v="5091"/>
    <n v="501102.51"/>
    <n v="1329.1843766578249"/>
    <n v="0.35149999999999998"/>
    <n v="96330610.690000013"/>
    <x v="0"/>
    <n v="2098.92"/>
  </r>
  <r>
    <s v="LN01625"/>
    <x v="1624"/>
    <n v="65"/>
    <s v="Female"/>
    <s v="Divorced"/>
    <s v="Employed"/>
    <n v="146244"/>
    <n v="455"/>
    <n v="65796"/>
    <n v="19.05"/>
    <n v="360"/>
    <s v="Personal"/>
    <n v="43.46"/>
    <n v="22916"/>
    <n v="213194"/>
    <x v="940"/>
    <s v="Approved"/>
    <s v="Yes"/>
    <x v="4"/>
    <x v="1622"/>
    <x v="1624"/>
    <n v="138"/>
    <n v="118"/>
    <n v="0.35149999999999998"/>
    <n v="19557445"/>
    <n v="52014.481382978724"/>
    <n v="99664"/>
    <n v="5091"/>
    <n v="500927.6"/>
    <n v="1332.2542553191488"/>
    <n v="0.35149999999999998"/>
    <n v="95829508.180000007"/>
    <x v="1"/>
    <n v="2610.96"/>
  </r>
  <r>
    <s v="LN01626"/>
    <x v="1625"/>
    <n v="44"/>
    <s v="Male"/>
    <s v="Married"/>
    <s v="Employed"/>
    <n v="68748"/>
    <n v="525"/>
    <n v="65632"/>
    <n v="8.0299999999999994"/>
    <n v="240"/>
    <s v="Business"/>
    <n v="12.12"/>
    <n v="26624"/>
    <n v="11894"/>
    <x v="303"/>
    <s v="Pending"/>
    <s v="No"/>
    <x v="1"/>
    <x v="1623"/>
    <x v="1625"/>
    <n v="137"/>
    <n v="118"/>
    <n v="0.35149999999999998"/>
    <n v="19491649"/>
    <n v="51977.73066666667"/>
    <n v="99664"/>
    <n v="5091"/>
    <n v="500710.02"/>
    <n v="1335.2267200000001"/>
    <n v="0.35149999999999998"/>
    <n v="95328580.579999998"/>
    <x v="1"/>
    <n v="3545.16"/>
  </r>
  <r>
    <s v="LN01627"/>
    <x v="1626"/>
    <n v="63"/>
    <s v="Female"/>
    <s v="Single"/>
    <s v="Unemployed"/>
    <n v="185336"/>
    <n v="319"/>
    <n v="39430"/>
    <n v="5.63"/>
    <n v="180"/>
    <s v="Auto"/>
    <n v="6.05"/>
    <n v="37019"/>
    <n v="109793"/>
    <x v="874"/>
    <s v="Approved"/>
    <s v="No"/>
    <x v="3"/>
    <x v="1624"/>
    <x v="1626"/>
    <n v="137"/>
    <n v="118"/>
    <n v="0.35149999999999998"/>
    <n v="19426017"/>
    <n v="51941.221925133686"/>
    <n v="99664"/>
    <n v="5091"/>
    <n v="500414.59"/>
    <n v="1338.0069251336899"/>
    <n v="0.35149999999999998"/>
    <n v="94827870.560000002"/>
    <x v="1"/>
    <n v="2776.68"/>
  </r>
  <r>
    <s v="LN01628"/>
    <x v="1627"/>
    <n v="41"/>
    <s v="Female"/>
    <s v="Single"/>
    <s v="Self-Employed"/>
    <n v="67785"/>
    <n v="356"/>
    <n v="54234"/>
    <n v="3.98"/>
    <n v="360"/>
    <s v="Business"/>
    <n v="25.47"/>
    <n v="13975"/>
    <n v="196911"/>
    <x v="976"/>
    <s v="Rejected"/>
    <s v="No"/>
    <x v="1"/>
    <x v="1625"/>
    <x v="1627"/>
    <n v="136"/>
    <n v="118"/>
    <n v="0.35149999999999998"/>
    <n v="19386587"/>
    <n v="51974.764075067025"/>
    <n v="99664"/>
    <n v="5091"/>
    <n v="500183.2"/>
    <n v="1340.9737265415549"/>
    <n v="0.35149999999999998"/>
    <n v="94327455.969999999"/>
    <x v="1"/>
    <n v="1879.8000000000002"/>
  </r>
  <r>
    <s v="LN01629"/>
    <x v="1628"/>
    <n v="60"/>
    <s v="Male"/>
    <s v="Married"/>
    <s v="Self-Employed"/>
    <n v="40586"/>
    <n v="818"/>
    <n v="92011"/>
    <n v="11.14"/>
    <n v="24"/>
    <s v="Education"/>
    <n v="6.38"/>
    <n v="35991"/>
    <n v="137548"/>
    <x v="608"/>
    <s v="Approved"/>
    <s v="No"/>
    <x v="0"/>
    <x v="1626"/>
    <x v="1628"/>
    <n v="136"/>
    <n v="117"/>
    <n v="0.35149999999999998"/>
    <n v="19332353"/>
    <n v="51968.690860215051"/>
    <n v="99664"/>
    <n v="5091"/>
    <n v="500026.55000000005"/>
    <n v="1344.1573924731183"/>
    <n v="0.35149999999999998"/>
    <n v="93827272.769999996"/>
    <x v="1"/>
    <n v="51130.559999999998"/>
  </r>
  <r>
    <s v="LN01630"/>
    <x v="1629"/>
    <n v="40"/>
    <s v="Male"/>
    <s v="Married"/>
    <s v="Unemployed"/>
    <n v="124546"/>
    <n v="504"/>
    <n v="48418"/>
    <n v="19.079999999999998"/>
    <n v="120"/>
    <s v="Mortgage"/>
    <n v="26.13"/>
    <n v="7717"/>
    <n v="68640"/>
    <x v="977"/>
    <s v="Rejected"/>
    <s v="Yes"/>
    <x v="3"/>
    <x v="1627"/>
    <x v="1629"/>
    <n v="135"/>
    <n v="117"/>
    <n v="0.35149999999999998"/>
    <n v="19240342"/>
    <n v="51860.760107816714"/>
    <n v="99664"/>
    <n v="5091"/>
    <n v="495765.67000000004"/>
    <n v="1336.2956064690029"/>
    <n v="0.35149999999999998"/>
    <n v="93327246.219999999"/>
    <x v="1"/>
    <n v="5765.64"/>
  </r>
  <r>
    <s v="LN01631"/>
    <x v="1630"/>
    <n v="47"/>
    <s v="Female"/>
    <s v="Single"/>
    <s v="Unemployed"/>
    <n v="161787"/>
    <n v="438"/>
    <n v="57708"/>
    <n v="11.59"/>
    <n v="48"/>
    <s v="Business"/>
    <n v="47.97"/>
    <n v="25958"/>
    <n v="143844"/>
    <x v="592"/>
    <s v="Approved"/>
    <s v="Yes"/>
    <x v="4"/>
    <x v="1628"/>
    <x v="1630"/>
    <n v="135"/>
    <n v="116"/>
    <n v="0.35149999999999998"/>
    <n v="19191924"/>
    <n v="51870.064864864864"/>
    <n v="99664"/>
    <n v="5091"/>
    <n v="495285.2"/>
    <n v="1338.6086486486486"/>
    <n v="0.35149999999999998"/>
    <n v="92831480.549999982"/>
    <x v="1"/>
    <n v="16099.079999999998"/>
  </r>
  <r>
    <s v="LN01632"/>
    <x v="1631"/>
    <n v="42"/>
    <s v="Female"/>
    <s v="Divorced"/>
    <s v="Self-Employed"/>
    <n v="121601"/>
    <n v="346"/>
    <n v="33127"/>
    <n v="6.2"/>
    <n v="360"/>
    <s v="Personal"/>
    <n v="30.85"/>
    <n v="67112"/>
    <n v="124077"/>
    <x v="384"/>
    <s v="Pending"/>
    <s v="No"/>
    <x v="4"/>
    <x v="1629"/>
    <x v="1631"/>
    <n v="134"/>
    <n v="116"/>
    <n v="0.35149999999999998"/>
    <n v="19134216"/>
    <n v="51854.243902439026"/>
    <n v="99664"/>
    <n v="5091"/>
    <n v="493943.61000000004"/>
    <n v="1338.6005691056912"/>
    <n v="0.35149999999999998"/>
    <n v="92336195.349999994"/>
    <x v="1"/>
    <n v="1172.6399999999999"/>
  </r>
  <r>
    <s v="LN01633"/>
    <x v="1632"/>
    <n v="62"/>
    <s v="Male"/>
    <s v="Married"/>
    <s v="Self-Employed"/>
    <n v="20423"/>
    <n v="730"/>
    <n v="9585"/>
    <n v="5.96"/>
    <n v="240"/>
    <s v="Education"/>
    <n v="51.62"/>
    <n v="55728"/>
    <n v="23075"/>
    <x v="978"/>
    <s v="Pending"/>
    <s v="Yes"/>
    <x v="2"/>
    <x v="1630"/>
    <x v="1632"/>
    <n v="134"/>
    <n v="116"/>
    <n v="0.35149999999999998"/>
    <n v="19101089"/>
    <n v="51905.133152173912"/>
    <n v="99664"/>
    <n v="5091"/>
    <n v="493845.89"/>
    <n v="1341.972527173913"/>
    <n v="0.35149999999999998"/>
    <n v="91842251.739999995"/>
    <x v="1"/>
    <n v="507.84000000000003"/>
  </r>
  <r>
    <s v="LN01634"/>
    <x v="1633"/>
    <n v="25"/>
    <s v="Male"/>
    <s v="Divorced"/>
    <s v="Unemployed"/>
    <n v="119708"/>
    <n v="417"/>
    <n v="78599"/>
    <n v="4.74"/>
    <n v="360"/>
    <s v="Mortgage"/>
    <n v="51.95"/>
    <n v="23216"/>
    <n v="182305"/>
    <x v="2"/>
    <s v="Rejected"/>
    <s v="Yes"/>
    <x v="2"/>
    <x v="1631"/>
    <x v="1633"/>
    <n v="134"/>
    <n v="116"/>
    <n v="0.35149999999999998"/>
    <n v="19091504"/>
    <n v="52020.446866485014"/>
    <n v="99664"/>
    <n v="5091"/>
    <n v="493803.57"/>
    <n v="1345.5138147138964"/>
    <n v="0.35149999999999998"/>
    <n v="91348405.849999994"/>
    <x v="1"/>
    <n v="2744.16"/>
  </r>
  <r>
    <s v="LN01635"/>
    <x v="1634"/>
    <n v="33"/>
    <s v="Male"/>
    <s v="Married"/>
    <s v="Unemployed"/>
    <n v="190242"/>
    <n v="443"/>
    <n v="41030"/>
    <n v="21.78"/>
    <n v="24"/>
    <s v="Mortgage"/>
    <n v="6.28"/>
    <n v="39024"/>
    <n v="212501"/>
    <x v="979"/>
    <s v="Rejected"/>
    <s v="No"/>
    <x v="2"/>
    <x v="1632"/>
    <x v="1634"/>
    <n v="134"/>
    <n v="115"/>
    <n v="0.35149999999999998"/>
    <n v="19012905"/>
    <n v="51947.827868852459"/>
    <n v="99664"/>
    <n v="5091"/>
    <n v="493574.89"/>
    <n v="1348.5652732240437"/>
    <n v="0.35149999999999998"/>
    <n v="90854602.280000016"/>
    <x v="1"/>
    <n v="24983.159999999996"/>
  </r>
  <r>
    <s v="LN01636"/>
    <x v="1635"/>
    <n v="54"/>
    <s v="Male"/>
    <s v="Single"/>
    <s v="Employed"/>
    <n v="58879"/>
    <n v="848"/>
    <n v="49654"/>
    <n v="5.71"/>
    <n v="24"/>
    <s v="Business"/>
    <n v="55.49"/>
    <n v="19603"/>
    <n v="21232"/>
    <x v="432"/>
    <s v="Rejected"/>
    <s v="No"/>
    <x v="3"/>
    <x v="1633"/>
    <x v="1635"/>
    <n v="134"/>
    <n v="114"/>
    <n v="0.35149999999999998"/>
    <n v="18971875"/>
    <n v="51977.739726027394"/>
    <n v="99664"/>
    <n v="5091"/>
    <n v="491492.96000000008"/>
    <n v="1346.5560547945208"/>
    <n v="0.35149999999999998"/>
    <n v="90361027.390000001"/>
    <x v="1"/>
    <n v="26244.600000000002"/>
  </r>
  <r>
    <s v="LN01637"/>
    <x v="1636"/>
    <n v="35"/>
    <s v="Female"/>
    <s v="Single"/>
    <s v="Self-Employed"/>
    <n v="154061"/>
    <n v="720"/>
    <n v="89272"/>
    <n v="23.48"/>
    <n v="12"/>
    <s v="Auto"/>
    <n v="50.76"/>
    <n v="66233"/>
    <n v="20453"/>
    <x v="980"/>
    <s v="Rejected"/>
    <s v="No"/>
    <x v="4"/>
    <x v="1634"/>
    <x v="1636"/>
    <n v="134"/>
    <n v="113"/>
    <n v="0.35149999999999998"/>
    <n v="18922221"/>
    <n v="51984.123626373628"/>
    <n v="99664"/>
    <n v="5091"/>
    <n v="489305.91000000009"/>
    <n v="1344.2470054945059"/>
    <n v="0.35149999999999998"/>
    <n v="89869534.430000007"/>
    <x v="1"/>
    <n v="110233.08"/>
  </r>
  <r>
    <s v="LN01638"/>
    <x v="1637"/>
    <n v="54"/>
    <s v="Female"/>
    <s v="Divorced"/>
    <s v="Employed"/>
    <n v="155897"/>
    <n v="436"/>
    <n v="39055"/>
    <n v="12.99"/>
    <n v="48"/>
    <s v="Personal"/>
    <n v="43.23"/>
    <n v="1577"/>
    <n v="162329"/>
    <x v="72"/>
    <s v="Approved"/>
    <s v="Yes"/>
    <x v="0"/>
    <x v="1635"/>
    <x v="1637"/>
    <n v="134"/>
    <n v="112"/>
    <n v="0.35149999999999998"/>
    <n v="18832949"/>
    <n v="51881.402203856749"/>
    <n v="99664"/>
    <n v="5091"/>
    <n v="480119.82"/>
    <n v="1322.6441322314049"/>
    <n v="0.35149999999999998"/>
    <n v="89380228.519999996"/>
    <x v="0"/>
    <n v="11032.08"/>
  </r>
  <r>
    <s v="LN01639"/>
    <x v="1638"/>
    <n v="41"/>
    <s v="Male"/>
    <s v="Single"/>
    <s v="Unemployed"/>
    <n v="55006"/>
    <n v="421"/>
    <n v="29649"/>
    <n v="15.62"/>
    <n v="48"/>
    <s v="Business"/>
    <n v="41.8"/>
    <n v="76488"/>
    <n v="80594"/>
    <x v="656"/>
    <s v="Approved"/>
    <s v="Yes"/>
    <x v="1"/>
    <x v="1636"/>
    <x v="1638"/>
    <n v="133"/>
    <n v="112"/>
    <n v="0.35149999999999998"/>
    <n v="18793894"/>
    <n v="51916.834254143643"/>
    <n v="99664"/>
    <n v="5091"/>
    <n v="479200.48"/>
    <n v="1323.7582320441988"/>
    <n v="0.35149999999999998"/>
    <n v="88900108.699999988"/>
    <x v="1"/>
    <n v="8570.0399999999991"/>
  </r>
  <r>
    <s v="LN01640"/>
    <x v="1639"/>
    <n v="29"/>
    <s v="Female"/>
    <s v="Divorced"/>
    <s v="Self-Employed"/>
    <n v="39167"/>
    <n v="792"/>
    <n v="46976"/>
    <n v="18.91"/>
    <n v="120"/>
    <s v="Personal"/>
    <n v="35.909999999999997"/>
    <n v="60302"/>
    <n v="176182"/>
    <x v="718"/>
    <s v="Pending"/>
    <s v="Yes"/>
    <x v="1"/>
    <x v="1637"/>
    <x v="1639"/>
    <n v="132"/>
    <n v="112"/>
    <n v="0.35149999999999998"/>
    <n v="18764245"/>
    <n v="51978.518005540165"/>
    <n v="99664"/>
    <n v="5091"/>
    <n v="478486.31"/>
    <n v="1325.4468421052632"/>
    <n v="0.35149999999999998"/>
    <n v="88420908.219999984"/>
    <x v="1"/>
    <n v="5585.88"/>
  </r>
  <r>
    <s v="LN01641"/>
    <x v="1640"/>
    <n v="55"/>
    <s v="Female"/>
    <s v="Married"/>
    <s v="Unemployed"/>
    <n v="92913"/>
    <n v="327"/>
    <n v="70234"/>
    <n v="5.22"/>
    <n v="240"/>
    <s v="Business"/>
    <n v="55.08"/>
    <n v="27186"/>
    <n v="26355"/>
    <x v="288"/>
    <s v="Pending"/>
    <s v="No"/>
    <x v="2"/>
    <x v="1638"/>
    <x v="1640"/>
    <n v="132"/>
    <n v="112"/>
    <n v="0.35149999999999998"/>
    <n v="18717269"/>
    <n v="51992.413888888892"/>
    <n v="99664"/>
    <n v="5091"/>
    <n v="478020.82"/>
    <n v="1327.8356111111111"/>
    <n v="0.35149999999999998"/>
    <n v="87942421.909999996"/>
    <x v="1"/>
    <n v="3695.04"/>
  </r>
  <r>
    <s v="LN01642"/>
    <x v="1641"/>
    <n v="56"/>
    <s v="Female"/>
    <s v="Divorced"/>
    <s v="Employed"/>
    <n v="161749"/>
    <n v="574"/>
    <n v="88009"/>
    <n v="12.51"/>
    <n v="360"/>
    <s v="Education"/>
    <n v="20.99"/>
    <n v="806"/>
    <n v="4522"/>
    <x v="951"/>
    <s v="Rejected"/>
    <s v="Yes"/>
    <x v="0"/>
    <x v="1639"/>
    <x v="1641"/>
    <n v="132"/>
    <n v="112"/>
    <n v="0.35149999999999998"/>
    <n v="18647035"/>
    <n v="51941.601671309196"/>
    <n v="99664"/>
    <n v="5091"/>
    <n v="477712.9"/>
    <n v="1330.6766016713093"/>
    <n v="0.35149999999999998"/>
    <n v="87464401.090000004"/>
    <x v="1"/>
    <n v="3300.6000000000004"/>
  </r>
  <r>
    <s v="LN01643"/>
    <x v="1642"/>
    <n v="23"/>
    <s v="Male"/>
    <s v="Divorced"/>
    <s v="Self-Employed"/>
    <n v="188706"/>
    <n v="570"/>
    <n v="55570"/>
    <n v="13"/>
    <n v="240"/>
    <s v="Education"/>
    <n v="9.0500000000000007"/>
    <n v="16122"/>
    <n v="26769"/>
    <x v="981"/>
    <s v="Approved"/>
    <s v="No"/>
    <x v="4"/>
    <x v="1640"/>
    <x v="1642"/>
    <n v="132"/>
    <n v="111"/>
    <n v="0.35149999999999998"/>
    <n v="18559026"/>
    <n v="51840.854748603349"/>
    <n v="99664"/>
    <n v="5091"/>
    <n v="477437.85"/>
    <n v="1333.6252793296089"/>
    <n v="0.35149999999999998"/>
    <n v="86986688.189999983"/>
    <x v="1"/>
    <n v="3139.68"/>
  </r>
  <r>
    <s v="LN01644"/>
    <x v="1643"/>
    <n v="31"/>
    <s v="Male"/>
    <s v="Married"/>
    <s v="Employed"/>
    <n v="105991"/>
    <n v="729"/>
    <n v="56980"/>
    <n v="13.55"/>
    <n v="24"/>
    <s v="Education"/>
    <n v="15.71"/>
    <n v="20980"/>
    <n v="229618"/>
    <x v="665"/>
    <s v="Rejected"/>
    <s v="Yes"/>
    <x v="0"/>
    <x v="1641"/>
    <x v="1643"/>
    <n v="131"/>
    <n v="111"/>
    <n v="0.35149999999999998"/>
    <n v="18503456"/>
    <n v="51830.408963585433"/>
    <n v="99664"/>
    <n v="5091"/>
    <n v="477176.21"/>
    <n v="1336.6280392156864"/>
    <n v="0.35149999999999998"/>
    <n v="86509250.339999989"/>
    <x v="1"/>
    <n v="32350.44"/>
  </r>
  <r>
    <s v="LN01645"/>
    <x v="1644"/>
    <n v="34"/>
    <s v="Male"/>
    <s v="Single"/>
    <s v="Employed"/>
    <n v="101569"/>
    <n v="421"/>
    <n v="7801"/>
    <n v="3.64"/>
    <n v="12"/>
    <s v="Auto"/>
    <n v="59.5"/>
    <n v="41054"/>
    <n v="161648"/>
    <x v="377"/>
    <s v="Pending"/>
    <s v="No"/>
    <x v="4"/>
    <x v="1642"/>
    <x v="1644"/>
    <n v="131"/>
    <n v="110"/>
    <n v="0.35149999999999998"/>
    <n v="18446476"/>
    <n v="51815.943820224718"/>
    <n v="99664"/>
    <n v="5091"/>
    <n v="474480.34"/>
    <n v="1332.8099438202248"/>
    <n v="0.35149999999999998"/>
    <n v="86032074.129999995"/>
    <x v="1"/>
    <n v="8085"/>
  </r>
  <r>
    <s v="LN01646"/>
    <x v="1645"/>
    <n v="26"/>
    <s v="Female"/>
    <s v="Single"/>
    <s v="Self-Employed"/>
    <n v="126353"/>
    <n v="774"/>
    <n v="36254"/>
    <n v="19.41"/>
    <n v="36"/>
    <s v="Mortgage"/>
    <n v="10.24"/>
    <n v="14541"/>
    <n v="59041"/>
    <x v="982"/>
    <s v="Approved"/>
    <s v="Yes"/>
    <x v="1"/>
    <x v="1643"/>
    <x v="1645"/>
    <n v="131"/>
    <n v="110"/>
    <n v="0.35149999999999998"/>
    <n v="18438675"/>
    <n v="51939.929577464791"/>
    <n v="99664"/>
    <n v="5091"/>
    <n v="473806.59"/>
    <n v="1334.6664507042253"/>
    <n v="0.35149999999999998"/>
    <n v="85557593.789999992"/>
    <x v="0"/>
    <n v="14430.36"/>
  </r>
  <r>
    <s v="LN01647"/>
    <x v="1646"/>
    <n v="50"/>
    <s v="Female"/>
    <s v="Married"/>
    <s v="Unemployed"/>
    <n v="109814"/>
    <n v="418"/>
    <n v="28099"/>
    <n v="11.51"/>
    <n v="180"/>
    <s v="Auto"/>
    <n v="34.520000000000003"/>
    <n v="39738"/>
    <n v="159504"/>
    <x v="983"/>
    <s v="Approved"/>
    <s v="Yes"/>
    <x v="2"/>
    <x v="1644"/>
    <x v="1646"/>
    <n v="130"/>
    <n v="110"/>
    <n v="0.35149999999999998"/>
    <n v="18402421"/>
    <n v="51984.240112994354"/>
    <n v="99664"/>
    <n v="5091"/>
    <n v="472604.06"/>
    <n v="1335.0397175141243"/>
    <n v="0.35149999999999998"/>
    <n v="85083787.199999988"/>
    <x v="1"/>
    <n v="2088.84"/>
  </r>
  <r>
    <s v="LN01648"/>
    <x v="1647"/>
    <n v="61"/>
    <s v="Female"/>
    <s v="Single"/>
    <s v="Self-Employed"/>
    <n v="179461"/>
    <n v="799"/>
    <n v="21860"/>
    <n v="22.14"/>
    <n v="24"/>
    <s v="Mortgage"/>
    <n v="54.01"/>
    <n v="66885"/>
    <n v="249280"/>
    <x v="693"/>
    <s v="Pending"/>
    <s v="No"/>
    <x v="2"/>
    <x v="1645"/>
    <x v="1647"/>
    <n v="129"/>
    <n v="110"/>
    <n v="0.35149999999999998"/>
    <n v="18374322"/>
    <n v="52051.903682719545"/>
    <n v="99664"/>
    <n v="5091"/>
    <n v="472429.99"/>
    <n v="1338.3285835694051"/>
    <n v="0.35149999999999998"/>
    <n v="84611183.140000001"/>
    <x v="1"/>
    <n v="13349.880000000001"/>
  </r>
  <r>
    <s v="LN01649"/>
    <x v="1648"/>
    <n v="35"/>
    <s v="Female"/>
    <s v="Married"/>
    <s v="Unemployed"/>
    <n v="139226"/>
    <n v="479"/>
    <n v="64169"/>
    <n v="21.42"/>
    <n v="36"/>
    <s v="Business"/>
    <n v="41.61"/>
    <n v="47916"/>
    <n v="62306"/>
    <x v="984"/>
    <s v="Approved"/>
    <s v="Yes"/>
    <x v="2"/>
    <x v="1646"/>
    <x v="1648"/>
    <n v="129"/>
    <n v="110"/>
    <n v="0.35149999999999998"/>
    <n v="18352462"/>
    <n v="52137.67613636364"/>
    <n v="99664"/>
    <n v="5091"/>
    <n v="471317.5"/>
    <n v="1338.9701704545455"/>
    <n v="0.35149999999999998"/>
    <n v="84138753.150000006"/>
    <x v="1"/>
    <n v="25971.360000000001"/>
  </r>
  <r>
    <s v="LN01650"/>
    <x v="1649"/>
    <n v="33"/>
    <s v="Male"/>
    <s v="Divorced"/>
    <s v="Self-Employed"/>
    <n v="69815"/>
    <n v="433"/>
    <n v="21499"/>
    <n v="13.29"/>
    <n v="180"/>
    <s v="Personal"/>
    <n v="50.21"/>
    <n v="41009"/>
    <n v="38398"/>
    <x v="350"/>
    <s v="Rejected"/>
    <s v="No"/>
    <x v="4"/>
    <x v="1647"/>
    <x v="1649"/>
    <n v="128"/>
    <n v="110"/>
    <n v="0.35149999999999998"/>
    <n v="18288293"/>
    <n v="52103.398860398862"/>
    <n v="99664"/>
    <n v="5091"/>
    <n v="469153.22000000003"/>
    <n v="1336.6188603988605"/>
    <n v="0.35149999999999998"/>
    <n v="83667435.650000006"/>
    <x v="1"/>
    <n v="1623.72"/>
  </r>
  <r>
    <s v="LN01651"/>
    <x v="1650"/>
    <n v="53"/>
    <s v="Male"/>
    <s v="Divorced"/>
    <s v="Employed"/>
    <n v="136174"/>
    <n v="724"/>
    <n v="85969"/>
    <n v="11.93"/>
    <n v="36"/>
    <s v="Education"/>
    <n v="50.52"/>
    <n v="6642"/>
    <n v="9741"/>
    <x v="10"/>
    <s v="Pending"/>
    <s v="No"/>
    <x v="3"/>
    <x v="1648"/>
    <x v="1650"/>
    <n v="128"/>
    <n v="109"/>
    <n v="0.35149999999999998"/>
    <n v="18266794"/>
    <n v="52190.84"/>
    <n v="99664"/>
    <n v="5091"/>
    <n v="469017.91"/>
    <n v="1340.0511714285713"/>
    <n v="0.35149999999999998"/>
    <n v="83198282.429999992"/>
    <x v="1"/>
    <n v="32075.040000000001"/>
  </r>
  <r>
    <s v="LN01652"/>
    <x v="1651"/>
    <n v="58"/>
    <s v="Female"/>
    <s v="Married"/>
    <s v="Unemployed"/>
    <n v="171558"/>
    <n v="691"/>
    <n v="61506"/>
    <n v="23.15"/>
    <n v="48"/>
    <s v="Mortgage"/>
    <n v="57.39"/>
    <n v="47984"/>
    <n v="127993"/>
    <x v="858"/>
    <s v="Approved"/>
    <s v="Yes"/>
    <x v="3"/>
    <x v="1649"/>
    <x v="1651"/>
    <n v="128"/>
    <n v="109"/>
    <n v="0.35149999999999998"/>
    <n v="18180825"/>
    <n v="52094.054441260741"/>
    <n v="99664"/>
    <n v="5091"/>
    <n v="466344.99"/>
    <n v="1336.2320630372492"/>
    <n v="0.35149999999999998"/>
    <n v="82729264.519999981"/>
    <x v="1"/>
    <n v="18936.12"/>
  </r>
  <r>
    <s v="LN01653"/>
    <x v="1652"/>
    <n v="24"/>
    <s v="Female"/>
    <s v="Divorced"/>
    <s v="Self-Employed"/>
    <n v="181248"/>
    <n v="406"/>
    <n v="56746"/>
    <n v="16.52"/>
    <n v="120"/>
    <s v="Personal"/>
    <n v="48.51"/>
    <n v="32909"/>
    <n v="230440"/>
    <x v="985"/>
    <s v="Approved"/>
    <s v="Yes"/>
    <x v="2"/>
    <x v="1650"/>
    <x v="1652"/>
    <n v="127"/>
    <n v="109"/>
    <n v="0.35149999999999998"/>
    <n v="18119319"/>
    <n v="52067.008620689652"/>
    <n v="99664"/>
    <n v="5091"/>
    <n v="464766.98"/>
    <n v="1335.5372988505746"/>
    <n v="0.35149999999999998"/>
    <n v="82262919.529999971"/>
    <x v="1"/>
    <n v="6612"/>
  </r>
  <r>
    <s v="LN01654"/>
    <x v="1653"/>
    <n v="50"/>
    <s v="Male"/>
    <s v="Single"/>
    <s v="Employed"/>
    <n v="109204"/>
    <n v="684"/>
    <n v="29171"/>
    <n v="19.170000000000002"/>
    <n v="36"/>
    <s v="Auto"/>
    <n v="17.920000000000002"/>
    <n v="41500"/>
    <n v="90091"/>
    <x v="243"/>
    <s v="Pending"/>
    <s v="No"/>
    <x v="1"/>
    <x v="1651"/>
    <x v="1653"/>
    <n v="126"/>
    <n v="109"/>
    <n v="0.35149999999999998"/>
    <n v="18062573"/>
    <n v="52053.524495677237"/>
    <n v="99664"/>
    <n v="5091"/>
    <n v="464215.98"/>
    <n v="1337.7982132564841"/>
    <n v="0.35149999999999998"/>
    <n v="81798152.549999967"/>
    <x v="1"/>
    <n v="11587.68"/>
  </r>
  <r>
    <s v="LN01655"/>
    <x v="1654"/>
    <n v="21"/>
    <s v="Female"/>
    <s v="Married"/>
    <s v="Unemployed"/>
    <n v="116641"/>
    <n v="575"/>
    <n v="20099"/>
    <n v="9.17"/>
    <n v="48"/>
    <s v="Business"/>
    <n v="25.72"/>
    <n v="10145"/>
    <n v="164480"/>
    <x v="638"/>
    <s v="Approved"/>
    <s v="No"/>
    <x v="1"/>
    <x v="1652"/>
    <x v="1654"/>
    <n v="126"/>
    <n v="109"/>
    <n v="0.35149999999999998"/>
    <n v="18033402"/>
    <n v="52119.65895953757"/>
    <n v="99664"/>
    <n v="5091"/>
    <n v="463250.33999999997"/>
    <n v="1338.8738150289016"/>
    <n v="0.35149999999999998"/>
    <n v="81333936.569999963"/>
    <x v="1"/>
    <n v="5485.5599999999995"/>
  </r>
  <r>
    <s v="LN01656"/>
    <x v="1655"/>
    <n v="31"/>
    <s v="Female"/>
    <s v="Married"/>
    <s v="Self-Employed"/>
    <n v="159967"/>
    <n v="620"/>
    <n v="42904"/>
    <n v="18.48"/>
    <n v="12"/>
    <s v="Business"/>
    <n v="14.6"/>
    <n v="34556"/>
    <n v="164407"/>
    <x v="872"/>
    <s v="Rejected"/>
    <s v="No"/>
    <x v="3"/>
    <x v="1653"/>
    <x v="1655"/>
    <n v="125"/>
    <n v="109"/>
    <n v="0.35149999999999998"/>
    <n v="18013303"/>
    <n v="52212.472463768114"/>
    <n v="99664"/>
    <n v="5091"/>
    <n v="462793.20999999996"/>
    <n v="1341.4295942028984"/>
    <n v="0.35149999999999998"/>
    <n v="80870686.229999945"/>
    <x v="1"/>
    <n v="50832.600000000006"/>
  </r>
  <r>
    <s v="LN01657"/>
    <x v="1656"/>
    <n v="33"/>
    <s v="Male"/>
    <s v="Divorced"/>
    <s v="Unemployed"/>
    <n v="150955"/>
    <n v="611"/>
    <n v="31366"/>
    <n v="15.79"/>
    <n v="60"/>
    <s v="Mortgage"/>
    <n v="57.94"/>
    <n v="54451"/>
    <n v="244816"/>
    <x v="986"/>
    <s v="Approved"/>
    <s v="No"/>
    <x v="0"/>
    <x v="1654"/>
    <x v="1656"/>
    <n v="125"/>
    <n v="108"/>
    <n v="0.35149999999999998"/>
    <n v="17970399"/>
    <n v="52239.531976744183"/>
    <n v="99664"/>
    <n v="5091"/>
    <n v="458557.15999999992"/>
    <n v="1333.0149999999996"/>
    <n v="0.35149999999999998"/>
    <n v="80407893.019999951"/>
    <x v="0"/>
    <n v="7263.7199999999993"/>
  </r>
  <r>
    <s v="LN01658"/>
    <x v="1657"/>
    <n v="26"/>
    <s v="Female"/>
    <s v="Divorced"/>
    <s v="Employed"/>
    <n v="67927"/>
    <n v="465"/>
    <n v="39835"/>
    <n v="11.26"/>
    <n v="60"/>
    <s v="Mortgage"/>
    <n v="40.590000000000003"/>
    <n v="15497"/>
    <n v="217380"/>
    <x v="987"/>
    <s v="Rejected"/>
    <s v="Yes"/>
    <x v="1"/>
    <x v="1655"/>
    <x v="1657"/>
    <n v="124"/>
    <n v="108"/>
    <n v="0.35149999999999998"/>
    <n v="17939033"/>
    <n v="52300.387755102041"/>
    <n v="99664"/>
    <n v="5091"/>
    <n v="457951.84999999992"/>
    <n v="1335.1365889212825"/>
    <n v="0.35149999999999998"/>
    <n v="79949335.85999994"/>
    <x v="1"/>
    <n v="8864.0399999999991"/>
  </r>
  <r>
    <s v="LN01659"/>
    <x v="1658"/>
    <n v="41"/>
    <s v="Female"/>
    <s v="Married"/>
    <s v="Self-Employed"/>
    <n v="77225"/>
    <n v="571"/>
    <n v="32818"/>
    <n v="13.32"/>
    <n v="180"/>
    <s v="Auto"/>
    <n v="9.91"/>
    <n v="19200"/>
    <n v="156158"/>
    <x v="988"/>
    <s v="Approved"/>
    <s v="No"/>
    <x v="4"/>
    <x v="1656"/>
    <x v="1658"/>
    <n v="124"/>
    <n v="107"/>
    <n v="0.35149999999999998"/>
    <n v="17899198"/>
    <n v="52336.836257309944"/>
    <n v="99664"/>
    <n v="5091"/>
    <n v="457213.17999999988"/>
    <n v="1336.8806432748534"/>
    <n v="0.35149999999999998"/>
    <n v="79491384.009999946"/>
    <x v="1"/>
    <n v="2479.3200000000002"/>
  </r>
  <r>
    <s v="LN01660"/>
    <x v="1659"/>
    <n v="23"/>
    <s v="Male"/>
    <s v="Married"/>
    <s v="Unemployed"/>
    <n v="149471"/>
    <n v="309"/>
    <n v="38534"/>
    <n v="6.89"/>
    <n v="360"/>
    <s v="Auto"/>
    <n v="6.15"/>
    <n v="58466"/>
    <n v="218976"/>
    <x v="989"/>
    <s v="Pending"/>
    <s v="Yes"/>
    <x v="3"/>
    <x v="1657"/>
    <x v="1659"/>
    <n v="123"/>
    <n v="107"/>
    <n v="0.35149999999999998"/>
    <n v="17866380"/>
    <n v="52394.076246334313"/>
    <n v="99664"/>
    <n v="5091"/>
    <n v="457006.56999999989"/>
    <n v="1340.1952199413486"/>
    <n v="0.35149999999999998"/>
    <n v="79034170.829999939"/>
    <x v="1"/>
    <n v="1372.92"/>
  </r>
  <r>
    <s v="LN01661"/>
    <x v="1660"/>
    <n v="29"/>
    <s v="Female"/>
    <s v="Married"/>
    <s v="Employed"/>
    <n v="110577"/>
    <n v="505"/>
    <n v="73294"/>
    <n v="11.32"/>
    <n v="60"/>
    <s v="Education"/>
    <n v="19.78"/>
    <n v="68910"/>
    <n v="64599"/>
    <x v="275"/>
    <s v="Pending"/>
    <s v="Yes"/>
    <x v="0"/>
    <x v="1658"/>
    <x v="1660"/>
    <n v="123"/>
    <n v="107"/>
    <n v="0.35149999999999998"/>
    <n v="17827846"/>
    <n v="52434.841176470589"/>
    <n v="99664"/>
    <n v="5091"/>
    <n v="456892.15999999992"/>
    <n v="1343.8004705882352"/>
    <n v="0.35149999999999998"/>
    <n v="78577164.259999931"/>
    <x v="1"/>
    <n v="16318.199999999999"/>
  </r>
  <r>
    <s v="LN01662"/>
    <x v="1661"/>
    <n v="38"/>
    <s v="Female"/>
    <s v="Single"/>
    <s v="Employed"/>
    <n v="92256"/>
    <n v="696"/>
    <n v="82257"/>
    <n v="18.22"/>
    <n v="120"/>
    <s v="Mortgage"/>
    <n v="33.58"/>
    <n v="49575"/>
    <n v="86947"/>
    <x v="156"/>
    <s v="Pending"/>
    <s v="No"/>
    <x v="3"/>
    <x v="1659"/>
    <x v="1661"/>
    <n v="123"/>
    <n v="107"/>
    <n v="0.35149999999999998"/>
    <n v="17754552"/>
    <n v="52373.309734513277"/>
    <n v="99664"/>
    <n v="5091"/>
    <n v="455532.30999999988"/>
    <n v="1343.7531268436574"/>
    <n v="0.35149999999999998"/>
    <n v="78120272.099999934"/>
    <x v="1"/>
    <n v="9724.44"/>
  </r>
  <r>
    <s v="LN01663"/>
    <x v="1662"/>
    <n v="35"/>
    <s v="Male"/>
    <s v="Single"/>
    <s v="Self-Employed"/>
    <n v="120097"/>
    <n v="659"/>
    <n v="87787"/>
    <n v="14.8"/>
    <n v="60"/>
    <s v="Personal"/>
    <n v="7.61"/>
    <n v="23430"/>
    <n v="170389"/>
    <x v="113"/>
    <s v="Rejected"/>
    <s v="Yes"/>
    <x v="4"/>
    <x v="1660"/>
    <x v="1662"/>
    <n v="123"/>
    <n v="107"/>
    <n v="0.35149999999999998"/>
    <n v="17672295"/>
    <n v="52284.896449704145"/>
    <n v="99664"/>
    <n v="5091"/>
    <n v="454721.93999999989"/>
    <n v="1345.3311834319522"/>
    <n v="0.35149999999999998"/>
    <n v="77664739.789999932"/>
    <x v="1"/>
    <n v="20155.920000000002"/>
  </r>
  <r>
    <s v="LN01664"/>
    <x v="1663"/>
    <n v="58"/>
    <s v="Female"/>
    <s v="Single"/>
    <s v="Unemployed"/>
    <n v="170658"/>
    <n v="545"/>
    <n v="75953"/>
    <n v="12.08"/>
    <n v="60"/>
    <s v="Business"/>
    <n v="33.880000000000003"/>
    <n v="24972"/>
    <n v="135324"/>
    <x v="990"/>
    <s v="Approved"/>
    <s v="Yes"/>
    <x v="0"/>
    <x v="1661"/>
    <x v="1663"/>
    <n v="123"/>
    <n v="106"/>
    <n v="0.35149999999999998"/>
    <n v="17584508"/>
    <n v="52179.548961424334"/>
    <n v="99664"/>
    <n v="5091"/>
    <n v="453042.27999999985"/>
    <n v="1344.3391097922845"/>
    <n v="0.35149999999999998"/>
    <n v="77210017.84999992"/>
    <x v="1"/>
    <n v="17025.599999999999"/>
  </r>
  <r>
    <s v="LN01665"/>
    <x v="1664"/>
    <n v="24"/>
    <s v="Female"/>
    <s v="Married"/>
    <s v="Unemployed"/>
    <n v="58330"/>
    <n v="671"/>
    <n v="71367"/>
    <n v="6.83"/>
    <n v="360"/>
    <s v="Education"/>
    <n v="53.59"/>
    <n v="45910"/>
    <n v="38103"/>
    <x v="991"/>
    <s v="Rejected"/>
    <s v="Yes"/>
    <x v="3"/>
    <x v="1662"/>
    <x v="1664"/>
    <n v="122"/>
    <n v="106"/>
    <n v="0.35149999999999998"/>
    <n v="17508555"/>
    <n v="52108.794642857145"/>
    <n v="99664"/>
    <n v="5091"/>
    <n v="451623.47999999986"/>
    <n v="1344.1174999999996"/>
    <n v="0.35149999999999998"/>
    <n v="76756975.569999903"/>
    <x v="1"/>
    <n v="2541.36"/>
  </r>
  <r>
    <s v="LN01666"/>
    <x v="1665"/>
    <n v="48"/>
    <s v="Male"/>
    <s v="Single"/>
    <s v="Unemployed"/>
    <n v="105546"/>
    <n v="789"/>
    <n v="8226"/>
    <n v="5.51"/>
    <n v="24"/>
    <s v="Auto"/>
    <n v="47"/>
    <n v="45826"/>
    <n v="171860"/>
    <x v="992"/>
    <s v="Pending"/>
    <s v="Yes"/>
    <x v="1"/>
    <x v="1663"/>
    <x v="1665"/>
    <n v="122"/>
    <n v="105"/>
    <n v="0.35149999999999998"/>
    <n v="17437188"/>
    <n v="52051.307462686564"/>
    <n v="99664"/>
    <n v="5091"/>
    <n v="451411.6999999999"/>
    <n v="1347.4976119402982"/>
    <n v="0.35149999999999998"/>
    <n v="76305352.089999914"/>
    <x v="1"/>
    <n v="4339.68"/>
  </r>
  <r>
    <s v="LN01667"/>
    <x v="1666"/>
    <n v="47"/>
    <s v="Female"/>
    <s v="Divorced"/>
    <s v="Employed"/>
    <n v="88986"/>
    <n v="695"/>
    <n v="42084"/>
    <n v="21.12"/>
    <n v="48"/>
    <s v="Mortgage"/>
    <n v="52.42"/>
    <n v="13676"/>
    <n v="2226"/>
    <x v="177"/>
    <s v="Pending"/>
    <s v="No"/>
    <x v="3"/>
    <x v="1664"/>
    <x v="1666"/>
    <n v="122"/>
    <n v="105"/>
    <n v="0.35149999999999998"/>
    <n v="17428962"/>
    <n v="52182.520958083835"/>
    <n v="99664"/>
    <n v="5091"/>
    <n v="451050.05999999988"/>
    <n v="1350.4492814371254"/>
    <n v="0.35149999999999998"/>
    <n v="75853940.389999926"/>
    <x v="1"/>
    <n v="12743.04"/>
  </r>
  <r>
    <s v="LN01668"/>
    <x v="1667"/>
    <n v="27"/>
    <s v="Female"/>
    <s v="Divorced"/>
    <s v="Employed"/>
    <n v="40159"/>
    <n v="415"/>
    <n v="18471"/>
    <n v="9.6300000000000008"/>
    <n v="360"/>
    <s v="Business"/>
    <n v="16.63"/>
    <n v="27655"/>
    <n v="242796"/>
    <x v="205"/>
    <s v="Rejected"/>
    <s v="No"/>
    <x v="1"/>
    <x v="1665"/>
    <x v="1667"/>
    <n v="122"/>
    <n v="105"/>
    <n v="0.35149999999999998"/>
    <n v="17386878"/>
    <n v="52212.846846846849"/>
    <n v="99664"/>
    <n v="5091"/>
    <n v="449988.1399999999"/>
    <n v="1351.3157357357354"/>
    <n v="0.35149999999999998"/>
    <n v="75402890.329999924"/>
    <x v="1"/>
    <n v="675"/>
  </r>
  <r>
    <s v="LN01669"/>
    <x v="1668"/>
    <n v="36"/>
    <s v="Female"/>
    <s v="Married"/>
    <s v="Self-Employed"/>
    <n v="75660"/>
    <n v="595"/>
    <n v="50783"/>
    <n v="21.48"/>
    <n v="24"/>
    <s v="Mortgage"/>
    <n v="53.3"/>
    <n v="34971"/>
    <n v="57161"/>
    <x v="14"/>
    <s v="Pending"/>
    <s v="Yes"/>
    <x v="4"/>
    <x v="1666"/>
    <x v="1668"/>
    <n v="122"/>
    <n v="104"/>
    <n v="0.35149999999999998"/>
    <n v="17368407"/>
    <n v="52314.47891566265"/>
    <n v="99664"/>
    <n v="5091"/>
    <n v="449931.8899999999"/>
    <n v="1355.216536144578"/>
    <n v="0.35149999999999998"/>
    <n v="74952902.189999923"/>
    <x v="1"/>
    <n v="30845.64"/>
  </r>
  <r>
    <s v="LN01670"/>
    <x v="1669"/>
    <n v="48"/>
    <s v="Female"/>
    <s v="Married"/>
    <s v="Self-Employed"/>
    <n v="136357"/>
    <n v="312"/>
    <n v="68033"/>
    <n v="20.75"/>
    <n v="180"/>
    <s v="Mortgage"/>
    <n v="35.950000000000003"/>
    <n v="57272"/>
    <n v="46314"/>
    <x v="993"/>
    <s v="Rejected"/>
    <s v="No"/>
    <x v="4"/>
    <x v="1667"/>
    <x v="1669"/>
    <n v="122"/>
    <n v="104"/>
    <n v="0.35149999999999998"/>
    <n v="17317624"/>
    <n v="52319.105740181272"/>
    <n v="99664"/>
    <n v="5091"/>
    <n v="447361.41999999987"/>
    <n v="1351.5450755287004"/>
    <n v="0.35149999999999998"/>
    <n v="74502970.299999923"/>
    <x v="1"/>
    <n v="5476.68"/>
  </r>
  <r>
    <s v="LN01671"/>
    <x v="1670"/>
    <n v="38"/>
    <s v="Male"/>
    <s v="Single"/>
    <s v="Self-Employed"/>
    <n v="165453"/>
    <n v="608"/>
    <n v="53320"/>
    <n v="23.28"/>
    <n v="60"/>
    <s v="Auto"/>
    <n v="11.67"/>
    <n v="75528"/>
    <n v="227354"/>
    <x v="994"/>
    <s v="Rejected"/>
    <s v="No"/>
    <x v="1"/>
    <x v="1668"/>
    <x v="1670"/>
    <n v="122"/>
    <n v="103"/>
    <n v="0.35149999999999998"/>
    <n v="17249591"/>
    <n v="52271.487878787877"/>
    <n v="99664"/>
    <n v="5091"/>
    <n v="446905.02999999985"/>
    <n v="1354.2576666666662"/>
    <n v="0.35149999999999998"/>
    <n v="74055608.879999906"/>
    <x v="1"/>
    <n v="13146.599999999999"/>
  </r>
  <r>
    <s v="LN01672"/>
    <x v="1671"/>
    <n v="58"/>
    <s v="Female"/>
    <s v="Married"/>
    <s v="Unemployed"/>
    <n v="49618"/>
    <n v="695"/>
    <n v="69151"/>
    <n v="8.26"/>
    <n v="60"/>
    <s v="Business"/>
    <n v="47.21"/>
    <n v="15971"/>
    <n v="225583"/>
    <x v="114"/>
    <s v="Pending"/>
    <s v="No"/>
    <x v="4"/>
    <x v="1669"/>
    <x v="1671"/>
    <n v="122"/>
    <n v="102"/>
    <n v="0.35149999999999998"/>
    <n v="17196271"/>
    <n v="52268.300911854101"/>
    <n v="99664"/>
    <n v="5091"/>
    <n v="445809.47999999986"/>
    <n v="1355.0440121580543"/>
    <n v="0.35149999999999998"/>
    <n v="73608703.84999992"/>
    <x v="1"/>
    <n v="14972.52"/>
  </r>
  <r>
    <s v="LN01673"/>
    <x v="1672"/>
    <n v="21"/>
    <s v="Female"/>
    <s v="Divorced"/>
    <s v="Employed"/>
    <n v="71454"/>
    <n v="575"/>
    <n v="34069"/>
    <n v="18.989999999999998"/>
    <n v="60"/>
    <s v="Mortgage"/>
    <n v="44.56"/>
    <n v="9834"/>
    <n v="197116"/>
    <x v="114"/>
    <s v="Approved"/>
    <s v="No"/>
    <x v="1"/>
    <x v="1670"/>
    <x v="1672"/>
    <n v="122"/>
    <n v="102"/>
    <n v="0.35149999999999998"/>
    <n v="17127120"/>
    <n v="52216.829268292684"/>
    <n v="99664"/>
    <n v="5091"/>
    <n v="444561.76999999984"/>
    <n v="1355.3712499999995"/>
    <n v="0.35149999999999998"/>
    <n v="73162894.36999993"/>
    <x v="1"/>
    <n v="8107.7999999999993"/>
  </r>
  <r>
    <s v="LN01674"/>
    <x v="1673"/>
    <n v="54"/>
    <s v="Female"/>
    <s v="Single"/>
    <s v="Employed"/>
    <n v="188216"/>
    <n v="335"/>
    <n v="5173"/>
    <n v="4.04"/>
    <n v="240"/>
    <s v="Mortgage"/>
    <n v="59.28"/>
    <n v="68537"/>
    <n v="249416"/>
    <x v="861"/>
    <s v="Approved"/>
    <s v="No"/>
    <x v="3"/>
    <x v="1671"/>
    <x v="1673"/>
    <n v="121"/>
    <n v="102"/>
    <n v="0.35149999999999998"/>
    <n v="17093051"/>
    <n v="52272.327217125385"/>
    <n v="99664"/>
    <n v="5091"/>
    <n v="443886.11999999988"/>
    <n v="1357.4499082568805"/>
    <n v="0.35149999999999998"/>
    <n v="72718332.599999934"/>
    <x v="1"/>
    <n v="269.04000000000002"/>
  </r>
  <r>
    <s v="LN01675"/>
    <x v="1674"/>
    <n v="65"/>
    <s v="Male"/>
    <s v="Divorced"/>
    <s v="Unemployed"/>
    <n v="160134"/>
    <n v="812"/>
    <n v="97630"/>
    <n v="16.18"/>
    <n v="180"/>
    <s v="Auto"/>
    <n v="32.83"/>
    <n v="6357"/>
    <n v="1412"/>
    <x v="995"/>
    <s v="Pending"/>
    <s v="No"/>
    <x v="0"/>
    <x v="1672"/>
    <x v="1674"/>
    <n v="120"/>
    <n v="102"/>
    <n v="0.35149999999999998"/>
    <n v="17087878"/>
    <n v="52416.803680981597"/>
    <n v="99664"/>
    <n v="5091"/>
    <n v="443863.69999999984"/>
    <n v="1361.5450920245394"/>
    <n v="0.35149999999999998"/>
    <n v="72274446.479999945"/>
    <x v="1"/>
    <n v="7561.7999999999993"/>
  </r>
  <r>
    <s v="LN01676"/>
    <x v="1675"/>
    <n v="47"/>
    <s v="Female"/>
    <s v="Single"/>
    <s v="Unemployed"/>
    <n v="117274"/>
    <n v="447"/>
    <n v="23681"/>
    <n v="16.41"/>
    <n v="240"/>
    <s v="Mortgage"/>
    <n v="21.24"/>
    <n v="68318"/>
    <n v="10455"/>
    <x v="357"/>
    <s v="Pending"/>
    <s v="No"/>
    <x v="4"/>
    <x v="1673"/>
    <x v="1675"/>
    <n v="120"/>
    <n v="102"/>
    <n v="0.35149999999999998"/>
    <n v="16990248"/>
    <n v="52277.686153846153"/>
    <n v="99664"/>
    <n v="5091"/>
    <n v="443233.54999999987"/>
    <n v="1363.7955384615382"/>
    <n v="0.35149999999999998"/>
    <n v="71830582.779999942"/>
    <x v="1"/>
    <n v="1378.32"/>
  </r>
  <r>
    <s v="LN01677"/>
    <x v="1676"/>
    <n v="27"/>
    <s v="Male"/>
    <s v="Married"/>
    <s v="Employed"/>
    <n v="62763"/>
    <n v="430"/>
    <n v="12669"/>
    <n v="6.66"/>
    <n v="12"/>
    <s v="Auto"/>
    <n v="56.71"/>
    <n v="9983"/>
    <n v="29835"/>
    <x v="996"/>
    <s v="Approved"/>
    <s v="Yes"/>
    <x v="4"/>
    <x v="1674"/>
    <x v="1676"/>
    <n v="120"/>
    <n v="102"/>
    <n v="0.35149999999999998"/>
    <n v="16966567"/>
    <n v="52365.9475308642"/>
    <n v="99664"/>
    <n v="5091"/>
    <n v="443118.68999999989"/>
    <n v="1367.6502777777773"/>
    <n v="0.35149999999999998"/>
    <n v="71387349.22999993"/>
    <x v="1"/>
    <n v="13512.72"/>
  </r>
  <r>
    <s v="LN01678"/>
    <x v="1677"/>
    <n v="40"/>
    <s v="Male"/>
    <s v="Married"/>
    <s v="Employed"/>
    <n v="111053"/>
    <n v="406"/>
    <n v="16783"/>
    <n v="9.3000000000000007"/>
    <n v="360"/>
    <s v="Personal"/>
    <n v="33.479999999999997"/>
    <n v="7243"/>
    <n v="223438"/>
    <x v="735"/>
    <s v="Rejected"/>
    <s v="Yes"/>
    <x v="2"/>
    <x v="1675"/>
    <x v="1677"/>
    <n v="119"/>
    <n v="102"/>
    <n v="0.35149999999999998"/>
    <n v="16953898"/>
    <n v="52488.848297213619"/>
    <n v="99664"/>
    <n v="5091"/>
    <n v="441992.62999999983"/>
    <n v="1368.3982352941171"/>
    <n v="0.35149999999999998"/>
    <n v="70944230.539999932"/>
    <x v="0"/>
    <n v="611.52"/>
  </r>
  <r>
    <s v="LN01679"/>
    <x v="1678"/>
    <n v="59"/>
    <s v="Female"/>
    <s v="Divorced"/>
    <s v="Employed"/>
    <n v="63481"/>
    <n v="555"/>
    <n v="16299"/>
    <n v="10.93"/>
    <n v="60"/>
    <s v="Auto"/>
    <n v="27.81"/>
    <n v="23591"/>
    <n v="116254"/>
    <x v="997"/>
    <s v="Approved"/>
    <s v="Yes"/>
    <x v="0"/>
    <x v="1676"/>
    <x v="1678"/>
    <n v="119"/>
    <n v="101"/>
    <n v="0.35149999999999998"/>
    <n v="16937115"/>
    <n v="52599.736024844722"/>
    <n v="99664"/>
    <n v="5091"/>
    <n v="441941.66999999987"/>
    <n v="1372.4896583850928"/>
    <n v="0.35149999999999998"/>
    <n v="70502237.909999937"/>
    <x v="1"/>
    <n v="3616.08"/>
  </r>
  <r>
    <s v="LN01680"/>
    <x v="1679"/>
    <n v="37"/>
    <s v="Female"/>
    <s v="Single"/>
    <s v="Self-Employed"/>
    <n v="179365"/>
    <n v="553"/>
    <n v="82053"/>
    <n v="15.87"/>
    <n v="48"/>
    <s v="Auto"/>
    <n v="52.46"/>
    <n v="77518"/>
    <n v="81851"/>
    <x v="513"/>
    <s v="Rejected"/>
    <s v="Yes"/>
    <x v="0"/>
    <x v="1677"/>
    <x v="1679"/>
    <n v="118"/>
    <n v="101"/>
    <n v="0.35149999999999998"/>
    <n v="16920816"/>
    <n v="52712.82242990654"/>
    <n v="99664"/>
    <n v="5091"/>
    <n v="441640.32999999984"/>
    <n v="1375.8265732087223"/>
    <n v="0.35149999999999998"/>
    <n v="70060296.239999935"/>
    <x v="1"/>
    <n v="23768.760000000002"/>
  </r>
  <r>
    <s v="LN01681"/>
    <x v="1680"/>
    <n v="30"/>
    <s v="Female"/>
    <s v="Divorced"/>
    <s v="Unemployed"/>
    <n v="113107"/>
    <n v="626"/>
    <n v="71369"/>
    <n v="3.62"/>
    <n v="48"/>
    <s v="Education"/>
    <n v="38.14"/>
    <n v="29470"/>
    <n v="230667"/>
    <x v="998"/>
    <s v="Rejected"/>
    <s v="Yes"/>
    <x v="3"/>
    <x v="1678"/>
    <x v="1680"/>
    <n v="118"/>
    <n v="100"/>
    <n v="0.35149999999999998"/>
    <n v="16838763"/>
    <n v="52621.134375000001"/>
    <n v="99664"/>
    <n v="5091"/>
    <n v="439659.59999999986"/>
    <n v="1373.9362499999995"/>
    <n v="0.35149999999999998"/>
    <n v="69618655.909999937"/>
    <x v="1"/>
    <n v="18488.16"/>
  </r>
  <r>
    <s v="LN01682"/>
    <x v="1681"/>
    <n v="31"/>
    <s v="Male"/>
    <s v="Single"/>
    <s v="Self-Employed"/>
    <n v="83500"/>
    <n v="415"/>
    <n v="75209"/>
    <n v="5.78"/>
    <n v="360"/>
    <s v="Business"/>
    <n v="18.350000000000001"/>
    <n v="5351"/>
    <n v="206195"/>
    <x v="999"/>
    <s v="Approved"/>
    <s v="Yes"/>
    <x v="4"/>
    <x v="1679"/>
    <x v="1681"/>
    <n v="118"/>
    <n v="99"/>
    <n v="0.35149999999999998"/>
    <n v="16767394"/>
    <n v="52562.36363636364"/>
    <n v="99664"/>
    <n v="5091"/>
    <n v="438118.91999999987"/>
    <n v="1373.4135423197488"/>
    <n v="0.35149999999999998"/>
    <n v="69178996.309999943"/>
    <x v="1"/>
    <n v="2651.88"/>
  </r>
  <r>
    <s v="LN01683"/>
    <x v="1682"/>
    <n v="31"/>
    <s v="Male"/>
    <s v="Married"/>
    <s v="Unemployed"/>
    <n v="49043"/>
    <n v="633"/>
    <n v="92798"/>
    <n v="13.2"/>
    <n v="60"/>
    <s v="Business"/>
    <n v="54.52"/>
    <n v="78975"/>
    <n v="5581"/>
    <x v="162"/>
    <s v="Pending"/>
    <s v="Yes"/>
    <x v="2"/>
    <x v="1680"/>
    <x v="1682"/>
    <n v="117"/>
    <n v="99"/>
    <n v="0.35149999999999998"/>
    <n v="16692185"/>
    <n v="52491.147798742139"/>
    <n v="99664"/>
    <n v="5091"/>
    <n v="437897.92999999988"/>
    <n v="1377.03751572327"/>
    <n v="0.35149999999999998"/>
    <n v="68740877.389999956"/>
    <x v="1"/>
    <n v="21009.48"/>
  </r>
  <r>
    <s v="LN01684"/>
    <x v="1683"/>
    <n v="29"/>
    <s v="Male"/>
    <s v="Married"/>
    <s v="Unemployed"/>
    <n v="50478"/>
    <n v="357"/>
    <n v="35079"/>
    <n v="22.17"/>
    <n v="24"/>
    <s v="Education"/>
    <n v="14.53"/>
    <n v="45358"/>
    <n v="37376"/>
    <x v="1000"/>
    <s v="Rejected"/>
    <s v="No"/>
    <x v="1"/>
    <x v="1681"/>
    <x v="1683"/>
    <n v="117"/>
    <n v="99"/>
    <n v="0.35149999999999998"/>
    <n v="16599387"/>
    <n v="52363.996845425871"/>
    <n v="99664"/>
    <n v="5091"/>
    <n v="436147.1399999999"/>
    <n v="1375.858485804416"/>
    <n v="0.35149999999999998"/>
    <n v="68302979.459999964"/>
    <x v="1"/>
    <n v="21428.04"/>
  </r>
  <r>
    <s v="LN01685"/>
    <x v="1684"/>
    <n v="59"/>
    <s v="Male"/>
    <s v="Divorced"/>
    <s v="Unemployed"/>
    <n v="75110"/>
    <n v="451"/>
    <n v="96783"/>
    <n v="7.05"/>
    <n v="24"/>
    <s v="Auto"/>
    <n v="29.78"/>
    <n v="26928"/>
    <n v="2443"/>
    <x v="1001"/>
    <s v="Approved"/>
    <s v="No"/>
    <x v="4"/>
    <x v="1682"/>
    <x v="1684"/>
    <n v="117"/>
    <n v="98"/>
    <n v="0.35149999999999998"/>
    <n v="16564308"/>
    <n v="52418.696202531646"/>
    <n v="99664"/>
    <n v="5091"/>
    <n v="434361.46999999986"/>
    <n v="1374.5616139240501"/>
    <n v="0.35149999999999998"/>
    <n v="67866832.319999948"/>
    <x v="1"/>
    <n v="51803.16"/>
  </r>
  <r>
    <s v="LN01686"/>
    <x v="1685"/>
    <n v="35"/>
    <s v="Female"/>
    <s v="Divorced"/>
    <s v="Employed"/>
    <n v="38372"/>
    <n v="799"/>
    <n v="74662"/>
    <n v="22.61"/>
    <n v="48"/>
    <s v="Auto"/>
    <n v="8.4499999999999993"/>
    <n v="47060"/>
    <n v="228208"/>
    <x v="245"/>
    <s v="Approved"/>
    <s v="No"/>
    <x v="1"/>
    <x v="1683"/>
    <x v="1685"/>
    <n v="116"/>
    <n v="98"/>
    <n v="0.35149999999999998"/>
    <n v="16467525"/>
    <n v="52277.857142857145"/>
    <n v="99664"/>
    <n v="5091"/>
    <n v="430044.53999999986"/>
    <n v="1365.2207619047615"/>
    <n v="0.35149999999999998"/>
    <n v="67432470.84999992"/>
    <x v="1"/>
    <n v="22885.800000000003"/>
  </r>
  <r>
    <s v="LN01687"/>
    <x v="1686"/>
    <n v="26"/>
    <s v="Female"/>
    <s v="Married"/>
    <s v="Employed"/>
    <n v="89276"/>
    <n v="759"/>
    <n v="94683"/>
    <n v="11.59"/>
    <n v="180"/>
    <s v="Business"/>
    <n v="46.72"/>
    <n v="69074"/>
    <n v="191831"/>
    <x v="17"/>
    <s v="Rejected"/>
    <s v="Yes"/>
    <x v="0"/>
    <x v="1684"/>
    <x v="1686"/>
    <n v="115"/>
    <n v="98"/>
    <n v="0.35149999999999998"/>
    <n v="16392863"/>
    <n v="52206.570063694271"/>
    <n v="99664"/>
    <n v="5091"/>
    <n v="428137.3899999999"/>
    <n v="1363.4948726114646"/>
    <n v="0.35149999999999998"/>
    <n v="67002426.309999973"/>
    <x v="1"/>
    <n v="7043.76"/>
  </r>
  <r>
    <s v="LN01688"/>
    <x v="1687"/>
    <n v="42"/>
    <s v="Male"/>
    <s v="Married"/>
    <s v="Self-Employed"/>
    <n v="52028"/>
    <n v="391"/>
    <n v="5683"/>
    <n v="17.47"/>
    <n v="180"/>
    <s v="Auto"/>
    <n v="20.38"/>
    <n v="12027"/>
    <n v="158382"/>
    <x v="723"/>
    <s v="Approved"/>
    <s v="No"/>
    <x v="0"/>
    <x v="1685"/>
    <x v="1687"/>
    <n v="115"/>
    <n v="97"/>
    <n v="0.35149999999999998"/>
    <n v="16298180"/>
    <n v="52070.862619808307"/>
    <n v="99664"/>
    <n v="5091"/>
    <n v="427550.40999999986"/>
    <n v="1365.9757507987215"/>
    <n v="0.35149999999999998"/>
    <n v="66574288.919999965"/>
    <x v="1"/>
    <n v="445.08000000000004"/>
  </r>
  <r>
    <s v="LN01689"/>
    <x v="1688"/>
    <n v="52"/>
    <s v="Female"/>
    <s v="Single"/>
    <s v="Self-Employed"/>
    <n v="42553"/>
    <n v="439"/>
    <n v="57517"/>
    <n v="16.52"/>
    <n v="180"/>
    <s v="Education"/>
    <n v="42.48"/>
    <n v="67558"/>
    <n v="124471"/>
    <x v="940"/>
    <s v="Approved"/>
    <s v="Yes"/>
    <x v="3"/>
    <x v="1686"/>
    <x v="1688"/>
    <n v="114"/>
    <n v="97"/>
    <n v="0.35149999999999998"/>
    <n v="16292497"/>
    <n v="52219.541666666664"/>
    <n v="99664"/>
    <n v="5091"/>
    <n v="427513.31999999989"/>
    <n v="1370.2349999999997"/>
    <n v="0.35149999999999998"/>
    <n v="66146738.509999968"/>
    <x v="1"/>
    <n v="4467.96"/>
  </r>
  <r>
    <s v="LN01690"/>
    <x v="1689"/>
    <n v="59"/>
    <s v="Male"/>
    <s v="Married"/>
    <s v="Employed"/>
    <n v="181238"/>
    <n v="562"/>
    <n v="60470"/>
    <n v="6.33"/>
    <n v="240"/>
    <s v="Auto"/>
    <n v="5.04"/>
    <n v="17963"/>
    <n v="247609"/>
    <x v="904"/>
    <s v="Rejected"/>
    <s v="Yes"/>
    <x v="0"/>
    <x v="1687"/>
    <x v="1689"/>
    <n v="113"/>
    <n v="97"/>
    <n v="0.35149999999999998"/>
    <n v="16234980"/>
    <n v="52202.508038585212"/>
    <n v="99664"/>
    <n v="5091"/>
    <n v="427140.98999999987"/>
    <n v="1373.4436977491957"/>
    <n v="0.35149999999999998"/>
    <n v="65719225.189999968"/>
    <x v="1"/>
    <n v="3214.92"/>
  </r>
  <r>
    <s v="LN01691"/>
    <x v="1690"/>
    <n v="48"/>
    <s v="Female"/>
    <s v="Married"/>
    <s v="Unemployed"/>
    <n v="116539"/>
    <n v="405"/>
    <n v="32925"/>
    <n v="12.32"/>
    <n v="24"/>
    <s v="Business"/>
    <n v="38.06"/>
    <n v="24069"/>
    <n v="98748"/>
    <x v="989"/>
    <s v="Pending"/>
    <s v="No"/>
    <x v="0"/>
    <x v="1688"/>
    <x v="1690"/>
    <n v="113"/>
    <n v="96"/>
    <n v="0.35149999999999998"/>
    <n v="16174510"/>
    <n v="52175.838709677417"/>
    <n v="99664"/>
    <n v="5091"/>
    <n v="426873.07999999984"/>
    <n v="1377.0099354838705"/>
    <n v="0.35149999999999998"/>
    <n v="65292084.199999966"/>
    <x v="1"/>
    <n v="18490.68"/>
  </r>
  <r>
    <s v="LN01692"/>
    <x v="1691"/>
    <n v="37"/>
    <s v="Female"/>
    <s v="Single"/>
    <s v="Self-Employed"/>
    <n v="137420"/>
    <n v="548"/>
    <n v="58965"/>
    <n v="23.24"/>
    <n v="240"/>
    <s v="Business"/>
    <n v="54.96"/>
    <n v="70179"/>
    <n v="122085"/>
    <x v="286"/>
    <s v="Pending"/>
    <s v="No"/>
    <x v="0"/>
    <x v="1689"/>
    <x v="1691"/>
    <n v="113"/>
    <n v="96"/>
    <n v="0.35149999999999998"/>
    <n v="16141585"/>
    <n v="52238.13915857605"/>
    <n v="99664"/>
    <n v="5091"/>
    <n v="425332.18999999989"/>
    <n v="1376.4795792880254"/>
    <n v="0.35149999999999998"/>
    <n v="64865211.119999975"/>
    <x v="1"/>
    <n v="3633.4800000000005"/>
  </r>
  <r>
    <s v="LN01693"/>
    <x v="1692"/>
    <n v="21"/>
    <s v="Female"/>
    <s v="Divorced"/>
    <s v="Unemployed"/>
    <n v="113785"/>
    <n v="426"/>
    <n v="47424"/>
    <n v="19.809999999999999"/>
    <n v="48"/>
    <s v="Education"/>
    <n v="57.47"/>
    <n v="53350"/>
    <n v="132532"/>
    <x v="116"/>
    <s v="Rejected"/>
    <s v="Yes"/>
    <x v="2"/>
    <x v="1690"/>
    <x v="1692"/>
    <n v="113"/>
    <n v="96"/>
    <n v="0.35149999999999998"/>
    <n v="16082620"/>
    <n v="52216.2987012987"/>
    <n v="99664"/>
    <n v="5091"/>
    <n v="425029.39999999985"/>
    <n v="1379.9655844155839"/>
    <n v="0.35149999999999998"/>
    <n v="64439878.92999997"/>
    <x v="1"/>
    <n v="14204.64"/>
  </r>
  <r>
    <s v="LN01694"/>
    <x v="1693"/>
    <n v="34"/>
    <s v="Male"/>
    <s v="Married"/>
    <s v="Employed"/>
    <n v="149924"/>
    <n v="335"/>
    <n v="79486"/>
    <n v="22.27"/>
    <n v="240"/>
    <s v="Mortgage"/>
    <n v="8.6199999999999992"/>
    <n v="45430"/>
    <n v="161123"/>
    <x v="448"/>
    <s v="Pending"/>
    <s v="No"/>
    <x v="2"/>
    <x v="1691"/>
    <x v="1693"/>
    <n v="113"/>
    <n v="95"/>
    <n v="0.35149999999999998"/>
    <n v="16035196"/>
    <n v="52231.908794788273"/>
    <n v="99664"/>
    <n v="5091"/>
    <n v="423845.67999999988"/>
    <n v="1380.6048208469051"/>
    <n v="0.35149999999999998"/>
    <n v="64014849.529999979"/>
    <x v="1"/>
    <n v="4859.3999999999996"/>
  </r>
  <r>
    <s v="LN01695"/>
    <x v="1694"/>
    <n v="31"/>
    <s v="Male"/>
    <s v="Divorced"/>
    <s v="Unemployed"/>
    <n v="194518"/>
    <n v="753"/>
    <n v="25343"/>
    <n v="13.2"/>
    <n v="360"/>
    <s v="Education"/>
    <n v="33.15"/>
    <n v="16330"/>
    <n v="43240"/>
    <x v="1002"/>
    <s v="Rejected"/>
    <s v="No"/>
    <x v="4"/>
    <x v="1692"/>
    <x v="1694"/>
    <n v="113"/>
    <n v="95"/>
    <n v="0.35149999999999998"/>
    <n v="15955710"/>
    <n v="52142.843137254902"/>
    <n v="99664"/>
    <n v="5091"/>
    <n v="423440.72999999986"/>
    <n v="1383.7932352941173"/>
    <n v="0.35149999999999998"/>
    <n v="63591003.849999979"/>
    <x v="1"/>
    <n v="956.28"/>
  </r>
  <r>
    <s v="LN01696"/>
    <x v="1695"/>
    <n v="51"/>
    <s v="Female"/>
    <s v="Single"/>
    <s v="Employed"/>
    <n v="186178"/>
    <n v="586"/>
    <n v="52809"/>
    <n v="23.33"/>
    <n v="60"/>
    <s v="Mortgage"/>
    <n v="52.58"/>
    <n v="16951"/>
    <n v="127171"/>
    <x v="590"/>
    <s v="Rejected"/>
    <s v="Yes"/>
    <x v="3"/>
    <x v="1693"/>
    <x v="1695"/>
    <n v="113"/>
    <n v="94"/>
    <n v="0.35149999999999998"/>
    <n v="15930367"/>
    <n v="52230.711475409837"/>
    <n v="99664"/>
    <n v="5091"/>
    <n v="423361.03999999986"/>
    <n v="1388.0689836065569"/>
    <n v="0.35149999999999998"/>
    <n v="63167563.119999968"/>
    <x v="1"/>
    <n v="13025.880000000001"/>
  </r>
  <r>
    <s v="LN01697"/>
    <x v="1696"/>
    <n v="34"/>
    <s v="Male"/>
    <s v="Married"/>
    <s v="Self-Employed"/>
    <n v="169440"/>
    <n v="840"/>
    <n v="89766"/>
    <n v="17.38"/>
    <n v="360"/>
    <s v="Auto"/>
    <n v="56.77"/>
    <n v="40690"/>
    <n v="202994"/>
    <x v="743"/>
    <s v="Rejected"/>
    <s v="No"/>
    <x v="2"/>
    <x v="1694"/>
    <x v="1696"/>
    <n v="113"/>
    <n v="93"/>
    <n v="0.35149999999999998"/>
    <n v="15877558"/>
    <n v="52228.809210526313"/>
    <n v="99664"/>
    <n v="5091"/>
    <n v="422275.54999999987"/>
    <n v="1389.0643092105258"/>
    <n v="0.35149999999999998"/>
    <n v="62744202.079999968"/>
    <x v="1"/>
    <n v="3512.2799999999997"/>
  </r>
  <r>
    <s v="LN01698"/>
    <x v="1697"/>
    <n v="40"/>
    <s v="Female"/>
    <s v="Divorced"/>
    <s v="Self-Employed"/>
    <n v="29139"/>
    <n v="625"/>
    <n v="53969"/>
    <n v="15.87"/>
    <n v="24"/>
    <s v="Personal"/>
    <n v="16.36"/>
    <n v="42046"/>
    <n v="181119"/>
    <x v="11"/>
    <s v="Approved"/>
    <s v="No"/>
    <x v="4"/>
    <x v="1695"/>
    <x v="1697"/>
    <n v="113"/>
    <n v="92"/>
    <n v="0.35149999999999998"/>
    <n v="15787792"/>
    <n v="52104.924092409237"/>
    <n v="99664"/>
    <n v="5091"/>
    <n v="421982.85999999987"/>
    <n v="1392.6827062706266"/>
    <n v="0.35149999999999998"/>
    <n v="62321926.529999971"/>
    <x v="1"/>
    <n v="31266.959999999999"/>
  </r>
  <r>
    <s v="LN01699"/>
    <x v="1698"/>
    <n v="63"/>
    <s v="Female"/>
    <s v="Single"/>
    <s v="Employed"/>
    <n v="34105"/>
    <n v="504"/>
    <n v="80864"/>
    <n v="15.91"/>
    <n v="240"/>
    <s v="Mortgage"/>
    <n v="22.67"/>
    <n v="25649"/>
    <n v="204546"/>
    <x v="147"/>
    <s v="Approved"/>
    <s v="Yes"/>
    <x v="1"/>
    <x v="1696"/>
    <x v="1698"/>
    <n v="112"/>
    <n v="92"/>
    <n v="0.35149999999999998"/>
    <n v="15733823"/>
    <n v="52098.751655629138"/>
    <n v="99664"/>
    <n v="5091"/>
    <n v="419377.27999999985"/>
    <n v="1388.6664900662247"/>
    <n v="0.35149999999999998"/>
    <n v="61899943.669999965"/>
    <x v="1"/>
    <n v="4686.4800000000005"/>
  </r>
  <r>
    <s v="LN01700"/>
    <x v="1699"/>
    <n v="59"/>
    <s v="Female"/>
    <s v="Divorced"/>
    <s v="Employed"/>
    <n v="181774"/>
    <n v="694"/>
    <n v="10356"/>
    <n v="4.46"/>
    <n v="24"/>
    <s v="Auto"/>
    <n v="55.33"/>
    <n v="23285"/>
    <n v="181060"/>
    <x v="728"/>
    <s v="Approved"/>
    <s v="No"/>
    <x v="3"/>
    <x v="1697"/>
    <x v="1699"/>
    <n v="111"/>
    <n v="92"/>
    <n v="0.35149999999999998"/>
    <n v="15652959"/>
    <n v="52003.186046511626"/>
    <n v="99664"/>
    <n v="5091"/>
    <n v="418986.73999999982"/>
    <n v="1391.982524916943"/>
    <n v="0.35149999999999998"/>
    <n v="61480566.389999963"/>
    <x v="1"/>
    <n v="5408.88"/>
  </r>
  <r>
    <s v="LN01701"/>
    <x v="1700"/>
    <n v="23"/>
    <s v="Male"/>
    <s v="Single"/>
    <s v="Employed"/>
    <n v="53798"/>
    <n v="701"/>
    <n v="63252"/>
    <n v="16.690000000000001"/>
    <n v="180"/>
    <s v="Auto"/>
    <n v="57.82"/>
    <n v="33680"/>
    <n v="162503"/>
    <x v="45"/>
    <s v="Pending"/>
    <s v="Yes"/>
    <x v="2"/>
    <x v="1698"/>
    <x v="1700"/>
    <n v="110"/>
    <n v="92"/>
    <n v="0.35149999999999998"/>
    <n v="15642603"/>
    <n v="52142.01"/>
    <n v="99664"/>
    <n v="5091"/>
    <n v="418535.99999999983"/>
    <n v="1395.1199999999994"/>
    <n v="0.35149999999999998"/>
    <n v="61061579.649999954"/>
    <x v="1"/>
    <n v="4920.6000000000004"/>
  </r>
  <r>
    <s v="LN01702"/>
    <x v="1701"/>
    <n v="52"/>
    <s v="Female"/>
    <s v="Single"/>
    <s v="Self-Employed"/>
    <n v="101242"/>
    <n v="689"/>
    <n v="96266"/>
    <n v="21.12"/>
    <n v="240"/>
    <s v="Personal"/>
    <n v="31.33"/>
    <n v="29661"/>
    <n v="136075"/>
    <x v="539"/>
    <s v="Rejected"/>
    <s v="Yes"/>
    <x v="2"/>
    <x v="1699"/>
    <x v="1701"/>
    <n v="110"/>
    <n v="92"/>
    <n v="0.35149999999999998"/>
    <n v="15579351"/>
    <n v="52104.852842809363"/>
    <n v="99664"/>
    <n v="5091"/>
    <n v="418125.94999999984"/>
    <n v="1398.4145484949827"/>
    <n v="0.35149999999999998"/>
    <n v="60643043.649999954"/>
    <x v="1"/>
    <n v="5829.84"/>
  </r>
  <r>
    <s v="LN01703"/>
    <x v="1702"/>
    <n v="60"/>
    <s v="Female"/>
    <s v="Single"/>
    <s v="Self-Employed"/>
    <n v="187159"/>
    <n v="642"/>
    <n v="91529"/>
    <n v="14.01"/>
    <n v="24"/>
    <s v="Auto"/>
    <n v="8.2100000000000009"/>
    <n v="30506"/>
    <n v="188118"/>
    <x v="854"/>
    <s v="Pending"/>
    <s v="No"/>
    <x v="4"/>
    <x v="1700"/>
    <x v="1702"/>
    <n v="110"/>
    <n v="91"/>
    <n v="0.35149999999999998"/>
    <n v="15483085"/>
    <n v="51956.661073825504"/>
    <n v="99664"/>
    <n v="5091"/>
    <n v="417640.12999999983"/>
    <n v="1401.4769463087243"/>
    <n v="0.35149999999999998"/>
    <n v="60224917.699999951"/>
    <x v="1"/>
    <n v="52176.12"/>
  </r>
  <r>
    <s v="LN01704"/>
    <x v="1703"/>
    <n v="33"/>
    <s v="Male"/>
    <s v="Divorced"/>
    <s v="Unemployed"/>
    <n v="197810"/>
    <n v="588"/>
    <n v="86427"/>
    <n v="10.42"/>
    <n v="36"/>
    <s v="Mortgage"/>
    <n v="7.35"/>
    <n v="65315"/>
    <n v="217627"/>
    <x v="1003"/>
    <s v="Rejected"/>
    <s v="No"/>
    <x v="0"/>
    <x v="1701"/>
    <x v="1703"/>
    <n v="110"/>
    <n v="91"/>
    <n v="0.35149999999999998"/>
    <n v="15391556"/>
    <n v="51823.420875420874"/>
    <n v="99664"/>
    <n v="5091"/>
    <n v="413292.11999999988"/>
    <n v="1391.5559595959592"/>
    <n v="0.35149999999999998"/>
    <n v="59807277.569999948"/>
    <x v="1"/>
    <n v="31810.92"/>
  </r>
  <r>
    <s v="LN01705"/>
    <x v="1704"/>
    <n v="65"/>
    <s v="Male"/>
    <s v="Divorced"/>
    <s v="Employed"/>
    <n v="79482"/>
    <n v="764"/>
    <n v="83381"/>
    <n v="13.85"/>
    <n v="360"/>
    <s v="Business"/>
    <n v="42.31"/>
    <n v="40293"/>
    <n v="95073"/>
    <x v="690"/>
    <s v="Approved"/>
    <s v="Yes"/>
    <x v="4"/>
    <x v="1702"/>
    <x v="1704"/>
    <n v="110"/>
    <n v="90"/>
    <n v="0.35149999999999998"/>
    <n v="15305129"/>
    <n v="51706.516891891893"/>
    <n v="99664"/>
    <n v="5091"/>
    <n v="410641.20999999985"/>
    <n v="1387.3013851351345"/>
    <n v="0.35149999999999998"/>
    <n v="59393985.449999951"/>
    <x v="1"/>
    <n v="3164.2799999999997"/>
  </r>
  <r>
    <s v="LN01706"/>
    <x v="1705"/>
    <n v="63"/>
    <s v="Female"/>
    <s v="Single"/>
    <s v="Self-Employed"/>
    <n v="191418"/>
    <n v="368"/>
    <n v="86984"/>
    <n v="11.7"/>
    <n v="60"/>
    <s v="Auto"/>
    <n v="37.46"/>
    <n v="38472"/>
    <n v="238351"/>
    <x v="691"/>
    <s v="Rejected"/>
    <s v="Yes"/>
    <x v="4"/>
    <x v="1703"/>
    <x v="1705"/>
    <n v="109"/>
    <n v="90"/>
    <n v="0.35149999999999998"/>
    <n v="15221748"/>
    <n v="51599.145762711865"/>
    <n v="99664"/>
    <n v="5091"/>
    <n v="410377.51999999984"/>
    <n v="1391.1102372881351"/>
    <n v="0.35149999999999998"/>
    <n v="58983344.23999995"/>
    <x v="1"/>
    <n v="19432.199999999997"/>
  </r>
  <r>
    <s v="LN01707"/>
    <x v="1706"/>
    <n v="57"/>
    <s v="Female"/>
    <s v="Divorced"/>
    <s v="Unemployed"/>
    <n v="172961"/>
    <n v="434"/>
    <n v="81559"/>
    <n v="16.32"/>
    <n v="360"/>
    <s v="Personal"/>
    <n v="51.74"/>
    <n v="72400"/>
    <n v="21018"/>
    <x v="1004"/>
    <s v="Rejected"/>
    <s v="Yes"/>
    <x v="2"/>
    <x v="1704"/>
    <x v="1706"/>
    <n v="109"/>
    <n v="89"/>
    <n v="0.35149999999999998"/>
    <n v="15134764"/>
    <n v="51478.789115646257"/>
    <n v="99664"/>
    <n v="5091"/>
    <n v="408758.16999999987"/>
    <n v="1390.3339115646254"/>
    <n v="0.35149999999999998"/>
    <n v="58572966.719999947"/>
    <x v="1"/>
    <n v="3162.3599999999997"/>
  </r>
  <r>
    <s v="LN01708"/>
    <x v="1707"/>
    <n v="23"/>
    <s v="Male"/>
    <s v="Single"/>
    <s v="Employed"/>
    <n v="135813"/>
    <n v="345"/>
    <n v="81147"/>
    <n v="22.34"/>
    <n v="60"/>
    <s v="Business"/>
    <n v="16.79"/>
    <n v="39058"/>
    <n v="179619"/>
    <x v="225"/>
    <s v="Pending"/>
    <s v="No"/>
    <x v="4"/>
    <x v="1705"/>
    <x v="1707"/>
    <n v="109"/>
    <n v="88"/>
    <n v="0.35149999999999998"/>
    <n v="15053205"/>
    <n v="51376.126279863478"/>
    <n v="99664"/>
    <n v="5091"/>
    <n v="408494.63999999984"/>
    <n v="1394.179658703071"/>
    <n v="0.35149999999999998"/>
    <n v="58164208.549999952"/>
    <x v="1"/>
    <n v="19855.079999999998"/>
  </r>
  <r>
    <s v="LN01709"/>
    <x v="1708"/>
    <n v="28"/>
    <s v="Male"/>
    <s v="Divorced"/>
    <s v="Unemployed"/>
    <n v="129457"/>
    <n v="752"/>
    <n v="30556"/>
    <n v="6.41"/>
    <n v="24"/>
    <s v="Business"/>
    <n v="7.05"/>
    <n v="58109"/>
    <n v="212228"/>
    <x v="1005"/>
    <s v="Rejected"/>
    <s v="Yes"/>
    <x v="3"/>
    <x v="1706"/>
    <x v="1708"/>
    <n v="109"/>
    <n v="88"/>
    <n v="0.35149999999999998"/>
    <n v="14972058"/>
    <n v="51274.17123287671"/>
    <n v="99664"/>
    <n v="5091"/>
    <n v="406840.04999999987"/>
    <n v="1393.2878424657529"/>
    <n v="0.35149999999999998"/>
    <n v="57755713.909999959"/>
    <x v="1"/>
    <n v="16257.36"/>
  </r>
  <r>
    <s v="LN01710"/>
    <x v="1709"/>
    <n v="52"/>
    <s v="Female"/>
    <s v="Divorced"/>
    <s v="Unemployed"/>
    <n v="197157"/>
    <n v="473"/>
    <n v="24375"/>
    <n v="15.67"/>
    <n v="48"/>
    <s v="Auto"/>
    <n v="7.77"/>
    <n v="41693"/>
    <n v="41555"/>
    <x v="1006"/>
    <s v="Rejected"/>
    <s v="Yes"/>
    <x v="1"/>
    <x v="1707"/>
    <x v="1709"/>
    <n v="109"/>
    <n v="87"/>
    <n v="0.35149999999999998"/>
    <n v="14941502"/>
    <n v="51345.367697594498"/>
    <n v="99664"/>
    <n v="5091"/>
    <n v="405485.26999999996"/>
    <n v="1393.4201718213058"/>
    <n v="0.35149999999999998"/>
    <n v="57348873.859999962"/>
    <x v="1"/>
    <n v="7048.68"/>
  </r>
  <r>
    <s v="LN01711"/>
    <x v="1710"/>
    <n v="24"/>
    <s v="Female"/>
    <s v="Divorced"/>
    <s v="Unemployed"/>
    <n v="97354"/>
    <n v="372"/>
    <n v="61530"/>
    <n v="17.96"/>
    <n v="360"/>
    <s v="Mortgage"/>
    <n v="53.5"/>
    <n v="46161"/>
    <n v="209072"/>
    <x v="836"/>
    <s v="Approved"/>
    <s v="Yes"/>
    <x v="0"/>
    <x v="1708"/>
    <x v="1710"/>
    <n v="109"/>
    <n v="86"/>
    <n v="0.35149999999999998"/>
    <n v="14917127"/>
    <n v="51438.368965517242"/>
    <n v="99664"/>
    <n v="5091"/>
    <n v="404897.87999999995"/>
    <n v="1396.1995862068964"/>
    <n v="0.35149999999999998"/>
    <n v="56943388.589999966"/>
    <x v="1"/>
    <n v="2419.3200000000002"/>
  </r>
  <r>
    <s v="LN01712"/>
    <x v="1711"/>
    <n v="29"/>
    <s v="Female"/>
    <s v="Single"/>
    <s v="Employed"/>
    <n v="130714"/>
    <n v="546"/>
    <n v="79696"/>
    <n v="4.0199999999999996"/>
    <n v="180"/>
    <s v="Auto"/>
    <n v="59.23"/>
    <n v="21772"/>
    <n v="115551"/>
    <x v="168"/>
    <s v="Pending"/>
    <s v="No"/>
    <x v="2"/>
    <x v="1709"/>
    <x v="1711"/>
    <n v="108"/>
    <n v="86"/>
    <n v="0.35149999999999998"/>
    <n v="14855597"/>
    <n v="51403.449826989621"/>
    <n v="99664"/>
    <n v="5091"/>
    <n v="404696.2699999999"/>
    <n v="1400.3331141868509"/>
    <n v="0.35149999999999998"/>
    <n v="56538490.709999956"/>
    <x v="1"/>
    <n v="5526.6"/>
  </r>
  <r>
    <s v="LN01713"/>
    <x v="1712"/>
    <n v="51"/>
    <s v="Female"/>
    <s v="Married"/>
    <s v="Unemployed"/>
    <n v="184368"/>
    <n v="725"/>
    <n v="78539"/>
    <n v="13.91"/>
    <n v="240"/>
    <s v="Education"/>
    <n v="49.42"/>
    <n v="71483"/>
    <n v="105247"/>
    <x v="1007"/>
    <s v="Pending"/>
    <s v="Yes"/>
    <x v="4"/>
    <x v="1710"/>
    <x v="1712"/>
    <n v="108"/>
    <n v="86"/>
    <n v="0.35149999999999998"/>
    <n v="14775901"/>
    <n v="51305.211805555555"/>
    <n v="99664"/>
    <n v="5091"/>
    <n v="404235.71999999991"/>
    <n v="1403.5962499999996"/>
    <n v="0.35149999999999998"/>
    <n v="56133794.439999968"/>
    <x v="1"/>
    <n v="4473.24"/>
  </r>
  <r>
    <s v="LN01714"/>
    <x v="1713"/>
    <n v="64"/>
    <s v="Male"/>
    <s v="Single"/>
    <s v="Employed"/>
    <n v="48618"/>
    <n v="437"/>
    <n v="61298"/>
    <n v="19.32"/>
    <n v="24"/>
    <s v="Mortgage"/>
    <n v="33.369999999999997"/>
    <n v="67435"/>
    <n v="221835"/>
    <x v="763"/>
    <s v="Approved"/>
    <s v="Yes"/>
    <x v="3"/>
    <x v="1711"/>
    <x v="1713"/>
    <n v="108"/>
    <n v="86"/>
    <n v="0.35149999999999998"/>
    <n v="14697362"/>
    <n v="51210.320557491286"/>
    <n v="99664"/>
    <n v="5091"/>
    <n v="403862.9499999999"/>
    <n v="1407.1879790940764"/>
    <n v="0.35149999999999998"/>
    <n v="55729558.719999969"/>
    <x v="1"/>
    <n v="36570.36"/>
  </r>
  <r>
    <s v="LN01715"/>
    <x v="1714"/>
    <n v="50"/>
    <s v="Male"/>
    <s v="Married"/>
    <s v="Unemployed"/>
    <n v="98579"/>
    <n v="496"/>
    <n v="96308"/>
    <n v="15.86"/>
    <n v="48"/>
    <s v="Mortgage"/>
    <n v="57.94"/>
    <n v="5065"/>
    <n v="9585"/>
    <x v="56"/>
    <s v="Pending"/>
    <s v="No"/>
    <x v="4"/>
    <x v="1712"/>
    <x v="1714"/>
    <n v="107"/>
    <n v="86"/>
    <n v="0.35149999999999998"/>
    <n v="14636064"/>
    <n v="51175.04895104895"/>
    <n v="99664"/>
    <n v="5091"/>
    <n v="400815.41999999993"/>
    <n v="1401.4525174825171"/>
    <n v="0.35149999999999998"/>
    <n v="55325695.769999966"/>
    <x v="1"/>
    <n v="27895.56"/>
  </r>
  <r>
    <s v="LN01716"/>
    <x v="1715"/>
    <n v="24"/>
    <s v="Male"/>
    <s v="Divorced"/>
    <s v="Unemployed"/>
    <n v="124882"/>
    <n v="795"/>
    <n v="9043"/>
    <n v="9.2899999999999991"/>
    <n v="48"/>
    <s v="Personal"/>
    <n v="51.84"/>
    <n v="70309"/>
    <n v="89495"/>
    <x v="100"/>
    <s v="Pending"/>
    <s v="Yes"/>
    <x v="1"/>
    <x v="1713"/>
    <x v="1715"/>
    <n v="107"/>
    <n v="86"/>
    <n v="0.35149999999999998"/>
    <n v="14539756"/>
    <n v="51016.687719298243"/>
    <n v="99664"/>
    <n v="5091"/>
    <n v="398490.78999999986"/>
    <n v="1398.2132982456135"/>
    <n v="0.35149999999999998"/>
    <n v="54924880.349999964"/>
    <x v="1"/>
    <n v="2470.8000000000002"/>
  </r>
  <r>
    <s v="LN01717"/>
    <x v="1716"/>
    <n v="64"/>
    <s v="Female"/>
    <s v="Married"/>
    <s v="Unemployed"/>
    <n v="152999"/>
    <n v="556"/>
    <n v="66220"/>
    <n v="10.07"/>
    <n v="120"/>
    <s v="Auto"/>
    <n v="50.29"/>
    <n v="45525"/>
    <n v="219024"/>
    <x v="696"/>
    <s v="Rejected"/>
    <s v="No"/>
    <x v="2"/>
    <x v="1714"/>
    <x v="1716"/>
    <n v="107"/>
    <n v="86"/>
    <n v="0.35149999999999998"/>
    <n v="14530713"/>
    <n v="51164.482394366198"/>
    <n v="99664"/>
    <n v="5091"/>
    <n v="398284.88999999984"/>
    <n v="1402.4115845070417"/>
    <n v="0.35149999999999998"/>
    <n v="54526389.559999965"/>
    <x v="1"/>
    <n v="7288.7999999999993"/>
  </r>
  <r>
    <s v="LN01718"/>
    <x v="1717"/>
    <n v="31"/>
    <s v="Female"/>
    <s v="Married"/>
    <s v="Self-Employed"/>
    <n v="41119"/>
    <n v="589"/>
    <n v="34666"/>
    <n v="18.309999999999999"/>
    <n v="180"/>
    <s v="Auto"/>
    <n v="44.15"/>
    <n v="31511"/>
    <n v="152959"/>
    <x v="1005"/>
    <s v="Pending"/>
    <s v="Yes"/>
    <x v="3"/>
    <x v="1715"/>
    <x v="1717"/>
    <n v="107"/>
    <n v="85"/>
    <n v="0.35149999999999998"/>
    <n v="14464493"/>
    <n v="51111.282685512364"/>
    <n v="99664"/>
    <n v="5091"/>
    <n v="397677.48999999987"/>
    <n v="1405.2208127208476"/>
    <n v="0.35149999999999998"/>
    <n v="54128104.669999965"/>
    <x v="1"/>
    <n v="2734.2"/>
  </r>
  <r>
    <s v="LN01719"/>
    <x v="1718"/>
    <n v="59"/>
    <s v="Female"/>
    <s v="Divorced"/>
    <s v="Self-Employed"/>
    <n v="74869"/>
    <n v="308"/>
    <n v="12184"/>
    <n v="6.15"/>
    <n v="240"/>
    <s v="Personal"/>
    <n v="28.72"/>
    <n v="22795"/>
    <n v="136954"/>
    <x v="504"/>
    <s v="Pending"/>
    <s v="Yes"/>
    <x v="1"/>
    <x v="1716"/>
    <x v="1718"/>
    <n v="107"/>
    <n v="85"/>
    <n v="0.35149999999999998"/>
    <n v="14429827"/>
    <n v="51169.599290780141"/>
    <n v="99664"/>
    <n v="5091"/>
    <n v="397449.63999999984"/>
    <n v="1409.3958865248221"/>
    <n v="0.35149999999999998"/>
    <n v="53730427.17999997"/>
    <x v="1"/>
    <n v="646.68000000000006"/>
  </r>
  <r>
    <s v="LN01720"/>
    <x v="1719"/>
    <n v="62"/>
    <s v="Female"/>
    <s v="Single"/>
    <s v="Employed"/>
    <n v="85985"/>
    <n v="689"/>
    <n v="35506"/>
    <n v="15.21"/>
    <n v="36"/>
    <s v="Education"/>
    <n v="59.05"/>
    <n v="2505"/>
    <n v="88623"/>
    <x v="354"/>
    <s v="Pending"/>
    <s v="Yes"/>
    <x v="3"/>
    <x v="1717"/>
    <x v="1719"/>
    <n v="107"/>
    <n v="85"/>
    <n v="0.35149999999999998"/>
    <n v="14417643"/>
    <n v="51308.338078291818"/>
    <n v="99664"/>
    <n v="5091"/>
    <n v="397395.74999999988"/>
    <n v="1414.2197508896793"/>
    <n v="0.35149999999999998"/>
    <n v="53332977.539999969"/>
    <x v="1"/>
    <n v="13635.48"/>
  </r>
  <r>
    <s v="LN01721"/>
    <x v="1720"/>
    <n v="35"/>
    <s v="Female"/>
    <s v="Married"/>
    <s v="Employed"/>
    <n v="36339"/>
    <n v="623"/>
    <n v="93375"/>
    <n v="4.67"/>
    <n v="360"/>
    <s v="Business"/>
    <n v="14.31"/>
    <n v="34003"/>
    <n v="136932"/>
    <x v="199"/>
    <s v="Pending"/>
    <s v="Yes"/>
    <x v="1"/>
    <x v="1718"/>
    <x v="1720"/>
    <n v="107"/>
    <n v="85"/>
    <n v="0.35149999999999998"/>
    <n v="14382137"/>
    <n v="51364.775000000001"/>
    <n v="99664"/>
    <n v="5091"/>
    <n v="396259.45999999985"/>
    <n v="1415.2123571428565"/>
    <n v="0.35149999999999998"/>
    <n v="52935581.789999969"/>
    <x v="1"/>
    <n v="3257.88"/>
  </r>
  <r>
    <s v="LN01722"/>
    <x v="1721"/>
    <n v="26"/>
    <s v="Female"/>
    <s v="Married"/>
    <s v="Employed"/>
    <n v="97812"/>
    <n v="310"/>
    <n v="31402"/>
    <n v="12.59"/>
    <n v="180"/>
    <s v="Business"/>
    <n v="53.3"/>
    <n v="28096"/>
    <n v="246211"/>
    <x v="6"/>
    <s v="Approved"/>
    <s v="Yes"/>
    <x v="1"/>
    <x v="1719"/>
    <x v="1721"/>
    <n v="107"/>
    <n v="85"/>
    <n v="0.35149999999999998"/>
    <n v="14288762"/>
    <n v="51214.20071684588"/>
    <n v="99664"/>
    <n v="5091"/>
    <n v="395987.96999999991"/>
    <n v="1419.3117204301072"/>
    <n v="0.35149999999999998"/>
    <n v="52539322.329999968"/>
    <x v="1"/>
    <n v="2357.04"/>
  </r>
  <r>
    <s v="LN01723"/>
    <x v="1722"/>
    <n v="49"/>
    <s v="Male"/>
    <s v="Divorced"/>
    <s v="Unemployed"/>
    <n v="65523"/>
    <n v="418"/>
    <n v="43990"/>
    <n v="8.92"/>
    <n v="48"/>
    <s v="Personal"/>
    <n v="32.340000000000003"/>
    <n v="13508"/>
    <n v="39512"/>
    <x v="1008"/>
    <s v="Approved"/>
    <s v="No"/>
    <x v="0"/>
    <x v="1720"/>
    <x v="1722"/>
    <n v="106"/>
    <n v="85"/>
    <n v="0.35149999999999998"/>
    <n v="14257360"/>
    <n v="51285.467625899284"/>
    <n v="99664"/>
    <n v="5091"/>
    <n v="395791.54999999987"/>
    <n v="1423.7106115107908"/>
    <n v="0.35149999999999998"/>
    <n v="52143334.35999997"/>
    <x v="1"/>
    <n v="11978.52"/>
  </r>
  <r>
    <s v="LN01724"/>
    <x v="1723"/>
    <n v="33"/>
    <s v="Female"/>
    <s v="Married"/>
    <s v="Unemployed"/>
    <n v="30909"/>
    <n v="496"/>
    <n v="72850"/>
    <n v="13.78"/>
    <n v="60"/>
    <s v="Auto"/>
    <n v="19.36"/>
    <n v="15417"/>
    <n v="188143"/>
    <x v="566"/>
    <s v="Pending"/>
    <s v="No"/>
    <x v="4"/>
    <x v="1721"/>
    <x v="1723"/>
    <n v="105"/>
    <n v="85"/>
    <n v="0.35149999999999998"/>
    <n v="14213370"/>
    <n v="51311.805054151628"/>
    <n v="99664"/>
    <n v="5091"/>
    <n v="394793.33999999991"/>
    <n v="1425.2467148014437"/>
    <n v="0.35149999999999998"/>
    <n v="51747542.80999998"/>
    <x v="1"/>
    <n v="16577.760000000002"/>
  </r>
  <r>
    <s v="LN01725"/>
    <x v="1724"/>
    <n v="33"/>
    <s v="Male"/>
    <s v="Married"/>
    <s v="Unemployed"/>
    <n v="159325"/>
    <n v="425"/>
    <n v="26771"/>
    <n v="7.46"/>
    <n v="180"/>
    <s v="Personal"/>
    <n v="17.329999999999998"/>
    <n v="50263"/>
    <n v="189853"/>
    <x v="1009"/>
    <s v="Pending"/>
    <s v="Yes"/>
    <x v="3"/>
    <x v="1722"/>
    <x v="1724"/>
    <n v="105"/>
    <n v="85"/>
    <n v="0.35149999999999998"/>
    <n v="14140520"/>
    <n v="51233.768115942032"/>
    <n v="99664"/>
    <n v="5091"/>
    <n v="393411.85999999987"/>
    <n v="1425.4052898550719"/>
    <n v="0.35149999999999998"/>
    <n v="51352749.469999984"/>
    <x v="1"/>
    <n v="1917.84"/>
  </r>
  <r>
    <s v="LN01726"/>
    <x v="1725"/>
    <n v="37"/>
    <s v="Male"/>
    <s v="Single"/>
    <s v="Employed"/>
    <n v="118191"/>
    <n v="374"/>
    <n v="22130"/>
    <n v="9.77"/>
    <n v="24"/>
    <s v="Education"/>
    <n v="47.18"/>
    <n v="58981"/>
    <n v="138688"/>
    <x v="677"/>
    <s v="Approved"/>
    <s v="No"/>
    <x v="4"/>
    <x v="1723"/>
    <x v="1725"/>
    <n v="105"/>
    <n v="85"/>
    <n v="0.35149999999999998"/>
    <n v="14113749"/>
    <n v="51322.723636363633"/>
    <n v="99664"/>
    <n v="5091"/>
    <n v="393252.03999999992"/>
    <n v="1430.0074181818179"/>
    <n v="0.35149999999999998"/>
    <n v="50959337.609999977"/>
    <x v="1"/>
    <n v="12146.039999999999"/>
  </r>
  <r>
    <s v="LN01727"/>
    <x v="1726"/>
    <n v="35"/>
    <s v="Male"/>
    <s v="Single"/>
    <s v="Employed"/>
    <n v="22698"/>
    <n v="369"/>
    <n v="49878"/>
    <n v="15.65"/>
    <n v="24"/>
    <s v="Mortgage"/>
    <n v="11.92"/>
    <n v="62511"/>
    <n v="210773"/>
    <x v="945"/>
    <s v="Rejected"/>
    <s v="No"/>
    <x v="4"/>
    <x v="1724"/>
    <x v="1726"/>
    <n v="104"/>
    <n v="85"/>
    <n v="0.35149999999999998"/>
    <n v="14091619"/>
    <n v="51429.266423357665"/>
    <n v="99664"/>
    <n v="5091"/>
    <n v="392239.86999999988"/>
    <n v="1431.5323722627734"/>
    <n v="0.35149999999999998"/>
    <n v="50566085.569999978"/>
    <x v="1"/>
    <n v="28842"/>
  </r>
  <r>
    <s v="LN01728"/>
    <x v="1727"/>
    <n v="33"/>
    <s v="Female"/>
    <s v="Divorced"/>
    <s v="Unemployed"/>
    <n v="187808"/>
    <n v="722"/>
    <n v="59127"/>
    <n v="17.579999999999998"/>
    <n v="120"/>
    <s v="Auto"/>
    <n v="25.82"/>
    <n v="52177"/>
    <n v="188555"/>
    <x v="683"/>
    <s v="Approved"/>
    <s v="Yes"/>
    <x v="4"/>
    <x v="1725"/>
    <x v="1727"/>
    <n v="104"/>
    <n v="84"/>
    <n v="0.35149999999999998"/>
    <n v="14041741"/>
    <n v="51434.948717948719"/>
    <n v="99664"/>
    <n v="5091"/>
    <n v="389836.36999999988"/>
    <n v="1427.9720512820509"/>
    <n v="0.35149999999999998"/>
    <n v="50173845.699999981"/>
    <x v="1"/>
    <n v="6952.2000000000007"/>
  </r>
  <r>
    <s v="LN01729"/>
    <x v="1728"/>
    <n v="38"/>
    <s v="Female"/>
    <s v="Single"/>
    <s v="Self-Employed"/>
    <n v="155097"/>
    <n v="455"/>
    <n v="94091"/>
    <n v="8.64"/>
    <n v="24"/>
    <s v="Personal"/>
    <n v="20.03"/>
    <n v="20883"/>
    <n v="1014"/>
    <x v="74"/>
    <s v="Rejected"/>
    <s v="No"/>
    <x v="2"/>
    <x v="1726"/>
    <x v="1728"/>
    <n v="103"/>
    <n v="84"/>
    <n v="0.35149999999999998"/>
    <n v="13982614"/>
    <n v="51406.669117647056"/>
    <n v="99664"/>
    <n v="5091"/>
    <n v="389257.0199999999"/>
    <n v="1431.0919852941172"/>
    <n v="0.35149999999999998"/>
    <n v="49784009.329999983"/>
    <x v="1"/>
    <n v="51110.28"/>
  </r>
  <r>
    <s v="LN01730"/>
    <x v="1729"/>
    <n v="24"/>
    <s v="Female"/>
    <s v="Single"/>
    <s v="Unemployed"/>
    <n v="93680"/>
    <n v="567"/>
    <n v="79206"/>
    <n v="7.11"/>
    <n v="180"/>
    <s v="Auto"/>
    <n v="9.84"/>
    <n v="16861"/>
    <n v="170778"/>
    <x v="1010"/>
    <s v="Rejected"/>
    <s v="No"/>
    <x v="4"/>
    <x v="1727"/>
    <x v="1729"/>
    <n v="103"/>
    <n v="83"/>
    <n v="0.35149999999999998"/>
    <n v="13888523"/>
    <n v="51249.162361623617"/>
    <n v="99664"/>
    <n v="5091"/>
    <n v="384997.82999999984"/>
    <n v="1420.656199261992"/>
    <n v="0.35149999999999998"/>
    <n v="49394752.30999998"/>
    <x v="1"/>
    <n v="5655.84"/>
  </r>
  <r>
    <s v="LN01731"/>
    <x v="1730"/>
    <n v="63"/>
    <s v="Male"/>
    <s v="Married"/>
    <s v="Self-Employed"/>
    <n v="22297"/>
    <n v="451"/>
    <n v="20794"/>
    <n v="9.43"/>
    <n v="12"/>
    <s v="Personal"/>
    <n v="18.36"/>
    <n v="70689"/>
    <n v="81854"/>
    <x v="833"/>
    <s v="Pending"/>
    <s v="No"/>
    <x v="3"/>
    <x v="1728"/>
    <x v="1730"/>
    <n v="103"/>
    <n v="82"/>
    <n v="0.35149999999999998"/>
    <n v="13809317"/>
    <n v="51145.618518518517"/>
    <n v="99664"/>
    <n v="5091"/>
    <n v="384526.50999999989"/>
    <n v="1424.1722592592589"/>
    <n v="0.35149999999999998"/>
    <n v="49009754.479999982"/>
    <x v="1"/>
    <n v="22754.880000000001"/>
  </r>
  <r>
    <s v="LN01732"/>
    <x v="1731"/>
    <n v="48"/>
    <s v="Male"/>
    <s v="Single"/>
    <s v="Unemployed"/>
    <n v="123704"/>
    <n v="522"/>
    <n v="50591"/>
    <n v="13.18"/>
    <n v="60"/>
    <s v="Education"/>
    <n v="22.12"/>
    <n v="66634"/>
    <n v="157961"/>
    <x v="1011"/>
    <s v="Rejected"/>
    <s v="No"/>
    <x v="3"/>
    <x v="1729"/>
    <x v="1731"/>
    <n v="103"/>
    <n v="82"/>
    <n v="0.35149999999999998"/>
    <n v="13788523"/>
    <n v="51258.449814126398"/>
    <n v="99664"/>
    <n v="5091"/>
    <n v="382630.2699999999"/>
    <n v="1422.4173605947951"/>
    <n v="0.35149999999999998"/>
    <n v="48625227.969999976"/>
    <x v="0"/>
    <n v="11451.72"/>
  </r>
  <r>
    <s v="LN01733"/>
    <x v="1732"/>
    <n v="36"/>
    <s v="Male"/>
    <s v="Single"/>
    <s v="Self-Employed"/>
    <n v="69563"/>
    <n v="338"/>
    <n v="49404"/>
    <n v="12.72"/>
    <n v="360"/>
    <s v="Personal"/>
    <n v="15.6"/>
    <n v="56603"/>
    <n v="182411"/>
    <x v="298"/>
    <s v="Approved"/>
    <s v="Yes"/>
    <x v="1"/>
    <x v="1730"/>
    <x v="1732"/>
    <n v="103"/>
    <n v="81"/>
    <n v="0.35149999999999998"/>
    <n v="13737932"/>
    <n v="51260.940298507463"/>
    <n v="99664"/>
    <n v="5091"/>
    <n v="381675.9599999999"/>
    <n v="1424.1640298507459"/>
    <n v="0.35149999999999998"/>
    <n v="48242597.699999981"/>
    <x v="1"/>
    <n v="1856.28"/>
  </r>
  <r>
    <s v="LN01734"/>
    <x v="1733"/>
    <n v="64"/>
    <s v="Female"/>
    <s v="Married"/>
    <s v="Self-Employed"/>
    <n v="50131"/>
    <n v="583"/>
    <n v="50908"/>
    <n v="8.14"/>
    <n v="240"/>
    <s v="Personal"/>
    <n v="26.96"/>
    <n v="53427"/>
    <n v="28409"/>
    <x v="966"/>
    <s v="Approved"/>
    <s v="No"/>
    <x v="4"/>
    <x v="1731"/>
    <x v="1733"/>
    <n v="102"/>
    <n v="81"/>
    <n v="0.35149999999999998"/>
    <n v="13688528"/>
    <n v="51267.895131086145"/>
    <n v="99664"/>
    <n v="5091"/>
    <n v="381521.2699999999"/>
    <n v="1428.9186142322094"/>
    <n v="0.35149999999999998"/>
    <n v="47860921.739999987"/>
    <x v="1"/>
    <n v="2752.56"/>
  </r>
  <r>
    <s v="LN01735"/>
    <x v="1734"/>
    <n v="49"/>
    <s v="Female"/>
    <s v="Divorced"/>
    <s v="Unemployed"/>
    <n v="145109"/>
    <n v="441"/>
    <n v="95523"/>
    <n v="6.21"/>
    <n v="36"/>
    <s v="Mortgage"/>
    <n v="41.57"/>
    <n v="63906"/>
    <n v="56742"/>
    <x v="282"/>
    <s v="Pending"/>
    <s v="No"/>
    <x v="2"/>
    <x v="1732"/>
    <x v="1734"/>
    <n v="101"/>
    <n v="81"/>
    <n v="0.35149999999999998"/>
    <n v="13637620"/>
    <n v="51269.248120300748"/>
    <n v="99664"/>
    <n v="5091"/>
    <n v="381291.8899999999"/>
    <n v="1433.4281578947364"/>
    <n v="0.35149999999999998"/>
    <n v="47479400.469999999"/>
    <x v="1"/>
    <n v="33818.28"/>
  </r>
  <r>
    <s v="LN01736"/>
    <x v="1735"/>
    <n v="31"/>
    <s v="Female"/>
    <s v="Divorced"/>
    <s v="Self-Employed"/>
    <n v="159526"/>
    <n v="760"/>
    <n v="61043"/>
    <n v="16.61"/>
    <n v="12"/>
    <s v="Education"/>
    <n v="35.24"/>
    <n v="1383"/>
    <n v="215540"/>
    <x v="487"/>
    <s v="Pending"/>
    <s v="No"/>
    <x v="3"/>
    <x v="1733"/>
    <x v="1735"/>
    <n v="101"/>
    <n v="81"/>
    <n v="0.35149999999999998"/>
    <n v="13542097"/>
    <n v="51102.252830188678"/>
    <n v="99664"/>
    <n v="5091"/>
    <n v="378473.6999999999"/>
    <n v="1428.2026415094335"/>
    <n v="0.35149999999999998"/>
    <n v="47098108.579999991"/>
    <x v="1"/>
    <n v="71182.200000000012"/>
  </r>
  <r>
    <s v="LN01737"/>
    <x v="1736"/>
    <n v="22"/>
    <s v="Female"/>
    <s v="Divorced"/>
    <s v="Self-Employed"/>
    <n v="169223"/>
    <n v="505"/>
    <n v="49255"/>
    <n v="21.05"/>
    <n v="24"/>
    <s v="Education"/>
    <n v="26.99"/>
    <n v="13554"/>
    <n v="161275"/>
    <x v="370"/>
    <s v="Approved"/>
    <s v="No"/>
    <x v="2"/>
    <x v="1734"/>
    <x v="1736"/>
    <n v="101"/>
    <n v="81"/>
    <n v="0.35149999999999998"/>
    <n v="13481054"/>
    <n v="51064.598484848488"/>
    <n v="99664"/>
    <n v="5091"/>
    <n v="372541.85"/>
    <n v="1411.1433712121211"/>
    <n v="0.35149999999999998"/>
    <n v="46719634.880000003"/>
    <x v="0"/>
    <n v="29811.600000000002"/>
  </r>
  <r>
    <s v="LN01738"/>
    <x v="1737"/>
    <n v="54"/>
    <s v="Male"/>
    <s v="Single"/>
    <s v="Employed"/>
    <n v="141713"/>
    <n v="649"/>
    <n v="87411"/>
    <n v="13.11"/>
    <n v="24"/>
    <s v="Auto"/>
    <n v="51.12"/>
    <n v="36987"/>
    <n v="64875"/>
    <x v="237"/>
    <s v="Rejected"/>
    <s v="Yes"/>
    <x v="2"/>
    <x v="1735"/>
    <x v="1737"/>
    <n v="100"/>
    <n v="81"/>
    <n v="0.35149999999999998"/>
    <n v="13431799"/>
    <n v="51071.47908745247"/>
    <n v="99664"/>
    <n v="5091"/>
    <n v="370057.55"/>
    <n v="1407.0629277566538"/>
    <n v="0.35149999999999998"/>
    <n v="46347093.029999994"/>
    <x v="1"/>
    <n v="49435.319999999992"/>
  </r>
  <r>
    <s v="LN01739"/>
    <x v="1738"/>
    <n v="22"/>
    <s v="Male"/>
    <s v="Married"/>
    <s v="Unemployed"/>
    <n v="35543"/>
    <n v="404"/>
    <n v="43842"/>
    <n v="12.21"/>
    <n v="60"/>
    <s v="Mortgage"/>
    <n v="6.2"/>
    <n v="69886"/>
    <n v="158827"/>
    <x v="289"/>
    <s v="Rejected"/>
    <s v="No"/>
    <x v="1"/>
    <x v="1736"/>
    <x v="1738"/>
    <n v="100"/>
    <n v="80"/>
    <n v="0.35149999999999998"/>
    <n v="13344388"/>
    <n v="50932.778625954197"/>
    <n v="99664"/>
    <n v="5091"/>
    <n v="365937.93999999989"/>
    <n v="1396.7096946564882"/>
    <n v="0.35149999999999998"/>
    <n v="45977035.479999997"/>
    <x v="1"/>
    <n v="9839.0399999999991"/>
  </r>
  <r>
    <s v="LN01740"/>
    <x v="1739"/>
    <n v="64"/>
    <s v="Male"/>
    <s v="Divorced"/>
    <s v="Unemployed"/>
    <n v="45902"/>
    <n v="373"/>
    <n v="5406"/>
    <n v="9.42"/>
    <n v="36"/>
    <s v="Business"/>
    <n v="30.75"/>
    <n v="20474"/>
    <n v="69907"/>
    <x v="175"/>
    <s v="Pending"/>
    <s v="Yes"/>
    <x v="0"/>
    <x v="1737"/>
    <x v="1739"/>
    <n v="100"/>
    <n v="79"/>
    <n v="0.35149999999999998"/>
    <n v="13300546"/>
    <n v="50959.946360153255"/>
    <n v="99664"/>
    <n v="5091"/>
    <n v="365118.0199999999"/>
    <n v="1398.9196168582371"/>
    <n v="0.35149999999999998"/>
    <n v="45611097.539999999"/>
    <x v="1"/>
    <n v="1971.72"/>
  </r>
  <r>
    <s v="LN01741"/>
    <x v="1740"/>
    <n v="45"/>
    <s v="Male"/>
    <s v="Divorced"/>
    <s v="Self-Employed"/>
    <n v="46005"/>
    <n v="592"/>
    <n v="58867"/>
    <n v="9.67"/>
    <n v="240"/>
    <s v="Personal"/>
    <n v="29.4"/>
    <n v="6468"/>
    <n v="165630"/>
    <x v="33"/>
    <s v="Pending"/>
    <s v="Yes"/>
    <x v="4"/>
    <x v="1738"/>
    <x v="1740"/>
    <n v="100"/>
    <n v="79"/>
    <n v="0.35149999999999998"/>
    <n v="13295140"/>
    <n v="51135.153846153844"/>
    <n v="99664"/>
    <n v="5091"/>
    <n v="364953.7099999999"/>
    <n v="1403.668115384615"/>
    <n v="0.35149999999999998"/>
    <n v="45245979.520000011"/>
    <x v="1"/>
    <n v="3228"/>
  </r>
  <r>
    <s v="LN01742"/>
    <x v="1741"/>
    <n v="44"/>
    <s v="Female"/>
    <s v="Divorced"/>
    <s v="Self-Employed"/>
    <n v="117640"/>
    <n v="441"/>
    <n v="65850"/>
    <n v="16.489999999999998"/>
    <n v="60"/>
    <s v="Auto"/>
    <n v="38.299999999999997"/>
    <n v="64457"/>
    <n v="37951"/>
    <x v="454"/>
    <s v="Pending"/>
    <s v="No"/>
    <x v="0"/>
    <x v="1739"/>
    <x v="1741"/>
    <n v="100"/>
    <n v="79"/>
    <n v="0.35149999999999998"/>
    <n v="13236273"/>
    <n v="51105.301158301161"/>
    <n v="99664"/>
    <n v="5091"/>
    <n v="364684.7099999999"/>
    <n v="1408.049073359073"/>
    <n v="0.35149999999999998"/>
    <n v="44881025.810000002"/>
    <x v="1"/>
    <n v="15341.76"/>
  </r>
  <r>
    <s v="LN01743"/>
    <x v="1742"/>
    <n v="56"/>
    <s v="Male"/>
    <s v="Divorced"/>
    <s v="Self-Employed"/>
    <n v="89379"/>
    <n v="757"/>
    <n v="35266"/>
    <n v="11.84"/>
    <n v="360"/>
    <s v="Education"/>
    <n v="44.19"/>
    <n v="56752"/>
    <n v="221487"/>
    <x v="294"/>
    <s v="Rejected"/>
    <s v="No"/>
    <x v="4"/>
    <x v="1740"/>
    <x v="1742"/>
    <n v="100"/>
    <n v="79"/>
    <n v="0.35149999999999998"/>
    <n v="13170423"/>
    <n v="51048.151162790695"/>
    <n v="99664"/>
    <n v="5091"/>
    <n v="363406.22999999992"/>
    <n v="1408.5512790697671"/>
    <n v="0.35149999999999998"/>
    <n v="44516341.100000016"/>
    <x v="1"/>
    <n v="1314.72"/>
  </r>
  <r>
    <s v="LN01744"/>
    <x v="1743"/>
    <n v="61"/>
    <s v="Female"/>
    <s v="Divorced"/>
    <s v="Self-Employed"/>
    <n v="87975"/>
    <n v="599"/>
    <n v="55087"/>
    <n v="11.35"/>
    <n v="48"/>
    <s v="Business"/>
    <n v="40.22"/>
    <n v="70314"/>
    <n v="117823"/>
    <x v="52"/>
    <s v="Pending"/>
    <s v="No"/>
    <x v="1"/>
    <x v="1741"/>
    <x v="1743"/>
    <n v="100"/>
    <n v="78"/>
    <n v="0.35149999999999998"/>
    <n v="13135157"/>
    <n v="51109.560311284047"/>
    <n v="99664"/>
    <n v="5091"/>
    <n v="363296.66999999993"/>
    <n v="1413.6057198443577"/>
    <n v="0.35149999999999998"/>
    <n v="44152934.87000002"/>
    <x v="1"/>
    <n v="15334.800000000001"/>
  </r>
  <r>
    <s v="LN01745"/>
    <x v="1744"/>
    <n v="55"/>
    <s v="Female"/>
    <s v="Married"/>
    <s v="Unemployed"/>
    <n v="89154"/>
    <n v="435"/>
    <n v="85651"/>
    <n v="9.73"/>
    <n v="48"/>
    <s v="Education"/>
    <n v="25.35"/>
    <n v="29313"/>
    <n v="194056"/>
    <x v="333"/>
    <s v="Approved"/>
    <s v="No"/>
    <x v="2"/>
    <x v="1742"/>
    <x v="1744"/>
    <n v="100"/>
    <n v="78"/>
    <n v="0.35149999999999998"/>
    <n v="13080070"/>
    <n v="51094.0234375"/>
    <n v="99664"/>
    <n v="5091"/>
    <n v="362018.76999999996"/>
    <n v="1414.1358203124998"/>
    <n v="0.35149999999999998"/>
    <n v="43789638.200000018"/>
    <x v="1"/>
    <n v="23496.239999999998"/>
  </r>
  <r>
    <s v="LN01746"/>
    <x v="1745"/>
    <n v="48"/>
    <s v="Female"/>
    <s v="Divorced"/>
    <s v="Self-Employed"/>
    <n v="115159"/>
    <n v="328"/>
    <n v="15726"/>
    <n v="10.77"/>
    <n v="240"/>
    <s v="Mortgage"/>
    <n v="19.52"/>
    <n v="74127"/>
    <n v="215758"/>
    <x v="995"/>
    <s v="Rejected"/>
    <s v="No"/>
    <x v="0"/>
    <x v="1743"/>
    <x v="1745"/>
    <n v="99"/>
    <n v="78"/>
    <n v="0.35149999999999998"/>
    <n v="12994419"/>
    <n v="50958.50588235294"/>
    <n v="99664"/>
    <n v="5091"/>
    <n v="360060.74999999994"/>
    <n v="1412.0029411764704"/>
    <n v="0.35149999999999998"/>
    <n v="43427619.43000003"/>
    <x v="1"/>
    <n v="870.96"/>
  </r>
  <r>
    <s v="LN01747"/>
    <x v="1746"/>
    <n v="23"/>
    <s v="Female"/>
    <s v="Married"/>
    <s v="Unemployed"/>
    <n v="113687"/>
    <n v="786"/>
    <n v="29825"/>
    <n v="10.54"/>
    <n v="240"/>
    <s v="Education"/>
    <n v="50.67"/>
    <n v="8072"/>
    <n v="184589"/>
    <x v="831"/>
    <s v="Pending"/>
    <s v="Yes"/>
    <x v="1"/>
    <x v="1744"/>
    <x v="1746"/>
    <n v="99"/>
    <n v="77"/>
    <n v="0.35149999999999998"/>
    <n v="12978693"/>
    <n v="51097.216535433072"/>
    <n v="99664"/>
    <n v="5091"/>
    <n v="359988.16999999993"/>
    <n v="1417.2762598425195"/>
    <n v="0.35149999999999998"/>
    <n v="43067558.68000003"/>
    <x v="1"/>
    <n v="1648.44"/>
  </r>
  <r>
    <s v="LN01748"/>
    <x v="1747"/>
    <n v="30"/>
    <s v="Female"/>
    <s v="Married"/>
    <s v="Unemployed"/>
    <n v="165034"/>
    <n v="666"/>
    <n v="16066"/>
    <n v="9.94"/>
    <n v="180"/>
    <s v="Auto"/>
    <n v="50.41"/>
    <n v="12718"/>
    <n v="206543"/>
    <x v="1012"/>
    <s v="Rejected"/>
    <s v="Yes"/>
    <x v="3"/>
    <x v="1745"/>
    <x v="1747"/>
    <n v="99"/>
    <n v="77"/>
    <n v="0.35149999999999998"/>
    <n v="12948868"/>
    <n v="51181.296442687744"/>
    <n v="99664"/>
    <n v="5091"/>
    <n v="359850.79999999993"/>
    <n v="1422.3351778656124"/>
    <n v="0.35149999999999998"/>
    <n v="42707570.510000035"/>
    <x v="1"/>
    <n v="1177.56"/>
  </r>
  <r>
    <s v="LN01749"/>
    <x v="1748"/>
    <n v="28"/>
    <s v="Female"/>
    <s v="Divorced"/>
    <s v="Unemployed"/>
    <n v="130491"/>
    <n v="346"/>
    <n v="49066"/>
    <n v="18.41"/>
    <n v="240"/>
    <s v="Personal"/>
    <n v="11.09"/>
    <n v="2264"/>
    <n v="122179"/>
    <x v="838"/>
    <s v="Rejected"/>
    <s v="No"/>
    <x v="0"/>
    <x v="1746"/>
    <x v="1748"/>
    <n v="99"/>
    <n v="76"/>
    <n v="0.35149999999999998"/>
    <n v="12932802"/>
    <n v="51320.642857142855"/>
    <n v="99664"/>
    <n v="5091"/>
    <n v="359752.66999999993"/>
    <n v="1427.5899603174601"/>
    <n v="0.35149999999999998"/>
    <n v="42347719.710000031"/>
    <x v="1"/>
    <n v="2904.96"/>
  </r>
  <r>
    <s v="LN01750"/>
    <x v="1749"/>
    <n v="45"/>
    <s v="Male"/>
    <s v="Divorced"/>
    <s v="Employed"/>
    <n v="146917"/>
    <n v="845"/>
    <n v="22350"/>
    <n v="20.56"/>
    <n v="24"/>
    <s v="Education"/>
    <n v="53.1"/>
    <n v="31645"/>
    <n v="26695"/>
    <x v="509"/>
    <s v="Approved"/>
    <s v="Yes"/>
    <x v="3"/>
    <x v="1747"/>
    <x v="1749"/>
    <n v="99"/>
    <n v="75"/>
    <n v="0.35149999999999998"/>
    <n v="12883736"/>
    <n v="51329.625498007968"/>
    <n v="99664"/>
    <n v="5091"/>
    <n v="359510.58999999991"/>
    <n v="1432.3131075697208"/>
    <n v="0.35149999999999998"/>
    <n v="41987967.040000036"/>
    <x v="1"/>
    <n v="13472.52"/>
  </r>
  <r>
    <s v="LN01751"/>
    <x v="1750"/>
    <n v="45"/>
    <s v="Male"/>
    <s v="Single"/>
    <s v="Employed"/>
    <n v="54647"/>
    <n v="535"/>
    <n v="54033"/>
    <n v="23.95"/>
    <n v="12"/>
    <s v="Mortgage"/>
    <n v="42.59"/>
    <n v="1808"/>
    <n v="53853"/>
    <x v="1013"/>
    <s v="Rejected"/>
    <s v="Yes"/>
    <x v="3"/>
    <x v="1748"/>
    <x v="1750"/>
    <n v="98"/>
    <n v="75"/>
    <n v="0.35149999999999998"/>
    <n v="12861386"/>
    <n v="51445.544000000002"/>
    <n v="99664"/>
    <n v="5091"/>
    <n v="358387.87999999989"/>
    <n v="1433.5515199999995"/>
    <n v="0.35149999999999998"/>
    <n v="41628456.45000004"/>
    <x v="1"/>
    <n v="66973.919999999998"/>
  </r>
  <r>
    <s v="LN01752"/>
    <x v="1751"/>
    <n v="33"/>
    <s v="Female"/>
    <s v="Divorced"/>
    <s v="Unemployed"/>
    <n v="130959"/>
    <n v="316"/>
    <n v="38250"/>
    <n v="23.29"/>
    <n v="120"/>
    <s v="Education"/>
    <n v="48.95"/>
    <n v="34913"/>
    <n v="249845"/>
    <x v="1014"/>
    <s v="Approved"/>
    <s v="No"/>
    <x v="2"/>
    <x v="1749"/>
    <x v="1751"/>
    <n v="98"/>
    <n v="74"/>
    <n v="0.35149999999999998"/>
    <n v="12807353"/>
    <n v="51435.152610441764"/>
    <n v="99664"/>
    <n v="5091"/>
    <n v="352806.71999999991"/>
    <n v="1416.8944578313249"/>
    <n v="0.35149999999999998"/>
    <n v="41270068.57000003"/>
    <x v="0"/>
    <n v="4715.88"/>
  </r>
  <r>
    <s v="LN01753"/>
    <x v="1752"/>
    <n v="65"/>
    <s v="Female"/>
    <s v="Married"/>
    <s v="Employed"/>
    <n v="188237"/>
    <n v="402"/>
    <n v="63363"/>
    <n v="9.85"/>
    <n v="360"/>
    <s v="Mortgage"/>
    <n v="15"/>
    <n v="46017"/>
    <n v="52241"/>
    <x v="833"/>
    <s v="Rejected"/>
    <s v="Yes"/>
    <x v="1"/>
    <x v="1750"/>
    <x v="1752"/>
    <n v="97"/>
    <n v="74"/>
    <n v="0.35149999999999998"/>
    <n v="12769103"/>
    <n v="51488.318548387098"/>
    <n v="99664"/>
    <n v="5091"/>
    <n v="352413.72999999986"/>
    <n v="1421.0231048387091"/>
    <n v="0.35149999999999998"/>
    <n v="40917261.850000039"/>
    <x v="1"/>
    <n v="2320.1999999999998"/>
  </r>
  <r>
    <s v="LN01754"/>
    <x v="1753"/>
    <n v="37"/>
    <s v="Male"/>
    <s v="Single"/>
    <s v="Self-Employed"/>
    <n v="101723"/>
    <n v="802"/>
    <n v="32882"/>
    <n v="11.84"/>
    <n v="24"/>
    <s v="Education"/>
    <n v="28.59"/>
    <n v="76384"/>
    <n v="49407"/>
    <x v="726"/>
    <s v="Rejected"/>
    <s v="Yes"/>
    <x v="3"/>
    <x v="1751"/>
    <x v="1753"/>
    <n v="97"/>
    <n v="73"/>
    <n v="0.35149999999999998"/>
    <n v="12705740"/>
    <n v="51440.242914979754"/>
    <n v="99664"/>
    <n v="5091"/>
    <n v="352220.37999999989"/>
    <n v="1425.9934412955461"/>
    <n v="0.35149999999999998"/>
    <n v="40564848.120000035"/>
    <x v="1"/>
    <n v="18387.599999999999"/>
  </r>
  <r>
    <s v="LN01755"/>
    <x v="1754"/>
    <n v="34"/>
    <s v="Male"/>
    <s v="Married"/>
    <s v="Unemployed"/>
    <n v="94207"/>
    <n v="811"/>
    <n v="32283"/>
    <n v="15.16"/>
    <n v="240"/>
    <s v="Mortgage"/>
    <n v="56.01"/>
    <n v="4690"/>
    <n v="166134"/>
    <x v="1015"/>
    <s v="Rejected"/>
    <s v="No"/>
    <x v="4"/>
    <x v="1752"/>
    <x v="1754"/>
    <n v="97"/>
    <n v="72"/>
    <n v="0.35149999999999998"/>
    <n v="12672858"/>
    <n v="51515.682926829271"/>
    <n v="99664"/>
    <n v="5091"/>
    <n v="350688.07999999996"/>
    <n v="1425.5613008130078"/>
    <n v="0.35149999999999998"/>
    <n v="40212627.740000047"/>
    <x v="1"/>
    <n v="1858.8000000000002"/>
  </r>
  <r>
    <s v="LN01756"/>
    <x v="1755"/>
    <n v="64"/>
    <s v="Female"/>
    <s v="Divorced"/>
    <s v="Employed"/>
    <n v="61680"/>
    <n v="440"/>
    <n v="97449"/>
    <n v="14.13"/>
    <n v="60"/>
    <s v="Personal"/>
    <n v="21.82"/>
    <n v="24120"/>
    <n v="157200"/>
    <x v="381"/>
    <s v="Rejected"/>
    <s v="No"/>
    <x v="2"/>
    <x v="1753"/>
    <x v="1755"/>
    <n v="97"/>
    <n v="71"/>
    <n v="0.35149999999999998"/>
    <n v="12640575"/>
    <n v="51594.183673469386"/>
    <n v="99664"/>
    <n v="5091"/>
    <n v="350533.17999999993"/>
    <n v="1430.7476734693876"/>
    <n v="0.35149999999999998"/>
    <n v="39861939.660000034"/>
    <x v="1"/>
    <n v="22243.68"/>
  </r>
  <r>
    <s v="LN01757"/>
    <x v="1756"/>
    <n v="50"/>
    <s v="Female"/>
    <s v="Divorced"/>
    <s v="Employed"/>
    <n v="147337"/>
    <n v="519"/>
    <n v="23127"/>
    <n v="6.62"/>
    <n v="120"/>
    <s v="Mortgage"/>
    <n v="32.71"/>
    <n v="58278"/>
    <n v="106135"/>
    <x v="67"/>
    <s v="Pending"/>
    <s v="No"/>
    <x v="2"/>
    <x v="1754"/>
    <x v="1756"/>
    <n v="97"/>
    <n v="70"/>
    <n v="0.35149999999999998"/>
    <n v="12543126"/>
    <n v="51406.254098360652"/>
    <n v="99664"/>
    <n v="5091"/>
    <n v="348679.53999999992"/>
    <n v="1429.014508196721"/>
    <n v="0.35149999999999998"/>
    <n v="39511406.480000034"/>
    <x v="1"/>
    <n v="2465.7599999999998"/>
  </r>
  <r>
    <s v="LN01758"/>
    <x v="1757"/>
    <n v="29"/>
    <s v="Male"/>
    <s v="Married"/>
    <s v="Self-Employed"/>
    <n v="97831"/>
    <n v="356"/>
    <n v="46489"/>
    <n v="20.95"/>
    <n v="24"/>
    <s v="Personal"/>
    <n v="9.3000000000000007"/>
    <n v="20492"/>
    <n v="249590"/>
    <x v="662"/>
    <s v="Approved"/>
    <s v="No"/>
    <x v="0"/>
    <x v="1755"/>
    <x v="1757"/>
    <n v="97"/>
    <n v="70"/>
    <n v="0.35149999999999998"/>
    <n v="12519999"/>
    <n v="51522.629629629628"/>
    <n v="99664"/>
    <n v="5091"/>
    <n v="348474.05999999994"/>
    <n v="1434.0496296296294"/>
    <n v="0.35149999999999998"/>
    <n v="39162726.940000027"/>
    <x v="1"/>
    <n v="28114.199999999997"/>
  </r>
  <r>
    <s v="LN01759"/>
    <x v="1758"/>
    <n v="63"/>
    <s v="Male"/>
    <s v="Divorced"/>
    <s v="Unemployed"/>
    <n v="183456"/>
    <n v="759"/>
    <n v="99411"/>
    <n v="22.18"/>
    <n v="12"/>
    <s v="Auto"/>
    <n v="47.56"/>
    <n v="25856"/>
    <n v="75897"/>
    <x v="1016"/>
    <s v="Rejected"/>
    <s v="Yes"/>
    <x v="3"/>
    <x v="1756"/>
    <x v="1758"/>
    <n v="96"/>
    <n v="70"/>
    <n v="0.35149999999999998"/>
    <n v="12473510"/>
    <n v="51543.429752066113"/>
    <n v="99664"/>
    <n v="5091"/>
    <n v="346131.21"/>
    <n v="1430.2942561983473"/>
    <n v="0.35149999999999998"/>
    <n v="38814252.880000018"/>
    <x v="1"/>
    <n v="121460.40000000001"/>
  </r>
  <r>
    <s v="LN01760"/>
    <x v="1759"/>
    <n v="56"/>
    <s v="Female"/>
    <s v="Divorced"/>
    <s v="Employed"/>
    <n v="98836"/>
    <n v="818"/>
    <n v="60447"/>
    <n v="15.76"/>
    <n v="36"/>
    <s v="Business"/>
    <n v="40.17"/>
    <n v="17101"/>
    <n v="166994"/>
    <x v="793"/>
    <s v="Pending"/>
    <s v="Yes"/>
    <x v="4"/>
    <x v="1757"/>
    <x v="1759"/>
    <n v="96"/>
    <n v="69"/>
    <n v="0.35149999999999998"/>
    <n v="12374099"/>
    <n v="51344.809128630703"/>
    <n v="99664"/>
    <n v="5091"/>
    <n v="336009.51000000007"/>
    <n v="1394.2303319502078"/>
    <n v="0.35149999999999998"/>
    <n v="38468121.670000024"/>
    <x v="0"/>
    <n v="23324.52"/>
  </r>
  <r>
    <s v="LN01761"/>
    <x v="1760"/>
    <n v="61"/>
    <s v="Female"/>
    <s v="Divorced"/>
    <s v="Employed"/>
    <n v="171033"/>
    <n v="383"/>
    <n v="98405"/>
    <n v="17.899999999999999"/>
    <n v="60"/>
    <s v="Personal"/>
    <n v="10.66"/>
    <n v="15583"/>
    <n v="73208"/>
    <x v="406"/>
    <s v="Approved"/>
    <s v="No"/>
    <x v="0"/>
    <x v="1758"/>
    <x v="1760"/>
    <n v="96"/>
    <n v="69"/>
    <n v="0.35149999999999998"/>
    <n v="12313652"/>
    <n v="51306.883333333331"/>
    <n v="99664"/>
    <n v="5091"/>
    <n v="334065.80000000005"/>
    <n v="1391.9408333333336"/>
    <n v="0.35149999999999998"/>
    <n v="38132112.160000019"/>
    <x v="1"/>
    <n v="23203.920000000002"/>
  </r>
  <r>
    <s v="LN01762"/>
    <x v="1761"/>
    <n v="51"/>
    <s v="Male"/>
    <s v="Married"/>
    <s v="Unemployed"/>
    <n v="155872"/>
    <n v="323"/>
    <n v="46367"/>
    <n v="5.25"/>
    <n v="24"/>
    <s v="Auto"/>
    <n v="39.380000000000003"/>
    <n v="44686"/>
    <n v="221238"/>
    <x v="266"/>
    <s v="Rejected"/>
    <s v="No"/>
    <x v="3"/>
    <x v="1759"/>
    <x v="1761"/>
    <n v="95"/>
    <n v="69"/>
    <n v="0.35149999999999998"/>
    <n v="12215247"/>
    <n v="51109.820083682011"/>
    <n v="99664"/>
    <n v="5091"/>
    <n v="332132.14000000007"/>
    <n v="1389.6742259414229"/>
    <n v="0.35149999999999998"/>
    <n v="37798046.360000022"/>
    <x v="1"/>
    <n v="24400.68"/>
  </r>
  <r>
    <s v="LN01763"/>
    <x v="1762"/>
    <n v="35"/>
    <s v="Male"/>
    <s v="Divorced"/>
    <s v="Employed"/>
    <n v="171070"/>
    <n v="694"/>
    <n v="95697"/>
    <n v="8.35"/>
    <n v="60"/>
    <s v="Auto"/>
    <n v="12.45"/>
    <n v="74637"/>
    <n v="37649"/>
    <x v="726"/>
    <s v="Pending"/>
    <s v="Yes"/>
    <x v="0"/>
    <x v="1760"/>
    <x v="1762"/>
    <n v="95"/>
    <n v="68"/>
    <n v="0.35149999999999998"/>
    <n v="12168880"/>
    <n v="51129.747899159665"/>
    <n v="99664"/>
    <n v="5091"/>
    <n v="330098.75"/>
    <n v="1386.9695378151262"/>
    <n v="0.35149999999999998"/>
    <n v="37465914.220000014"/>
    <x v="1"/>
    <n v="20737.560000000001"/>
  </r>
  <r>
    <s v="LN01764"/>
    <x v="1763"/>
    <n v="26"/>
    <s v="Male"/>
    <s v="Single"/>
    <s v="Self-Employed"/>
    <n v="111561"/>
    <n v="802"/>
    <n v="53756"/>
    <n v="19.23"/>
    <n v="360"/>
    <s v="Business"/>
    <n v="39.07"/>
    <n v="69172"/>
    <n v="158336"/>
    <x v="882"/>
    <s v="Pending"/>
    <s v="No"/>
    <x v="4"/>
    <x v="1761"/>
    <x v="1763"/>
    <n v="95"/>
    <n v="68"/>
    <n v="0.35149999999999998"/>
    <n v="12073183"/>
    <n v="50941.700421940928"/>
    <n v="99664"/>
    <n v="5091"/>
    <n v="328370.62000000005"/>
    <n v="1385.5300421940931"/>
    <n v="0.35149999999999998"/>
    <n v="37135815.470000014"/>
    <x v="1"/>
    <n v="2136.48"/>
  </r>
  <r>
    <s v="LN01765"/>
    <x v="1764"/>
    <n v="43"/>
    <s v="Male"/>
    <s v="Married"/>
    <s v="Employed"/>
    <n v="51420"/>
    <n v="388"/>
    <n v="41044"/>
    <n v="21.78"/>
    <n v="240"/>
    <s v="Business"/>
    <n v="39.24"/>
    <n v="72691"/>
    <n v="27588"/>
    <x v="775"/>
    <s v="Pending"/>
    <s v="Yes"/>
    <x v="1"/>
    <x v="1762"/>
    <x v="1764"/>
    <n v="95"/>
    <n v="68"/>
    <n v="0.35149999999999998"/>
    <n v="12019427"/>
    <n v="50929.77542372881"/>
    <n v="99664"/>
    <n v="5091"/>
    <n v="328192.58000000007"/>
    <n v="1390.6465254237291"/>
    <n v="0.35149999999999998"/>
    <n v="36807444.850000009"/>
    <x v="1"/>
    <n v="2499.12"/>
  </r>
  <r>
    <s v="LN01766"/>
    <x v="1765"/>
    <n v="35"/>
    <s v="Male"/>
    <s v="Single"/>
    <s v="Self-Employed"/>
    <n v="133610"/>
    <n v="652"/>
    <n v="11053"/>
    <n v="20.66"/>
    <n v="360"/>
    <s v="Personal"/>
    <n v="18.14"/>
    <n v="6072"/>
    <n v="74774"/>
    <x v="479"/>
    <s v="Pending"/>
    <s v="Yes"/>
    <x v="4"/>
    <x v="1763"/>
    <x v="1765"/>
    <n v="95"/>
    <n v="68"/>
    <n v="0.35149999999999998"/>
    <n v="11978383"/>
    <n v="50971.842553191491"/>
    <n v="99664"/>
    <n v="5091"/>
    <n v="327984.32000000007"/>
    <n v="1395.6779574468087"/>
    <n v="0.35149999999999998"/>
    <n v="36479252.270000011"/>
    <x v="1"/>
    <n v="444.59999999999997"/>
  </r>
  <r>
    <s v="LN01767"/>
    <x v="1766"/>
    <n v="22"/>
    <s v="Male"/>
    <s v="Married"/>
    <s v="Employed"/>
    <n v="84023"/>
    <n v="520"/>
    <n v="98254"/>
    <n v="21.41"/>
    <n v="360"/>
    <s v="Business"/>
    <n v="25.93"/>
    <n v="27872"/>
    <n v="75273"/>
    <x v="1017"/>
    <s v="Approved"/>
    <s v="Yes"/>
    <x v="0"/>
    <x v="1764"/>
    <x v="1766"/>
    <n v="95"/>
    <n v="68"/>
    <n v="0.35149999999999998"/>
    <n v="11967330"/>
    <n v="51142.435897435898"/>
    <n v="99664"/>
    <n v="5091"/>
    <n v="327947.27000000008"/>
    <n v="1401.4840598290602"/>
    <n v="0.35149999999999998"/>
    <n v="36151267.95000001"/>
    <x v="1"/>
    <n v="3976.32"/>
  </r>
  <r>
    <s v="LN01768"/>
    <x v="1767"/>
    <n v="55"/>
    <s v="Male"/>
    <s v="Divorced"/>
    <s v="Unemployed"/>
    <n v="52694"/>
    <n v="778"/>
    <n v="36598"/>
    <n v="19.05"/>
    <n v="60"/>
    <s v="Business"/>
    <n v="49.31"/>
    <n v="76316"/>
    <n v="53680"/>
    <x v="828"/>
    <s v="Approved"/>
    <s v="Yes"/>
    <x v="3"/>
    <x v="1765"/>
    <x v="1767"/>
    <n v="94"/>
    <n v="68"/>
    <n v="0.35149999999999998"/>
    <n v="11869076"/>
    <n v="50940.240343347643"/>
    <n v="99664"/>
    <n v="5091"/>
    <n v="327615.91000000009"/>
    <n v="1406.0768669527902"/>
    <n v="0.35149999999999998"/>
    <n v="35823320.680000007"/>
    <x v="1"/>
    <n v="8714.0399999999991"/>
  </r>
  <r>
    <s v="LN01769"/>
    <x v="1768"/>
    <n v="43"/>
    <s v="Female"/>
    <s v="Single"/>
    <s v="Self-Employed"/>
    <n v="132654"/>
    <n v="590"/>
    <n v="96276"/>
    <n v="10.84"/>
    <n v="48"/>
    <s v="Auto"/>
    <n v="42.24"/>
    <n v="55400"/>
    <n v="201750"/>
    <x v="691"/>
    <s v="Approved"/>
    <s v="No"/>
    <x v="3"/>
    <x v="1766"/>
    <x v="1768"/>
    <n v="93"/>
    <n v="68"/>
    <n v="0.35149999999999998"/>
    <n v="11832478"/>
    <n v="51002.060344827587"/>
    <n v="99664"/>
    <n v="5091"/>
    <n v="326889.74000000005"/>
    <n v="1409.0075000000002"/>
    <n v="0.35149999999999998"/>
    <n v="35495704.770000003"/>
    <x v="1"/>
    <n v="26678.04"/>
  </r>
  <r>
    <s v="LN01770"/>
    <x v="1769"/>
    <n v="52"/>
    <s v="Female"/>
    <s v="Divorced"/>
    <s v="Unemployed"/>
    <n v="22868"/>
    <n v="674"/>
    <n v="86630"/>
    <n v="17.97"/>
    <n v="36"/>
    <s v="Personal"/>
    <n v="37.4"/>
    <n v="49791"/>
    <n v="3341"/>
    <x v="1018"/>
    <s v="Pending"/>
    <s v="Yes"/>
    <x v="3"/>
    <x v="1767"/>
    <x v="1769"/>
    <n v="92"/>
    <n v="68"/>
    <n v="0.35149999999999998"/>
    <n v="11736202"/>
    <n v="50806.069264069265"/>
    <n v="99664"/>
    <n v="5091"/>
    <n v="324666.57000000007"/>
    <n v="1405.4829870129872"/>
    <n v="0.35149999999999998"/>
    <n v="35168815.030000001"/>
    <x v="1"/>
    <n v="34065.840000000004"/>
  </r>
  <r>
    <s v="LN01771"/>
    <x v="1770"/>
    <n v="27"/>
    <s v="Male"/>
    <s v="Divorced"/>
    <s v="Unemployed"/>
    <n v="121467"/>
    <n v="461"/>
    <n v="90631"/>
    <n v="6.35"/>
    <n v="120"/>
    <s v="Personal"/>
    <n v="50.55"/>
    <n v="72564"/>
    <n v="142447"/>
    <x v="54"/>
    <s v="Approved"/>
    <s v="No"/>
    <x v="4"/>
    <x v="1768"/>
    <x v="1770"/>
    <n v="92"/>
    <n v="68"/>
    <n v="0.35149999999999998"/>
    <n v="11649572"/>
    <n v="50650.313043478258"/>
    <n v="99664"/>
    <n v="5091"/>
    <n v="321827.75000000006"/>
    <n v="1399.2510869565219"/>
    <n v="0.35149999999999998"/>
    <n v="34844148.460000001"/>
    <x v="1"/>
    <n v="9638.64"/>
  </r>
  <r>
    <s v="LN01772"/>
    <x v="1771"/>
    <n v="42"/>
    <s v="Female"/>
    <s v="Single"/>
    <s v="Employed"/>
    <n v="156945"/>
    <n v="386"/>
    <n v="16123"/>
    <n v="16.600000000000001"/>
    <n v="240"/>
    <s v="Business"/>
    <n v="9.09"/>
    <n v="59348"/>
    <n v="30893"/>
    <x v="1019"/>
    <s v="Pending"/>
    <s v="Yes"/>
    <x v="3"/>
    <x v="1769"/>
    <x v="1771"/>
    <n v="91"/>
    <n v="68"/>
    <n v="0.35149999999999998"/>
    <n v="11558941"/>
    <n v="50475.724890829697"/>
    <n v="99664"/>
    <n v="5091"/>
    <n v="321024.53000000009"/>
    <n v="1401.8538427947601"/>
    <n v="0.35149999999999998"/>
    <n v="34522320.709999993"/>
    <x v="1"/>
    <n v="939.96"/>
  </r>
  <r>
    <s v="LN01773"/>
    <x v="1772"/>
    <n v="46"/>
    <s v="Male"/>
    <s v="Married"/>
    <s v="Self-Employed"/>
    <n v="183548"/>
    <n v="529"/>
    <n v="99193"/>
    <n v="19.89"/>
    <n v="60"/>
    <s v="Auto"/>
    <n v="34.79"/>
    <n v="60000"/>
    <n v="227194"/>
    <x v="342"/>
    <s v="Approved"/>
    <s v="Yes"/>
    <x v="4"/>
    <x v="1770"/>
    <x v="1772"/>
    <n v="91"/>
    <n v="68"/>
    <n v="0.35149999999999998"/>
    <n v="11542818"/>
    <n v="50626.394736842107"/>
    <n v="99664"/>
    <n v="5091"/>
    <n v="320946.20000000007"/>
    <n v="1407.658771929825"/>
    <n v="0.35149999999999998"/>
    <n v="34201296.180000007"/>
    <x v="1"/>
    <n v="23784.48"/>
  </r>
  <r>
    <s v="LN01774"/>
    <x v="1773"/>
    <n v="55"/>
    <s v="Male"/>
    <s v="Married"/>
    <s v="Unemployed"/>
    <n v="78720"/>
    <n v="816"/>
    <n v="19958"/>
    <n v="15.52"/>
    <n v="36"/>
    <s v="Business"/>
    <n v="31.99"/>
    <n v="39872"/>
    <n v="144792"/>
    <x v="390"/>
    <s v="Rejected"/>
    <s v="Yes"/>
    <x v="3"/>
    <x v="1771"/>
    <x v="1773"/>
    <n v="90"/>
    <n v="68"/>
    <n v="0.35149999999999998"/>
    <n v="11443625"/>
    <n v="50412.444933920706"/>
    <n v="99664"/>
    <n v="5091"/>
    <n v="318964.16000000009"/>
    <n v="1405.12845814978"/>
    <n v="0.35149999999999998"/>
    <n v="33880349.980000019"/>
    <x v="1"/>
    <n v="7685.16"/>
  </r>
  <r>
    <s v="LN01775"/>
    <x v="1774"/>
    <n v="32"/>
    <s v="Male"/>
    <s v="Divorced"/>
    <s v="Employed"/>
    <n v="107107"/>
    <n v="747"/>
    <n v="54326"/>
    <n v="17.64"/>
    <n v="120"/>
    <s v="Mortgage"/>
    <n v="49.8"/>
    <n v="73319"/>
    <n v="4385"/>
    <x v="782"/>
    <s v="Pending"/>
    <s v="Yes"/>
    <x v="2"/>
    <x v="1772"/>
    <x v="1774"/>
    <n v="90"/>
    <n v="67"/>
    <n v="0.35149999999999998"/>
    <n v="11423667"/>
    <n v="50547.199115044248"/>
    <n v="99664"/>
    <n v="5091"/>
    <n v="318323.7300000001"/>
    <n v="1408.512079646018"/>
    <n v="0.35149999999999998"/>
    <n v="33561385.820000008"/>
    <x v="1"/>
    <n v="6390.9600000000009"/>
  </r>
  <r>
    <s v="LN01776"/>
    <x v="1775"/>
    <n v="31"/>
    <s v="Male"/>
    <s v="Married"/>
    <s v="Unemployed"/>
    <n v="87489"/>
    <n v="723"/>
    <n v="99383"/>
    <n v="22.46"/>
    <n v="12"/>
    <s v="Education"/>
    <n v="54.56"/>
    <n v="18718"/>
    <n v="173439"/>
    <x v="1020"/>
    <s v="Approved"/>
    <s v="No"/>
    <x v="4"/>
    <x v="1773"/>
    <x v="1775"/>
    <n v="90"/>
    <n v="67"/>
    <n v="0.35149999999999998"/>
    <n v="11369341"/>
    <n v="50530.404444444444"/>
    <n v="99664"/>
    <n v="5091"/>
    <n v="317791.15000000008"/>
    <n v="1412.4051111111114"/>
    <n v="0.35149999999999998"/>
    <n v="33243062.090000007"/>
    <x v="1"/>
    <n v="121704.48000000001"/>
  </r>
  <r>
    <s v="LN01777"/>
    <x v="1776"/>
    <n v="53"/>
    <s v="Male"/>
    <s v="Divorced"/>
    <s v="Employed"/>
    <n v="109263"/>
    <n v="712"/>
    <n v="71765"/>
    <n v="17.84"/>
    <n v="24"/>
    <s v="Mortgage"/>
    <n v="59.51"/>
    <n v="31498"/>
    <n v="82713"/>
    <x v="408"/>
    <s v="Rejected"/>
    <s v="No"/>
    <x v="0"/>
    <x v="1774"/>
    <x v="1776"/>
    <n v="89"/>
    <n v="67"/>
    <n v="0.35149999999999998"/>
    <n v="11269958"/>
    <n v="50312.3125"/>
    <n v="99664"/>
    <n v="5091"/>
    <n v="307649.11000000004"/>
    <n v="1373.4335267857145"/>
    <n v="0.35149999999999998"/>
    <n v="32925270.940000009"/>
    <x v="0"/>
    <n v="42283.92"/>
  </r>
  <r>
    <s v="LN01778"/>
    <x v="1777"/>
    <n v="33"/>
    <s v="Male"/>
    <s v="Single"/>
    <s v="Self-Employed"/>
    <n v="47707"/>
    <n v="489"/>
    <n v="9083"/>
    <n v="23.67"/>
    <n v="60"/>
    <s v="Personal"/>
    <n v="19"/>
    <n v="49216"/>
    <n v="32140"/>
    <x v="479"/>
    <s v="Pending"/>
    <s v="Yes"/>
    <x v="3"/>
    <x v="1775"/>
    <x v="1777"/>
    <n v="89"/>
    <n v="66"/>
    <n v="0.35149999999999998"/>
    <n v="11198193"/>
    <n v="50216.112107623318"/>
    <n v="99664"/>
    <n v="5091"/>
    <n v="304125.44999999995"/>
    <n v="1363.7912556053809"/>
    <n v="0.35149999999999998"/>
    <n v="32617621.830000002"/>
    <x v="1"/>
    <n v="2246.64"/>
  </r>
  <r>
    <s v="LN01779"/>
    <x v="1778"/>
    <n v="39"/>
    <s v="Female"/>
    <s v="Single"/>
    <s v="Unemployed"/>
    <n v="141302"/>
    <n v="394"/>
    <n v="9547"/>
    <n v="15.09"/>
    <n v="60"/>
    <s v="Education"/>
    <n v="41.1"/>
    <n v="73070"/>
    <n v="218980"/>
    <x v="571"/>
    <s v="Rejected"/>
    <s v="No"/>
    <x v="1"/>
    <x v="1776"/>
    <x v="1778"/>
    <n v="89"/>
    <n v="66"/>
    <n v="0.35149999999999998"/>
    <n v="11189110"/>
    <n v="50401.396396396398"/>
    <n v="99664"/>
    <n v="5091"/>
    <n v="303938.23"/>
    <n v="1369.091126126126"/>
    <n v="0.35149999999999998"/>
    <n v="32313496.380000006"/>
    <x v="1"/>
    <n v="2197.56"/>
  </r>
  <r>
    <s v="LN01780"/>
    <x v="1779"/>
    <n v="52"/>
    <s v="Male"/>
    <s v="Single"/>
    <s v="Employed"/>
    <n v="31018"/>
    <n v="335"/>
    <n v="87029"/>
    <n v="12.19"/>
    <n v="48"/>
    <s v="Mortgage"/>
    <n v="54.94"/>
    <n v="7815"/>
    <n v="39526"/>
    <x v="1021"/>
    <s v="Rejected"/>
    <s v="Yes"/>
    <x v="3"/>
    <x v="1777"/>
    <x v="1779"/>
    <n v="89"/>
    <n v="65"/>
    <n v="0.35149999999999998"/>
    <n v="11179563"/>
    <n v="50586.257918552037"/>
    <n v="99664"/>
    <n v="5091"/>
    <n v="303755.09999999998"/>
    <n v="1374.4574660633484"/>
    <n v="0.35149999999999998"/>
    <n v="32009558.150000002"/>
    <x v="1"/>
    <n v="24409.439999999999"/>
  </r>
  <r>
    <s v="LN01781"/>
    <x v="1780"/>
    <n v="51"/>
    <s v="Female"/>
    <s v="Single"/>
    <s v="Employed"/>
    <n v="176742"/>
    <n v="476"/>
    <n v="43681"/>
    <n v="20.99"/>
    <n v="24"/>
    <s v="Mortgage"/>
    <n v="38.36"/>
    <n v="26543"/>
    <n v="144055"/>
    <x v="690"/>
    <s v="Pending"/>
    <s v="No"/>
    <x v="3"/>
    <x v="1778"/>
    <x v="1780"/>
    <n v="89"/>
    <n v="64"/>
    <n v="0.35149999999999998"/>
    <n v="11092534"/>
    <n v="50420.609090909093"/>
    <n v="99664"/>
    <n v="5091"/>
    <n v="301720.98"/>
    <n v="1371.4589999999998"/>
    <n v="0.35149999999999998"/>
    <n v="31705803.050000001"/>
    <x v="1"/>
    <n v="26424.840000000004"/>
  </r>
  <r>
    <s v="LN01782"/>
    <x v="1781"/>
    <n v="59"/>
    <s v="Female"/>
    <s v="Married"/>
    <s v="Employed"/>
    <n v="114860"/>
    <n v="733"/>
    <n v="54643"/>
    <n v="22.01"/>
    <n v="36"/>
    <s v="Mortgage"/>
    <n v="33.020000000000003"/>
    <n v="27828"/>
    <n v="214267"/>
    <x v="1022"/>
    <s v="Pending"/>
    <s v="No"/>
    <x v="4"/>
    <x v="1779"/>
    <x v="1781"/>
    <n v="89"/>
    <n v="64"/>
    <n v="0.35149999999999998"/>
    <n v="11048853"/>
    <n v="50451.383561643837"/>
    <n v="99664"/>
    <n v="5091"/>
    <n v="299518.90999999997"/>
    <n v="1367.6662557077625"/>
    <n v="0.35149999999999998"/>
    <n v="31404082.069999997"/>
    <x v="1"/>
    <n v="22223.279999999999"/>
  </r>
  <r>
    <s v="LN01783"/>
    <x v="1782"/>
    <n v="37"/>
    <s v="Male"/>
    <s v="Married"/>
    <s v="Unemployed"/>
    <n v="100979"/>
    <n v="769"/>
    <n v="24899"/>
    <n v="14.01"/>
    <n v="180"/>
    <s v="Business"/>
    <n v="33.549999999999997"/>
    <n v="44535"/>
    <n v="43493"/>
    <x v="281"/>
    <s v="Pending"/>
    <s v="Yes"/>
    <x v="4"/>
    <x v="1780"/>
    <x v="1782"/>
    <n v="89"/>
    <n v="64"/>
    <n v="0.35149999999999998"/>
    <n v="10994210"/>
    <n v="50432.15596330275"/>
    <n v="99664"/>
    <n v="5091"/>
    <n v="297666.96999999997"/>
    <n v="1365.4448165137615"/>
    <n v="0.35149999999999998"/>
    <n v="31104563.16"/>
    <x v="1"/>
    <n v="1892.52"/>
  </r>
  <r>
    <s v="LN01784"/>
    <x v="1783"/>
    <n v="45"/>
    <s v="Female"/>
    <s v="Single"/>
    <s v="Unemployed"/>
    <n v="103520"/>
    <n v="553"/>
    <n v="67244"/>
    <n v="10.18"/>
    <n v="36"/>
    <s v="Business"/>
    <n v="58.63"/>
    <n v="51737"/>
    <n v="128361"/>
    <x v="1023"/>
    <s v="Pending"/>
    <s v="No"/>
    <x v="2"/>
    <x v="1781"/>
    <x v="1783"/>
    <n v="89"/>
    <n v="64"/>
    <n v="0.35149999999999998"/>
    <n v="10969311"/>
    <n v="50549.820276497696"/>
    <n v="99664"/>
    <n v="5091"/>
    <n v="297509.26"/>
    <n v="1371.0104147465438"/>
    <n v="0.35149999999999998"/>
    <n v="30806896.189999994"/>
    <x v="1"/>
    <n v="24696.48"/>
  </r>
  <r>
    <s v="LN01785"/>
    <x v="1784"/>
    <n v="49"/>
    <s v="Male"/>
    <s v="Married"/>
    <s v="Self-Employed"/>
    <n v="127819"/>
    <n v="583"/>
    <n v="99649"/>
    <n v="15.14"/>
    <n v="36"/>
    <s v="Personal"/>
    <n v="42.88"/>
    <n v="19902"/>
    <n v="58311"/>
    <x v="232"/>
    <s v="Pending"/>
    <s v="No"/>
    <x v="2"/>
    <x v="1782"/>
    <x v="1784"/>
    <n v="89"/>
    <n v="64"/>
    <n v="0.35149999999999998"/>
    <n v="10902067"/>
    <n v="50472.532407407409"/>
    <n v="99664"/>
    <n v="5091"/>
    <n v="295451.21999999997"/>
    <n v="1367.829722222222"/>
    <n v="0.35149999999999998"/>
    <n v="30509386.929999996"/>
    <x v="1"/>
    <n v="38245.32"/>
  </r>
  <r>
    <s v="LN01786"/>
    <x v="1785"/>
    <n v="61"/>
    <s v="Female"/>
    <s v="Divorced"/>
    <s v="Unemployed"/>
    <n v="91052"/>
    <n v="498"/>
    <n v="16036"/>
    <n v="4.3099999999999996"/>
    <n v="180"/>
    <s v="Personal"/>
    <n v="59.41"/>
    <n v="17771"/>
    <n v="164603"/>
    <x v="1024"/>
    <s v="Approved"/>
    <s v="Yes"/>
    <x v="0"/>
    <x v="1783"/>
    <x v="1785"/>
    <n v="89"/>
    <n v="64"/>
    <n v="0.35149999999999998"/>
    <n v="10802418"/>
    <n v="50243.804651162791"/>
    <n v="99664"/>
    <n v="5091"/>
    <n v="292264.11"/>
    <n v="1359.367953488372"/>
    <n v="0.35149999999999998"/>
    <n v="30213935.709999997"/>
    <x v="1"/>
    <n v="1115.1600000000001"/>
  </r>
  <r>
    <s v="LN01787"/>
    <x v="1786"/>
    <n v="29"/>
    <s v="Female"/>
    <s v="Single"/>
    <s v="Self-Employed"/>
    <n v="181347"/>
    <n v="579"/>
    <n v="67161"/>
    <n v="16.190000000000001"/>
    <n v="360"/>
    <s v="Auto"/>
    <n v="36.39"/>
    <n v="38192"/>
    <n v="52739"/>
    <x v="1025"/>
    <s v="Rejected"/>
    <s v="Yes"/>
    <x v="4"/>
    <x v="1784"/>
    <x v="1786"/>
    <n v="88"/>
    <n v="64"/>
    <n v="0.35149999999999998"/>
    <n v="10786382"/>
    <n v="50403.654205607476"/>
    <n v="99664"/>
    <n v="5091"/>
    <n v="292171.18"/>
    <n v="1365.2858878504674"/>
    <n v="0.35149999999999998"/>
    <n v="29921671.600000005"/>
    <x v="1"/>
    <n v="2601.12"/>
  </r>
  <r>
    <s v="LN01788"/>
    <x v="1787"/>
    <n v="24"/>
    <s v="Female"/>
    <s v="Single"/>
    <s v="Unemployed"/>
    <n v="161730"/>
    <n v="625"/>
    <n v="53037"/>
    <n v="16.87"/>
    <n v="12"/>
    <s v="Mortgage"/>
    <n v="49.03"/>
    <n v="69796"/>
    <n v="66285"/>
    <x v="634"/>
    <s v="Rejected"/>
    <s v="No"/>
    <x v="0"/>
    <x v="1785"/>
    <x v="1787"/>
    <n v="88"/>
    <n v="63"/>
    <n v="0.35149999999999998"/>
    <n v="10719221"/>
    <n v="50324.981220657275"/>
    <n v="99664"/>
    <n v="5091"/>
    <n v="291954.42000000004"/>
    <n v="1370.6780281690142"/>
    <n v="0.35149999999999998"/>
    <n v="29629500.420000006"/>
    <x v="1"/>
    <n v="61984.319999999992"/>
  </r>
  <r>
    <s v="LN01789"/>
    <x v="1788"/>
    <n v="44"/>
    <s v="Male"/>
    <s v="Single"/>
    <s v="Self-Employed"/>
    <n v="169770"/>
    <n v="343"/>
    <n v="47399"/>
    <n v="10.039999999999999"/>
    <n v="60"/>
    <s v="Mortgage"/>
    <n v="57.69"/>
    <n v="33875"/>
    <n v="104235"/>
    <x v="1005"/>
    <s v="Approved"/>
    <s v="No"/>
    <x v="0"/>
    <x v="1786"/>
    <x v="1788"/>
    <n v="88"/>
    <n v="62"/>
    <n v="0.35149999999999998"/>
    <n v="10666184"/>
    <n v="50312.188679245286"/>
    <n v="99664"/>
    <n v="5091"/>
    <n v="286789.06000000011"/>
    <n v="1352.7785849056609"/>
    <n v="0.35149999999999998"/>
    <n v="29337546.000000004"/>
    <x v="0"/>
    <n v="10431.599999999999"/>
  </r>
  <r>
    <s v="LN01790"/>
    <x v="1789"/>
    <n v="36"/>
    <s v="Male"/>
    <s v="Married"/>
    <s v="Employed"/>
    <n v="159225"/>
    <n v="783"/>
    <n v="28134"/>
    <n v="7.56"/>
    <n v="180"/>
    <s v="Education"/>
    <n v="59.91"/>
    <n v="45718"/>
    <n v="241055"/>
    <x v="1026"/>
    <s v="Approved"/>
    <s v="No"/>
    <x v="3"/>
    <x v="1787"/>
    <x v="1789"/>
    <n v="87"/>
    <n v="62"/>
    <n v="0.35149999999999998"/>
    <n v="10618785"/>
    <n v="50325.995260663505"/>
    <n v="99664"/>
    <n v="5091"/>
    <n v="285919.76000000007"/>
    <n v="1355.0699526066353"/>
    <n v="0.35149999999999998"/>
    <n v="29050756.940000001"/>
    <x v="1"/>
    <n v="2017.44"/>
  </r>
  <r>
    <s v="LN01791"/>
    <x v="1790"/>
    <n v="35"/>
    <s v="Female"/>
    <s v="Divorced"/>
    <s v="Unemployed"/>
    <n v="111048"/>
    <n v="780"/>
    <n v="82464"/>
    <n v="22.98"/>
    <n v="12"/>
    <s v="Education"/>
    <n v="54.01"/>
    <n v="38180"/>
    <n v="92515"/>
    <x v="159"/>
    <s v="Approved"/>
    <s v="Yes"/>
    <x v="2"/>
    <x v="1788"/>
    <x v="1790"/>
    <n v="86"/>
    <n v="62"/>
    <n v="0.35149999999999998"/>
    <n v="10590651"/>
    <n v="50431.671428571426"/>
    <n v="99664"/>
    <n v="5091"/>
    <n v="285751.64000000007"/>
    <n v="1360.7220952380956"/>
    <n v="0.35149999999999998"/>
    <n v="28764837.180000003"/>
    <x v="1"/>
    <n v="101414.28"/>
  </r>
  <r>
    <s v="LN01792"/>
    <x v="1791"/>
    <n v="63"/>
    <s v="Male"/>
    <s v="Single"/>
    <s v="Self-Employed"/>
    <n v="137823"/>
    <n v="582"/>
    <n v="71492"/>
    <n v="6.45"/>
    <n v="48"/>
    <s v="Auto"/>
    <n v="19.489999999999998"/>
    <n v="50327"/>
    <n v="35291"/>
    <x v="1027"/>
    <s v="Rejected"/>
    <s v="No"/>
    <x v="4"/>
    <x v="1789"/>
    <x v="1791"/>
    <n v="85"/>
    <n v="62"/>
    <n v="0.35149999999999998"/>
    <n v="10508187"/>
    <n v="50278.406698564591"/>
    <n v="99664"/>
    <n v="5091"/>
    <n v="277300.45"/>
    <n v="1326.7964114832537"/>
    <n v="0.35149999999999998"/>
    <n v="28479085.540000003"/>
    <x v="0"/>
    <n v="19025.760000000002"/>
  </r>
  <r>
    <s v="LN01793"/>
    <x v="1792"/>
    <n v="46"/>
    <s v="Female"/>
    <s v="Married"/>
    <s v="Employed"/>
    <n v="131147"/>
    <n v="539"/>
    <n v="46339"/>
    <n v="22.27"/>
    <n v="120"/>
    <s v="Business"/>
    <n v="7.42"/>
    <n v="62919"/>
    <n v="20166"/>
    <x v="893"/>
    <s v="Rejected"/>
    <s v="Yes"/>
    <x v="2"/>
    <x v="1790"/>
    <x v="1792"/>
    <n v="85"/>
    <n v="61"/>
    <n v="0.35149999999999998"/>
    <n v="10436695"/>
    <n v="50176.418269230766"/>
    <n v="99664"/>
    <n v="5091"/>
    <n v="275714.97000000003"/>
    <n v="1325.5527403846156"/>
    <n v="0.35149999999999998"/>
    <n v="28201785.09"/>
    <x v="1"/>
    <n v="5665.92"/>
  </r>
  <r>
    <s v="LN01794"/>
    <x v="1793"/>
    <n v="21"/>
    <s v="Female"/>
    <s v="Divorced"/>
    <s v="Unemployed"/>
    <n v="59740"/>
    <n v="518"/>
    <n v="44226"/>
    <n v="20.83"/>
    <n v="120"/>
    <s v="Personal"/>
    <n v="11.04"/>
    <n v="53113"/>
    <n v="102094"/>
    <x v="804"/>
    <s v="Approved"/>
    <s v="No"/>
    <x v="2"/>
    <x v="1791"/>
    <x v="1793"/>
    <n v="85"/>
    <n v="60"/>
    <n v="0.35149999999999998"/>
    <n v="10390356"/>
    <n v="50194.956521739128"/>
    <n v="99664"/>
    <n v="5091"/>
    <n v="275242.81000000006"/>
    <n v="1329.6754106280196"/>
    <n v="0.35149999999999998"/>
    <n v="27926070.120000001"/>
    <x v="1"/>
    <n v="5343.84"/>
  </r>
  <r>
    <s v="LN01795"/>
    <x v="1794"/>
    <n v="26"/>
    <s v="Female"/>
    <s v="Single"/>
    <s v="Employed"/>
    <n v="85617"/>
    <n v="515"/>
    <n v="34165"/>
    <n v="13.86"/>
    <n v="60"/>
    <s v="Auto"/>
    <n v="54.78"/>
    <n v="37763"/>
    <n v="218503"/>
    <x v="331"/>
    <s v="Approved"/>
    <s v="Yes"/>
    <x v="4"/>
    <x v="1792"/>
    <x v="1794"/>
    <n v="84"/>
    <n v="60"/>
    <n v="0.35149999999999998"/>
    <n v="10346130"/>
    <n v="50223.932038834952"/>
    <n v="99664"/>
    <n v="5091"/>
    <n v="274797.49000000005"/>
    <n v="1333.9683980582527"/>
    <n v="0.35149999999999998"/>
    <n v="27650827.310000006"/>
    <x v="1"/>
    <n v="7780.08"/>
  </r>
  <r>
    <s v="LN01796"/>
    <x v="1795"/>
    <n v="22"/>
    <s v="Male"/>
    <s v="Divorced"/>
    <s v="Unemployed"/>
    <n v="165491"/>
    <n v="677"/>
    <n v="17090"/>
    <n v="5.12"/>
    <n v="48"/>
    <s v="Mortgage"/>
    <n v="16.96"/>
    <n v="13596"/>
    <n v="244885"/>
    <x v="407"/>
    <s v="Pending"/>
    <s v="No"/>
    <x v="0"/>
    <x v="1793"/>
    <x v="1795"/>
    <n v="83"/>
    <n v="60"/>
    <n v="0.35149999999999998"/>
    <n v="10311965"/>
    <n v="50302.268292682929"/>
    <n v="99664"/>
    <n v="5091"/>
    <n v="274149.15000000002"/>
    <n v="1337.3129268292685"/>
    <n v="0.35149999999999998"/>
    <n v="27376029.820000004"/>
    <x v="1"/>
    <n v="4491.24"/>
  </r>
  <r>
    <s v="LN01797"/>
    <x v="1796"/>
    <n v="51"/>
    <s v="Male"/>
    <s v="Single"/>
    <s v="Self-Employed"/>
    <n v="65415"/>
    <n v="771"/>
    <n v="38528"/>
    <n v="22.51"/>
    <n v="60"/>
    <s v="Mortgage"/>
    <n v="33.31"/>
    <n v="69310"/>
    <n v="215052"/>
    <x v="943"/>
    <s v="Rejected"/>
    <s v="No"/>
    <x v="1"/>
    <x v="1794"/>
    <x v="1796"/>
    <n v="83"/>
    <n v="60"/>
    <n v="0.35149999999999998"/>
    <n v="10294875"/>
    <n v="50465.073529411762"/>
    <n v="99664"/>
    <n v="5091"/>
    <n v="273774.88000000006"/>
    <n v="1342.0337254901963"/>
    <n v="0.35149999999999998"/>
    <n v="27101880.670000002"/>
    <x v="1"/>
    <n v="9440.16"/>
  </r>
  <r>
    <s v="LN01798"/>
    <x v="1797"/>
    <n v="48"/>
    <s v="Male"/>
    <s v="Divorced"/>
    <s v="Unemployed"/>
    <n v="94266"/>
    <n v="333"/>
    <n v="67439"/>
    <n v="22.35"/>
    <n v="24"/>
    <s v="Mortgage"/>
    <n v="36.03"/>
    <n v="17085"/>
    <n v="212281"/>
    <x v="1028"/>
    <s v="Pending"/>
    <s v="Yes"/>
    <x v="0"/>
    <x v="1795"/>
    <x v="1797"/>
    <n v="83"/>
    <n v="59"/>
    <n v="0.35149999999999998"/>
    <n v="10256347"/>
    <n v="50523.876847290638"/>
    <n v="99664"/>
    <n v="5091"/>
    <n v="272988.20000000007"/>
    <n v="1344.7694581280791"/>
    <n v="0.35149999999999998"/>
    <n v="26828105.789999999"/>
    <x v="1"/>
    <n v="41255.760000000002"/>
  </r>
  <r>
    <s v="LN01799"/>
    <x v="1798"/>
    <n v="45"/>
    <s v="Female"/>
    <s v="Single"/>
    <s v="Employed"/>
    <n v="49578"/>
    <n v="391"/>
    <n v="12035"/>
    <n v="16.850000000000001"/>
    <n v="12"/>
    <s v="Mortgage"/>
    <n v="33.659999999999997"/>
    <n v="25448"/>
    <n v="204861"/>
    <x v="107"/>
    <s v="Rejected"/>
    <s v="Yes"/>
    <x v="1"/>
    <x v="1796"/>
    <x v="1798"/>
    <n v="83"/>
    <n v="59"/>
    <n v="0.35149999999999998"/>
    <n v="10188908"/>
    <n v="50440.138613861389"/>
    <n v="99664"/>
    <n v="5091"/>
    <n v="269550.22000000009"/>
    <n v="1334.4070297029707"/>
    <n v="0.35149999999999998"/>
    <n v="26555117.59"/>
    <x v="1"/>
    <n v="14062.920000000002"/>
  </r>
  <r>
    <s v="LN01800"/>
    <x v="1799"/>
    <n v="41"/>
    <s v="Female"/>
    <s v="Single"/>
    <s v="Self-Employed"/>
    <n v="28898"/>
    <n v="348"/>
    <n v="37434"/>
    <n v="7.77"/>
    <n v="60"/>
    <s v="Business"/>
    <n v="57.05"/>
    <n v="59129"/>
    <n v="23936"/>
    <x v="150"/>
    <s v="Rejected"/>
    <s v="No"/>
    <x v="2"/>
    <x v="1797"/>
    <x v="1799"/>
    <n v="83"/>
    <n v="58"/>
    <n v="0.35149999999999998"/>
    <n v="10176873"/>
    <n v="50631.208955223883"/>
    <n v="99664"/>
    <n v="5091"/>
    <n v="268378.31000000011"/>
    <n v="1335.2154726368165"/>
    <n v="0.35149999999999998"/>
    <n v="26285567.369999997"/>
    <x v="0"/>
    <n v="8068.5599999999995"/>
  </r>
  <r>
    <s v="LN01801"/>
    <x v="1800"/>
    <n v="24"/>
    <s v="Female"/>
    <s v="Divorced"/>
    <s v="Self-Employed"/>
    <n v="105980"/>
    <n v="600"/>
    <n v="78233"/>
    <n v="17.920000000000002"/>
    <n v="48"/>
    <s v="Business"/>
    <n v="57.35"/>
    <n v="66397"/>
    <n v="245142"/>
    <x v="317"/>
    <s v="Approved"/>
    <s v="Yes"/>
    <x v="4"/>
    <x v="1798"/>
    <x v="1800"/>
    <n v="83"/>
    <n v="57"/>
    <n v="0.35149999999999998"/>
    <n v="10139439"/>
    <n v="50697.195"/>
    <n v="99664"/>
    <n v="5091"/>
    <n v="267705.93000000017"/>
    <n v="1338.5296500000009"/>
    <n v="0.35149999999999998"/>
    <n v="26017189.059999999"/>
    <x v="1"/>
    <n v="23063.040000000001"/>
  </r>
  <r>
    <s v="LN01802"/>
    <x v="1801"/>
    <n v="46"/>
    <s v="Male"/>
    <s v="Divorced"/>
    <s v="Self-Employed"/>
    <n v="138586"/>
    <n v="570"/>
    <n v="33697"/>
    <n v="13.94"/>
    <n v="24"/>
    <s v="Education"/>
    <n v="10.39"/>
    <n v="35954"/>
    <n v="119052"/>
    <x v="1029"/>
    <s v="Approved"/>
    <s v="Yes"/>
    <x v="2"/>
    <x v="1799"/>
    <x v="1801"/>
    <n v="82"/>
    <n v="57"/>
    <n v="0.35149999999999998"/>
    <n v="10061206"/>
    <n v="50558.824120603014"/>
    <n v="99664"/>
    <n v="5091"/>
    <n v="265784.01000000013"/>
    <n v="1335.5980402010057"/>
    <n v="0.35149999999999998"/>
    <n v="25749483.129999995"/>
    <x v="1"/>
    <n v="19197.239999999998"/>
  </r>
  <r>
    <s v="LN01803"/>
    <x v="1802"/>
    <n v="58"/>
    <s v="Male"/>
    <s v="Married"/>
    <s v="Employed"/>
    <n v="48237"/>
    <n v="542"/>
    <n v="37635"/>
    <n v="18.87"/>
    <n v="60"/>
    <s v="Auto"/>
    <n v="55.52"/>
    <n v="2490"/>
    <n v="142464"/>
    <x v="1030"/>
    <s v="Pending"/>
    <s v="No"/>
    <x v="1"/>
    <x v="1800"/>
    <x v="1802"/>
    <n v="81"/>
    <n v="57"/>
    <n v="0.35149999999999998"/>
    <n v="10027509"/>
    <n v="50643.984848484848"/>
    <n v="99664"/>
    <n v="5091"/>
    <n v="264184.24000000017"/>
    <n v="1334.2638383838391"/>
    <n v="0.35149999999999998"/>
    <n v="25483699.119999994"/>
    <x v="1"/>
    <n v="8947.32"/>
  </r>
  <r>
    <s v="LN01804"/>
    <x v="1803"/>
    <n v="35"/>
    <s v="Female"/>
    <s v="Divorced"/>
    <s v="Self-Employed"/>
    <n v="127323"/>
    <n v="578"/>
    <n v="74582"/>
    <n v="12.52"/>
    <n v="240"/>
    <s v="Education"/>
    <n v="43.23"/>
    <n v="40919"/>
    <n v="180494"/>
    <x v="169"/>
    <s v="Approved"/>
    <s v="No"/>
    <x v="1"/>
    <x v="1801"/>
    <x v="1803"/>
    <n v="81"/>
    <n v="57"/>
    <n v="0.35149999999999998"/>
    <n v="9989874"/>
    <n v="50710.020304568527"/>
    <n v="99664"/>
    <n v="5091"/>
    <n v="263438.63000000018"/>
    <n v="1337.2519289340112"/>
    <n v="0.35149999999999998"/>
    <n v="25219514.879999995"/>
    <x v="1"/>
    <n v="4196.04"/>
  </r>
  <r>
    <s v="LN01805"/>
    <x v="1804"/>
    <n v="54"/>
    <s v="Male"/>
    <s v="Divorced"/>
    <s v="Unemployed"/>
    <n v="153668"/>
    <n v="472"/>
    <n v="80741"/>
    <n v="6.66"/>
    <n v="48"/>
    <s v="Auto"/>
    <n v="24.46"/>
    <n v="73305"/>
    <n v="135071"/>
    <x v="826"/>
    <s v="Approved"/>
    <s v="Yes"/>
    <x v="2"/>
    <x v="1802"/>
    <x v="1804"/>
    <n v="80"/>
    <n v="57"/>
    <n v="0.35149999999999998"/>
    <n v="9915292"/>
    <n v="50588.224489795917"/>
    <n v="99664"/>
    <n v="5091"/>
    <n v="263088.96000000014"/>
    <n v="1342.2906122448987"/>
    <n v="0.35149999999999998"/>
    <n v="24956076.249999996"/>
    <x v="1"/>
    <n v="21529.56"/>
  </r>
  <r>
    <s v="LN01806"/>
    <x v="1805"/>
    <n v="45"/>
    <s v="Female"/>
    <s v="Married"/>
    <s v="Employed"/>
    <n v="101931"/>
    <n v="354"/>
    <n v="28445"/>
    <n v="6.06"/>
    <n v="24"/>
    <s v="Auto"/>
    <n v="28.66"/>
    <n v="46873"/>
    <n v="81798"/>
    <x v="1031"/>
    <s v="Approved"/>
    <s v="Yes"/>
    <x v="0"/>
    <x v="1803"/>
    <x v="1805"/>
    <n v="79"/>
    <n v="57"/>
    <n v="0.35149999999999998"/>
    <n v="9834551"/>
    <n v="50433.59487179487"/>
    <n v="99664"/>
    <n v="5091"/>
    <n v="261294.83000000013"/>
    <n v="1339.9734871794878"/>
    <n v="0.35149999999999998"/>
    <n v="24692987.289999995"/>
    <x v="1"/>
    <n v="15084.36"/>
  </r>
  <r>
    <s v="LN01807"/>
    <x v="1806"/>
    <n v="37"/>
    <s v="Male"/>
    <s v="Divorced"/>
    <s v="Self-Employed"/>
    <n v="61632"/>
    <n v="442"/>
    <n v="29713"/>
    <n v="17.62"/>
    <n v="48"/>
    <s v="Mortgage"/>
    <n v="56.61"/>
    <n v="17078"/>
    <n v="220786"/>
    <x v="723"/>
    <s v="Approved"/>
    <s v="Yes"/>
    <x v="4"/>
    <x v="1804"/>
    <x v="1806"/>
    <n v="78"/>
    <n v="57"/>
    <n v="0.35149999999999998"/>
    <n v="9806106"/>
    <n v="50546.938144329899"/>
    <n v="99664"/>
    <n v="5091"/>
    <n v="260037.80000000013"/>
    <n v="1340.4010309278358"/>
    <n v="0.35149999999999998"/>
    <n v="24431692.459999997"/>
    <x v="1"/>
    <n v="8737.08"/>
  </r>
  <r>
    <s v="LN01808"/>
    <x v="1807"/>
    <n v="50"/>
    <s v="Female"/>
    <s v="Divorced"/>
    <s v="Employed"/>
    <n v="155338"/>
    <n v="644"/>
    <n v="12140"/>
    <n v="14.27"/>
    <n v="12"/>
    <s v="Business"/>
    <n v="30.94"/>
    <n v="10481"/>
    <n v="4661"/>
    <x v="514"/>
    <s v="Pending"/>
    <s v="No"/>
    <x v="0"/>
    <x v="1805"/>
    <x v="1807"/>
    <n v="77"/>
    <n v="57"/>
    <n v="0.35149999999999998"/>
    <n v="9776393"/>
    <n v="50654.886010362694"/>
    <n v="99664"/>
    <n v="5091"/>
    <n v="259309.71000000014"/>
    <n v="1343.5736269430058"/>
    <n v="0.35149999999999998"/>
    <n v="24171654.659999996"/>
    <x v="1"/>
    <n v="13872.36"/>
  </r>
  <r>
    <s v="LN01809"/>
    <x v="1808"/>
    <n v="50"/>
    <s v="Male"/>
    <s v="Divorced"/>
    <s v="Employed"/>
    <n v="183011"/>
    <n v="796"/>
    <n v="26579"/>
    <n v="22.58"/>
    <n v="12"/>
    <s v="Mortgage"/>
    <n v="57.91"/>
    <n v="43327"/>
    <n v="16580"/>
    <x v="644"/>
    <s v="Approved"/>
    <s v="No"/>
    <x v="4"/>
    <x v="1806"/>
    <x v="1808"/>
    <n v="77"/>
    <n v="57"/>
    <n v="0.35149999999999998"/>
    <n v="9764253"/>
    <n v="50855.484375"/>
    <n v="99664"/>
    <n v="5091"/>
    <n v="258153.68000000011"/>
    <n v="1344.5504166666672"/>
    <n v="0.35149999999999998"/>
    <n v="23912344.949999996"/>
    <x v="0"/>
    <n v="32580.48"/>
  </r>
  <r>
    <s v="LN01810"/>
    <x v="1809"/>
    <n v="49"/>
    <s v="Male"/>
    <s v="Divorced"/>
    <s v="Self-Employed"/>
    <n v="97541"/>
    <n v="608"/>
    <n v="66087"/>
    <n v="22"/>
    <n v="240"/>
    <s v="Mortgage"/>
    <n v="17.96"/>
    <n v="38508"/>
    <n v="178637"/>
    <x v="1032"/>
    <s v="Rejected"/>
    <s v="No"/>
    <x v="0"/>
    <x v="1807"/>
    <x v="1809"/>
    <n v="76"/>
    <n v="57"/>
    <n v="0.35149999999999998"/>
    <n v="9737674"/>
    <n v="50982.586387434552"/>
    <n v="99664"/>
    <n v="5091"/>
    <n v="255438.6400000001"/>
    <n v="1337.3750785340319"/>
    <n v="0.35149999999999998"/>
    <n v="23654191.269999992"/>
    <x v="0"/>
    <n v="4031.2799999999997"/>
  </r>
  <r>
    <s v="LN01811"/>
    <x v="1810"/>
    <n v="42"/>
    <s v="Female"/>
    <s v="Divorced"/>
    <s v="Unemployed"/>
    <n v="189124"/>
    <n v="340"/>
    <n v="39428"/>
    <n v="9.9"/>
    <n v="48"/>
    <s v="Business"/>
    <n v="52.3"/>
    <n v="11009"/>
    <n v="185411"/>
    <x v="1033"/>
    <s v="Approved"/>
    <s v="No"/>
    <x v="3"/>
    <x v="1808"/>
    <x v="1810"/>
    <n v="76"/>
    <n v="56"/>
    <n v="0.35149999999999998"/>
    <n v="9671587"/>
    <n v="50903.089473684209"/>
    <n v="99664"/>
    <n v="5091"/>
    <n v="255102.70000000013"/>
    <n v="1342.6457894736848"/>
    <n v="0.35149999999999998"/>
    <n v="23398752.629999999"/>
    <x v="1"/>
    <n v="10832.880000000001"/>
  </r>
  <r>
    <s v="LN01812"/>
    <x v="1811"/>
    <n v="54"/>
    <s v="Male"/>
    <s v="Single"/>
    <s v="Employed"/>
    <n v="56031"/>
    <n v="740"/>
    <n v="21821"/>
    <n v="19.23"/>
    <n v="36"/>
    <s v="Personal"/>
    <n v="28.58"/>
    <n v="23540"/>
    <n v="133912"/>
    <x v="1034"/>
    <s v="Rejected"/>
    <s v="Yes"/>
    <x v="4"/>
    <x v="1809"/>
    <x v="1811"/>
    <n v="75"/>
    <n v="56"/>
    <n v="0.35149999999999998"/>
    <n v="9632159"/>
    <n v="50963.804232804236"/>
    <n v="99664"/>
    <n v="5091"/>
    <n v="254199.96000000014"/>
    <n v="1344.973333333334"/>
    <n v="0.35149999999999998"/>
    <n v="23143649.929999996"/>
    <x v="1"/>
    <n v="8672.4000000000015"/>
  </r>
  <r>
    <s v="LN01813"/>
    <x v="1812"/>
    <n v="35"/>
    <s v="Female"/>
    <s v="Single"/>
    <s v="Self-Employed"/>
    <n v="151391"/>
    <n v="398"/>
    <n v="70968"/>
    <n v="7.28"/>
    <n v="120"/>
    <s v="Auto"/>
    <n v="50"/>
    <n v="58449"/>
    <n v="217483"/>
    <x v="333"/>
    <s v="Rejected"/>
    <s v="No"/>
    <x v="0"/>
    <x v="1810"/>
    <x v="1812"/>
    <n v="75"/>
    <n v="55"/>
    <n v="0.35149999999999998"/>
    <n v="9610338"/>
    <n v="51118.819148936171"/>
    <n v="99664"/>
    <n v="5091"/>
    <n v="253477.26000000015"/>
    <n v="1348.2832978723413"/>
    <n v="0.35149999999999998"/>
    <n v="22889449.969999995"/>
    <x v="1"/>
    <n v="7613.4000000000005"/>
  </r>
  <r>
    <s v="LN01814"/>
    <x v="1813"/>
    <n v="46"/>
    <s v="Male"/>
    <s v="Single"/>
    <s v="Employed"/>
    <n v="52633"/>
    <n v="777"/>
    <n v="84133"/>
    <n v="10.53"/>
    <n v="36"/>
    <s v="Business"/>
    <n v="18.940000000000001"/>
    <n v="41455"/>
    <n v="62752"/>
    <x v="339"/>
    <s v="Approved"/>
    <s v="No"/>
    <x v="3"/>
    <x v="1811"/>
    <x v="1813"/>
    <n v="75"/>
    <n v="54"/>
    <n v="0.35149999999999998"/>
    <n v="9539370"/>
    <n v="51012.673796791445"/>
    <n v="99664"/>
    <n v="5091"/>
    <n v="252842.81000000014"/>
    <n v="1352.1005882352949"/>
    <n v="0.35149999999999998"/>
    <n v="22635972.709999993"/>
    <x v="1"/>
    <n v="30997.439999999999"/>
  </r>
  <r>
    <s v="LN01815"/>
    <x v="1814"/>
    <n v="53"/>
    <s v="Male"/>
    <s v="Married"/>
    <s v="Employed"/>
    <n v="26066"/>
    <n v="324"/>
    <n v="20906"/>
    <n v="20.65"/>
    <n v="120"/>
    <s v="Education"/>
    <n v="24.88"/>
    <n v="3236"/>
    <n v="198686"/>
    <x v="543"/>
    <s v="Pending"/>
    <s v="Yes"/>
    <x v="2"/>
    <x v="1812"/>
    <x v="1814"/>
    <n v="74"/>
    <n v="54"/>
    <n v="0.35149999999999998"/>
    <n v="9455237"/>
    <n v="50834.607526881722"/>
    <n v="99664"/>
    <n v="5091"/>
    <n v="250259.69000000012"/>
    <n v="1345.4822043010759"/>
    <n v="0.35149999999999998"/>
    <n v="22383129.899999995"/>
    <x v="1"/>
    <n v="2522.2799999999997"/>
  </r>
  <r>
    <s v="LN01816"/>
    <x v="1815"/>
    <n v="63"/>
    <s v="Female"/>
    <s v="Married"/>
    <s v="Self-Employed"/>
    <n v="120022"/>
    <n v="762"/>
    <n v="61118"/>
    <n v="7.81"/>
    <n v="24"/>
    <s v="Education"/>
    <n v="33.17"/>
    <n v="61621"/>
    <n v="140206"/>
    <x v="897"/>
    <s v="Approved"/>
    <s v="Yes"/>
    <x v="4"/>
    <x v="1813"/>
    <x v="1815"/>
    <n v="74"/>
    <n v="54"/>
    <n v="0.35149999999999998"/>
    <n v="9434331"/>
    <n v="50996.383783783785"/>
    <n v="99664"/>
    <n v="5091"/>
    <n v="250049.50000000012"/>
    <n v="1351.6189189189195"/>
    <n v="0.35149999999999998"/>
    <n v="22132870.209999993"/>
    <x v="1"/>
    <n v="32945.64"/>
  </r>
  <r>
    <s v="LN01817"/>
    <x v="1816"/>
    <n v="47"/>
    <s v="Female"/>
    <s v="Married"/>
    <s v="Employed"/>
    <n v="186753"/>
    <n v="772"/>
    <n v="32332"/>
    <n v="19.55"/>
    <n v="240"/>
    <s v="Personal"/>
    <n v="19.59"/>
    <n v="76751"/>
    <n v="134062"/>
    <x v="76"/>
    <s v="Pending"/>
    <s v="Yes"/>
    <x v="4"/>
    <x v="1814"/>
    <x v="1816"/>
    <n v="73"/>
    <n v="54"/>
    <n v="0.35149999999999998"/>
    <n v="9373213"/>
    <n v="50941.375"/>
    <n v="99664"/>
    <n v="5091"/>
    <n v="247304.03000000012"/>
    <n v="1344.0436413043485"/>
    <n v="0.35149999999999998"/>
    <n v="21882820.70999999"/>
    <x v="1"/>
    <n v="1932.6000000000001"/>
  </r>
  <r>
    <s v="LN01818"/>
    <x v="1817"/>
    <n v="39"/>
    <s v="Female"/>
    <s v="Married"/>
    <s v="Employed"/>
    <n v="25696"/>
    <n v="535"/>
    <n v="32278"/>
    <n v="10.81"/>
    <n v="12"/>
    <s v="Mortgage"/>
    <n v="40.39"/>
    <n v="16112"/>
    <n v="92270"/>
    <x v="1014"/>
    <s v="Rejected"/>
    <s v="No"/>
    <x v="1"/>
    <x v="1815"/>
    <x v="1817"/>
    <n v="73"/>
    <n v="54"/>
    <n v="0.35149999999999998"/>
    <n v="9340881"/>
    <n v="51043.065573770495"/>
    <n v="99664"/>
    <n v="5091"/>
    <n v="247142.98000000013"/>
    <n v="1350.5080874316948"/>
    <n v="0.35149999999999998"/>
    <n v="21635516.679999989"/>
    <x v="1"/>
    <n v="35767.199999999997"/>
  </r>
  <r>
    <s v="LN01819"/>
    <x v="1818"/>
    <n v="39"/>
    <s v="Male"/>
    <s v="Divorced"/>
    <s v="Unemployed"/>
    <n v="65878"/>
    <n v="427"/>
    <n v="35685"/>
    <n v="7.13"/>
    <n v="48"/>
    <s v="Mortgage"/>
    <n v="7.81"/>
    <n v="25158"/>
    <n v="129100"/>
    <x v="942"/>
    <s v="Approved"/>
    <s v="Yes"/>
    <x v="2"/>
    <x v="1816"/>
    <x v="1818"/>
    <n v="73"/>
    <n v="53"/>
    <n v="0.35149999999999998"/>
    <n v="9308603"/>
    <n v="51146.170329670327"/>
    <n v="99664"/>
    <n v="5091"/>
    <n v="244162.38000000009"/>
    <n v="1341.5515384615389"/>
    <n v="0.35149999999999998"/>
    <n v="21388373.699999988"/>
    <x v="0"/>
    <n v="9557.2800000000007"/>
  </r>
  <r>
    <s v="LN01820"/>
    <x v="1819"/>
    <n v="59"/>
    <s v="Male"/>
    <s v="Divorced"/>
    <s v="Employed"/>
    <n v="120955"/>
    <n v="618"/>
    <n v="38037"/>
    <n v="4.92"/>
    <n v="12"/>
    <s v="Education"/>
    <n v="29.91"/>
    <n v="67106"/>
    <n v="207301"/>
    <x v="342"/>
    <s v="Rejected"/>
    <s v="No"/>
    <x v="3"/>
    <x v="1817"/>
    <x v="1819"/>
    <n v="72"/>
    <n v="53"/>
    <n v="0.35149999999999998"/>
    <n v="9272918"/>
    <n v="51231.591160220996"/>
    <n v="99664"/>
    <n v="5091"/>
    <n v="243365.94000000009"/>
    <n v="1344.5632044198901"/>
    <n v="0.35149999999999998"/>
    <n v="21144211.319999989"/>
    <x v="1"/>
    <n v="39908.399999999994"/>
  </r>
  <r>
    <s v="LN01821"/>
    <x v="1820"/>
    <n v="43"/>
    <s v="Female"/>
    <s v="Married"/>
    <s v="Employed"/>
    <n v="165761"/>
    <n v="614"/>
    <n v="21450"/>
    <n v="23.79"/>
    <n v="48"/>
    <s v="Education"/>
    <n v="42.47"/>
    <n v="33104"/>
    <n v="159018"/>
    <x v="206"/>
    <s v="Approved"/>
    <s v="Yes"/>
    <x v="3"/>
    <x v="1818"/>
    <x v="1820"/>
    <n v="72"/>
    <n v="52"/>
    <n v="0.35149999999999998"/>
    <n v="9234881"/>
    <n v="51304.894444444442"/>
    <n v="99664"/>
    <n v="5091"/>
    <n v="240040.24000000008"/>
    <n v="1333.5568888888893"/>
    <n v="0.35149999999999998"/>
    <n v="20900845.379999992"/>
    <x v="0"/>
    <n v="6638.2800000000007"/>
  </r>
  <r>
    <s v="LN01822"/>
    <x v="1821"/>
    <n v="46"/>
    <s v="Male"/>
    <s v="Single"/>
    <s v="Employed"/>
    <n v="99299"/>
    <n v="595"/>
    <n v="74788"/>
    <n v="16.149999999999999"/>
    <n v="180"/>
    <s v="Auto"/>
    <n v="18.579999999999998"/>
    <n v="20790"/>
    <n v="128952"/>
    <x v="154"/>
    <s v="Approved"/>
    <s v="Yes"/>
    <x v="3"/>
    <x v="1819"/>
    <x v="1821"/>
    <n v="71"/>
    <n v="52"/>
    <n v="0.35149999999999998"/>
    <n v="9213431"/>
    <n v="51471.68156424581"/>
    <n v="99664"/>
    <n v="5091"/>
    <n v="239487.05000000008"/>
    <n v="1337.9164804469278"/>
    <n v="0.35149999999999998"/>
    <n v="20660805.139999997"/>
    <x v="1"/>
    <n v="5791.08"/>
  </r>
  <r>
    <s v="LN01823"/>
    <x v="1822"/>
    <n v="40"/>
    <s v="Male"/>
    <s v="Divorced"/>
    <s v="Self-Employed"/>
    <n v="64854"/>
    <n v="699"/>
    <n v="47778"/>
    <n v="14.76"/>
    <n v="360"/>
    <s v="Business"/>
    <n v="30.24"/>
    <n v="66346"/>
    <n v="37660"/>
    <x v="770"/>
    <s v="Rejected"/>
    <s v="No"/>
    <x v="3"/>
    <x v="1820"/>
    <x v="1822"/>
    <n v="70"/>
    <n v="52"/>
    <n v="0.35149999999999998"/>
    <n v="9138643"/>
    <n v="51340.691011235955"/>
    <n v="99664"/>
    <n v="5091"/>
    <n v="239004.46000000008"/>
    <n v="1342.7216853932589"/>
    <n v="0.35149999999999998"/>
    <n v="20421318.089999996"/>
    <x v="1"/>
    <n v="1827.72"/>
  </r>
  <r>
    <s v="LN01824"/>
    <x v="1823"/>
    <n v="54"/>
    <s v="Male"/>
    <s v="Married"/>
    <s v="Self-Employed"/>
    <n v="143752"/>
    <n v="661"/>
    <n v="5145"/>
    <n v="23.83"/>
    <n v="12"/>
    <s v="Education"/>
    <n v="34.119999999999997"/>
    <n v="19366"/>
    <n v="187083"/>
    <x v="1035"/>
    <s v="Pending"/>
    <s v="No"/>
    <x v="0"/>
    <x v="1821"/>
    <x v="1823"/>
    <n v="70"/>
    <n v="51"/>
    <n v="0.35149999999999998"/>
    <n v="9090865"/>
    <n v="51360.819209039546"/>
    <n v="99664"/>
    <n v="5091"/>
    <n v="238852.15000000008"/>
    <n v="1349.4471751412434"/>
    <n v="0.35149999999999998"/>
    <n v="20182313.629999999"/>
    <x v="1"/>
    <n v="6371.0399999999991"/>
  </r>
  <r>
    <s v="LN01825"/>
    <x v="1824"/>
    <n v="30"/>
    <s v="Female"/>
    <s v="Married"/>
    <s v="Self-Employed"/>
    <n v="161924"/>
    <n v="688"/>
    <n v="64371"/>
    <n v="9.42"/>
    <n v="240"/>
    <s v="Auto"/>
    <n v="36.78"/>
    <n v="62441"/>
    <n v="235134"/>
    <x v="786"/>
    <s v="Approved"/>
    <s v="Yes"/>
    <x v="1"/>
    <x v="1822"/>
    <x v="1824"/>
    <n v="70"/>
    <n v="51"/>
    <n v="0.35149999999999998"/>
    <n v="9085720"/>
    <n v="51623.409090909088"/>
    <n v="99664"/>
    <n v="5091"/>
    <n v="238321.23000000007"/>
    <n v="1354.0978977272732"/>
    <n v="0.35149999999999998"/>
    <n v="19943461.479999993"/>
    <x v="0"/>
    <n v="3521.76"/>
  </r>
  <r>
    <s v="LN01826"/>
    <x v="1825"/>
    <n v="60"/>
    <s v="Male"/>
    <s v="Divorced"/>
    <s v="Self-Employed"/>
    <n v="125920"/>
    <n v="498"/>
    <n v="57133"/>
    <n v="15.92"/>
    <n v="240"/>
    <s v="Personal"/>
    <n v="36.6"/>
    <n v="837"/>
    <n v="102686"/>
    <x v="1036"/>
    <s v="Pending"/>
    <s v="No"/>
    <x v="4"/>
    <x v="1823"/>
    <x v="1825"/>
    <n v="69"/>
    <n v="51"/>
    <n v="0.35149999999999998"/>
    <n v="9021349"/>
    <n v="51550.565714285716"/>
    <n v="99664"/>
    <n v="5091"/>
    <n v="238027.75000000009"/>
    <n v="1360.158571428572"/>
    <n v="0.35149999999999998"/>
    <n v="19705140.249999996"/>
    <x v="1"/>
    <n v="3311.3999999999996"/>
  </r>
  <r>
    <s v="LN01827"/>
    <x v="1826"/>
    <n v="29"/>
    <s v="Male"/>
    <s v="Divorced"/>
    <s v="Self-Employed"/>
    <n v="37385"/>
    <n v="744"/>
    <n v="16251"/>
    <n v="3.78"/>
    <n v="360"/>
    <s v="Mortgage"/>
    <n v="36.14"/>
    <n v="29013"/>
    <n v="1475"/>
    <x v="738"/>
    <s v="Pending"/>
    <s v="No"/>
    <x v="1"/>
    <x v="1824"/>
    <x v="1826"/>
    <n v="69"/>
    <n v="51"/>
    <n v="0.35149999999999998"/>
    <n v="8964216"/>
    <n v="51518.482758620688"/>
    <n v="99664"/>
    <n v="5091"/>
    <n v="237751.80000000008"/>
    <n v="1366.3896551724142"/>
    <n v="0.35149999999999998"/>
    <n v="19467112.499999993"/>
    <x v="1"/>
    <n v="562.20000000000005"/>
  </r>
  <r>
    <s v="LN01828"/>
    <x v="1827"/>
    <n v="35"/>
    <s v="Female"/>
    <s v="Married"/>
    <s v="Unemployed"/>
    <n v="153452"/>
    <n v="776"/>
    <n v="87523"/>
    <n v="5.3"/>
    <n v="24"/>
    <s v="Personal"/>
    <n v="36.69"/>
    <n v="41504"/>
    <n v="104738"/>
    <x v="833"/>
    <s v="Rejected"/>
    <s v="No"/>
    <x v="2"/>
    <x v="1825"/>
    <x v="1827"/>
    <n v="69"/>
    <n v="51"/>
    <n v="0.35149999999999998"/>
    <n v="8947965"/>
    <n v="51722.34104046243"/>
    <n v="99664"/>
    <n v="5091"/>
    <n v="237704.95000000007"/>
    <n v="1374.0170520231218"/>
    <n v="0.35149999999999998"/>
    <n v="19229360.699999996"/>
    <x v="1"/>
    <n v="46080.840000000004"/>
  </r>
  <r>
    <s v="LN01829"/>
    <x v="1828"/>
    <n v="52"/>
    <s v="Female"/>
    <s v="Single"/>
    <s v="Self-Employed"/>
    <n v="20331"/>
    <n v="709"/>
    <n v="38961"/>
    <n v="15.57"/>
    <n v="360"/>
    <s v="Education"/>
    <n v="5.32"/>
    <n v="49286"/>
    <n v="94336"/>
    <x v="178"/>
    <s v="Approved"/>
    <s v="No"/>
    <x v="4"/>
    <x v="1826"/>
    <x v="1828"/>
    <n v="69"/>
    <n v="50"/>
    <n v="0.35149999999999998"/>
    <n v="8860442"/>
    <n v="51514.197674418603"/>
    <n v="99664"/>
    <n v="5091"/>
    <n v="233864.88000000009"/>
    <n v="1359.6795348837215"/>
    <n v="0.35149999999999998"/>
    <n v="18991655.749999993"/>
    <x v="1"/>
    <n v="1500.96"/>
  </r>
  <r>
    <s v="LN01830"/>
    <x v="1829"/>
    <n v="49"/>
    <s v="Female"/>
    <s v="Single"/>
    <s v="Unemployed"/>
    <n v="164892"/>
    <n v="319"/>
    <n v="34942"/>
    <n v="21.32"/>
    <n v="360"/>
    <s v="Personal"/>
    <n v="14.83"/>
    <n v="57862"/>
    <n v="11955"/>
    <x v="633"/>
    <s v="Approved"/>
    <s v="No"/>
    <x v="4"/>
    <x v="1827"/>
    <x v="1829"/>
    <n v="68"/>
    <n v="50"/>
    <n v="0.35149999999999998"/>
    <n v="8821481"/>
    <n v="51587.608187134501"/>
    <n v="99664"/>
    <n v="5091"/>
    <n v="233739.80000000008"/>
    <n v="1366.8994152046789"/>
    <n v="0.35149999999999998"/>
    <n v="18757790.86999999"/>
    <x v="1"/>
    <n v="1413"/>
  </r>
  <r>
    <s v="LN01831"/>
    <x v="1830"/>
    <n v="34"/>
    <s v="Male"/>
    <s v="Divorced"/>
    <s v="Self-Employed"/>
    <n v="197399"/>
    <n v="727"/>
    <n v="98214"/>
    <n v="16.940000000000001"/>
    <n v="36"/>
    <s v="Personal"/>
    <n v="46.94"/>
    <n v="30618"/>
    <n v="59176"/>
    <x v="349"/>
    <s v="Rejected"/>
    <s v="Yes"/>
    <x v="3"/>
    <x v="1828"/>
    <x v="1830"/>
    <n v="67"/>
    <n v="50"/>
    <n v="0.35149999999999998"/>
    <n v="8786539"/>
    <n v="51685.523529411767"/>
    <n v="99664"/>
    <n v="5091"/>
    <n v="233622.05000000008"/>
    <n v="1374.2473529411768"/>
    <n v="0.35149999999999998"/>
    <n v="18524051.069999989"/>
    <x v="1"/>
    <n v="38283.840000000004"/>
  </r>
  <r>
    <s v="LN01832"/>
    <x v="1831"/>
    <n v="56"/>
    <s v="Female"/>
    <s v="Single"/>
    <s v="Employed"/>
    <n v="162041"/>
    <n v="320"/>
    <n v="94772"/>
    <n v="10.7"/>
    <n v="48"/>
    <s v="Auto"/>
    <n v="48.62"/>
    <n v="37665"/>
    <n v="154687"/>
    <x v="600"/>
    <s v="Approved"/>
    <s v="Yes"/>
    <x v="4"/>
    <x v="1829"/>
    <x v="1831"/>
    <n v="67"/>
    <n v="49"/>
    <n v="0.35149999999999998"/>
    <n v="8688325"/>
    <n v="51410.207100591717"/>
    <n v="99664"/>
    <n v="5091"/>
    <n v="230431.7300000001"/>
    <n v="1363.5013609467462"/>
    <n v="0.35149999999999998"/>
    <n v="18290429.019999992"/>
    <x v="1"/>
    <n v="26228.159999999996"/>
  </r>
  <r>
    <s v="LN01833"/>
    <x v="1832"/>
    <n v="39"/>
    <s v="Male"/>
    <s v="Divorced"/>
    <s v="Self-Employed"/>
    <n v="61044"/>
    <n v="753"/>
    <n v="52499"/>
    <n v="14.38"/>
    <n v="12"/>
    <s v="Mortgage"/>
    <n v="50.15"/>
    <n v="12303"/>
    <n v="51472"/>
    <x v="1037"/>
    <s v="Approved"/>
    <s v="No"/>
    <x v="0"/>
    <x v="1830"/>
    <x v="1832"/>
    <n v="66"/>
    <n v="49"/>
    <n v="0.35149999999999998"/>
    <n v="8593553"/>
    <n v="51152.101190476191"/>
    <n v="99664"/>
    <n v="5091"/>
    <n v="228246.05000000008"/>
    <n v="1358.607440476191"/>
    <n v="0.35149999999999998"/>
    <n v="18059997.289999995"/>
    <x v="1"/>
    <n v="60048.36"/>
  </r>
  <r>
    <s v="LN01834"/>
    <x v="1833"/>
    <n v="58"/>
    <s v="Female"/>
    <s v="Single"/>
    <s v="Unemployed"/>
    <n v="83103"/>
    <n v="658"/>
    <n v="87936"/>
    <n v="12.85"/>
    <n v="180"/>
    <s v="Business"/>
    <n v="43.51"/>
    <n v="55527"/>
    <n v="50941"/>
    <x v="1038"/>
    <s v="Approved"/>
    <s v="No"/>
    <x v="3"/>
    <x v="1831"/>
    <x v="1833"/>
    <n v="65"/>
    <n v="49"/>
    <n v="0.35149999999999998"/>
    <n v="8541054"/>
    <n v="51144.035928143712"/>
    <n v="99664"/>
    <n v="5091"/>
    <n v="223242.02000000002"/>
    <n v="1336.7785628742515"/>
    <n v="0.35149999999999998"/>
    <n v="17831751.239999995"/>
    <x v="0"/>
    <n v="6615.7199999999993"/>
  </r>
  <r>
    <s v="LN01835"/>
    <x v="1834"/>
    <n v="22"/>
    <s v="Female"/>
    <s v="Married"/>
    <s v="Self-Employed"/>
    <n v="67985"/>
    <n v="404"/>
    <n v="18951"/>
    <n v="7.42"/>
    <n v="48"/>
    <s v="Education"/>
    <n v="28.92"/>
    <n v="8254"/>
    <n v="109698"/>
    <x v="540"/>
    <s v="Approved"/>
    <s v="Yes"/>
    <x v="2"/>
    <x v="1832"/>
    <x v="1834"/>
    <n v="64"/>
    <n v="49"/>
    <n v="0.35149999999999998"/>
    <n v="8453118"/>
    <n v="50922.397590361448"/>
    <n v="99664"/>
    <n v="5091"/>
    <n v="222690.71000000005"/>
    <n v="1341.5103012048196"/>
    <n v="0.35149999999999998"/>
    <n v="17608509.219999991"/>
    <x v="1"/>
    <n v="5089.32"/>
  </r>
  <r>
    <s v="LN01836"/>
    <x v="1835"/>
    <n v="47"/>
    <s v="Male"/>
    <s v="Divorced"/>
    <s v="Unemployed"/>
    <n v="80776"/>
    <n v="517"/>
    <n v="35698"/>
    <n v="19.41"/>
    <n v="60"/>
    <s v="Auto"/>
    <n v="6.3"/>
    <n v="34637"/>
    <n v="48118"/>
    <x v="1039"/>
    <s v="Approved"/>
    <s v="No"/>
    <x v="4"/>
    <x v="1833"/>
    <x v="1835"/>
    <n v="63"/>
    <n v="49"/>
    <n v="0.35149999999999998"/>
    <n v="8434167"/>
    <n v="51116.163636363635"/>
    <n v="99664"/>
    <n v="5091"/>
    <n v="222266.60000000003"/>
    <n v="1347.0703030303032"/>
    <n v="0.35149999999999998"/>
    <n v="17385818.509999987"/>
    <x v="1"/>
    <n v="8525.4000000000015"/>
  </r>
  <r>
    <s v="LN01837"/>
    <x v="1836"/>
    <n v="49"/>
    <s v="Male"/>
    <s v="Married"/>
    <s v="Unemployed"/>
    <n v="94845"/>
    <n v="728"/>
    <n v="21335"/>
    <n v="7.81"/>
    <n v="24"/>
    <s v="Mortgage"/>
    <n v="57.61"/>
    <n v="2834"/>
    <n v="200477"/>
    <x v="114"/>
    <s v="Rejected"/>
    <s v="No"/>
    <x v="0"/>
    <x v="1834"/>
    <x v="1836"/>
    <n v="62"/>
    <n v="49"/>
    <n v="0.35149999999999998"/>
    <n v="8398469"/>
    <n v="51210.17682926829"/>
    <n v="99664"/>
    <n v="5091"/>
    <n v="221556.15000000005"/>
    <n v="1350.9521341463417"/>
    <n v="0.35149999999999998"/>
    <n v="17163551.909999989"/>
    <x v="1"/>
    <n v="11500.68"/>
  </r>
  <r>
    <s v="LN01838"/>
    <x v="1837"/>
    <n v="38"/>
    <s v="Female"/>
    <s v="Married"/>
    <s v="Self-Employed"/>
    <n v="96432"/>
    <n v="459"/>
    <n v="68051"/>
    <n v="14.24"/>
    <n v="180"/>
    <s v="Mortgage"/>
    <n v="41.04"/>
    <n v="33834"/>
    <n v="38711"/>
    <x v="1040"/>
    <s v="Approved"/>
    <s v="No"/>
    <x v="4"/>
    <x v="1835"/>
    <x v="1837"/>
    <n v="62"/>
    <n v="48"/>
    <n v="0.35149999999999998"/>
    <n v="8377134"/>
    <n v="51393.460122699384"/>
    <n v="99664"/>
    <n v="5091"/>
    <n v="220597.76000000004"/>
    <n v="1353.3604907975462"/>
    <n v="0.35149999999999998"/>
    <n v="16941995.75999999"/>
    <x v="1"/>
    <n v="5182.7999999999993"/>
  </r>
  <r>
    <s v="LN01839"/>
    <x v="1838"/>
    <n v="32"/>
    <s v="Male"/>
    <s v="Divorced"/>
    <s v="Self-Employed"/>
    <n v="155852"/>
    <n v="592"/>
    <n v="36236"/>
    <n v="10.33"/>
    <n v="24"/>
    <s v="Education"/>
    <n v="18.62"/>
    <n v="16890"/>
    <n v="146313"/>
    <x v="37"/>
    <s v="Approved"/>
    <s v="Yes"/>
    <x v="3"/>
    <x v="1836"/>
    <x v="1838"/>
    <n v="61"/>
    <n v="48"/>
    <n v="0.35149999999999998"/>
    <n v="8309083"/>
    <n v="51290.635802469136"/>
    <n v="99664"/>
    <n v="5091"/>
    <n v="220165.86000000004"/>
    <n v="1359.0485185185189"/>
    <n v="0.35149999999999998"/>
    <n v="16721397.999999994"/>
    <x v="1"/>
    <n v="19989.599999999999"/>
  </r>
  <r>
    <s v="LN01840"/>
    <x v="1839"/>
    <n v="64"/>
    <s v="Male"/>
    <s v="Divorced"/>
    <s v="Unemployed"/>
    <n v="179227"/>
    <n v="319"/>
    <n v="71119"/>
    <n v="4.47"/>
    <n v="48"/>
    <s v="Personal"/>
    <n v="11.5"/>
    <n v="49089"/>
    <n v="17649"/>
    <x v="539"/>
    <s v="Rejected"/>
    <s v="Yes"/>
    <x v="3"/>
    <x v="1837"/>
    <x v="1839"/>
    <n v="60"/>
    <n v="48"/>
    <n v="0.35149999999999998"/>
    <n v="8272847"/>
    <n v="51384.142857142855"/>
    <n v="99664"/>
    <n v="5091"/>
    <n v="218500.06000000003"/>
    <n v="1357.1432298136647"/>
    <n v="0.35149999999999998"/>
    <n v="16501232.139999999"/>
    <x v="1"/>
    <n v="18574.560000000001"/>
  </r>
  <r>
    <s v="LN01841"/>
    <x v="1840"/>
    <n v="48"/>
    <s v="Female"/>
    <s v="Single"/>
    <s v="Employed"/>
    <n v="161159"/>
    <n v="640"/>
    <n v="92228"/>
    <n v="23.75"/>
    <n v="24"/>
    <s v="Business"/>
    <n v="42.44"/>
    <n v="24208"/>
    <n v="3056"/>
    <x v="422"/>
    <s v="Rejected"/>
    <s v="Yes"/>
    <x v="0"/>
    <x v="1838"/>
    <x v="1840"/>
    <n v="60"/>
    <n v="47"/>
    <n v="0.35149999999999998"/>
    <n v="8201728"/>
    <n v="51260.800000000003"/>
    <n v="99664"/>
    <n v="5091"/>
    <n v="216952.18000000002"/>
    <n v="1355.951125"/>
    <n v="0.35149999999999998"/>
    <n v="16282732.079999996"/>
    <x v="1"/>
    <n v="57066.12"/>
  </r>
  <r>
    <s v="LN01842"/>
    <x v="1841"/>
    <n v="34"/>
    <s v="Male"/>
    <s v="Divorced"/>
    <s v="Self-Employed"/>
    <n v="63916"/>
    <n v="615"/>
    <n v="48426"/>
    <n v="15.02"/>
    <n v="12"/>
    <s v="Auto"/>
    <n v="48.95"/>
    <n v="46782"/>
    <n v="12413"/>
    <x v="850"/>
    <s v="Pending"/>
    <s v="Yes"/>
    <x v="2"/>
    <x v="1839"/>
    <x v="1841"/>
    <n v="60"/>
    <n v="46"/>
    <n v="0.35149999999999998"/>
    <n v="8109500"/>
    <n v="51003.14465408805"/>
    <n v="99664"/>
    <n v="5091"/>
    <n v="212196.67"/>
    <n v="1334.5702515723272"/>
    <n v="0.35149999999999998"/>
    <n v="16065779.899999997"/>
    <x v="1"/>
    <n v="55699.56"/>
  </r>
  <r>
    <s v="LN01843"/>
    <x v="1842"/>
    <n v="40"/>
    <s v="Female"/>
    <s v="Divorced"/>
    <s v="Self-Employed"/>
    <n v="85855"/>
    <n v="506"/>
    <n v="51613"/>
    <n v="8.81"/>
    <n v="60"/>
    <s v="Business"/>
    <n v="14.12"/>
    <n v="26478"/>
    <n v="202887"/>
    <x v="372"/>
    <s v="Pending"/>
    <s v="Yes"/>
    <x v="0"/>
    <x v="1840"/>
    <x v="1842"/>
    <n v="60"/>
    <n v="46"/>
    <n v="0.35149999999999998"/>
    <n v="8061074"/>
    <n v="51019.455696202531"/>
    <n v="99664"/>
    <n v="5091"/>
    <n v="207555.04000000004"/>
    <n v="1313.6394936708864"/>
    <n v="0.35149999999999998"/>
    <n v="15853583.229999995"/>
    <x v="0"/>
    <n v="11232"/>
  </r>
  <r>
    <s v="LN01844"/>
    <x v="1843"/>
    <n v="24"/>
    <s v="Male"/>
    <s v="Married"/>
    <s v="Employed"/>
    <n v="95826"/>
    <n v="436"/>
    <n v="21975"/>
    <n v="21.27"/>
    <n v="12"/>
    <s v="Education"/>
    <n v="39.14"/>
    <n v="33658"/>
    <n v="221675"/>
    <x v="996"/>
    <s v="Rejected"/>
    <s v="Yes"/>
    <x v="1"/>
    <x v="1841"/>
    <x v="1843"/>
    <n v="60"/>
    <n v="46"/>
    <n v="0.35149999999999998"/>
    <n v="8009461"/>
    <n v="51015.675159235667"/>
    <n v="99664"/>
    <n v="5091"/>
    <n v="206619.04000000004"/>
    <n v="1316.0448407643314"/>
    <n v="0.35149999999999998"/>
    <n v="15646028.189999996"/>
    <x v="1"/>
    <n v="26649.120000000003"/>
  </r>
  <r>
    <s v="LN01845"/>
    <x v="1844"/>
    <n v="54"/>
    <s v="Male"/>
    <s v="Divorced"/>
    <s v="Employed"/>
    <n v="61721"/>
    <n v="623"/>
    <n v="14825"/>
    <n v="3.99"/>
    <n v="12"/>
    <s v="Auto"/>
    <n v="14.97"/>
    <n v="22827"/>
    <n v="145182"/>
    <x v="9"/>
    <s v="Pending"/>
    <s v="Yes"/>
    <x v="0"/>
    <x v="1842"/>
    <x v="1844"/>
    <n v="60"/>
    <n v="45"/>
    <n v="0.35149999999999998"/>
    <n v="7987486"/>
    <n v="51201.833333333336"/>
    <n v="99664"/>
    <n v="5091"/>
    <n v="204398.28000000006"/>
    <n v="1310.2453846153851"/>
    <n v="0.35149999999999998"/>
    <n v="15439409.149999997"/>
    <x v="0"/>
    <n v="15416.52"/>
  </r>
  <r>
    <s v="LN01846"/>
    <x v="1845"/>
    <n v="48"/>
    <s v="Male"/>
    <s v="Single"/>
    <s v="Employed"/>
    <n v="199692"/>
    <n v="327"/>
    <n v="33125"/>
    <n v="5.0599999999999996"/>
    <n v="12"/>
    <s v="Education"/>
    <n v="42.04"/>
    <n v="14486"/>
    <n v="144778"/>
    <x v="744"/>
    <s v="Pending"/>
    <s v="No"/>
    <x v="1"/>
    <x v="1843"/>
    <x v="1845"/>
    <n v="60"/>
    <n v="45"/>
    <n v="0.35149999999999998"/>
    <n v="7972661"/>
    <n v="51436.522580645164"/>
    <n v="99664"/>
    <n v="5091"/>
    <n v="203113.57000000007"/>
    <n v="1310.4101290322585"/>
    <n v="0.35149999999999998"/>
    <n v="15235010.869999999"/>
    <x v="0"/>
    <n v="34801.08"/>
  </r>
  <r>
    <s v="LN01847"/>
    <x v="1846"/>
    <n v="59"/>
    <s v="Female"/>
    <s v="Divorced"/>
    <s v="Self-Employed"/>
    <n v="38931"/>
    <n v="637"/>
    <n v="98261"/>
    <n v="13.97"/>
    <n v="60"/>
    <s v="Business"/>
    <n v="45.32"/>
    <n v="6466"/>
    <n v="11058"/>
    <x v="172"/>
    <s v="Pending"/>
    <s v="No"/>
    <x v="4"/>
    <x v="1844"/>
    <x v="1846"/>
    <n v="60"/>
    <n v="45"/>
    <n v="0.35149999999999998"/>
    <n v="7939536"/>
    <n v="51555.428571428572"/>
    <n v="99664"/>
    <n v="5091"/>
    <n v="200213.48000000007"/>
    <n v="1300.0875324675328"/>
    <n v="0.35149999999999998"/>
    <n v="15031897.299999999"/>
    <x v="0"/>
    <n v="22397.64"/>
  </r>
  <r>
    <s v="LN01848"/>
    <x v="1847"/>
    <n v="63"/>
    <s v="Female"/>
    <s v="Married"/>
    <s v="Self-Employed"/>
    <n v="198011"/>
    <n v="301"/>
    <n v="69612"/>
    <n v="5.8"/>
    <n v="360"/>
    <s v="Business"/>
    <n v="13.83"/>
    <n v="58374"/>
    <n v="55516"/>
    <x v="992"/>
    <s v="Approved"/>
    <s v="Yes"/>
    <x v="0"/>
    <x v="1845"/>
    <x v="1847"/>
    <n v="60"/>
    <n v="45"/>
    <n v="0.35149999999999998"/>
    <n v="7841275"/>
    <n v="51250.163398692814"/>
    <n v="99664"/>
    <n v="5091"/>
    <n v="198347.01000000007"/>
    <n v="1296.3856862745101"/>
    <n v="0.35149999999999998"/>
    <n v="14831683.819999998"/>
    <x v="1"/>
    <n v="2454.96"/>
  </r>
  <r>
    <s v="LN01849"/>
    <x v="1848"/>
    <n v="52"/>
    <s v="Male"/>
    <s v="Married"/>
    <s v="Self-Employed"/>
    <n v="52302"/>
    <n v="541"/>
    <n v="16514"/>
    <n v="11.85"/>
    <n v="360"/>
    <s v="Mortgage"/>
    <n v="8.23"/>
    <n v="55936"/>
    <n v="185556"/>
    <x v="1041"/>
    <s v="Approved"/>
    <s v="No"/>
    <x v="3"/>
    <x v="1846"/>
    <x v="1848"/>
    <n v="59"/>
    <n v="45"/>
    <n v="0.35149999999999998"/>
    <n v="7771663"/>
    <n v="51129.36184210526"/>
    <n v="99664"/>
    <n v="5091"/>
    <n v="198142.43000000005"/>
    <n v="1303.5686184210529"/>
    <n v="0.35149999999999998"/>
    <n v="14633336.809999999"/>
    <x v="1"/>
    <n v="615.72"/>
  </r>
  <r>
    <s v="LN01850"/>
    <x v="1849"/>
    <n v="46"/>
    <s v="Male"/>
    <s v="Single"/>
    <s v="Unemployed"/>
    <n v="22004"/>
    <n v="373"/>
    <n v="39062"/>
    <n v="16.47"/>
    <n v="48"/>
    <s v="Business"/>
    <n v="59.2"/>
    <n v="3042"/>
    <n v="193345"/>
    <x v="577"/>
    <s v="Rejected"/>
    <s v="No"/>
    <x v="4"/>
    <x v="1847"/>
    <x v="1849"/>
    <n v="58"/>
    <n v="45"/>
    <n v="0.35149999999999998"/>
    <n v="7755149"/>
    <n v="51358.602649006622"/>
    <n v="99664"/>
    <n v="5091"/>
    <n v="198091.12000000005"/>
    <n v="1311.861721854305"/>
    <n v="0.35149999999999998"/>
    <n v="14435194.379999997"/>
    <x v="1"/>
    <n v="11373.84"/>
  </r>
  <r>
    <s v="LN01851"/>
    <x v="1850"/>
    <n v="29"/>
    <s v="Female"/>
    <s v="Married"/>
    <s v="Self-Employed"/>
    <n v="86977"/>
    <n v="509"/>
    <n v="25350"/>
    <n v="14.01"/>
    <n v="48"/>
    <s v="Business"/>
    <n v="14.79"/>
    <n v="17906"/>
    <n v="194016"/>
    <x v="1042"/>
    <s v="Approved"/>
    <s v="No"/>
    <x v="2"/>
    <x v="1848"/>
    <x v="1850"/>
    <n v="58"/>
    <n v="44"/>
    <n v="0.35149999999999998"/>
    <n v="7716087"/>
    <n v="51440.58"/>
    <n v="99664"/>
    <n v="5091"/>
    <n v="197143.30000000005"/>
    <n v="1314.288666666667"/>
    <n v="0.35149999999999998"/>
    <n v="14237103.259999998"/>
    <x v="1"/>
    <n v="7225.4400000000005"/>
  </r>
  <r>
    <s v="LN01852"/>
    <x v="1851"/>
    <n v="60"/>
    <s v="Female"/>
    <s v="Single"/>
    <s v="Employed"/>
    <n v="197271"/>
    <n v="756"/>
    <n v="90994"/>
    <n v="13.02"/>
    <n v="36"/>
    <s v="Business"/>
    <n v="52.29"/>
    <n v="70640"/>
    <n v="68720"/>
    <x v="756"/>
    <s v="Rejected"/>
    <s v="Yes"/>
    <x v="3"/>
    <x v="1849"/>
    <x v="1851"/>
    <n v="57"/>
    <n v="44"/>
    <n v="0.35149999999999998"/>
    <n v="7690737"/>
    <n v="51615.68456375839"/>
    <n v="99664"/>
    <n v="5091"/>
    <n v="196541.18000000005"/>
    <n v="1319.0683221476513"/>
    <n v="0.35149999999999998"/>
    <n v="14039959.959999997"/>
    <x v="1"/>
    <n v="34280.520000000004"/>
  </r>
  <r>
    <s v="LN01853"/>
    <x v="1852"/>
    <n v="32"/>
    <s v="Female"/>
    <s v="Married"/>
    <s v="Employed"/>
    <n v="48528"/>
    <n v="484"/>
    <n v="60100"/>
    <n v="3.95"/>
    <n v="12"/>
    <s v="Mortgage"/>
    <n v="42.66"/>
    <n v="19387"/>
    <n v="160266"/>
    <x v="1013"/>
    <s v="Approved"/>
    <s v="No"/>
    <x v="2"/>
    <x v="1850"/>
    <x v="1852"/>
    <n v="57"/>
    <n v="43"/>
    <n v="0.35149999999999998"/>
    <n v="7599743"/>
    <n v="51349.614864864867"/>
    <n v="99664"/>
    <n v="5091"/>
    <n v="193684.47000000006"/>
    <n v="1308.6788513513518"/>
    <n v="0.35149999999999998"/>
    <n v="13843418.779999999"/>
    <x v="1"/>
    <n v="62473.919999999998"/>
  </r>
  <r>
    <s v="LN01854"/>
    <x v="1853"/>
    <n v="54"/>
    <s v="Female"/>
    <s v="Married"/>
    <s v="Unemployed"/>
    <n v="100710"/>
    <n v="632"/>
    <n v="59014"/>
    <n v="4.09"/>
    <n v="120"/>
    <s v="Mortgage"/>
    <n v="32.68"/>
    <n v="67375"/>
    <n v="2032"/>
    <x v="1043"/>
    <s v="Approved"/>
    <s v="No"/>
    <x v="2"/>
    <x v="1851"/>
    <x v="1853"/>
    <n v="56"/>
    <n v="43"/>
    <n v="0.35149999999999998"/>
    <n v="7539643"/>
    <n v="51290.088435374149"/>
    <n v="99664"/>
    <n v="5091"/>
    <n v="188478.31000000006"/>
    <n v="1282.1653741496602"/>
    <n v="0.35149999999999998"/>
    <n v="13649734.309999999"/>
    <x v="0"/>
    <n v="6142.7999999999993"/>
  </r>
  <r>
    <s v="LN01855"/>
    <x v="1854"/>
    <n v="28"/>
    <s v="Female"/>
    <s v="Married"/>
    <s v="Self-Employed"/>
    <n v="31462"/>
    <n v="318"/>
    <n v="83684"/>
    <n v="9.51"/>
    <n v="36"/>
    <s v="Mortgage"/>
    <n v="38.119999999999997"/>
    <n v="40197"/>
    <n v="240072"/>
    <x v="1044"/>
    <s v="Pending"/>
    <s v="No"/>
    <x v="0"/>
    <x v="1852"/>
    <x v="1854"/>
    <n v="55"/>
    <n v="43"/>
    <n v="0.35149999999999998"/>
    <n v="7480629"/>
    <n v="51237.184931506847"/>
    <n v="99664"/>
    <n v="5091"/>
    <n v="187966.41000000006"/>
    <n v="1287.441164383562"/>
    <n v="0.35149999999999998"/>
    <n v="13461255.999999998"/>
    <x v="1"/>
    <n v="30547.439999999999"/>
  </r>
  <r>
    <s v="LN01856"/>
    <x v="1855"/>
    <n v="21"/>
    <s v="Female"/>
    <s v="Married"/>
    <s v="Unemployed"/>
    <n v="124609"/>
    <n v="714"/>
    <n v="61917"/>
    <n v="6.44"/>
    <n v="36"/>
    <s v="Mortgage"/>
    <n v="29.94"/>
    <n v="35749"/>
    <n v="149926"/>
    <x v="821"/>
    <s v="Approved"/>
    <s v="No"/>
    <x v="1"/>
    <x v="1853"/>
    <x v="1855"/>
    <n v="55"/>
    <n v="43"/>
    <n v="0.35149999999999998"/>
    <n v="7396945"/>
    <n v="51013.413793103449"/>
    <n v="99664"/>
    <n v="5091"/>
    <n v="185420.79000000007"/>
    <n v="1278.7640689655177"/>
    <n v="0.35149999999999998"/>
    <n v="13273289.59"/>
    <x v="1"/>
    <n v="21968.16"/>
  </r>
  <r>
    <s v="LN01857"/>
    <x v="1856"/>
    <n v="38"/>
    <s v="Female"/>
    <s v="Single"/>
    <s v="Unemployed"/>
    <n v="158456"/>
    <n v="526"/>
    <n v="42506"/>
    <n v="16.829999999999998"/>
    <n v="180"/>
    <s v="Mortgage"/>
    <n v="15.25"/>
    <n v="77549"/>
    <n v="58648"/>
    <x v="562"/>
    <s v="Approved"/>
    <s v="Yes"/>
    <x v="2"/>
    <x v="1854"/>
    <x v="1856"/>
    <n v="54"/>
    <n v="43"/>
    <n v="0.35149999999999998"/>
    <n v="7335028"/>
    <n v="50937.694444444445"/>
    <n v="99664"/>
    <n v="5091"/>
    <n v="183590.11000000007"/>
    <n v="1274.9313194444449"/>
    <n v="0.35149999999999998"/>
    <n v="13087868.799999999"/>
    <x v="1"/>
    <n v="3310.68"/>
  </r>
  <r>
    <s v="LN01858"/>
    <x v="1857"/>
    <n v="47"/>
    <s v="Male"/>
    <s v="Single"/>
    <s v="Unemployed"/>
    <n v="143176"/>
    <n v="431"/>
    <n v="6755"/>
    <n v="4.62"/>
    <n v="120"/>
    <s v="Personal"/>
    <n v="40.15"/>
    <n v="15385"/>
    <n v="52216"/>
    <x v="766"/>
    <s v="Approved"/>
    <s v="Yes"/>
    <x v="0"/>
    <x v="1855"/>
    <x v="1857"/>
    <n v="53"/>
    <n v="43"/>
    <n v="0.35149999999999998"/>
    <n v="7292522"/>
    <n v="50996.657342657345"/>
    <n v="99664"/>
    <n v="5091"/>
    <n v="183314.22000000006"/>
    <n v="1281.9176223776228"/>
    <n v="0.35149999999999998"/>
    <n v="12904278.690000001"/>
    <x v="1"/>
    <n v="706.68000000000006"/>
  </r>
  <r>
    <s v="LN01859"/>
    <x v="1858"/>
    <n v="62"/>
    <s v="Female"/>
    <s v="Married"/>
    <s v="Employed"/>
    <n v="191285"/>
    <n v="363"/>
    <n v="62026"/>
    <n v="14"/>
    <n v="360"/>
    <s v="Auto"/>
    <n v="26.26"/>
    <n v="17101"/>
    <n v="188845"/>
    <x v="182"/>
    <s v="Rejected"/>
    <s v="Yes"/>
    <x v="1"/>
    <x v="1719"/>
    <x v="1858"/>
    <n v="52"/>
    <n v="43"/>
    <n v="0.35149999999999998"/>
    <n v="7285767"/>
    <n v="51308.218309859156"/>
    <n v="99664"/>
    <n v="5091"/>
    <n v="183255.33000000007"/>
    <n v="1290.5304929577469"/>
    <n v="0.35149999999999998"/>
    <n v="12720964.470000001"/>
    <x v="1"/>
    <n v="2357.04"/>
  </r>
  <r>
    <s v="LN01860"/>
    <x v="1859"/>
    <n v="31"/>
    <s v="Male"/>
    <s v="Married"/>
    <s v="Self-Employed"/>
    <n v="151794"/>
    <n v="572"/>
    <n v="77836"/>
    <n v="11.62"/>
    <n v="360"/>
    <s v="Mortgage"/>
    <n v="23.28"/>
    <n v="39168"/>
    <n v="73320"/>
    <x v="73"/>
    <s v="Approved"/>
    <s v="No"/>
    <x v="4"/>
    <x v="1856"/>
    <x v="1859"/>
    <n v="52"/>
    <n v="42"/>
    <n v="0.35149999999999998"/>
    <n v="7223741"/>
    <n v="51232.205673758865"/>
    <n v="99664"/>
    <n v="5091"/>
    <n v="183058.91000000009"/>
    <n v="1298.2901418439724"/>
    <n v="0.35149999999999998"/>
    <n v="12537709.140000002"/>
    <x v="1"/>
    <n v="2895.96"/>
  </r>
  <r>
    <s v="LN01861"/>
    <x v="1860"/>
    <n v="36"/>
    <s v="Male"/>
    <s v="Married"/>
    <s v="Unemployed"/>
    <n v="146026"/>
    <n v="362"/>
    <n v="29573"/>
    <n v="16.82"/>
    <n v="180"/>
    <s v="Business"/>
    <n v="11.62"/>
    <n v="2447"/>
    <n v="149345"/>
    <x v="1045"/>
    <s v="Pending"/>
    <s v="No"/>
    <x v="3"/>
    <x v="1857"/>
    <x v="1860"/>
    <n v="51"/>
    <n v="42"/>
    <n v="0.35149999999999998"/>
    <n v="7145905"/>
    <n v="51042.178571428572"/>
    <n v="99664"/>
    <n v="5091"/>
    <n v="182817.58000000007"/>
    <n v="1305.8398571428577"/>
    <n v="0.35149999999999998"/>
    <n v="12354650.23"/>
    <x v="1"/>
    <n v="2303.16"/>
  </r>
  <r>
    <s v="LN01862"/>
    <x v="1861"/>
    <n v="49"/>
    <s v="Female"/>
    <s v="Single"/>
    <s v="Unemployed"/>
    <n v="113123"/>
    <n v="545"/>
    <n v="93909"/>
    <n v="20.32"/>
    <n v="48"/>
    <s v="Personal"/>
    <n v="6"/>
    <n v="47136"/>
    <n v="1573"/>
    <x v="518"/>
    <s v="Approved"/>
    <s v="Yes"/>
    <x v="2"/>
    <x v="1858"/>
    <x v="1861"/>
    <n v="51"/>
    <n v="42"/>
    <n v="0.35149999999999998"/>
    <n v="7116332"/>
    <n v="51196.633093525183"/>
    <n v="99664"/>
    <n v="5091"/>
    <n v="182625.65000000008"/>
    <n v="1313.8535971223027"/>
    <n v="0.35149999999999998"/>
    <n v="12171832.65"/>
    <x v="1"/>
    <n v="28247.879999999997"/>
  </r>
  <r>
    <s v="LN01863"/>
    <x v="1862"/>
    <n v="24"/>
    <s v="Female"/>
    <s v="Single"/>
    <s v="Employed"/>
    <n v="129645"/>
    <n v="541"/>
    <n v="19576"/>
    <n v="11.96"/>
    <n v="48"/>
    <s v="Auto"/>
    <n v="36.950000000000003"/>
    <n v="43301"/>
    <n v="206690"/>
    <x v="387"/>
    <s v="Pending"/>
    <s v="Yes"/>
    <x v="2"/>
    <x v="1859"/>
    <x v="1862"/>
    <n v="50"/>
    <n v="42"/>
    <n v="0.35149999999999998"/>
    <n v="7022423"/>
    <n v="50887.1231884058"/>
    <n v="99664"/>
    <n v="5091"/>
    <n v="180271.66000000009"/>
    <n v="1306.3163768115949"/>
    <n v="0.35149999999999998"/>
    <n v="11989207"/>
    <x v="1"/>
    <n v="5479.32"/>
  </r>
  <r>
    <s v="LN01864"/>
    <x v="1863"/>
    <n v="39"/>
    <s v="Female"/>
    <s v="Married"/>
    <s v="Unemployed"/>
    <n v="55637"/>
    <n v="756"/>
    <n v="62481"/>
    <n v="3.96"/>
    <n v="36"/>
    <s v="Mortgage"/>
    <n v="20.399999999999999"/>
    <n v="27995"/>
    <n v="28353"/>
    <x v="479"/>
    <s v="Approved"/>
    <s v="No"/>
    <x v="0"/>
    <x v="1860"/>
    <x v="1863"/>
    <n v="50"/>
    <n v="42"/>
    <n v="0.35149999999999998"/>
    <n v="7002847"/>
    <n v="51115.671532846718"/>
    <n v="99664"/>
    <n v="5091"/>
    <n v="179815.0500000001"/>
    <n v="1312.518613138687"/>
    <n v="0.35149999999999998"/>
    <n v="11808935.34"/>
    <x v="1"/>
    <n v="21651.72"/>
  </r>
  <r>
    <s v="LN01865"/>
    <x v="1864"/>
    <n v="53"/>
    <s v="Male"/>
    <s v="Married"/>
    <s v="Self-Employed"/>
    <n v="142724"/>
    <n v="723"/>
    <n v="99664"/>
    <n v="14.44"/>
    <n v="360"/>
    <s v="Personal"/>
    <n v="16.55"/>
    <n v="32217"/>
    <n v="172621"/>
    <x v="1046"/>
    <s v="Pending"/>
    <s v="No"/>
    <x v="2"/>
    <x v="1861"/>
    <x v="1864"/>
    <n v="49"/>
    <n v="42"/>
    <n v="0.35149999999999998"/>
    <n v="6940366"/>
    <n v="51032.102941176468"/>
    <n v="99664"/>
    <n v="5091"/>
    <n v="178010.74000000011"/>
    <n v="1308.9025000000008"/>
    <n v="0.35149999999999998"/>
    <n v="11629120.289999999"/>
    <x v="1"/>
    <n v="3801.84"/>
  </r>
  <r>
    <s v="LN01866"/>
    <x v="1865"/>
    <n v="54"/>
    <s v="Female"/>
    <s v="Married"/>
    <s v="Unemployed"/>
    <n v="59649"/>
    <n v="422"/>
    <n v="11118"/>
    <n v="12.54"/>
    <n v="48"/>
    <s v="Business"/>
    <n v="39.33"/>
    <n v="72709"/>
    <n v="69484"/>
    <x v="866"/>
    <s v="Pending"/>
    <s v="Yes"/>
    <x v="1"/>
    <x v="1862"/>
    <x v="1865"/>
    <n v="49"/>
    <n v="42"/>
    <n v="0.35149999999999998"/>
    <n v="6840702"/>
    <n v="50671.866666666669"/>
    <n v="98054"/>
    <n v="5091"/>
    <n v="177693.9200000001"/>
    <n v="1316.25125925926"/>
    <n v="0.35149999999999998"/>
    <n v="11451109.549999999"/>
    <x v="1"/>
    <n v="3128.04"/>
  </r>
  <r>
    <s v="LN01867"/>
    <x v="1866"/>
    <n v="55"/>
    <s v="Male"/>
    <s v="Single"/>
    <s v="Unemployed"/>
    <n v="89598"/>
    <n v="541"/>
    <n v="22025"/>
    <n v="13.5"/>
    <n v="180"/>
    <s v="Mortgage"/>
    <n v="8.01"/>
    <n v="42525"/>
    <n v="196971"/>
    <x v="892"/>
    <s v="Pending"/>
    <s v="Yes"/>
    <x v="0"/>
    <x v="1863"/>
    <x v="1866"/>
    <n v="49"/>
    <n v="42"/>
    <n v="0.35149999999999998"/>
    <n v="6829584"/>
    <n v="50967.044776119401"/>
    <n v="98054"/>
    <n v="5091"/>
    <n v="177433.25000000009"/>
    <n v="1324.1287313432842"/>
    <n v="0.35149999999999998"/>
    <n v="11273415.629999999"/>
    <x v="1"/>
    <n v="1666.56"/>
  </r>
  <r>
    <s v="LN01868"/>
    <x v="1867"/>
    <n v="53"/>
    <s v="Male"/>
    <s v="Single"/>
    <s v="Self-Employed"/>
    <n v="149081"/>
    <n v="363"/>
    <n v="73942"/>
    <n v="14.57"/>
    <n v="24"/>
    <s v="Auto"/>
    <n v="48.69"/>
    <n v="17160"/>
    <n v="218168"/>
    <x v="1047"/>
    <s v="Approved"/>
    <s v="No"/>
    <x v="0"/>
    <x v="1864"/>
    <x v="1867"/>
    <n v="49"/>
    <n v="42"/>
    <n v="0.35149999999999998"/>
    <n v="6807559"/>
    <n v="51184.654135338344"/>
    <n v="98054"/>
    <n v="5091"/>
    <n v="177294.37000000008"/>
    <n v="1333.0403759398503"/>
    <n v="0.35149999999999998"/>
    <n v="11095982.380000001"/>
    <x v="1"/>
    <n v="42357.72"/>
  </r>
  <r>
    <s v="LN01869"/>
    <x v="1868"/>
    <n v="50"/>
    <s v="Female"/>
    <s v="Single"/>
    <s v="Self-Employed"/>
    <n v="92768"/>
    <n v="536"/>
    <n v="95182"/>
    <n v="9.49"/>
    <n v="240"/>
    <s v="Business"/>
    <n v="55.94"/>
    <n v="25568"/>
    <n v="30123"/>
    <x v="491"/>
    <s v="Pending"/>
    <s v="Yes"/>
    <x v="4"/>
    <x v="1865"/>
    <x v="1868"/>
    <n v="48"/>
    <n v="42"/>
    <n v="0.35149999999999998"/>
    <n v="6733617"/>
    <n v="51012.25"/>
    <n v="98054"/>
    <n v="5091"/>
    <n v="173764.56000000006"/>
    <n v="1316.3981818181821"/>
    <n v="0.35149999999999998"/>
    <n v="10918688.01"/>
    <x v="1"/>
    <n v="5210.76"/>
  </r>
  <r>
    <s v="LN01870"/>
    <x v="1869"/>
    <n v="43"/>
    <s v="Male"/>
    <s v="Married"/>
    <s v="Employed"/>
    <n v="160174"/>
    <n v="558"/>
    <n v="62030"/>
    <n v="5.45"/>
    <n v="24"/>
    <s v="Business"/>
    <n v="5.8"/>
    <n v="28488"/>
    <n v="166013"/>
    <x v="1048"/>
    <s v="Pending"/>
    <s v="Yes"/>
    <x v="1"/>
    <x v="1866"/>
    <x v="1869"/>
    <n v="48"/>
    <n v="42"/>
    <n v="0.35149999999999998"/>
    <n v="6638435"/>
    <n v="50675.076335877864"/>
    <n v="98054"/>
    <n v="5091"/>
    <n v="173330.33000000007"/>
    <n v="1323.1322900763364"/>
    <n v="0.35149999999999998"/>
    <n v="10744923.449999997"/>
    <x v="1"/>
    <n v="32705.279999999999"/>
  </r>
  <r>
    <s v="LN01871"/>
    <x v="1870"/>
    <n v="48"/>
    <s v="Male"/>
    <s v="Single"/>
    <s v="Unemployed"/>
    <n v="30049"/>
    <n v="740"/>
    <n v="47522"/>
    <n v="7.4"/>
    <n v="360"/>
    <s v="Auto"/>
    <n v="24.22"/>
    <n v="59841"/>
    <n v="92496"/>
    <x v="540"/>
    <s v="Rejected"/>
    <s v="Yes"/>
    <x v="3"/>
    <x v="1867"/>
    <x v="1870"/>
    <n v="48"/>
    <n v="42"/>
    <n v="0.35149999999999998"/>
    <n v="6576405"/>
    <n v="50587.730769230766"/>
    <n v="98054"/>
    <n v="5091"/>
    <n v="170604.89000000004"/>
    <n v="1312.3453076923081"/>
    <n v="0.35149999999999998"/>
    <n v="10571593.119999999"/>
    <x v="1"/>
    <n v="1701.2400000000002"/>
  </r>
  <r>
    <s v="LN01872"/>
    <x v="1871"/>
    <n v="44"/>
    <s v="Male"/>
    <s v="Divorced"/>
    <s v="Self-Employed"/>
    <n v="190575"/>
    <n v="539"/>
    <n v="12533"/>
    <n v="6.65"/>
    <n v="120"/>
    <s v="Personal"/>
    <n v="44.44"/>
    <n v="13727"/>
    <n v="55640"/>
    <x v="733"/>
    <s v="Approved"/>
    <s v="Yes"/>
    <x v="2"/>
    <x v="1868"/>
    <x v="1871"/>
    <n v="48"/>
    <n v="41"/>
    <n v="0.35149999999999998"/>
    <n v="6528883"/>
    <n v="50611.496124031008"/>
    <n v="98054"/>
    <n v="5091"/>
    <n v="170463.12000000005"/>
    <n v="1321.4195348837213"/>
    <n v="0.35149999999999998"/>
    <n v="10400988.229999999"/>
    <x v="1"/>
    <n v="1336.68"/>
  </r>
  <r>
    <s v="LN01873"/>
    <x v="1872"/>
    <n v="45"/>
    <s v="Female"/>
    <s v="Divorced"/>
    <s v="Unemployed"/>
    <n v="189723"/>
    <n v="394"/>
    <n v="6407"/>
    <n v="12.28"/>
    <n v="180"/>
    <s v="Education"/>
    <n v="47.75"/>
    <n v="25968"/>
    <n v="139405"/>
    <x v="125"/>
    <s v="Pending"/>
    <s v="No"/>
    <x v="4"/>
    <x v="1869"/>
    <x v="1872"/>
    <n v="47"/>
    <n v="41"/>
    <n v="0.35149999999999998"/>
    <n v="6516350"/>
    <n v="50908.984375"/>
    <n v="98054"/>
    <n v="5091"/>
    <n v="170351.73000000007"/>
    <n v="1330.8728906250005"/>
    <n v="0.35149999999999998"/>
    <n v="10230525.109999999"/>
    <x v="1"/>
    <n v="479.64"/>
  </r>
  <r>
    <s v="LN01874"/>
    <x v="1873"/>
    <n v="51"/>
    <s v="Male"/>
    <s v="Single"/>
    <s v="Employed"/>
    <n v="107371"/>
    <n v="456"/>
    <n v="11516"/>
    <n v="14.74"/>
    <n v="360"/>
    <s v="Business"/>
    <n v="6.22"/>
    <n v="58879"/>
    <n v="178504"/>
    <x v="567"/>
    <s v="Approved"/>
    <s v="No"/>
    <x v="2"/>
    <x v="1870"/>
    <x v="1873"/>
    <n v="47"/>
    <n v="41"/>
    <n v="0.35149999999999998"/>
    <n v="6509943"/>
    <n v="51259.393700787405"/>
    <n v="98054"/>
    <n v="5091"/>
    <n v="170311.76000000007"/>
    <n v="1341.0374803149612"/>
    <n v="0.35149999999999998"/>
    <n v="10060173.380000001"/>
    <x v="1"/>
    <n v="440.40000000000003"/>
  </r>
  <r>
    <s v="LN01875"/>
    <x v="1874"/>
    <n v="37"/>
    <s v="Female"/>
    <s v="Single"/>
    <s v="Self-Employed"/>
    <n v="123591"/>
    <n v="397"/>
    <n v="41061"/>
    <n v="6.99"/>
    <n v="180"/>
    <s v="Business"/>
    <n v="12.03"/>
    <n v="1040"/>
    <n v="60824"/>
    <x v="10"/>
    <s v="Approved"/>
    <s v="No"/>
    <x v="1"/>
    <x v="1871"/>
    <x v="1874"/>
    <n v="46"/>
    <n v="41"/>
    <n v="0.35149999999999998"/>
    <n v="6498427"/>
    <n v="51574.817460317463"/>
    <n v="98054"/>
    <n v="5091"/>
    <n v="170275.06000000006"/>
    <n v="1351.3893650793655"/>
    <n v="0.35149999999999998"/>
    <n v="9889861.620000001"/>
    <x v="1"/>
    <n v="2928.7200000000003"/>
  </r>
  <r>
    <s v="LN01876"/>
    <x v="1875"/>
    <n v="57"/>
    <s v="Female"/>
    <s v="Divorced"/>
    <s v="Self-Employed"/>
    <n v="123880"/>
    <n v="759"/>
    <n v="59939"/>
    <n v="6.06"/>
    <n v="120"/>
    <s v="Business"/>
    <n v="6.38"/>
    <n v="46376"/>
    <n v="131975"/>
    <x v="616"/>
    <s v="Rejected"/>
    <s v="Yes"/>
    <x v="1"/>
    <x v="1872"/>
    <x v="1875"/>
    <n v="45"/>
    <n v="41"/>
    <n v="0.35149999999999998"/>
    <n v="6457366"/>
    <n v="51658.928"/>
    <n v="98054"/>
    <n v="5091"/>
    <n v="170031.00000000006"/>
    <n v="1360.2480000000005"/>
    <n v="0.35149999999999998"/>
    <n v="9719586.5600000005"/>
    <x v="1"/>
    <n v="6357.12"/>
  </r>
  <r>
    <s v="LN01877"/>
    <x v="1876"/>
    <n v="61"/>
    <s v="Male"/>
    <s v="Married"/>
    <s v="Unemployed"/>
    <n v="146993"/>
    <n v="797"/>
    <n v="14174"/>
    <n v="9.07"/>
    <n v="120"/>
    <s v="Mortgage"/>
    <n v="28.48"/>
    <n v="18183"/>
    <n v="89865"/>
    <x v="344"/>
    <s v="Rejected"/>
    <s v="Yes"/>
    <x v="3"/>
    <x v="1873"/>
    <x v="1876"/>
    <n v="45"/>
    <n v="40"/>
    <n v="0.35149999999999998"/>
    <n v="6397427"/>
    <n v="51592.153225806454"/>
    <n v="98054"/>
    <n v="5091"/>
    <n v="169501.24000000008"/>
    <n v="1366.9454838709685"/>
    <n v="0.35149999999999998"/>
    <n v="9549555.5600000005"/>
    <x v="1"/>
    <n v="1545.96"/>
  </r>
  <r>
    <s v="LN01878"/>
    <x v="1877"/>
    <n v="25"/>
    <s v="Male"/>
    <s v="Divorced"/>
    <s v="Self-Employed"/>
    <n v="96209"/>
    <n v="312"/>
    <n v="93900"/>
    <n v="11.62"/>
    <n v="12"/>
    <s v="Business"/>
    <n v="40.56"/>
    <n v="67858"/>
    <n v="71508"/>
    <x v="0"/>
    <s v="Rejected"/>
    <s v="No"/>
    <x v="3"/>
    <x v="1874"/>
    <x v="1877"/>
    <n v="45"/>
    <n v="39"/>
    <n v="0.35149999999999998"/>
    <n v="6383253"/>
    <n v="51896.365853658535"/>
    <n v="98054"/>
    <n v="5091"/>
    <n v="169372.41000000006"/>
    <n v="1377.0114634146346"/>
    <n v="0.35149999999999998"/>
    <n v="9380054.3200000022"/>
    <x v="1"/>
    <n v="104811.24"/>
  </r>
  <r>
    <s v="LN01879"/>
    <x v="1878"/>
    <n v="28"/>
    <s v="Female"/>
    <s v="Single"/>
    <s v="Self-Employed"/>
    <n v="84117"/>
    <n v="440"/>
    <n v="91126"/>
    <n v="18.71"/>
    <n v="60"/>
    <s v="Auto"/>
    <n v="12.12"/>
    <n v="11511"/>
    <n v="231558"/>
    <x v="661"/>
    <s v="Approved"/>
    <s v="Yes"/>
    <x v="0"/>
    <x v="1875"/>
    <x v="1878"/>
    <n v="45"/>
    <n v="38"/>
    <n v="0.35149999999999998"/>
    <n v="6289353"/>
    <n v="51552.073770491806"/>
    <n v="98054"/>
    <n v="5091"/>
    <n v="160638.14000000007"/>
    <n v="1316.7060655737712"/>
    <n v="0.35149999999999998"/>
    <n v="9210681.9100000039"/>
    <x v="0"/>
    <n v="21635.16"/>
  </r>
  <r>
    <s v="LN01880"/>
    <x v="1879"/>
    <n v="63"/>
    <s v="Female"/>
    <s v="Married"/>
    <s v="Self-Employed"/>
    <n v="152065"/>
    <n v="509"/>
    <n v="73544"/>
    <n v="13.92"/>
    <n v="60"/>
    <s v="Education"/>
    <n v="36.56"/>
    <n v="5438"/>
    <n v="136051"/>
    <x v="1049"/>
    <s v="Pending"/>
    <s v="No"/>
    <x v="0"/>
    <x v="1876"/>
    <x v="1879"/>
    <n v="44"/>
    <n v="38"/>
    <n v="0.35149999999999998"/>
    <n v="6198227"/>
    <n v="51225.016528925618"/>
    <n v="98054"/>
    <n v="5091"/>
    <n v="158835.21000000005"/>
    <n v="1312.6876859504137"/>
    <n v="0.35149999999999998"/>
    <n v="9050043.7700000051"/>
    <x v="1"/>
    <n v="16756.32"/>
  </r>
  <r>
    <s v="LN01881"/>
    <x v="1880"/>
    <n v="23"/>
    <s v="Female"/>
    <s v="Single"/>
    <s v="Unemployed"/>
    <n v="114809"/>
    <n v="536"/>
    <n v="37749"/>
    <n v="10.9"/>
    <n v="12"/>
    <s v="Auto"/>
    <n v="30.24"/>
    <n v="67814"/>
    <n v="95761"/>
    <x v="16"/>
    <s v="Rejected"/>
    <s v="Yes"/>
    <x v="4"/>
    <x v="1877"/>
    <x v="1880"/>
    <n v="44"/>
    <n v="38"/>
    <n v="0.35149999999999998"/>
    <n v="6124683"/>
    <n v="51039.025000000001"/>
    <n v="98054"/>
    <n v="5091"/>
    <n v="157438.85000000006"/>
    <n v="1311.9904166666672"/>
    <n v="0.35149999999999998"/>
    <n v="8891208.5600000024"/>
    <x v="1"/>
    <n v="41863.68"/>
  </r>
  <r>
    <s v="LN01882"/>
    <x v="1881"/>
    <n v="52"/>
    <s v="Male"/>
    <s v="Divorced"/>
    <s v="Unemployed"/>
    <n v="160583"/>
    <n v="466"/>
    <n v="41060"/>
    <n v="8.65"/>
    <n v="24"/>
    <s v="Business"/>
    <n v="30.69"/>
    <n v="40649"/>
    <n v="179912"/>
    <x v="1050"/>
    <s v="Rejected"/>
    <s v="No"/>
    <x v="2"/>
    <x v="1878"/>
    <x v="1881"/>
    <n v="44"/>
    <n v="37"/>
    <n v="0.35149999999999998"/>
    <n v="6086934"/>
    <n v="51150.705882352944"/>
    <n v="98054"/>
    <n v="5091"/>
    <n v="153950.21000000008"/>
    <n v="1293.6992436974797"/>
    <n v="0.35149999999999998"/>
    <n v="8733769.7100000028"/>
    <x v="0"/>
    <n v="22305.84"/>
  </r>
  <r>
    <s v="LN01883"/>
    <x v="1882"/>
    <n v="65"/>
    <s v="Male"/>
    <s v="Divorced"/>
    <s v="Employed"/>
    <n v="81439"/>
    <n v="642"/>
    <n v="66910"/>
    <n v="20.260000000000002"/>
    <n v="60"/>
    <s v="Education"/>
    <n v="40.299999999999997"/>
    <n v="67255"/>
    <n v="24439"/>
    <x v="1051"/>
    <s v="Pending"/>
    <s v="Yes"/>
    <x v="1"/>
    <x v="1879"/>
    <x v="1882"/>
    <n v="44"/>
    <n v="36"/>
    <n v="0.35149999999999998"/>
    <n v="6045874"/>
    <n v="51236.220338983054"/>
    <n v="98054"/>
    <n v="5091"/>
    <n v="152091.39000000007"/>
    <n v="1288.9100847457632"/>
    <n v="0.35149999999999998"/>
    <n v="8579819.5000000056"/>
    <x v="1"/>
    <n v="16093.199999999999"/>
  </r>
  <r>
    <s v="LN01884"/>
    <x v="1883"/>
    <n v="25"/>
    <s v="Male"/>
    <s v="Divorced"/>
    <s v="Unemployed"/>
    <n v="29078"/>
    <n v="583"/>
    <n v="12546"/>
    <n v="8.25"/>
    <n v="180"/>
    <s v="Auto"/>
    <n v="22.87"/>
    <n v="26892"/>
    <n v="46595"/>
    <x v="523"/>
    <s v="Rejected"/>
    <s v="Yes"/>
    <x v="2"/>
    <x v="1880"/>
    <x v="1883"/>
    <n v="44"/>
    <n v="36"/>
    <n v="0.35149999999999998"/>
    <n v="5978964"/>
    <n v="51102.256410256414"/>
    <n v="98054"/>
    <n v="5091"/>
    <n v="150750.29000000004"/>
    <n v="1288.4640170940174"/>
    <n v="0.35149999999999998"/>
    <n v="8427728.1100000013"/>
    <x v="1"/>
    <n v="905.40000000000009"/>
  </r>
  <r>
    <s v="LN01885"/>
    <x v="1884"/>
    <n v="43"/>
    <s v="Male"/>
    <s v="Divorced"/>
    <s v="Unemployed"/>
    <n v="192839"/>
    <n v="741"/>
    <n v="86691"/>
    <n v="18.91"/>
    <n v="48"/>
    <s v="Mortgage"/>
    <n v="6.38"/>
    <n v="2439"/>
    <n v="139091"/>
    <x v="1052"/>
    <s v="Approved"/>
    <s v="Yes"/>
    <x v="4"/>
    <x v="1881"/>
    <x v="1884"/>
    <n v="44"/>
    <n v="35"/>
    <n v="0.35149999999999998"/>
    <n v="5966418"/>
    <n v="51434.637931034486"/>
    <n v="98054"/>
    <n v="5091"/>
    <n v="150674.84000000005"/>
    <n v="1298.9210344827591"/>
    <n v="0.35149999999999998"/>
    <n v="8276977.8200000022"/>
    <x v="1"/>
    <n v="25771.08"/>
  </r>
  <r>
    <s v="LN01886"/>
    <x v="1885"/>
    <n v="23"/>
    <s v="Female"/>
    <s v="Single"/>
    <s v="Employed"/>
    <n v="150905"/>
    <n v="605"/>
    <n v="89830"/>
    <n v="5.69"/>
    <n v="24"/>
    <s v="Personal"/>
    <n v="47.08"/>
    <n v="32520"/>
    <n v="54195"/>
    <x v="626"/>
    <s v="Pending"/>
    <s v="No"/>
    <x v="2"/>
    <x v="1882"/>
    <x v="1885"/>
    <n v="43"/>
    <n v="35"/>
    <n v="0.35149999999999998"/>
    <n v="5879727"/>
    <n v="51128.060869565219"/>
    <n v="98054"/>
    <n v="5091"/>
    <n v="148527.25000000003"/>
    <n v="1291.5413043478263"/>
    <n v="0.35149999999999998"/>
    <n v="8126302.9800000023"/>
    <x v="1"/>
    <n v="47470.68"/>
  </r>
  <r>
    <s v="LN01887"/>
    <x v="1886"/>
    <n v="54"/>
    <s v="Female"/>
    <s v="Single"/>
    <s v="Unemployed"/>
    <n v="163670"/>
    <n v="608"/>
    <n v="48053"/>
    <n v="5.91"/>
    <n v="240"/>
    <s v="Business"/>
    <n v="26.53"/>
    <n v="68941"/>
    <n v="191629"/>
    <x v="516"/>
    <s v="Approved"/>
    <s v="No"/>
    <x v="0"/>
    <x v="1883"/>
    <x v="1886"/>
    <n v="43"/>
    <n v="35"/>
    <n v="0.35149999999999998"/>
    <n v="5789897"/>
    <n v="50788.570175438595"/>
    <n v="98054"/>
    <n v="5091"/>
    <n v="144571.36000000002"/>
    <n v="1268.1698245614036"/>
    <n v="0.35149999999999998"/>
    <n v="7977775.7300000023"/>
    <x v="1"/>
    <n v="2544.6000000000004"/>
  </r>
  <r>
    <s v="LN01888"/>
    <x v="1887"/>
    <n v="53"/>
    <s v="Male"/>
    <s v="Married"/>
    <s v="Self-Employed"/>
    <n v="34002"/>
    <n v="711"/>
    <n v="32907"/>
    <n v="11.84"/>
    <n v="240"/>
    <s v="Personal"/>
    <n v="53.76"/>
    <n v="37873"/>
    <n v="31524"/>
    <x v="1053"/>
    <s v="Pending"/>
    <s v="No"/>
    <x v="1"/>
    <x v="1884"/>
    <x v="1887"/>
    <n v="42"/>
    <n v="35"/>
    <n v="0.35149999999999998"/>
    <n v="5741844"/>
    <n v="50812.778761061949"/>
    <n v="98054"/>
    <n v="5091"/>
    <n v="144359.31"/>
    <n v="1277.5160176991151"/>
    <n v="0.35149999999999998"/>
    <n v="7833204.3700000029"/>
    <x v="1"/>
    <n v="1840.1999999999998"/>
  </r>
  <r>
    <s v="LN01889"/>
    <x v="1888"/>
    <n v="59"/>
    <s v="Male"/>
    <s v="Single"/>
    <s v="Employed"/>
    <n v="80919"/>
    <n v="689"/>
    <n v="79093"/>
    <n v="8.6300000000000008"/>
    <n v="360"/>
    <s v="Auto"/>
    <n v="38.03"/>
    <n v="70812"/>
    <n v="243237"/>
    <x v="247"/>
    <s v="Pending"/>
    <s v="Yes"/>
    <x v="1"/>
    <x v="1885"/>
    <x v="1888"/>
    <n v="42"/>
    <n v="35"/>
    <n v="0.35149999999999998"/>
    <n v="5708937"/>
    <n v="50972.651785714283"/>
    <n v="98054"/>
    <n v="5091"/>
    <n v="144205.96000000002"/>
    <n v="1287.5532142857144"/>
    <n v="0.35149999999999998"/>
    <n v="7688845.0600000033"/>
    <x v="1"/>
    <n v="2863.92"/>
  </r>
  <r>
    <s v="LN01890"/>
    <x v="1889"/>
    <n v="29"/>
    <s v="Male"/>
    <s v="Divorced"/>
    <s v="Unemployed"/>
    <n v="85035"/>
    <n v="453"/>
    <n v="63159"/>
    <n v="22.82"/>
    <n v="120"/>
    <s v="Business"/>
    <n v="46.2"/>
    <n v="21185"/>
    <n v="208015"/>
    <x v="1054"/>
    <s v="Pending"/>
    <s v="No"/>
    <x v="1"/>
    <x v="1886"/>
    <x v="1889"/>
    <n v="42"/>
    <n v="35"/>
    <n v="0.35149999999999998"/>
    <n v="5629844"/>
    <n v="50719.315315315318"/>
    <n v="98054"/>
    <n v="5091"/>
    <n v="143967.30000000002"/>
    <n v="1297.0027027027029"/>
    <n v="0.35149999999999998"/>
    <n v="7544639.1000000034"/>
    <x v="1"/>
    <n v="7757.16"/>
  </r>
  <r>
    <s v="LN01891"/>
    <x v="1890"/>
    <n v="55"/>
    <s v="Female"/>
    <s v="Divorced"/>
    <s v="Unemployed"/>
    <n v="43438"/>
    <n v="633"/>
    <n v="43968"/>
    <n v="10.14"/>
    <n v="24"/>
    <s v="Education"/>
    <n v="18.43"/>
    <n v="50645"/>
    <n v="132920"/>
    <x v="1055"/>
    <s v="Approved"/>
    <s v="No"/>
    <x v="1"/>
    <x v="1887"/>
    <x v="1890"/>
    <n v="42"/>
    <n v="35"/>
    <n v="0.35149999999999998"/>
    <n v="5566685"/>
    <n v="50606.227272727272"/>
    <n v="98054"/>
    <n v="5091"/>
    <n v="143320.87"/>
    <n v="1302.9169999999999"/>
    <n v="0.35149999999999998"/>
    <n v="7400671.8000000035"/>
    <x v="1"/>
    <n v="24213.119999999999"/>
  </r>
  <r>
    <s v="LN01892"/>
    <x v="1891"/>
    <n v="50"/>
    <s v="Male"/>
    <s v="Divorced"/>
    <s v="Self-Employed"/>
    <n v="23710"/>
    <n v="329"/>
    <n v="56995"/>
    <n v="20.64"/>
    <n v="120"/>
    <s v="Education"/>
    <n v="30.66"/>
    <n v="29626"/>
    <n v="28108"/>
    <x v="628"/>
    <s v="Pending"/>
    <s v="Yes"/>
    <x v="3"/>
    <x v="1888"/>
    <x v="1891"/>
    <n v="41"/>
    <n v="35"/>
    <n v="0.35149999999999998"/>
    <n v="5522717"/>
    <n v="50667.128440366971"/>
    <n v="98054"/>
    <n v="5091"/>
    <n v="141303.10999999999"/>
    <n v="1296.3588073394494"/>
    <n v="0.35149999999999998"/>
    <n v="7257350.9300000034"/>
    <x v="1"/>
    <n v="6875.88"/>
  </r>
  <r>
    <s v="LN01893"/>
    <x v="1892"/>
    <n v="59"/>
    <s v="Female"/>
    <s v="Single"/>
    <s v="Self-Employed"/>
    <n v="58711"/>
    <n v="472"/>
    <n v="25077"/>
    <n v="9.75"/>
    <n v="60"/>
    <s v="Education"/>
    <n v="26.1"/>
    <n v="16301"/>
    <n v="152875"/>
    <x v="1056"/>
    <s v="Approved"/>
    <s v="No"/>
    <x v="4"/>
    <x v="1889"/>
    <x v="1892"/>
    <n v="41"/>
    <n v="35"/>
    <n v="0.35149999999999998"/>
    <n v="5465722"/>
    <n v="50608.537037037036"/>
    <n v="98054"/>
    <n v="5091"/>
    <n v="140730.12"/>
    <n v="1303.0566666666666"/>
    <n v="0.35149999999999998"/>
    <n v="7116047.8200000031"/>
    <x v="1"/>
    <n v="5504.4"/>
  </r>
  <r>
    <s v="LN01894"/>
    <x v="1893"/>
    <n v="33"/>
    <s v="Female"/>
    <s v="Divorced"/>
    <s v="Unemployed"/>
    <n v="73003"/>
    <n v="413"/>
    <n v="67035"/>
    <n v="4.2699999999999996"/>
    <n v="36"/>
    <s v="Auto"/>
    <n v="20.399999999999999"/>
    <n v="62299"/>
    <n v="121933"/>
    <x v="1057"/>
    <s v="Approved"/>
    <s v="Yes"/>
    <x v="0"/>
    <x v="1890"/>
    <x v="1893"/>
    <n v="40"/>
    <n v="35"/>
    <n v="0.35149999999999998"/>
    <n v="5440645"/>
    <n v="50847.149532710282"/>
    <n v="98054"/>
    <n v="5091"/>
    <n v="140271.41999999998"/>
    <n v="1310.9478504672895"/>
    <n v="0.35149999999999998"/>
    <n v="6975317.700000003"/>
    <x v="1"/>
    <n v="23299.079999999998"/>
  </r>
  <r>
    <s v="LN01895"/>
    <x v="1894"/>
    <n v="29"/>
    <s v="Female"/>
    <s v="Divorced"/>
    <s v="Employed"/>
    <n v="141020"/>
    <n v="355"/>
    <n v="60044"/>
    <n v="18.100000000000001"/>
    <n v="240"/>
    <s v="Mortgage"/>
    <n v="35.619999999999997"/>
    <n v="25791"/>
    <n v="2324"/>
    <x v="351"/>
    <s v="Pending"/>
    <s v="No"/>
    <x v="3"/>
    <x v="1891"/>
    <x v="1894"/>
    <n v="39"/>
    <n v="35"/>
    <n v="0.35149999999999998"/>
    <n v="5373610"/>
    <n v="50694.433962264149"/>
    <n v="98054"/>
    <n v="5091"/>
    <n v="138329.82999999996"/>
    <n v="1304.9983962264148"/>
    <n v="0.35149999999999998"/>
    <n v="6835046.280000004"/>
    <x v="1"/>
    <n v="3545.6400000000003"/>
  </r>
  <r>
    <s v="LN01896"/>
    <x v="1895"/>
    <n v="65"/>
    <s v="Female"/>
    <s v="Married"/>
    <s v="Self-Employed"/>
    <n v="157234"/>
    <n v="501"/>
    <n v="85521"/>
    <n v="12.86"/>
    <n v="60"/>
    <s v="Personal"/>
    <n v="21.45"/>
    <n v="55298"/>
    <n v="2041"/>
    <x v="1058"/>
    <s v="Rejected"/>
    <s v="Yes"/>
    <x v="3"/>
    <x v="1892"/>
    <x v="1895"/>
    <n v="39"/>
    <n v="35"/>
    <n v="0.35149999999999998"/>
    <n v="5313566"/>
    <n v="50605.390476190478"/>
    <n v="98054"/>
    <n v="5091"/>
    <n v="138034.35999999996"/>
    <n v="1314.612952380952"/>
    <n v="0.35149999999999998"/>
    <n v="6696716.450000003"/>
    <x v="1"/>
    <n v="19303.800000000003"/>
  </r>
  <r>
    <s v="LN01897"/>
    <x v="1896"/>
    <n v="59"/>
    <s v="Male"/>
    <s v="Divorced"/>
    <s v="Unemployed"/>
    <n v="69521"/>
    <n v="787"/>
    <n v="93296"/>
    <n v="22.98"/>
    <n v="48"/>
    <s v="Mortgage"/>
    <n v="49.21"/>
    <n v="39508"/>
    <n v="247379"/>
    <x v="817"/>
    <s v="Approved"/>
    <s v="No"/>
    <x v="2"/>
    <x v="1893"/>
    <x v="1896"/>
    <n v="39"/>
    <n v="34"/>
    <n v="0.35149999999999998"/>
    <n v="5228045"/>
    <n v="50269.663461538461"/>
    <n v="98054"/>
    <n v="5091"/>
    <n v="136425.70999999996"/>
    <n v="1311.7856730769226"/>
    <n v="0.35149999999999998"/>
    <n v="6558682.0900000036"/>
    <x v="1"/>
    <n v="28683.840000000004"/>
  </r>
  <r>
    <s v="LN01898"/>
    <x v="1897"/>
    <n v="51"/>
    <s v="Male"/>
    <s v="Divorced"/>
    <s v="Self-Employed"/>
    <n v="84843"/>
    <n v="815"/>
    <n v="87488"/>
    <n v="16.079999999999998"/>
    <n v="120"/>
    <s v="Education"/>
    <n v="17.989999999999998"/>
    <n v="37684"/>
    <n v="86464"/>
    <x v="437"/>
    <s v="Approved"/>
    <s v="Yes"/>
    <x v="0"/>
    <x v="1894"/>
    <x v="1897"/>
    <n v="38"/>
    <n v="34"/>
    <n v="0.35149999999999998"/>
    <n v="5134749"/>
    <n v="49851.932038834952"/>
    <n v="98054"/>
    <n v="5091"/>
    <n v="134035.38999999998"/>
    <n v="1301.3144660194173"/>
    <n v="0.35149999999999998"/>
    <n v="6422256.3800000036"/>
    <x v="1"/>
    <n v="10155.599999999999"/>
  </r>
  <r>
    <s v="LN01899"/>
    <x v="1898"/>
    <n v="45"/>
    <s v="Male"/>
    <s v="Married"/>
    <s v="Unemployed"/>
    <n v="183116"/>
    <n v="527"/>
    <n v="13557"/>
    <n v="15.47"/>
    <n v="48"/>
    <s v="Education"/>
    <n v="49.15"/>
    <n v="29301"/>
    <n v="52932"/>
    <x v="130"/>
    <s v="Approved"/>
    <s v="Yes"/>
    <x v="1"/>
    <x v="1895"/>
    <x v="1898"/>
    <n v="37"/>
    <n v="34"/>
    <n v="0.35149999999999998"/>
    <n v="5047261"/>
    <n v="49482.950980392154"/>
    <n v="98054"/>
    <n v="5091"/>
    <n v="133189.08999999997"/>
    <n v="1305.7753921568624"/>
    <n v="0.35149999999999998"/>
    <n v="6288220.9900000039"/>
    <x v="1"/>
    <n v="3913.56"/>
  </r>
  <r>
    <s v="LN01900"/>
    <x v="1899"/>
    <n v="41"/>
    <s v="Male"/>
    <s v="Single"/>
    <s v="Unemployed"/>
    <n v="187556"/>
    <n v="629"/>
    <n v="87423"/>
    <n v="11.85"/>
    <n v="36"/>
    <s v="Personal"/>
    <n v="54.73"/>
    <n v="64962"/>
    <n v="8001"/>
    <x v="1059"/>
    <s v="Pending"/>
    <s v="No"/>
    <x v="1"/>
    <x v="1896"/>
    <x v="1899"/>
    <n v="36"/>
    <n v="34"/>
    <n v="0.35149999999999998"/>
    <n v="5033704"/>
    <n v="49838.653465346535"/>
    <n v="98054"/>
    <n v="5091"/>
    <n v="132862.96"/>
    <n v="1315.4748514851485"/>
    <n v="0.35149999999999998"/>
    <n v="6155031.9000000032"/>
    <x v="1"/>
    <n v="32594.159999999996"/>
  </r>
  <r>
    <s v="LN01901"/>
    <x v="1900"/>
    <n v="46"/>
    <s v="Male"/>
    <s v="Single"/>
    <s v="Unemployed"/>
    <n v="30812"/>
    <n v="587"/>
    <n v="75698"/>
    <n v="13.16"/>
    <n v="360"/>
    <s v="Education"/>
    <n v="58.53"/>
    <n v="67095"/>
    <n v="100578"/>
    <x v="653"/>
    <s v="Rejected"/>
    <s v="No"/>
    <x v="0"/>
    <x v="1897"/>
    <x v="1900"/>
    <n v="36"/>
    <n v="34"/>
    <n v="0.35149999999999998"/>
    <n v="4946281"/>
    <n v="49462.81"/>
    <n v="98054"/>
    <n v="5091"/>
    <n v="130146.78000000001"/>
    <n v="1301.4678000000001"/>
    <n v="0.35149999999999998"/>
    <n v="6022168.9400000032"/>
    <x v="1"/>
    <n v="2855.2799999999997"/>
  </r>
  <r>
    <s v="LN01902"/>
    <x v="1901"/>
    <n v="29"/>
    <s v="Male"/>
    <s v="Married"/>
    <s v="Self-Employed"/>
    <n v="189257"/>
    <n v="470"/>
    <n v="92897"/>
    <n v="15.57"/>
    <n v="12"/>
    <s v="Auto"/>
    <n v="48.02"/>
    <n v="41336"/>
    <n v="85575"/>
    <x v="95"/>
    <s v="Rejected"/>
    <s v="Yes"/>
    <x v="0"/>
    <x v="1898"/>
    <x v="1901"/>
    <n v="36"/>
    <n v="33"/>
    <n v="0.35149999999999998"/>
    <n v="4870583"/>
    <n v="49197.808080808078"/>
    <n v="98054"/>
    <n v="5091"/>
    <n v="129908.84000000001"/>
    <n v="1312.2105050505052"/>
    <n v="0.35149999999999998"/>
    <n v="5892022.1600000029"/>
    <x v="1"/>
    <n v="107361.12"/>
  </r>
  <r>
    <s v="LN01903"/>
    <x v="1902"/>
    <n v="57"/>
    <s v="Female"/>
    <s v="Married"/>
    <s v="Self-Employed"/>
    <n v="198610"/>
    <n v="729"/>
    <n v="18112"/>
    <n v="17.5"/>
    <n v="180"/>
    <s v="Mortgage"/>
    <n v="39.659999999999997"/>
    <n v="24516"/>
    <n v="11697"/>
    <x v="244"/>
    <s v="Approved"/>
    <s v="Yes"/>
    <x v="4"/>
    <x v="1899"/>
    <x v="1902"/>
    <n v="36"/>
    <n v="32"/>
    <n v="0.35149999999999998"/>
    <n v="4777686"/>
    <n v="48751.897959183676"/>
    <n v="98054"/>
    <n v="5091"/>
    <n v="120962.07999999999"/>
    <n v="1234.3069387755102"/>
    <n v="0.35149999999999998"/>
    <n v="5762113.3200000022"/>
    <x v="0"/>
    <n v="1418.76"/>
  </r>
  <r>
    <s v="LN01904"/>
    <x v="1903"/>
    <n v="36"/>
    <s v="Female"/>
    <s v="Married"/>
    <s v="Employed"/>
    <n v="141774"/>
    <n v="724"/>
    <n v="80166"/>
    <n v="6.1"/>
    <n v="12"/>
    <s v="Mortgage"/>
    <n v="30.37"/>
    <n v="55543"/>
    <n v="140138"/>
    <x v="258"/>
    <s v="Pending"/>
    <s v="No"/>
    <x v="0"/>
    <x v="1900"/>
    <x v="1903"/>
    <n v="35"/>
    <n v="32"/>
    <n v="0.35149999999999998"/>
    <n v="4759574"/>
    <n v="49067.773195876289"/>
    <n v="98054"/>
    <n v="5091"/>
    <n v="120843.84999999999"/>
    <n v="1245.8128865979381"/>
    <n v="0.35149999999999998"/>
    <n v="5641151.2400000021"/>
    <x v="1"/>
    <n v="85056.12"/>
  </r>
  <r>
    <s v="LN01905"/>
    <x v="1904"/>
    <n v="21"/>
    <s v="Male"/>
    <s v="Divorced"/>
    <s v="Employed"/>
    <n v="144597"/>
    <n v="320"/>
    <n v="86499"/>
    <n v="20.96"/>
    <n v="360"/>
    <s v="Personal"/>
    <n v="27.14"/>
    <n v="66022"/>
    <n v="119877"/>
    <x v="928"/>
    <s v="Approved"/>
    <s v="Yes"/>
    <x v="2"/>
    <x v="1901"/>
    <x v="1904"/>
    <n v="35"/>
    <n v="32"/>
    <n v="0.35149999999999998"/>
    <n v="4679408"/>
    <n v="48743.833333333336"/>
    <n v="98054"/>
    <n v="5091"/>
    <n v="113755.83999999998"/>
    <n v="1184.9566666666665"/>
    <n v="0.35149999999999998"/>
    <n v="5520307.3900000015"/>
    <x v="0"/>
    <n v="3487.68"/>
  </r>
  <r>
    <s v="LN01906"/>
    <x v="1905"/>
    <n v="38"/>
    <s v="Female"/>
    <s v="Single"/>
    <s v="Unemployed"/>
    <n v="71569"/>
    <n v="664"/>
    <n v="48376"/>
    <n v="4.8899999999999997"/>
    <n v="120"/>
    <s v="Education"/>
    <n v="43.04"/>
    <n v="76848"/>
    <n v="66285"/>
    <x v="360"/>
    <s v="Rejected"/>
    <s v="No"/>
    <x v="2"/>
    <x v="1902"/>
    <x v="1905"/>
    <n v="34"/>
    <n v="32"/>
    <n v="0.35149999999999998"/>
    <n v="4592909"/>
    <n v="48346.410526315791"/>
    <n v="98054"/>
    <n v="5091"/>
    <n v="113465.19999999998"/>
    <n v="1194.3705263157892"/>
    <n v="0.35149999999999998"/>
    <n v="5406551.5500000017"/>
    <x v="1"/>
    <n v="5074.2000000000007"/>
  </r>
  <r>
    <s v="LN01907"/>
    <x v="1906"/>
    <n v="62"/>
    <s v="Male"/>
    <s v="Married"/>
    <s v="Self-Employed"/>
    <n v="133277"/>
    <n v="487"/>
    <n v="14370"/>
    <n v="13.66"/>
    <n v="36"/>
    <s v="Auto"/>
    <n v="57.87"/>
    <n v="77332"/>
    <n v="212300"/>
    <x v="1039"/>
    <s v="Pending"/>
    <s v="Yes"/>
    <x v="2"/>
    <x v="1903"/>
    <x v="1906"/>
    <n v="34"/>
    <n v="31"/>
    <n v="0.35149999999999998"/>
    <n v="4544533"/>
    <n v="48346.095744680853"/>
    <n v="98054"/>
    <n v="5091"/>
    <n v="113042.34999999999"/>
    <n v="1202.5781914893616"/>
    <n v="0.35149999999999998"/>
    <n v="5293086.3500000015"/>
    <x v="1"/>
    <n v="5444.28"/>
  </r>
  <r>
    <s v="LN01908"/>
    <x v="1907"/>
    <n v="42"/>
    <s v="Male"/>
    <s v="Single"/>
    <s v="Unemployed"/>
    <n v="171841"/>
    <n v="809"/>
    <n v="16935"/>
    <n v="23.49"/>
    <n v="24"/>
    <s v="Mortgage"/>
    <n v="49.01"/>
    <n v="5899"/>
    <n v="87648"/>
    <x v="73"/>
    <s v="Pending"/>
    <s v="Yes"/>
    <x v="0"/>
    <x v="1904"/>
    <x v="1907"/>
    <n v="34"/>
    <n v="31"/>
    <n v="0.35149999999999998"/>
    <n v="4530163"/>
    <n v="48711.430107526881"/>
    <n v="98054"/>
    <n v="5091"/>
    <n v="112588.65999999999"/>
    <n v="1210.6307526881719"/>
    <n v="0.35149999999999998"/>
    <n v="5180044.0000000019"/>
    <x v="1"/>
    <n v="10456.56"/>
  </r>
  <r>
    <s v="LN01909"/>
    <x v="1908"/>
    <n v="26"/>
    <s v="Male"/>
    <s v="Married"/>
    <s v="Self-Employed"/>
    <n v="192601"/>
    <n v="362"/>
    <n v="16344"/>
    <n v="23.43"/>
    <n v="60"/>
    <s v="Mortgage"/>
    <n v="5.98"/>
    <n v="17461"/>
    <n v="6087"/>
    <x v="1060"/>
    <s v="Approved"/>
    <s v="No"/>
    <x v="3"/>
    <x v="1905"/>
    <x v="1908"/>
    <n v="34"/>
    <n v="31"/>
    <n v="0.35149999999999998"/>
    <n v="4513228"/>
    <n v="49056.82608695652"/>
    <n v="98054"/>
    <n v="5091"/>
    <n v="111717.27999999998"/>
    <n v="1214.3182608695649"/>
    <n v="0.35149999999999998"/>
    <n v="5067455.3400000017"/>
    <x v="1"/>
    <n v="4034.6400000000003"/>
  </r>
  <r>
    <s v="LN01910"/>
    <x v="1909"/>
    <n v="61"/>
    <s v="Male"/>
    <s v="Divorced"/>
    <s v="Employed"/>
    <n v="61784"/>
    <n v="768"/>
    <n v="57128"/>
    <n v="17.760000000000002"/>
    <n v="36"/>
    <s v="Business"/>
    <n v="55.67"/>
    <n v="34186"/>
    <n v="127809"/>
    <x v="672"/>
    <s v="Pending"/>
    <s v="Yes"/>
    <x v="2"/>
    <x v="1906"/>
    <x v="1909"/>
    <n v="33"/>
    <n v="31"/>
    <n v="0.35149999999999998"/>
    <n v="4496884"/>
    <n v="49416.307692307695"/>
    <n v="98054"/>
    <n v="5091"/>
    <n v="111381.05999999998"/>
    <n v="1223.9676923076922"/>
    <n v="0.35149999999999998"/>
    <n v="4955738.0600000024"/>
    <x v="1"/>
    <n v="22424.639999999999"/>
  </r>
  <r>
    <s v="LN01911"/>
    <x v="1910"/>
    <n v="49"/>
    <s v="Female"/>
    <s v="Divorced"/>
    <s v="Self-Employed"/>
    <n v="133807"/>
    <n v="313"/>
    <n v="9539"/>
    <n v="17.64"/>
    <n v="12"/>
    <s v="Education"/>
    <n v="9.61"/>
    <n v="29222"/>
    <n v="112314"/>
    <x v="1061"/>
    <s v="Pending"/>
    <s v="Yes"/>
    <x v="2"/>
    <x v="1907"/>
    <x v="1910"/>
    <n v="33"/>
    <n v="31"/>
    <n v="0.35149999999999998"/>
    <n v="4439756"/>
    <n v="49330.62222222222"/>
    <n v="98054"/>
    <n v="5091"/>
    <n v="109512.34"/>
    <n v="1216.8037777777777"/>
    <n v="0.35149999999999998"/>
    <n v="4844357.0000000009"/>
    <x v="1"/>
    <n v="11221.68"/>
  </r>
  <r>
    <s v="LN01912"/>
    <x v="1911"/>
    <n v="61"/>
    <s v="Female"/>
    <s v="Single"/>
    <s v="Employed"/>
    <n v="160384"/>
    <n v="571"/>
    <n v="32987"/>
    <n v="11.72"/>
    <n v="360"/>
    <s v="Business"/>
    <n v="33.130000000000003"/>
    <n v="28802"/>
    <n v="17399"/>
    <x v="152"/>
    <s v="Pending"/>
    <s v="No"/>
    <x v="4"/>
    <x v="1908"/>
    <x v="1911"/>
    <n v="33"/>
    <n v="31"/>
    <n v="0.35149999999999998"/>
    <n v="4430217"/>
    <n v="49777.719101123599"/>
    <n v="98054"/>
    <n v="5091"/>
    <n v="108577.19999999998"/>
    <n v="1219.9685393258426"/>
    <n v="0.35149999999999998"/>
    <n v="4734844.660000002"/>
    <x v="0"/>
    <n v="1228.44"/>
  </r>
  <r>
    <s v="LN01913"/>
    <x v="1912"/>
    <n v="26"/>
    <s v="Female"/>
    <s v="Single"/>
    <s v="Unemployed"/>
    <n v="117865"/>
    <n v="390"/>
    <n v="94333"/>
    <n v="16.260000000000002"/>
    <n v="240"/>
    <s v="Personal"/>
    <n v="8.75"/>
    <n v="138"/>
    <n v="35706"/>
    <x v="964"/>
    <s v="Rejected"/>
    <s v="No"/>
    <x v="3"/>
    <x v="1909"/>
    <x v="1912"/>
    <n v="33"/>
    <n v="31"/>
    <n v="0.35149999999999998"/>
    <n v="4397230"/>
    <n v="49968.522727272728"/>
    <n v="98054"/>
    <n v="5091"/>
    <n v="108474.82999999999"/>
    <n v="1232.6685227272726"/>
    <n v="0.35149999999999998"/>
    <n v="4626267.4600000009"/>
    <x v="1"/>
    <n v="5483.5199999999995"/>
  </r>
  <r>
    <s v="LN01914"/>
    <x v="1913"/>
    <n v="56"/>
    <s v="Female"/>
    <s v="Divorced"/>
    <s v="Unemployed"/>
    <n v="198811"/>
    <n v="593"/>
    <n v="97555"/>
    <n v="3.83"/>
    <n v="24"/>
    <s v="Mortgage"/>
    <n v="45.82"/>
    <n v="66166"/>
    <n v="95433"/>
    <x v="315"/>
    <s v="Approved"/>
    <s v="No"/>
    <x v="0"/>
    <x v="1910"/>
    <x v="1913"/>
    <n v="33"/>
    <n v="30"/>
    <n v="0.35149999999999998"/>
    <n v="4302897"/>
    <n v="49458.586206896551"/>
    <n v="98054"/>
    <n v="5091"/>
    <n v="108017.86999999998"/>
    <n v="1241.5847126436779"/>
    <n v="0.35149999999999998"/>
    <n v="4517792.63"/>
    <x v="1"/>
    <n v="50645.64"/>
  </r>
  <r>
    <s v="LN01915"/>
    <x v="1914"/>
    <n v="28"/>
    <s v="Female"/>
    <s v="Married"/>
    <s v="Unemployed"/>
    <n v="34910"/>
    <n v="394"/>
    <n v="88405"/>
    <n v="21.19"/>
    <n v="120"/>
    <s v="Business"/>
    <n v="17.29"/>
    <n v="2864"/>
    <n v="210685"/>
    <x v="581"/>
    <s v="Pending"/>
    <s v="No"/>
    <x v="1"/>
    <x v="1911"/>
    <x v="1914"/>
    <n v="32"/>
    <n v="30"/>
    <n v="0.35149999999999998"/>
    <n v="4205342"/>
    <n v="48899.325581395351"/>
    <n v="98054"/>
    <n v="5091"/>
    <n v="103797.4"/>
    <n v="1206.9465116279068"/>
    <n v="0.35149999999999998"/>
    <n v="4409774.76"/>
    <x v="1"/>
    <n v="10713.84"/>
  </r>
  <r>
    <s v="LN01916"/>
    <x v="1915"/>
    <n v="55"/>
    <s v="Female"/>
    <s v="Divorced"/>
    <s v="Unemployed"/>
    <n v="139992"/>
    <n v="825"/>
    <n v="56599"/>
    <n v="15.15"/>
    <n v="180"/>
    <s v="Education"/>
    <n v="29.97"/>
    <n v="15175"/>
    <n v="213392"/>
    <x v="642"/>
    <s v="Approved"/>
    <s v="Yes"/>
    <x v="1"/>
    <x v="1912"/>
    <x v="1915"/>
    <n v="32"/>
    <n v="30"/>
    <n v="0.35149999999999998"/>
    <n v="4116937"/>
    <n v="48434.552941176473"/>
    <n v="98054"/>
    <n v="5091"/>
    <n v="102904.57999999999"/>
    <n v="1210.6421176470587"/>
    <n v="0.35149999999999998"/>
    <n v="4305977.3599999994"/>
    <x v="1"/>
    <n v="4344.96"/>
  </r>
  <r>
    <s v="LN01917"/>
    <x v="1916"/>
    <n v="28"/>
    <s v="Male"/>
    <s v="Single"/>
    <s v="Self-Employed"/>
    <n v="81116"/>
    <n v="432"/>
    <n v="8741"/>
    <n v="8.9"/>
    <n v="36"/>
    <s v="Auto"/>
    <n v="51.63"/>
    <n v="40745"/>
    <n v="148400"/>
    <x v="1062"/>
    <s v="Rejected"/>
    <s v="Yes"/>
    <x v="3"/>
    <x v="1913"/>
    <x v="1916"/>
    <n v="31"/>
    <n v="30"/>
    <n v="0.35149999999999998"/>
    <n v="4060338"/>
    <n v="48337.357142857145"/>
    <n v="98054"/>
    <n v="5091"/>
    <n v="102542.5"/>
    <n v="1220.7440476190477"/>
    <n v="0.35149999999999998"/>
    <n v="4203072.78"/>
    <x v="1"/>
    <n v="3173.04"/>
  </r>
  <r>
    <s v="LN01918"/>
    <x v="1917"/>
    <n v="48"/>
    <s v="Male"/>
    <s v="Single"/>
    <s v="Unemployed"/>
    <n v="77753"/>
    <n v="363"/>
    <n v="80559"/>
    <n v="10.17"/>
    <n v="48"/>
    <s v="Mortgage"/>
    <n v="9.65"/>
    <n v="19219"/>
    <n v="126428"/>
    <x v="526"/>
    <s v="Rejected"/>
    <s v="No"/>
    <x v="4"/>
    <x v="1914"/>
    <x v="1917"/>
    <n v="31"/>
    <n v="29"/>
    <n v="0.35149999999999998"/>
    <n v="4051597"/>
    <n v="48814.421686746988"/>
    <n v="98054"/>
    <n v="5091"/>
    <n v="102278.08"/>
    <n v="1232.2660240963855"/>
    <n v="0.35149999999999998"/>
    <n v="4100530.2800000007"/>
    <x v="1"/>
    <n v="22188"/>
  </r>
  <r>
    <s v="LN01919"/>
    <x v="1918"/>
    <n v="32"/>
    <s v="Female"/>
    <s v="Married"/>
    <s v="Self-Employed"/>
    <n v="187008"/>
    <n v="746"/>
    <n v="18563"/>
    <n v="14.9"/>
    <n v="48"/>
    <s v="Education"/>
    <n v="54.83"/>
    <n v="30808"/>
    <n v="238939"/>
    <x v="700"/>
    <s v="Rejected"/>
    <s v="Yes"/>
    <x v="2"/>
    <x v="1915"/>
    <x v="1918"/>
    <n v="31"/>
    <n v="28"/>
    <n v="0.35149999999999998"/>
    <n v="3971038"/>
    <n v="48427.292682926833"/>
    <n v="98054"/>
    <n v="5091"/>
    <n v="100429.08"/>
    <n v="1224.7448780487805"/>
    <n v="0.35149999999999998"/>
    <n v="3998252.2000000011"/>
    <x v="1"/>
    <n v="5332.2000000000007"/>
  </r>
  <r>
    <s v="LN01920"/>
    <x v="1919"/>
    <n v="39"/>
    <s v="Male"/>
    <s v="Married"/>
    <s v="Unemployed"/>
    <n v="38611"/>
    <n v="416"/>
    <n v="51349"/>
    <n v="7.27"/>
    <n v="240"/>
    <s v="Education"/>
    <n v="38.32"/>
    <n v="53411"/>
    <n v="121987"/>
    <x v="998"/>
    <s v="Pending"/>
    <s v="Yes"/>
    <x v="0"/>
    <x v="1916"/>
    <x v="1919"/>
    <n v="31"/>
    <n v="27"/>
    <n v="0.35149999999999998"/>
    <n v="3952475"/>
    <n v="48795.98765432099"/>
    <n v="98054"/>
    <n v="5091"/>
    <n v="99984.73"/>
    <n v="1234.3793827160493"/>
    <n v="0.35149999999999998"/>
    <n v="3897823.1200000006"/>
    <x v="1"/>
    <n v="2754.12"/>
  </r>
  <r>
    <s v="LN01921"/>
    <x v="1920"/>
    <n v="48"/>
    <s v="Male"/>
    <s v="Married"/>
    <s v="Employed"/>
    <n v="97926"/>
    <n v="310"/>
    <n v="17507"/>
    <n v="17.89"/>
    <n v="360"/>
    <s v="Auto"/>
    <n v="21.17"/>
    <n v="29161"/>
    <n v="238774"/>
    <x v="255"/>
    <s v="Rejected"/>
    <s v="Yes"/>
    <x v="1"/>
    <x v="1917"/>
    <x v="1920"/>
    <n v="31"/>
    <n v="27"/>
    <n v="0.35149999999999998"/>
    <n v="3901126"/>
    <n v="48764.074999999997"/>
    <n v="98054"/>
    <n v="5091"/>
    <n v="99755.22"/>
    <n v="1246.9402500000001"/>
    <n v="0.35149999999999998"/>
    <n v="3797838.3900000006"/>
    <x v="1"/>
    <n v="687.96"/>
  </r>
  <r>
    <s v="LN01922"/>
    <x v="1921"/>
    <n v="60"/>
    <s v="Female"/>
    <s v="Divorced"/>
    <s v="Unemployed"/>
    <n v="38995"/>
    <n v="665"/>
    <n v="81979"/>
    <n v="14.66"/>
    <n v="60"/>
    <s v="Mortgage"/>
    <n v="51.78"/>
    <n v="2256"/>
    <n v="73576"/>
    <x v="919"/>
    <s v="Pending"/>
    <s v="No"/>
    <x v="4"/>
    <x v="1918"/>
    <x v="1921"/>
    <n v="31"/>
    <n v="26"/>
    <n v="0.35149999999999998"/>
    <n v="3883619"/>
    <n v="49159.734177215192"/>
    <n v="98054"/>
    <n v="5091"/>
    <n v="99697.89"/>
    <n v="1261.9986075949366"/>
    <n v="0.35149999999999998"/>
    <n v="3698083.1700000009"/>
    <x v="1"/>
    <n v="18799.439999999999"/>
  </r>
  <r>
    <s v="LN01923"/>
    <x v="1922"/>
    <n v="51"/>
    <s v="Female"/>
    <s v="Married"/>
    <s v="Unemployed"/>
    <n v="170843"/>
    <n v="772"/>
    <n v="7369"/>
    <n v="23.12"/>
    <n v="24"/>
    <s v="Mortgage"/>
    <n v="10.31"/>
    <n v="23732"/>
    <n v="21270"/>
    <x v="98"/>
    <s v="Approved"/>
    <s v="No"/>
    <x v="3"/>
    <x v="1919"/>
    <x v="1922"/>
    <n v="31"/>
    <n v="26"/>
    <n v="0.35149999999999998"/>
    <n v="3801640"/>
    <n v="48738.974358974359"/>
    <n v="98054"/>
    <n v="5091"/>
    <n v="98131.27"/>
    <n v="1258.0932051282052"/>
    <n v="0.35149999999999998"/>
    <n v="3598385.2800000003"/>
    <x v="1"/>
    <n v="4536.3599999999997"/>
  </r>
  <r>
    <s v="LN01924"/>
    <x v="1923"/>
    <n v="35"/>
    <s v="Male"/>
    <s v="Single"/>
    <s v="Unemployed"/>
    <n v="157237"/>
    <n v="543"/>
    <n v="42961"/>
    <n v="4.9800000000000004"/>
    <n v="180"/>
    <s v="Personal"/>
    <n v="49.67"/>
    <n v="48303"/>
    <n v="139751"/>
    <x v="1063"/>
    <s v="Pending"/>
    <s v="No"/>
    <x v="0"/>
    <x v="1920"/>
    <x v="1923"/>
    <n v="30"/>
    <n v="26"/>
    <n v="0.35149999999999998"/>
    <n v="3794271"/>
    <n v="49276.246753246756"/>
    <n v="98054"/>
    <n v="5091"/>
    <n v="97753.24"/>
    <n v="1269.5225974025975"/>
    <n v="0.35149999999999998"/>
    <n v="3500254.0100000002"/>
    <x v="1"/>
    <n v="3006.7200000000003"/>
  </r>
  <r>
    <s v="LN01925"/>
    <x v="1924"/>
    <n v="33"/>
    <s v="Female"/>
    <s v="Married"/>
    <s v="Employed"/>
    <n v="176526"/>
    <n v="358"/>
    <n v="35297"/>
    <n v="4.2699999999999996"/>
    <n v="24"/>
    <s v="Business"/>
    <n v="20.74"/>
    <n v="56338"/>
    <n v="80411"/>
    <x v="1064"/>
    <s v="Approved"/>
    <s v="No"/>
    <x v="2"/>
    <x v="1921"/>
    <x v="1924"/>
    <n v="30"/>
    <n v="26"/>
    <n v="0.35149999999999998"/>
    <n v="3751310"/>
    <n v="49359.34210526316"/>
    <n v="98054"/>
    <n v="5091"/>
    <n v="97502.680000000008"/>
    <n v="1282.93"/>
    <n v="0.35149999999999998"/>
    <n v="3402500.7700000005"/>
    <x v="1"/>
    <n v="18402.12"/>
  </r>
  <r>
    <s v="LN01926"/>
    <x v="1925"/>
    <n v="29"/>
    <s v="Female"/>
    <s v="Single"/>
    <s v="Unemployed"/>
    <n v="120162"/>
    <n v="713"/>
    <n v="73891"/>
    <n v="9.49"/>
    <n v="60"/>
    <s v="Education"/>
    <n v="58.31"/>
    <n v="4085"/>
    <n v="112154"/>
    <x v="426"/>
    <s v="Approved"/>
    <s v="No"/>
    <x v="1"/>
    <x v="1922"/>
    <x v="1925"/>
    <n v="29"/>
    <n v="26"/>
    <n v="0.35149999999999998"/>
    <n v="3716013"/>
    <n v="49546.84"/>
    <n v="98054"/>
    <n v="5091"/>
    <n v="95969.17"/>
    <n v="1279.5889333333332"/>
    <n v="0.35149999999999998"/>
    <n v="3304998.0900000008"/>
    <x v="1"/>
    <n v="16180.68"/>
  </r>
  <r>
    <s v="LN01927"/>
    <x v="1926"/>
    <n v="23"/>
    <s v="Male"/>
    <s v="Single"/>
    <s v="Self-Employed"/>
    <n v="90916"/>
    <n v="825"/>
    <n v="8745"/>
    <n v="11.99"/>
    <n v="48"/>
    <s v="Business"/>
    <n v="56.53"/>
    <n v="79959"/>
    <n v="47103"/>
    <x v="231"/>
    <s v="Rejected"/>
    <s v="No"/>
    <x v="2"/>
    <x v="1923"/>
    <x v="1926"/>
    <n v="28"/>
    <n v="26"/>
    <n v="0.35149999999999998"/>
    <n v="3642122"/>
    <n v="49217.864864864867"/>
    <n v="98054"/>
    <n v="5091"/>
    <n v="94620.780000000013"/>
    <n v="1278.6591891891894"/>
    <n v="0.35149999999999998"/>
    <n v="3209028.9200000009"/>
    <x v="1"/>
    <n v="2448.36"/>
  </r>
  <r>
    <s v="LN01928"/>
    <x v="1927"/>
    <n v="52"/>
    <s v="Female"/>
    <s v="Married"/>
    <s v="Employed"/>
    <n v="80245"/>
    <n v="750"/>
    <n v="52826"/>
    <n v="11.5"/>
    <n v="36"/>
    <s v="Mortgage"/>
    <n v="35.89"/>
    <n v="61188"/>
    <n v="19722"/>
    <x v="704"/>
    <s v="Pending"/>
    <s v="No"/>
    <x v="0"/>
    <x v="1924"/>
    <x v="1927"/>
    <n v="28"/>
    <n v="25"/>
    <n v="0.35149999999999998"/>
    <n v="3633377"/>
    <n v="49772.28767123288"/>
    <n v="98054"/>
    <n v="5091"/>
    <n v="94416.750000000015"/>
    <n v="1293.3801369863015"/>
    <n v="0.35149999999999998"/>
    <n v="3114408.1400000006"/>
    <x v="1"/>
    <n v="19633.68"/>
  </r>
  <r>
    <s v="LN01929"/>
    <x v="1928"/>
    <n v="32"/>
    <s v="Male"/>
    <s v="Married"/>
    <s v="Unemployed"/>
    <n v="111018"/>
    <n v="421"/>
    <n v="38740"/>
    <n v="15.32"/>
    <n v="12"/>
    <s v="Education"/>
    <n v="53.98"/>
    <n v="21468"/>
    <n v="36763"/>
    <x v="15"/>
    <s v="Approved"/>
    <s v="No"/>
    <x v="2"/>
    <x v="1925"/>
    <x v="1928"/>
    <n v="28"/>
    <n v="25"/>
    <n v="0.35149999999999998"/>
    <n v="3580551"/>
    <n v="49729.875"/>
    <n v="98054"/>
    <n v="5091"/>
    <n v="92780.61"/>
    <n v="1288.6195833333334"/>
    <n v="0.35149999999999998"/>
    <n v="3019991.3900000011"/>
    <x v="1"/>
    <n v="44674.92"/>
  </r>
  <r>
    <s v="LN01930"/>
    <x v="1929"/>
    <n v="44"/>
    <s v="Male"/>
    <s v="Married"/>
    <s v="Self-Employed"/>
    <n v="104380"/>
    <n v="727"/>
    <n v="17101"/>
    <n v="9.69"/>
    <n v="36"/>
    <s v="Mortgage"/>
    <n v="56.36"/>
    <n v="58703"/>
    <n v="80671"/>
    <x v="765"/>
    <s v="Pending"/>
    <s v="Yes"/>
    <x v="4"/>
    <x v="1926"/>
    <x v="1929"/>
    <n v="27"/>
    <n v="25"/>
    <n v="0.35149999999999998"/>
    <n v="3541811"/>
    <n v="49884.661971830988"/>
    <n v="98054"/>
    <n v="5091"/>
    <n v="89057.699999999983"/>
    <n v="1254.3338028169012"/>
    <n v="0.35149999999999998"/>
    <n v="2927210.7800000007"/>
    <x v="0"/>
    <n v="6252.7199999999993"/>
  </r>
  <r>
    <s v="LN01931"/>
    <x v="1930"/>
    <n v="40"/>
    <s v="Male"/>
    <s v="Divorced"/>
    <s v="Unemployed"/>
    <n v="27226"/>
    <n v="763"/>
    <n v="54216"/>
    <n v="14.46"/>
    <n v="360"/>
    <s v="Education"/>
    <n v="56.18"/>
    <n v="55767"/>
    <n v="91"/>
    <x v="78"/>
    <s v="Rejected"/>
    <s v="No"/>
    <x v="3"/>
    <x v="1927"/>
    <x v="1930"/>
    <n v="27"/>
    <n v="25"/>
    <n v="0.35149999999999998"/>
    <n v="3524710"/>
    <n v="50353"/>
    <n v="98054"/>
    <n v="5091"/>
    <n v="88536.639999999985"/>
    <n v="1264.8091428571427"/>
    <n v="0.35149999999999998"/>
    <n v="2838153.080000001"/>
    <x v="1"/>
    <n v="2068.56"/>
  </r>
  <r>
    <s v="LN01932"/>
    <x v="1931"/>
    <n v="27"/>
    <s v="Female"/>
    <s v="Divorced"/>
    <s v="Unemployed"/>
    <n v="138564"/>
    <n v="797"/>
    <n v="42857"/>
    <n v="9.98"/>
    <n v="24"/>
    <s v="Auto"/>
    <n v="47.07"/>
    <n v="18027"/>
    <n v="57886"/>
    <x v="965"/>
    <s v="Rejected"/>
    <s v="Yes"/>
    <x v="3"/>
    <x v="1928"/>
    <x v="1931"/>
    <n v="27"/>
    <n v="24"/>
    <n v="0.35149999999999998"/>
    <n v="3470494"/>
    <n v="50297.014492753624"/>
    <n v="98054"/>
    <n v="5091"/>
    <n v="88364.26"/>
    <n v="1280.6414492753622"/>
    <n v="0.35149999999999998"/>
    <n v="2749616.4400000009"/>
    <x v="1"/>
    <n v="23567.040000000001"/>
  </r>
  <r>
    <s v="LN01933"/>
    <x v="1932"/>
    <n v="53"/>
    <s v="Male"/>
    <s v="Single"/>
    <s v="Employed"/>
    <n v="137931"/>
    <n v="644"/>
    <n v="34189"/>
    <n v="6.91"/>
    <n v="120"/>
    <s v="Auto"/>
    <n v="31.49"/>
    <n v="73207"/>
    <n v="206464"/>
    <x v="319"/>
    <s v="Approved"/>
    <s v="Yes"/>
    <x v="4"/>
    <x v="1929"/>
    <x v="1932"/>
    <n v="27"/>
    <n v="23"/>
    <n v="0.35149999999999998"/>
    <n v="3427637"/>
    <n v="50406.426470588238"/>
    <n v="98054"/>
    <n v="5091"/>
    <n v="86400.34"/>
    <n v="1270.5932352941177"/>
    <n v="0.35149999999999998"/>
    <n v="2661252.1800000011"/>
    <x v="1"/>
    <n v="3655.2000000000003"/>
  </r>
  <r>
    <s v="LN01934"/>
    <x v="1933"/>
    <n v="45"/>
    <s v="Male"/>
    <s v="Married"/>
    <s v="Self-Employed"/>
    <n v="49751"/>
    <n v="376"/>
    <n v="17799"/>
    <n v="14.2"/>
    <n v="240"/>
    <s v="Education"/>
    <n v="50.72"/>
    <n v="61204"/>
    <n v="4576"/>
    <x v="28"/>
    <s v="Pending"/>
    <s v="Yes"/>
    <x v="4"/>
    <x v="1930"/>
    <x v="1933"/>
    <n v="26"/>
    <n v="23"/>
    <n v="0.35149999999999998"/>
    <n v="3393448"/>
    <n v="50648.477611940296"/>
    <n v="98054"/>
    <n v="5091"/>
    <n v="86095.74"/>
    <n v="1285.0110447761194"/>
    <n v="0.35149999999999998"/>
    <n v="2574851.8400000008"/>
    <x v="1"/>
    <n v="1016.28"/>
  </r>
  <r>
    <s v="LN01935"/>
    <x v="1934"/>
    <n v="64"/>
    <s v="Female"/>
    <s v="Single"/>
    <s v="Self-Employed"/>
    <n v="31140"/>
    <n v="369"/>
    <n v="49848"/>
    <n v="17.3"/>
    <n v="48"/>
    <s v="Business"/>
    <n v="46.92"/>
    <n v="45879"/>
    <n v="145034"/>
    <x v="1065"/>
    <s v="Rejected"/>
    <s v="No"/>
    <x v="1"/>
    <x v="1931"/>
    <x v="1934"/>
    <n v="26"/>
    <n v="23"/>
    <n v="0.35149999999999998"/>
    <n v="3375649"/>
    <n v="51146.196969696968"/>
    <n v="98054"/>
    <n v="5091"/>
    <n v="86011.05"/>
    <n v="1303.1977272727272"/>
    <n v="0.35149999999999998"/>
    <n v="2488756.100000001"/>
    <x v="1"/>
    <n v="14617.920000000002"/>
  </r>
  <r>
    <s v="LN01936"/>
    <x v="1935"/>
    <n v="45"/>
    <s v="Female"/>
    <s v="Single"/>
    <s v="Unemployed"/>
    <n v="27510"/>
    <n v="764"/>
    <n v="57866"/>
    <n v="10.36"/>
    <n v="48"/>
    <s v="Personal"/>
    <n v="17.34"/>
    <n v="2715"/>
    <n v="2408"/>
    <x v="1066"/>
    <s v="Pending"/>
    <s v="No"/>
    <x v="2"/>
    <x v="1932"/>
    <x v="1935"/>
    <n v="26"/>
    <n v="22"/>
    <n v="0.35149999999999998"/>
    <n v="3325801"/>
    <n v="51166.169230769228"/>
    <n v="98054"/>
    <n v="5091"/>
    <n v="84792.89"/>
    <n v="1304.5060000000001"/>
    <n v="0.35149999999999998"/>
    <n v="2402745.0500000012"/>
    <x v="1"/>
    <n v="15965.28"/>
  </r>
  <r>
    <s v="LN01937"/>
    <x v="1936"/>
    <n v="28"/>
    <s v="Female"/>
    <s v="Divorced"/>
    <s v="Employed"/>
    <n v="139237"/>
    <n v="740"/>
    <n v="17078"/>
    <n v="7.29"/>
    <n v="240"/>
    <s v="Education"/>
    <n v="37.450000000000003"/>
    <n v="27091"/>
    <n v="230347"/>
    <x v="1067"/>
    <s v="Approved"/>
    <s v="Yes"/>
    <x v="1"/>
    <x v="1933"/>
    <x v="1936"/>
    <n v="26"/>
    <n v="22"/>
    <n v="0.35149999999999998"/>
    <n v="3267935"/>
    <n v="51061.484375"/>
    <n v="98054"/>
    <n v="5091"/>
    <n v="83462.45"/>
    <n v="1304.10078125"/>
    <n v="0.35149999999999998"/>
    <n v="2317952.1600000006"/>
    <x v="1"/>
    <n v="916.19999999999993"/>
  </r>
  <r>
    <s v="LN01938"/>
    <x v="1937"/>
    <n v="27"/>
    <s v="Male"/>
    <s v="Divorced"/>
    <s v="Self-Employed"/>
    <n v="192284"/>
    <n v="585"/>
    <n v="36828"/>
    <n v="9.7100000000000009"/>
    <n v="240"/>
    <s v="Auto"/>
    <n v="21.58"/>
    <n v="75230"/>
    <n v="111833"/>
    <x v="624"/>
    <s v="Rejected"/>
    <s v="Yes"/>
    <x v="2"/>
    <x v="1934"/>
    <x v="1937"/>
    <n v="25"/>
    <n v="22"/>
    <n v="0.35149999999999998"/>
    <n v="3250857"/>
    <n v="51600.904761904763"/>
    <n v="98054"/>
    <n v="5091"/>
    <n v="83386.100000000006"/>
    <n v="1323.588888888889"/>
    <n v="0.35149999999999998"/>
    <n v="2234489.71"/>
    <x v="1"/>
    <n v="2020.1999999999998"/>
  </r>
  <r>
    <s v="LN01939"/>
    <x v="1938"/>
    <n v="21"/>
    <s v="Female"/>
    <s v="Divorced"/>
    <s v="Self-Employed"/>
    <n v="97475"/>
    <n v="599"/>
    <n v="91650"/>
    <n v="23.19"/>
    <n v="48"/>
    <s v="Education"/>
    <n v="55.62"/>
    <n v="28712"/>
    <n v="123401"/>
    <x v="888"/>
    <s v="Approved"/>
    <s v="Yes"/>
    <x v="0"/>
    <x v="1935"/>
    <x v="1938"/>
    <n v="25"/>
    <n v="21"/>
    <n v="0.35149999999999998"/>
    <n v="3214029"/>
    <n v="51839.177419354841"/>
    <n v="98054"/>
    <n v="5091"/>
    <n v="83217.75"/>
    <n v="1342.2217741935483"/>
    <n v="0.35149999999999998"/>
    <n v="2151103.61"/>
    <x v="1"/>
    <n v="28225.919999999998"/>
  </r>
  <r>
    <s v="LN01940"/>
    <x v="1939"/>
    <n v="61"/>
    <s v="Male"/>
    <s v="Married"/>
    <s v="Self-Employed"/>
    <n v="92418"/>
    <n v="569"/>
    <n v="49530"/>
    <n v="6.97"/>
    <n v="120"/>
    <s v="Auto"/>
    <n v="15.94"/>
    <n v="79901"/>
    <n v="7207"/>
    <x v="1068"/>
    <s v="Approved"/>
    <s v="No"/>
    <x v="1"/>
    <x v="1936"/>
    <x v="1939"/>
    <n v="24"/>
    <n v="21"/>
    <n v="0.35149999999999998"/>
    <n v="3122379"/>
    <n v="51186.540983606559"/>
    <n v="98054"/>
    <n v="5091"/>
    <n v="80865.59"/>
    <n v="1325.6654098360655"/>
    <n v="0.35149999999999998"/>
    <n v="2067885.8599999996"/>
    <x v="1"/>
    <n v="5298.24"/>
  </r>
  <r>
    <s v="LN01941"/>
    <x v="1940"/>
    <n v="26"/>
    <s v="Female"/>
    <s v="Divorced"/>
    <s v="Self-Employed"/>
    <n v="21186"/>
    <n v="755"/>
    <n v="42882"/>
    <n v="14.7"/>
    <n v="360"/>
    <s v="Education"/>
    <n v="27.3"/>
    <n v="9752"/>
    <n v="93445"/>
    <x v="1069"/>
    <s v="Pending"/>
    <s v="Yes"/>
    <x v="0"/>
    <x v="1937"/>
    <x v="1940"/>
    <n v="23"/>
    <n v="21"/>
    <n v="0.35149999999999998"/>
    <n v="3072849"/>
    <n v="51214.15"/>
    <n v="98054"/>
    <n v="5091"/>
    <n v="80424.069999999992"/>
    <n v="1340.4011666666665"/>
    <n v="0.35149999999999998"/>
    <n v="1987020.2699999993"/>
    <x v="1"/>
    <n v="1639.56"/>
  </r>
  <r>
    <s v="LN01942"/>
    <x v="1941"/>
    <n v="48"/>
    <s v="Male"/>
    <s v="Divorced"/>
    <s v="Unemployed"/>
    <n v="147302"/>
    <n v="659"/>
    <n v="29625"/>
    <n v="10.44"/>
    <n v="12"/>
    <s v="Education"/>
    <n v="39.33"/>
    <n v="57342"/>
    <n v="225330"/>
    <x v="1070"/>
    <s v="Pending"/>
    <s v="Yes"/>
    <x v="4"/>
    <x v="1938"/>
    <x v="1941"/>
    <n v="23"/>
    <n v="21"/>
    <n v="0.35149999999999998"/>
    <n v="3029967"/>
    <n v="51355.372881355936"/>
    <n v="98054"/>
    <n v="5091"/>
    <n v="80287.44"/>
    <n v="1360.8040677966103"/>
    <n v="0.35149999999999998"/>
    <n v="1906596.1999999995"/>
    <x v="1"/>
    <n v="32717.879999999997"/>
  </r>
  <r>
    <s v="LN01943"/>
    <x v="1942"/>
    <n v="37"/>
    <s v="Female"/>
    <s v="Divorced"/>
    <s v="Employed"/>
    <n v="123044"/>
    <n v="464"/>
    <n v="24451"/>
    <n v="18.27"/>
    <n v="36"/>
    <s v="Auto"/>
    <n v="35.880000000000003"/>
    <n v="69882"/>
    <n v="83986"/>
    <x v="796"/>
    <s v="Rejected"/>
    <s v="No"/>
    <x v="2"/>
    <x v="1939"/>
    <x v="1942"/>
    <n v="23"/>
    <n v="21"/>
    <n v="0.35149999999999998"/>
    <n v="3000342"/>
    <n v="51730.034482758623"/>
    <n v="98054"/>
    <n v="5091"/>
    <n v="77560.950000000012"/>
    <n v="1337.2577586206899"/>
    <n v="0.35149999999999998"/>
    <n v="1826308.7599999993"/>
    <x v="0"/>
    <n v="9639.36"/>
  </r>
  <r>
    <s v="LN01944"/>
    <x v="1943"/>
    <n v="24"/>
    <s v="Male"/>
    <s v="Married"/>
    <s v="Employed"/>
    <n v="52440"/>
    <n v="782"/>
    <n v="70620"/>
    <n v="8.06"/>
    <n v="360"/>
    <s v="Personal"/>
    <n v="17.510000000000002"/>
    <n v="73720"/>
    <n v="136466"/>
    <x v="281"/>
    <s v="Rejected"/>
    <s v="Yes"/>
    <x v="1"/>
    <x v="1940"/>
    <x v="1943"/>
    <n v="23"/>
    <n v="20"/>
    <n v="0.35149999999999998"/>
    <n v="2975891"/>
    <n v="52208.614035087718"/>
    <n v="98054"/>
    <n v="5091"/>
    <n v="76757.670000000013"/>
    <n v="1346.6257894736843"/>
    <n v="0.35149999999999998"/>
    <n v="1748747.8099999996"/>
    <x v="1"/>
    <n v="2543.7599999999998"/>
  </r>
  <r>
    <s v="LN01945"/>
    <x v="1944"/>
    <n v="42"/>
    <s v="Male"/>
    <s v="Divorced"/>
    <s v="Employed"/>
    <n v="79217"/>
    <n v="300"/>
    <n v="67542"/>
    <n v="17"/>
    <n v="36"/>
    <s v="Mortgage"/>
    <n v="36.47"/>
    <n v="1526"/>
    <n v="46792"/>
    <x v="551"/>
    <s v="Approved"/>
    <s v="No"/>
    <x v="3"/>
    <x v="1941"/>
    <x v="1944"/>
    <n v="23"/>
    <n v="19"/>
    <n v="0.35149999999999998"/>
    <n v="2905271"/>
    <n v="51879.839285714283"/>
    <n v="98054"/>
    <n v="5091"/>
    <n v="76545.690000000017"/>
    <n v="1366.8873214285718"/>
    <n v="0.35149999999999998"/>
    <n v="1671990.1399999997"/>
    <x v="1"/>
    <n v="26341.32"/>
  </r>
  <r>
    <s v="LN01946"/>
    <x v="1945"/>
    <n v="24"/>
    <s v="Male"/>
    <s v="Divorced"/>
    <s v="Unemployed"/>
    <n v="60740"/>
    <n v="537"/>
    <n v="74967"/>
    <n v="22.03"/>
    <n v="12"/>
    <s v="Personal"/>
    <n v="5.87"/>
    <n v="13824"/>
    <n v="247612"/>
    <x v="473"/>
    <s v="Pending"/>
    <s v="Yes"/>
    <x v="2"/>
    <x v="1942"/>
    <x v="1945"/>
    <n v="22"/>
    <n v="19"/>
    <n v="0.35149999999999998"/>
    <n v="2837729"/>
    <n v="51595.072727272731"/>
    <n v="98054"/>
    <n v="5091"/>
    <n v="74350.580000000031"/>
    <n v="1351.8287272727277"/>
    <n v="0.35149999999999998"/>
    <n v="1595444.4499999995"/>
    <x v="1"/>
    <n v="91482.240000000005"/>
  </r>
  <r>
    <s v="LN01947"/>
    <x v="1946"/>
    <n v="35"/>
    <s v="Female"/>
    <s v="Divorced"/>
    <s v="Unemployed"/>
    <n v="126507"/>
    <n v="340"/>
    <n v="18284"/>
    <n v="20.56"/>
    <n v="360"/>
    <s v="Business"/>
    <n v="7.5"/>
    <n v="45385"/>
    <n v="1850"/>
    <x v="702"/>
    <s v="Rejected"/>
    <s v="Yes"/>
    <x v="4"/>
    <x v="1943"/>
    <x v="1946"/>
    <n v="22"/>
    <n v="19"/>
    <n v="0.35149999999999998"/>
    <n v="2762762"/>
    <n v="51162.259259259263"/>
    <n v="98054"/>
    <n v="5091"/>
    <n v="66727.060000000012"/>
    <n v="1235.6862962962966"/>
    <n v="0.35149999999999998"/>
    <n v="1521093.8699999996"/>
    <x v="0"/>
    <n v="734.76"/>
  </r>
  <r>
    <s v="LN01948"/>
    <x v="1947"/>
    <n v="34"/>
    <s v="Male"/>
    <s v="Single"/>
    <s v="Self-Employed"/>
    <n v="34011"/>
    <n v="552"/>
    <n v="66750"/>
    <n v="3.84"/>
    <n v="360"/>
    <s v="Personal"/>
    <n v="22.55"/>
    <n v="50433"/>
    <n v="229728"/>
    <x v="393"/>
    <s v="Rejected"/>
    <s v="No"/>
    <x v="1"/>
    <x v="1944"/>
    <x v="1947"/>
    <n v="22"/>
    <n v="18"/>
    <n v="0.35149999999999998"/>
    <n v="2744478"/>
    <n v="51782.603773584902"/>
    <n v="98054"/>
    <n v="5091"/>
    <n v="66665.830000000016"/>
    <n v="1257.845849056604"/>
    <n v="0.35149999999999998"/>
    <n v="1454366.8099999998"/>
    <x v="1"/>
    <n v="2310.48"/>
  </r>
  <r>
    <s v="LN01949"/>
    <x v="1948"/>
    <n v="32"/>
    <s v="Female"/>
    <s v="Married"/>
    <s v="Employed"/>
    <n v="65159"/>
    <n v="412"/>
    <n v="39087"/>
    <n v="22.18"/>
    <n v="12"/>
    <s v="Personal"/>
    <n v="9.09"/>
    <n v="29878"/>
    <n v="207635"/>
    <x v="93"/>
    <s v="Rejected"/>
    <s v="No"/>
    <x v="2"/>
    <x v="1945"/>
    <x v="1948"/>
    <n v="22"/>
    <n v="17"/>
    <n v="0.35149999999999998"/>
    <n v="2677728"/>
    <n v="51494.769230769234"/>
    <n v="98054"/>
    <n v="5091"/>
    <n v="66473.290000000023"/>
    <n v="1278.3325000000004"/>
    <n v="0.35149999999999998"/>
    <n v="1387700.98"/>
    <x v="1"/>
    <n v="47756.520000000004"/>
  </r>
  <r>
    <s v="LN01950"/>
    <x v="1949"/>
    <n v="25"/>
    <s v="Male"/>
    <s v="Divorced"/>
    <s v="Unemployed"/>
    <n v="193377"/>
    <n v="652"/>
    <n v="26078"/>
    <n v="22"/>
    <n v="12"/>
    <s v="Mortgage"/>
    <n v="51.26"/>
    <n v="17275"/>
    <n v="25434"/>
    <x v="167"/>
    <s v="Approved"/>
    <s v="Yes"/>
    <x v="3"/>
    <x v="1946"/>
    <x v="1949"/>
    <n v="22"/>
    <n v="16"/>
    <n v="0.35149999999999998"/>
    <n v="2638641"/>
    <n v="51738.058823529413"/>
    <n v="98054"/>
    <n v="5091"/>
    <n v="62493.580000000009"/>
    <n v="1225.3643137254903"/>
    <n v="0.35149999999999998"/>
    <n v="1321227.69"/>
    <x v="0"/>
    <n v="31815.120000000003"/>
  </r>
  <r>
    <s v="LN01951"/>
    <x v="1950"/>
    <n v="50"/>
    <s v="Male"/>
    <s v="Divorced"/>
    <s v="Employed"/>
    <n v="56920"/>
    <n v="303"/>
    <n v="67633"/>
    <n v="10.83"/>
    <n v="24"/>
    <s v="Education"/>
    <n v="33.43"/>
    <n v="29804"/>
    <n v="169566"/>
    <x v="879"/>
    <s v="Pending"/>
    <s v="Yes"/>
    <x v="0"/>
    <x v="1947"/>
    <x v="1950"/>
    <n v="21"/>
    <n v="16"/>
    <n v="0.35149999999999998"/>
    <n v="2612563"/>
    <n v="52251.26"/>
    <n v="98054"/>
    <n v="5091"/>
    <n v="59842.32"/>
    <n v="1196.8463999999999"/>
    <n v="0.35149999999999998"/>
    <n v="1258734.1100000001"/>
    <x v="0"/>
    <n v="37478.879999999997"/>
  </r>
  <r>
    <s v="LN01952"/>
    <x v="1951"/>
    <n v="29"/>
    <s v="Female"/>
    <s v="Divorced"/>
    <s v="Employed"/>
    <n v="75721"/>
    <n v="488"/>
    <n v="41278"/>
    <n v="19.66"/>
    <n v="240"/>
    <s v="Business"/>
    <n v="39.200000000000003"/>
    <n v="33791"/>
    <n v="210244"/>
    <x v="449"/>
    <s v="Approved"/>
    <s v="Yes"/>
    <x v="2"/>
    <x v="1948"/>
    <x v="1951"/>
    <n v="21"/>
    <n v="16"/>
    <n v="0.35149999999999998"/>
    <n v="2544930"/>
    <n v="51937.34693877551"/>
    <n v="98054"/>
    <n v="5091"/>
    <n v="56719.080000000009"/>
    <n v="1157.5322448979593"/>
    <n v="0.35149999999999998"/>
    <n v="1198891.7900000003"/>
    <x v="1"/>
    <n v="2469.7200000000003"/>
  </r>
  <r>
    <s v="LN01953"/>
    <x v="1952"/>
    <n v="42"/>
    <s v="Male"/>
    <s v="Married"/>
    <s v="Self-Employed"/>
    <n v="126252"/>
    <n v="682"/>
    <n v="92825"/>
    <n v="13.5"/>
    <n v="24"/>
    <s v="Business"/>
    <n v="44.25"/>
    <n v="9263"/>
    <n v="246533"/>
    <x v="1066"/>
    <s v="Approved"/>
    <s v="No"/>
    <x v="2"/>
    <x v="1949"/>
    <x v="1952"/>
    <n v="20"/>
    <n v="16"/>
    <n v="0.35149999999999998"/>
    <n v="2503652"/>
    <n v="52159.416666666664"/>
    <n v="98054"/>
    <n v="5091"/>
    <n v="56513.27"/>
    <n v="1177.3597916666665"/>
    <n v="0.35149999999999998"/>
    <n v="1142172.7100000004"/>
    <x v="1"/>
    <n v="52678.200000000004"/>
  </r>
  <r>
    <s v="LN01954"/>
    <x v="1953"/>
    <n v="31"/>
    <s v="Female"/>
    <s v="Single"/>
    <s v="Self-Employed"/>
    <n v="97406"/>
    <n v="467"/>
    <n v="94682"/>
    <n v="8.1"/>
    <n v="36"/>
    <s v="Business"/>
    <n v="5.45"/>
    <n v="70913"/>
    <n v="196342"/>
    <x v="65"/>
    <s v="Pending"/>
    <s v="No"/>
    <x v="4"/>
    <x v="1950"/>
    <x v="1953"/>
    <n v="19"/>
    <n v="16"/>
    <n v="0.35149999999999998"/>
    <n v="2410827"/>
    <n v="51294.191489361699"/>
    <n v="98054"/>
    <n v="5091"/>
    <n v="52123.419999999991"/>
    <n v="1109.0089361702126"/>
    <n v="0.35149999999999998"/>
    <n v="1085659.4400000004"/>
    <x v="1"/>
    <n v="34117.08"/>
  </r>
  <r>
    <s v="LN01955"/>
    <x v="1954"/>
    <n v="50"/>
    <s v="Male"/>
    <s v="Married"/>
    <s v="Unemployed"/>
    <n v="41922"/>
    <n v="691"/>
    <n v="12270"/>
    <n v="4.29"/>
    <n v="360"/>
    <s v="Personal"/>
    <n v="25.34"/>
    <n v="57812"/>
    <n v="9839"/>
    <x v="352"/>
    <s v="Rejected"/>
    <s v="No"/>
    <x v="4"/>
    <x v="1951"/>
    <x v="1954"/>
    <n v="19"/>
    <n v="16"/>
    <n v="0.35149999999999998"/>
    <n v="2316145"/>
    <n v="50350.978260869568"/>
    <n v="98054"/>
    <n v="5091"/>
    <n v="49280.330000000009"/>
    <n v="1071.3115217391307"/>
    <n v="0.35149999999999998"/>
    <n v="1033536.0200000001"/>
    <x v="1"/>
    <n v="426.59999999999997"/>
  </r>
  <r>
    <s v="LN01956"/>
    <x v="1955"/>
    <n v="32"/>
    <s v="Male"/>
    <s v="Divorced"/>
    <s v="Employed"/>
    <n v="86815"/>
    <n v="405"/>
    <n v="30431"/>
    <n v="12.87"/>
    <n v="60"/>
    <s v="Auto"/>
    <n v="19.940000000000001"/>
    <n v="75776"/>
    <n v="238421"/>
    <x v="130"/>
    <s v="Rejected"/>
    <s v="Yes"/>
    <x v="0"/>
    <x v="1952"/>
    <x v="1955"/>
    <n v="19"/>
    <n v="15"/>
    <n v="0.35149999999999998"/>
    <n v="2303875"/>
    <n v="51197.222222222219"/>
    <n v="98054"/>
    <n v="5091"/>
    <n v="49244.780000000006"/>
    <n v="1094.3284444444446"/>
    <n v="0.35149999999999998"/>
    <n v="984255.69000000006"/>
    <x v="1"/>
    <n v="6869.52"/>
  </r>
  <r>
    <s v="LN01957"/>
    <x v="1956"/>
    <n v="25"/>
    <s v="Female"/>
    <s v="Divorced"/>
    <s v="Employed"/>
    <n v="198044"/>
    <n v="586"/>
    <n v="15168"/>
    <n v="15.63"/>
    <n v="12"/>
    <s v="Education"/>
    <n v="30.74"/>
    <n v="30056"/>
    <n v="161100"/>
    <x v="425"/>
    <s v="Rejected"/>
    <s v="No"/>
    <x v="4"/>
    <x v="1953"/>
    <x v="1956"/>
    <n v="19"/>
    <n v="14"/>
    <n v="0.35149999999999998"/>
    <n v="2273444"/>
    <n v="51669.181818181816"/>
    <n v="98054"/>
    <n v="5091"/>
    <n v="48672.32"/>
    <n v="1106.189090909091"/>
    <n v="0.35149999999999998"/>
    <n v="935010.91"/>
    <x v="1"/>
    <n v="17538.72"/>
  </r>
  <r>
    <s v="LN01958"/>
    <x v="1957"/>
    <n v="27"/>
    <s v="Male"/>
    <s v="Divorced"/>
    <s v="Employed"/>
    <n v="196234"/>
    <n v="422"/>
    <n v="88774"/>
    <n v="18.11"/>
    <n v="360"/>
    <s v="Mortgage"/>
    <n v="13.27"/>
    <n v="13069"/>
    <n v="189303"/>
    <x v="153"/>
    <s v="Rejected"/>
    <s v="No"/>
    <x v="0"/>
    <x v="1954"/>
    <x v="1957"/>
    <n v="19"/>
    <n v="13"/>
    <n v="0.35149999999999998"/>
    <n v="2258276"/>
    <n v="52518.046511627908"/>
    <n v="98054"/>
    <n v="5091"/>
    <n v="47210.760000000017"/>
    <n v="1097.9246511627912"/>
    <n v="0.35149999999999998"/>
    <n v="886338.5900000002"/>
    <x v="0"/>
    <n v="3495"/>
  </r>
  <r>
    <s v="LN01959"/>
    <x v="1958"/>
    <n v="62"/>
    <s v="Female"/>
    <s v="Divorced"/>
    <s v="Employed"/>
    <n v="45247"/>
    <n v="343"/>
    <n v="59178"/>
    <n v="11.69"/>
    <n v="48"/>
    <s v="Auto"/>
    <n v="21.6"/>
    <n v="9983"/>
    <n v="52832"/>
    <x v="349"/>
    <s v="Approved"/>
    <s v="Yes"/>
    <x v="4"/>
    <x v="1955"/>
    <x v="1958"/>
    <n v="19"/>
    <n v="12"/>
    <n v="0.35149999999999998"/>
    <n v="2169502"/>
    <n v="51654.809523809527"/>
    <n v="98054"/>
    <n v="5091"/>
    <n v="46919.51"/>
    <n v="1117.1311904761906"/>
    <n v="0.35149999999999998"/>
    <n v="839127.83000000019"/>
    <x v="1"/>
    <n v="16524"/>
  </r>
  <r>
    <s v="LN01960"/>
    <x v="1959"/>
    <n v="63"/>
    <s v="Female"/>
    <s v="Divorced"/>
    <s v="Self-Employed"/>
    <n v="177782"/>
    <n v="649"/>
    <n v="12056"/>
    <n v="6.13"/>
    <n v="240"/>
    <s v="Auto"/>
    <n v="10.55"/>
    <n v="12517"/>
    <n v="170890"/>
    <x v="1071"/>
    <s v="Approved"/>
    <s v="No"/>
    <x v="2"/>
    <x v="1956"/>
    <x v="1959"/>
    <n v="18"/>
    <n v="12"/>
    <n v="0.35149999999999998"/>
    <n v="2110324"/>
    <n v="51471.317073170729"/>
    <n v="98054"/>
    <n v="5091"/>
    <n v="45542.51"/>
    <n v="1110.7929268292683"/>
    <n v="0.35149999999999998"/>
    <n v="792208.32000000018"/>
    <x v="1"/>
    <n v="639.72"/>
  </r>
  <r>
    <s v="LN01961"/>
    <x v="1960"/>
    <n v="52"/>
    <s v="Male"/>
    <s v="Married"/>
    <s v="Unemployed"/>
    <n v="140326"/>
    <n v="824"/>
    <n v="52343"/>
    <n v="4.37"/>
    <n v="60"/>
    <s v="Mortgage"/>
    <n v="33.479999999999997"/>
    <n v="9124"/>
    <n v="178228"/>
    <x v="340"/>
    <s v="Approved"/>
    <s v="Yes"/>
    <x v="1"/>
    <x v="1957"/>
    <x v="1960"/>
    <n v="17"/>
    <n v="12"/>
    <n v="0.35149999999999998"/>
    <n v="2098268"/>
    <n v="52456.7"/>
    <n v="98054"/>
    <n v="5091"/>
    <n v="45489.200000000004"/>
    <n v="1137.23"/>
    <n v="0.35149999999999998"/>
    <n v="746665.81"/>
    <x v="1"/>
    <n v="10926.119999999999"/>
  </r>
  <r>
    <s v="LN01962"/>
    <x v="1961"/>
    <n v="33"/>
    <s v="Male"/>
    <s v="Divorced"/>
    <s v="Unemployed"/>
    <n v="144513"/>
    <n v="658"/>
    <n v="68679"/>
    <n v="14.4"/>
    <n v="24"/>
    <s v="Education"/>
    <n v="18.16"/>
    <n v="67945"/>
    <n v="23254"/>
    <x v="446"/>
    <s v="Approved"/>
    <s v="Yes"/>
    <x v="1"/>
    <x v="1958"/>
    <x v="1961"/>
    <n v="16"/>
    <n v="12"/>
    <n v="0.35149999999999998"/>
    <n v="2045925"/>
    <n v="52459.615384615383"/>
    <n v="98054"/>
    <n v="5091"/>
    <n v="44578.689999999995"/>
    <n v="1143.0433333333333"/>
    <n v="0.35149999999999998"/>
    <n v="701176.61"/>
    <x v="1"/>
    <n v="39284.399999999994"/>
  </r>
  <r>
    <s v="LN01963"/>
    <x v="1962"/>
    <n v="40"/>
    <s v="Male"/>
    <s v="Divorced"/>
    <s v="Unemployed"/>
    <n v="117981"/>
    <n v="797"/>
    <n v="93525"/>
    <n v="22.45"/>
    <n v="60"/>
    <s v="Personal"/>
    <n v="12.01"/>
    <n v="37894"/>
    <n v="7729"/>
    <x v="1072"/>
    <s v="Rejected"/>
    <s v="No"/>
    <x v="0"/>
    <x v="1959"/>
    <x v="1962"/>
    <n v="15"/>
    <n v="12"/>
    <n v="0.35149999999999998"/>
    <n v="1977246"/>
    <n v="52032.789473684214"/>
    <n v="98054"/>
    <n v="5091"/>
    <n v="41304.990000000013"/>
    <n v="1086.9734210526319"/>
    <n v="0.35149999999999998"/>
    <n v="656597.92000000016"/>
    <x v="1"/>
    <n v="22904.28"/>
  </r>
  <r>
    <s v="LN01964"/>
    <x v="1963"/>
    <n v="35"/>
    <s v="Male"/>
    <s v="Married"/>
    <s v="Self-Employed"/>
    <n v="198402"/>
    <n v="623"/>
    <n v="88505"/>
    <n v="19.7"/>
    <n v="12"/>
    <s v="Business"/>
    <n v="53.92"/>
    <n v="47275"/>
    <n v="68341"/>
    <x v="682"/>
    <s v="Approved"/>
    <s v="Yes"/>
    <x v="0"/>
    <x v="1960"/>
    <x v="1963"/>
    <n v="15"/>
    <n v="11"/>
    <n v="0.35149999999999998"/>
    <n v="1883721"/>
    <n v="50911.37837837838"/>
    <n v="98054"/>
    <n v="5091"/>
    <n v="39396.30000000001"/>
    <n v="1064.7648648648651"/>
    <n v="0.35149999999999998"/>
    <n v="615292.92999999993"/>
    <x v="1"/>
    <n v="105940.44"/>
  </r>
  <r>
    <s v="LN01965"/>
    <x v="1964"/>
    <n v="48"/>
    <s v="Female"/>
    <s v="Single"/>
    <s v="Unemployed"/>
    <n v="163215"/>
    <n v="509"/>
    <n v="15954"/>
    <n v="10.02"/>
    <n v="12"/>
    <s v="Personal"/>
    <n v="13.08"/>
    <n v="61907"/>
    <n v="10198"/>
    <x v="916"/>
    <s v="Rejected"/>
    <s v="Yes"/>
    <x v="0"/>
    <x v="1961"/>
    <x v="1964"/>
    <n v="14"/>
    <n v="11"/>
    <n v="0.35149999999999998"/>
    <n v="1795216"/>
    <n v="49867.111111111109"/>
    <n v="98054"/>
    <n v="5091"/>
    <n v="30567.930000000015"/>
    <n v="849.10916666666708"/>
    <n v="0.35149999999999998"/>
    <n v="575896.63"/>
    <x v="0"/>
    <n v="17552.64"/>
  </r>
  <r>
    <s v="LN01966"/>
    <x v="1965"/>
    <n v="50"/>
    <s v="Male"/>
    <s v="Divorced"/>
    <s v="Self-Employed"/>
    <n v="146705"/>
    <n v="642"/>
    <n v="7093"/>
    <n v="6.03"/>
    <n v="12"/>
    <s v="Business"/>
    <n v="58.56"/>
    <n v="70895"/>
    <n v="183234"/>
    <x v="1073"/>
    <s v="Approved"/>
    <s v="No"/>
    <x v="2"/>
    <x v="1962"/>
    <x v="1965"/>
    <n v="14"/>
    <n v="10"/>
    <n v="0.35149999999999998"/>
    <n v="1779262"/>
    <n v="50836.057142857142"/>
    <n v="98054"/>
    <n v="5091"/>
    <n v="29105.210000000006"/>
    <n v="831.57742857142875"/>
    <n v="0.35149999999999998"/>
    <n v="545328.69999999995"/>
    <x v="0"/>
    <n v="7520.76"/>
  </r>
  <r>
    <s v="LN01967"/>
    <x v="1966"/>
    <n v="38"/>
    <s v="Male"/>
    <s v="Divorced"/>
    <s v="Unemployed"/>
    <n v="147611"/>
    <n v="548"/>
    <n v="13884"/>
    <n v="20.25"/>
    <n v="48"/>
    <s v="Business"/>
    <n v="23.88"/>
    <n v="10073"/>
    <n v="188560"/>
    <x v="523"/>
    <s v="Pending"/>
    <s v="Yes"/>
    <x v="4"/>
    <x v="1963"/>
    <x v="1966"/>
    <n v="13"/>
    <n v="10"/>
    <n v="0.35149999999999998"/>
    <n v="1772169"/>
    <n v="52122.617647058825"/>
    <n v="98054"/>
    <n v="5091"/>
    <n v="28478.48000000001"/>
    <n v="837.60235294117683"/>
    <n v="0.35149999999999998"/>
    <n v="516223.49"/>
    <x v="0"/>
    <n v="4173.84"/>
  </r>
  <r>
    <s v="LN01968"/>
    <x v="1967"/>
    <n v="57"/>
    <s v="Female"/>
    <s v="Single"/>
    <s v="Self-Employed"/>
    <n v="179975"/>
    <n v="413"/>
    <n v="98054"/>
    <n v="3.86"/>
    <n v="120"/>
    <s v="Personal"/>
    <n v="46.82"/>
    <n v="64688"/>
    <n v="140730"/>
    <x v="694"/>
    <s v="Approved"/>
    <s v="Yes"/>
    <x v="1"/>
    <x v="1964"/>
    <x v="1967"/>
    <n v="13"/>
    <n v="10"/>
    <n v="0.35149999999999998"/>
    <n v="1758285"/>
    <n v="53281.36363636364"/>
    <n v="98054"/>
    <n v="5091"/>
    <n v="28130.660000000011"/>
    <n v="852.4442424242427"/>
    <n v="0.35149999999999998"/>
    <n v="487745.01"/>
    <x v="1"/>
    <n v="10183.92"/>
  </r>
  <r>
    <s v="LN01969"/>
    <x v="1968"/>
    <n v="42"/>
    <s v="Male"/>
    <s v="Divorced"/>
    <s v="Employed"/>
    <n v="106480"/>
    <n v="675"/>
    <n v="95988"/>
    <n v="22.21"/>
    <n v="360"/>
    <s v="Personal"/>
    <n v="10.130000000000001"/>
    <n v="63205"/>
    <n v="53584"/>
    <x v="1074"/>
    <s v="Approved"/>
    <s v="Yes"/>
    <x v="0"/>
    <x v="1965"/>
    <x v="1968"/>
    <n v="12"/>
    <n v="10"/>
    <n v="0.35149999999999998"/>
    <n v="1660231"/>
    <n v="51882.21875"/>
    <n v="97950"/>
    <n v="5091"/>
    <n v="27282.000000000007"/>
    <n v="852.56250000000023"/>
    <n v="0.35149999999999998"/>
    <n v="459614.35"/>
    <x v="1"/>
    <n v="3910.2000000000003"/>
  </r>
  <r>
    <s v="LN01970"/>
    <x v="1969"/>
    <n v="61"/>
    <s v="Male"/>
    <s v="Married"/>
    <s v="Self-Employed"/>
    <n v="166788"/>
    <n v="467"/>
    <n v="11998"/>
    <n v="19.77"/>
    <n v="120"/>
    <s v="Business"/>
    <n v="42.41"/>
    <n v="45867"/>
    <n v="24744"/>
    <x v="605"/>
    <s v="Pending"/>
    <s v="No"/>
    <x v="1"/>
    <x v="1966"/>
    <x v="1969"/>
    <n v="11"/>
    <n v="10"/>
    <n v="0.35149999999999998"/>
    <n v="1564243"/>
    <n v="50459.451612903227"/>
    <n v="97950"/>
    <n v="5091"/>
    <n v="26956.150000000009"/>
    <n v="869.55322580645191"/>
    <n v="0.35149999999999998"/>
    <n v="432332.35"/>
    <x v="1"/>
    <n v="1437"/>
  </r>
  <r>
    <s v="LN01971"/>
    <x v="1970"/>
    <n v="54"/>
    <s v="Female"/>
    <s v="Married"/>
    <s v="Self-Employed"/>
    <n v="149151"/>
    <n v="440"/>
    <n v="54099"/>
    <n v="11.82"/>
    <n v="120"/>
    <s v="Business"/>
    <n v="15.19"/>
    <n v="31402"/>
    <n v="128950"/>
    <x v="153"/>
    <s v="Pending"/>
    <s v="No"/>
    <x v="1"/>
    <x v="1967"/>
    <x v="1970"/>
    <n v="11"/>
    <n v="10"/>
    <n v="0.35149999999999998"/>
    <n v="1552245"/>
    <n v="51741.5"/>
    <n v="97950"/>
    <n v="5091"/>
    <n v="26836.400000000009"/>
    <n v="894.54666666666697"/>
    <n v="0.35149999999999998"/>
    <n v="405376.19999999995"/>
    <x v="1"/>
    <n v="6049.32"/>
  </r>
  <r>
    <s v="LN01972"/>
    <x v="1971"/>
    <n v="37"/>
    <s v="Male"/>
    <s v="Married"/>
    <s v="Unemployed"/>
    <n v="62947"/>
    <n v="329"/>
    <n v="92426"/>
    <n v="23.62"/>
    <n v="120"/>
    <s v="Mortgage"/>
    <n v="42.99"/>
    <n v="43598"/>
    <n v="111424"/>
    <x v="989"/>
    <s v="Approved"/>
    <s v="Yes"/>
    <x v="3"/>
    <x v="1968"/>
    <x v="1971"/>
    <n v="11"/>
    <n v="10"/>
    <n v="0.35149999999999998"/>
    <n v="1498146"/>
    <n v="51660.206896551725"/>
    <n v="97950"/>
    <n v="5091"/>
    <n v="26332.290000000008"/>
    <n v="908.01000000000033"/>
    <n v="0.35149999999999998"/>
    <n v="378539.80000000005"/>
    <x v="1"/>
    <n v="11425.68"/>
  </r>
  <r>
    <s v="LN01973"/>
    <x v="1972"/>
    <n v="43"/>
    <s v="Male"/>
    <s v="Divorced"/>
    <s v="Employed"/>
    <n v="57192"/>
    <n v="715"/>
    <n v="40876"/>
    <n v="18.45"/>
    <n v="60"/>
    <s v="Mortgage"/>
    <n v="11.9"/>
    <n v="68977"/>
    <n v="240174"/>
    <x v="1075"/>
    <s v="Pending"/>
    <s v="Yes"/>
    <x v="0"/>
    <x v="1969"/>
    <x v="1972"/>
    <n v="10"/>
    <n v="10"/>
    <n v="0.35149999999999998"/>
    <n v="1405720"/>
    <n v="50204.285714285717"/>
    <n v="97950"/>
    <n v="5091"/>
    <n v="25380.150000000009"/>
    <n v="906.43392857142885"/>
    <n v="0.35149999999999998"/>
    <n v="352207.50999999989"/>
    <x v="1"/>
    <n v="9683.52"/>
  </r>
  <r>
    <s v="LN01974"/>
    <x v="1973"/>
    <n v="52"/>
    <s v="Male"/>
    <s v="Married"/>
    <s v="Employed"/>
    <n v="137640"/>
    <n v="658"/>
    <n v="35370"/>
    <n v="3.5"/>
    <n v="24"/>
    <s v="Mortgage"/>
    <n v="23.85"/>
    <n v="56988"/>
    <n v="52003"/>
    <x v="129"/>
    <s v="Rejected"/>
    <s v="No"/>
    <x v="4"/>
    <x v="1970"/>
    <x v="1973"/>
    <n v="10"/>
    <n v="10"/>
    <n v="0.35149999999999998"/>
    <n v="1364844"/>
    <n v="50549.777777777781"/>
    <n v="97950"/>
    <n v="5091"/>
    <n v="24573.19000000001"/>
    <n v="910.11814814814852"/>
    <n v="0.35149999999999998"/>
    <n v="326827.35999999993"/>
    <x v="1"/>
    <n v="18303.96"/>
  </r>
  <r>
    <s v="LN01975"/>
    <x v="1974"/>
    <n v="58"/>
    <s v="Male"/>
    <s v="Single"/>
    <s v="Self-Employed"/>
    <n v="26024"/>
    <n v="787"/>
    <n v="54736"/>
    <n v="13.53"/>
    <n v="36"/>
    <s v="Business"/>
    <n v="34.11"/>
    <n v="9941"/>
    <n v="70909"/>
    <x v="434"/>
    <s v="Pending"/>
    <s v="Yes"/>
    <x v="1"/>
    <x v="1971"/>
    <x v="1974"/>
    <n v="10"/>
    <n v="9"/>
    <n v="0.35149999999999998"/>
    <n v="1329474"/>
    <n v="51133.615384615383"/>
    <n v="97950"/>
    <n v="5091"/>
    <n v="23047.86"/>
    <n v="886.45615384615382"/>
    <n v="0.35149999999999998"/>
    <n v="302254.16999999993"/>
    <x v="1"/>
    <n v="20713.920000000002"/>
  </r>
  <r>
    <s v="LN01976"/>
    <x v="1975"/>
    <n v="22"/>
    <s v="Male"/>
    <s v="Divorced"/>
    <s v="Self-Employed"/>
    <n v="28282"/>
    <n v="755"/>
    <n v="97950"/>
    <n v="11.37"/>
    <n v="24"/>
    <s v="Personal"/>
    <n v="21.8"/>
    <n v="21038"/>
    <n v="175188"/>
    <x v="144"/>
    <s v="Approved"/>
    <s v="No"/>
    <x v="4"/>
    <x v="1972"/>
    <x v="1975"/>
    <n v="10"/>
    <n v="9"/>
    <n v="0.35149999999999998"/>
    <n v="1274738"/>
    <n v="50989.52"/>
    <n v="97950"/>
    <n v="5091"/>
    <n v="21321.7"/>
    <n v="852.86800000000005"/>
    <n v="0.35149999999999998"/>
    <n v="279206.30999999994"/>
    <x v="1"/>
    <n v="54543.479999999996"/>
  </r>
  <r>
    <s v="LN01977"/>
    <x v="1976"/>
    <n v="30"/>
    <s v="Female"/>
    <s v="Married"/>
    <s v="Unemployed"/>
    <n v="100748"/>
    <n v="474"/>
    <n v="14450"/>
    <n v="6.75"/>
    <n v="240"/>
    <s v="Business"/>
    <n v="9.6"/>
    <n v="6261"/>
    <n v="106794"/>
    <x v="501"/>
    <s v="Pending"/>
    <s v="Yes"/>
    <x v="1"/>
    <x v="1973"/>
    <x v="1976"/>
    <n v="9"/>
    <n v="9"/>
    <n v="0.35149999999999998"/>
    <n v="1176788"/>
    <n v="49032.833333333336"/>
    <n v="90737"/>
    <n v="5091"/>
    <n v="16776.41"/>
    <n v="699.01708333333329"/>
    <n v="0.35149999999999998"/>
    <n v="257884.61000000002"/>
    <x v="1"/>
    <n v="771.24"/>
  </r>
  <r>
    <s v="LN01978"/>
    <x v="1977"/>
    <n v="56"/>
    <s v="Male"/>
    <s v="Married"/>
    <s v="Self-Employed"/>
    <n v="168461"/>
    <n v="358"/>
    <n v="86951"/>
    <n v="11.13"/>
    <n v="180"/>
    <s v="Business"/>
    <n v="10.58"/>
    <n v="73029"/>
    <n v="72121"/>
    <x v="638"/>
    <s v="Approved"/>
    <s v="No"/>
    <x v="4"/>
    <x v="1974"/>
    <x v="1977"/>
    <n v="9"/>
    <n v="9"/>
    <n v="0.35149999999999998"/>
    <n v="1162338"/>
    <n v="50536.434782608696"/>
    <n v="90737"/>
    <n v="5091"/>
    <n v="16712.14"/>
    <n v="726.61478260869558"/>
    <n v="0.35149999999999998"/>
    <n v="241108.2"/>
    <x v="1"/>
    <n v="6441.9600000000009"/>
  </r>
  <r>
    <s v="LN01979"/>
    <x v="1978"/>
    <n v="39"/>
    <s v="Female"/>
    <s v="Divorced"/>
    <s v="Employed"/>
    <n v="52121"/>
    <n v="604"/>
    <n v="9959"/>
    <n v="19.36"/>
    <n v="240"/>
    <s v="Personal"/>
    <n v="20.69"/>
    <n v="70965"/>
    <n v="49757"/>
    <x v="1076"/>
    <s v="Approved"/>
    <s v="Yes"/>
    <x v="0"/>
    <x v="1975"/>
    <x v="1978"/>
    <n v="8"/>
    <n v="9"/>
    <n v="0.35149999999999998"/>
    <n v="1075387"/>
    <n v="48881.227272727272"/>
    <n v="90737"/>
    <n v="5091"/>
    <n v="16175.309999999998"/>
    <n v="735.24136363636353"/>
    <n v="0.35149999999999998"/>
    <n v="224396.06"/>
    <x v="1"/>
    <n v="594.36"/>
  </r>
  <r>
    <s v="LN01980"/>
    <x v="1979"/>
    <n v="22"/>
    <s v="Female"/>
    <s v="Divorced"/>
    <s v="Self-Employed"/>
    <n v="98804"/>
    <n v="816"/>
    <n v="86792"/>
    <n v="17.27"/>
    <n v="180"/>
    <s v="Personal"/>
    <n v="46.5"/>
    <n v="322"/>
    <n v="73902"/>
    <x v="909"/>
    <s v="Rejected"/>
    <s v="Yes"/>
    <x v="1"/>
    <x v="1976"/>
    <x v="1979"/>
    <n v="7"/>
    <n v="9"/>
    <n v="0.35149999999999998"/>
    <n v="1065428"/>
    <n v="50734.666666666664"/>
    <n v="90737"/>
    <n v="5091"/>
    <n v="16125.779999999999"/>
    <n v="767.89428571428562"/>
    <n v="0.35149999999999998"/>
    <n v="208220.75000000003"/>
    <x v="1"/>
    <n v="6785.4000000000005"/>
  </r>
  <r>
    <s v="LN01981"/>
    <x v="1980"/>
    <n v="53"/>
    <s v="Male"/>
    <s v="Divorced"/>
    <s v="Self-Employed"/>
    <n v="26569"/>
    <n v="772"/>
    <n v="65031"/>
    <n v="3.59"/>
    <n v="48"/>
    <s v="Auto"/>
    <n v="12.69"/>
    <n v="74408"/>
    <n v="88294"/>
    <x v="1077"/>
    <s v="Pending"/>
    <s v="Yes"/>
    <x v="1"/>
    <x v="1977"/>
    <x v="1980"/>
    <n v="7"/>
    <n v="8"/>
    <n v="0.35149999999999998"/>
    <n v="978636"/>
    <n v="48931.8"/>
    <n v="90737"/>
    <n v="5091"/>
    <n v="15560.33"/>
    <n v="778.01649999999995"/>
    <n v="0.35149999999999998"/>
    <n v="192094.97"/>
    <x v="1"/>
    <n v="16841.400000000001"/>
  </r>
  <r>
    <s v="LN01982"/>
    <x v="1981"/>
    <n v="51"/>
    <s v="Female"/>
    <s v="Divorced"/>
    <s v="Employed"/>
    <n v="159409"/>
    <n v="515"/>
    <n v="28605"/>
    <n v="17.46"/>
    <n v="180"/>
    <s v="Mortgage"/>
    <n v="46.97"/>
    <n v="79393"/>
    <n v="149035"/>
    <x v="572"/>
    <s v="Approved"/>
    <s v="Yes"/>
    <x v="3"/>
    <x v="1978"/>
    <x v="1981"/>
    <n v="7"/>
    <n v="8"/>
    <n v="0.35149999999999998"/>
    <n v="913605"/>
    <n v="48084.473684210527"/>
    <n v="90737"/>
    <n v="5091"/>
    <n v="14156.880000000001"/>
    <n v="745.09894736842114"/>
    <n v="0.35149999999999998"/>
    <n v="176534.64"/>
    <x v="1"/>
    <n v="2239.92"/>
  </r>
  <r>
    <s v="LN01983"/>
    <x v="1982"/>
    <n v="25"/>
    <s v="Female"/>
    <s v="Single"/>
    <s v="Unemployed"/>
    <n v="77021"/>
    <n v="401"/>
    <n v="57293"/>
    <n v="7.88"/>
    <n v="120"/>
    <s v="Education"/>
    <n v="28.35"/>
    <n v="497"/>
    <n v="71496"/>
    <x v="1078"/>
    <s v="Pending"/>
    <s v="Yes"/>
    <x v="0"/>
    <x v="1979"/>
    <x v="1982"/>
    <n v="6"/>
    <n v="8"/>
    <n v="0.35149999999999998"/>
    <n v="885000"/>
    <n v="49166.666666666664"/>
    <n v="90737"/>
    <n v="5091"/>
    <n v="13970.220000000001"/>
    <n v="776.12333333333345"/>
    <n v="0.35149999999999998"/>
    <n v="162377.76"/>
    <x v="1"/>
    <n v="6180.7199999999993"/>
  </r>
  <r>
    <s v="LN01984"/>
    <x v="1983"/>
    <n v="43"/>
    <s v="Female"/>
    <s v="Married"/>
    <s v="Self-Employed"/>
    <n v="130281"/>
    <n v="335"/>
    <n v="45873"/>
    <n v="10.039999999999999"/>
    <n v="360"/>
    <s v="Auto"/>
    <n v="30.14"/>
    <n v="66678"/>
    <n v="121312"/>
    <x v="644"/>
    <s v="Approved"/>
    <s v="Yes"/>
    <x v="0"/>
    <x v="1980"/>
    <x v="1983"/>
    <n v="6"/>
    <n v="8"/>
    <n v="0.35149999999999998"/>
    <n v="827707"/>
    <n v="48688.647058823532"/>
    <n v="90737"/>
    <n v="5091"/>
    <n v="13455.160000000002"/>
    <n v="791.48000000000013"/>
    <n v="0.35149999999999998"/>
    <n v="148407.54000000004"/>
    <x v="1"/>
    <n v="1682.6399999999999"/>
  </r>
  <r>
    <s v="LN01985"/>
    <x v="1984"/>
    <n v="48"/>
    <s v="Male"/>
    <s v="Married"/>
    <s v="Unemployed"/>
    <n v="92359"/>
    <n v="573"/>
    <n v="26611"/>
    <n v="14.74"/>
    <n v="180"/>
    <s v="Auto"/>
    <n v="6.1"/>
    <n v="10313"/>
    <n v="85708"/>
    <x v="169"/>
    <s v="Rejected"/>
    <s v="No"/>
    <x v="0"/>
    <x v="1981"/>
    <x v="1984"/>
    <n v="5"/>
    <n v="8"/>
    <n v="0.35149999999999998"/>
    <n v="781834"/>
    <n v="48864.625"/>
    <n v="90737"/>
    <n v="5091"/>
    <n v="13314.94"/>
    <n v="832.18375000000003"/>
    <n v="0.35149999999999998"/>
    <n v="134952.38"/>
    <x v="1"/>
    <n v="2035.56"/>
  </r>
  <r>
    <s v="LN01986"/>
    <x v="1985"/>
    <n v="65"/>
    <s v="Female"/>
    <s v="Married"/>
    <s v="Unemployed"/>
    <n v="60856"/>
    <n v="386"/>
    <n v="61375"/>
    <n v="13.51"/>
    <n v="240"/>
    <s v="Education"/>
    <n v="30.54"/>
    <n v="64186"/>
    <n v="209926"/>
    <x v="1079"/>
    <s v="Pending"/>
    <s v="Yes"/>
    <x v="3"/>
    <x v="1982"/>
    <x v="1985"/>
    <n v="5"/>
    <n v="7"/>
    <n v="0.35149999999999998"/>
    <n v="755223"/>
    <n v="50348.2"/>
    <n v="90737"/>
    <n v="5091"/>
    <n v="13145.31"/>
    <n v="876.35399999999993"/>
    <n v="0.35149999999999998"/>
    <n v="121637.44000000005"/>
    <x v="1"/>
    <n v="3483.3599999999997"/>
  </r>
  <r>
    <s v="LN01987"/>
    <x v="1986"/>
    <n v="46"/>
    <s v="Female"/>
    <s v="Married"/>
    <s v="Employed"/>
    <n v="169472"/>
    <n v="672"/>
    <n v="5091"/>
    <n v="18.03"/>
    <n v="60"/>
    <s v="Business"/>
    <n v="8.08"/>
    <n v="31499"/>
    <n v="230225"/>
    <x v="1080"/>
    <s v="Approved"/>
    <s v="Yes"/>
    <x v="3"/>
    <x v="1983"/>
    <x v="1986"/>
    <n v="5"/>
    <n v="7"/>
    <n v="0.35149999999999998"/>
    <n v="693848"/>
    <n v="49560.571428571428"/>
    <n v="90737"/>
    <n v="5091"/>
    <n v="12855.03"/>
    <n v="918.21642857142865"/>
    <n v="0.35149999999999998"/>
    <n v="108492.13000000002"/>
    <x v="1"/>
    <n v="1201.8000000000002"/>
  </r>
  <r>
    <s v="LN01988"/>
    <x v="1987"/>
    <n v="46"/>
    <s v="Female"/>
    <s v="Divorced"/>
    <s v="Self-Employed"/>
    <n v="54290"/>
    <n v="325"/>
    <n v="51698"/>
    <n v="5"/>
    <n v="360"/>
    <s v="Mortgage"/>
    <n v="53.31"/>
    <n v="13023"/>
    <n v="122824"/>
    <x v="431"/>
    <s v="Pending"/>
    <s v="Yes"/>
    <x v="3"/>
    <x v="1984"/>
    <x v="1987"/>
    <n v="4"/>
    <n v="7"/>
    <n v="0.35149999999999998"/>
    <n v="688757"/>
    <n v="52981.307692307695"/>
    <n v="90737"/>
    <n v="16291"/>
    <n v="12754.880000000001"/>
    <n v="981.14461538461546"/>
    <n v="0.35149999999999998"/>
    <n v="95637.10000000002"/>
    <x v="1"/>
    <n v="1809.48"/>
  </r>
  <r>
    <s v="LN01989"/>
    <x v="1988"/>
    <n v="56"/>
    <s v="Male"/>
    <s v="Single"/>
    <s v="Self-Employed"/>
    <n v="23886"/>
    <n v="640"/>
    <n v="16291"/>
    <n v="9.1"/>
    <n v="360"/>
    <s v="Education"/>
    <n v="34.69"/>
    <n v="72619"/>
    <n v="45774"/>
    <x v="1081"/>
    <s v="Rejected"/>
    <s v="No"/>
    <x v="1"/>
    <x v="1985"/>
    <x v="1988"/>
    <n v="4"/>
    <n v="7"/>
    <n v="0.35149999999999998"/>
    <n v="637059"/>
    <n v="53088.25"/>
    <n v="90737"/>
    <n v="16291"/>
    <n v="12604.090000000002"/>
    <n v="1050.3408333333334"/>
    <n v="0.35149999999999998"/>
    <n v="82882.220000000016"/>
    <x v="1"/>
    <n v="592.43999999999994"/>
  </r>
  <r>
    <s v="LN01990"/>
    <x v="1989"/>
    <n v="38"/>
    <s v="Female"/>
    <s v="Single"/>
    <s v="Employed"/>
    <n v="110784"/>
    <n v="509"/>
    <n v="36098"/>
    <n v="5.35"/>
    <n v="120"/>
    <s v="Auto"/>
    <n v="10.65"/>
    <n v="59092"/>
    <n v="122310"/>
    <x v="1036"/>
    <s v="Approved"/>
    <s v="Yes"/>
    <x v="1"/>
    <x v="1986"/>
    <x v="1989"/>
    <n v="4"/>
    <n v="6"/>
    <n v="0.35149999999999998"/>
    <n v="620768"/>
    <n v="56433.454545454544"/>
    <n v="90737"/>
    <n v="26481"/>
    <n v="12554.720000000001"/>
    <n v="1141.338181818182"/>
    <n v="0.35149999999999998"/>
    <n v="70278.13"/>
    <x v="1"/>
    <n v="3802.92"/>
  </r>
  <r>
    <s v="LN01991"/>
    <x v="1990"/>
    <n v="33"/>
    <s v="Female"/>
    <s v="Divorced"/>
    <s v="Employed"/>
    <n v="182823"/>
    <n v="695"/>
    <n v="65386"/>
    <n v="4.18"/>
    <n v="48"/>
    <s v="Auto"/>
    <n v="14.41"/>
    <n v="16632"/>
    <n v="183974"/>
    <x v="666"/>
    <s v="Rejected"/>
    <s v="No"/>
    <x v="4"/>
    <x v="1987"/>
    <x v="1990"/>
    <n v="3"/>
    <n v="6"/>
    <n v="0.35149999999999998"/>
    <n v="584670"/>
    <n v="58467"/>
    <n v="90737"/>
    <n v="26481"/>
    <n v="12237.81"/>
    <n v="1223.7809999999999"/>
    <n v="0.35149999999999998"/>
    <n v="57723.409999999989"/>
    <x v="1"/>
    <n v="17029.800000000003"/>
  </r>
  <r>
    <s v="LN01992"/>
    <x v="1991"/>
    <n v="21"/>
    <s v="Female"/>
    <s v="Single"/>
    <s v="Unemployed"/>
    <n v="185320"/>
    <n v="575"/>
    <n v="26481"/>
    <n v="21.51"/>
    <n v="12"/>
    <s v="Personal"/>
    <n v="47.48"/>
    <n v="21334"/>
    <n v="13475"/>
    <x v="1082"/>
    <s v="Rejected"/>
    <s v="No"/>
    <x v="4"/>
    <x v="1988"/>
    <x v="1991"/>
    <n v="3"/>
    <n v="5"/>
    <n v="0.35149999999999998"/>
    <n v="519284"/>
    <n v="57698.222222222219"/>
    <n v="90737"/>
    <n v="26481"/>
    <n v="10818.660000000002"/>
    <n v="1202.0733333333335"/>
    <n v="0.35149999999999998"/>
    <n v="45485.599999999999"/>
    <x v="1"/>
    <n v="32177.040000000001"/>
  </r>
  <r>
    <s v="LN01993"/>
    <x v="1992"/>
    <n v="59"/>
    <s v="Female"/>
    <s v="Married"/>
    <s v="Employed"/>
    <n v="140453"/>
    <n v="788"/>
    <n v="54869"/>
    <n v="10.38"/>
    <n v="180"/>
    <s v="Auto"/>
    <n v="52.02"/>
    <n v="15682"/>
    <n v="23913"/>
    <x v="1083"/>
    <s v="Rejected"/>
    <s v="No"/>
    <x v="4"/>
    <x v="525"/>
    <x v="1992"/>
    <n v="3"/>
    <n v="4"/>
    <n v="0.35149999999999998"/>
    <n v="492803"/>
    <n v="61600.375"/>
    <n v="90737"/>
    <n v="31184"/>
    <n v="8137.24"/>
    <n v="1017.155"/>
    <n v="0.35149999999999998"/>
    <n v="34666.939999999995"/>
    <x v="0"/>
    <n v="4037.6400000000003"/>
  </r>
  <r>
    <s v="LN01994"/>
    <x v="1993"/>
    <n v="26"/>
    <s v="Male"/>
    <s v="Single"/>
    <s v="Employed"/>
    <n v="199938"/>
    <n v="642"/>
    <n v="75762"/>
    <n v="19.73"/>
    <n v="48"/>
    <s v="Personal"/>
    <n v="39.6"/>
    <n v="61549"/>
    <n v="114433"/>
    <x v="197"/>
    <s v="Approved"/>
    <s v="No"/>
    <x v="3"/>
    <x v="1989"/>
    <x v="1993"/>
    <n v="3"/>
    <n v="3"/>
    <n v="0.35149999999999998"/>
    <n v="437934"/>
    <n v="62562"/>
    <n v="90737"/>
    <n v="31184"/>
    <n v="7800.7699999999995"/>
    <n v="1114.3957142857141"/>
    <n v="0.35149999999999998"/>
    <n v="26529.699999999997"/>
    <x v="1"/>
    <n v="22677.48"/>
  </r>
  <r>
    <s v="LN01995"/>
    <x v="1994"/>
    <n v="22"/>
    <s v="Male"/>
    <s v="Divorced"/>
    <s v="Unemployed"/>
    <n v="39276"/>
    <n v="445"/>
    <n v="37367"/>
    <n v="6.43"/>
    <n v="120"/>
    <s v="Auto"/>
    <n v="32.82"/>
    <n v="75909"/>
    <n v="206520"/>
    <x v="407"/>
    <s v="Pending"/>
    <s v="Yes"/>
    <x v="3"/>
    <x v="1990"/>
    <x v="1994"/>
    <n v="2"/>
    <n v="3"/>
    <n v="0.35149999999999998"/>
    <n v="362172"/>
    <n v="60362"/>
    <n v="90737"/>
    <n v="31184"/>
    <n v="5910.98"/>
    <n v="985.1633333333333"/>
    <n v="0.35149999999999998"/>
    <n v="18728.929999999997"/>
    <x v="1"/>
    <n v="3976.92"/>
  </r>
  <r>
    <s v="LN01996"/>
    <x v="1995"/>
    <n v="41"/>
    <s v="Male"/>
    <s v="Single"/>
    <s v="Self-Employed"/>
    <n v="130280"/>
    <n v="748"/>
    <n v="58086"/>
    <n v="10.58"/>
    <n v="240"/>
    <s v="Auto"/>
    <n v="44.9"/>
    <n v="71359"/>
    <n v="128579"/>
    <x v="1014"/>
    <s v="Rejected"/>
    <s v="No"/>
    <x v="1"/>
    <x v="1991"/>
    <x v="1995"/>
    <n v="2"/>
    <n v="3"/>
    <n v="0.35149999999999998"/>
    <n v="324805"/>
    <n v="64961"/>
    <n v="90737"/>
    <n v="31184"/>
    <n v="5579.57"/>
    <n v="1115.914"/>
    <n v="0.35149999999999998"/>
    <n v="12817.949999999999"/>
    <x v="1"/>
    <n v="3211.56"/>
  </r>
  <r>
    <s v="LN01997"/>
    <x v="1996"/>
    <n v="33"/>
    <s v="Male"/>
    <s v="Divorced"/>
    <s v="Self-Employed"/>
    <n v="134440"/>
    <n v="829"/>
    <n v="83008"/>
    <n v="21.95"/>
    <n v="24"/>
    <s v="Education"/>
    <n v="21.15"/>
    <n v="72075"/>
    <n v="244"/>
    <x v="759"/>
    <s v="Rejected"/>
    <s v="No"/>
    <x v="3"/>
    <x v="1992"/>
    <x v="1996"/>
    <n v="2"/>
    <n v="2"/>
    <n v="0.35149999999999998"/>
    <n v="266719"/>
    <n v="66679.75"/>
    <n v="90737"/>
    <n v="31184"/>
    <n v="5311.94"/>
    <n v="1327.9849999999999"/>
    <n v="0.35149999999999998"/>
    <n v="7238.3799999999992"/>
    <x v="1"/>
    <n v="50614.080000000002"/>
  </r>
  <r>
    <s v="LN01998"/>
    <x v="1997"/>
    <n v="65"/>
    <s v="Female"/>
    <s v="Single"/>
    <s v="Employed"/>
    <n v="62612"/>
    <n v="576"/>
    <n v="90737"/>
    <n v="13.52"/>
    <n v="180"/>
    <s v="Education"/>
    <n v="58.81"/>
    <n v="62744"/>
    <n v="136119"/>
    <x v="929"/>
    <s v="Approved"/>
    <s v="No"/>
    <x v="0"/>
    <x v="1993"/>
    <x v="1997"/>
    <n v="2"/>
    <n v="1"/>
    <n v="0.35149999999999998"/>
    <n v="183711"/>
    <n v="61237"/>
    <n v="90737"/>
    <n v="31184"/>
    <n v="1094.0999999999999"/>
    <n v="364.7"/>
    <n v="0.35149999999999998"/>
    <n v="1926.4399999999998"/>
    <x v="1"/>
    <n v="6867"/>
  </r>
  <r>
    <s v="LN01999"/>
    <x v="1998"/>
    <n v="50"/>
    <s v="Female"/>
    <s v="Married"/>
    <s v="Unemployed"/>
    <n v="171256"/>
    <n v="431"/>
    <n v="31184"/>
    <n v="22"/>
    <n v="180"/>
    <s v="Business"/>
    <n v="14.59"/>
    <n v="72596"/>
    <n v="108861"/>
    <x v="36"/>
    <s v="Approved"/>
    <s v="No"/>
    <x v="0"/>
    <x v="1994"/>
    <x v="1998"/>
    <n v="1"/>
    <n v="1"/>
    <n v="0.35149999999999998"/>
    <n v="92974"/>
    <n v="46487"/>
    <n v="61790"/>
    <n v="31184"/>
    <n v="521.85"/>
    <n v="260.92500000000001"/>
    <n v="0.35149999999999998"/>
    <n v="832.34"/>
    <x v="1"/>
    <n v="2536.3200000000002"/>
  </r>
  <r>
    <s v="LN02000"/>
    <x v="1999"/>
    <n v="60"/>
    <s v="Male"/>
    <s v="Single"/>
    <s v="Employed"/>
    <n v="73349"/>
    <n v="506"/>
    <n v="61790"/>
    <n v="20.6"/>
    <n v="240"/>
    <s v="Business"/>
    <n v="20.48"/>
    <n v="29504"/>
    <n v="66003"/>
    <x v="1084"/>
    <s v="Rejected"/>
    <s v="Yes"/>
    <x v="3"/>
    <x v="1995"/>
    <x v="1999"/>
    <n v="0"/>
    <n v="1"/>
    <n v="0.35149999999999998"/>
    <n v="61790"/>
    <n v="61790"/>
    <n v="61790"/>
    <n v="61790"/>
    <n v="310.49"/>
    <n v="310.49"/>
    <n v="0.35149999999999998"/>
    <n v="310.49"/>
    <x v="1"/>
    <n v="3725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63390-75DA-41B8-B8CE-12B9E5E69868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62:B65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86">
        <item x="947"/>
        <item x="10"/>
        <item x="361"/>
        <item x="461"/>
        <item x="452"/>
        <item x="93"/>
        <item x="829"/>
        <item x="381"/>
        <item x="998"/>
        <item x="513"/>
        <item x="860"/>
        <item x="46"/>
        <item x="107"/>
        <item x="65"/>
        <item x="831"/>
        <item x="223"/>
        <item x="294"/>
        <item x="172"/>
        <item x="21"/>
        <item x="693"/>
        <item x="229"/>
        <item x="449"/>
        <item x="543"/>
        <item x="537"/>
        <item x="879"/>
        <item x="658"/>
        <item x="392"/>
        <item x="862"/>
        <item x="439"/>
        <item x="589"/>
        <item x="688"/>
        <item x="1017"/>
        <item x="348"/>
        <item x="31"/>
        <item x="609"/>
        <item x="54"/>
        <item x="193"/>
        <item x="458"/>
        <item x="180"/>
        <item x="242"/>
        <item x="13"/>
        <item x="1059"/>
        <item x="517"/>
        <item x="965"/>
        <item x="153"/>
        <item x="767"/>
        <item x="430"/>
        <item x="805"/>
        <item x="145"/>
        <item x="788"/>
        <item x="81"/>
        <item x="1015"/>
        <item x="570"/>
        <item x="888"/>
        <item x="129"/>
        <item x="337"/>
        <item x="1035"/>
        <item x="959"/>
        <item x="76"/>
        <item x="851"/>
        <item x="754"/>
        <item x="686"/>
        <item x="499"/>
        <item x="724"/>
        <item x="534"/>
        <item x="904"/>
        <item x="399"/>
        <item x="99"/>
        <item x="1071"/>
        <item x="104"/>
        <item x="409"/>
        <item x="307"/>
        <item x="1023"/>
        <item x="18"/>
        <item x="3"/>
        <item x="930"/>
        <item x="353"/>
        <item x="161"/>
        <item x="171"/>
        <item x="97"/>
        <item x="197"/>
        <item x="508"/>
        <item x="728"/>
        <item x="512"/>
        <item x="941"/>
        <item x="507"/>
        <item x="359"/>
        <item x="57"/>
        <item x="58"/>
        <item x="1045"/>
        <item x="931"/>
        <item x="869"/>
        <item x="375"/>
        <item x="412"/>
        <item x="158"/>
        <item x="566"/>
        <item x="995"/>
        <item x="135"/>
        <item x="121"/>
        <item x="1038"/>
        <item x="546"/>
        <item x="845"/>
        <item x="902"/>
        <item x="984"/>
        <item x="178"/>
        <item x="85"/>
        <item x="288"/>
        <item x="490"/>
        <item x="582"/>
        <item x="527"/>
        <item x="475"/>
        <item x="374"/>
        <item x="1007"/>
        <item x="8"/>
        <item x="761"/>
        <item x="289"/>
        <item x="917"/>
        <item x="518"/>
        <item x="514"/>
        <item x="60"/>
        <item x="486"/>
        <item x="182"/>
        <item x="87"/>
        <item x="827"/>
        <item x="474"/>
        <item x="550"/>
        <item x="574"/>
        <item x="492"/>
        <item x="281"/>
        <item x="315"/>
        <item x="34"/>
        <item x="615"/>
        <item x="334"/>
        <item x="542"/>
        <item x="750"/>
        <item x="204"/>
        <item x="838"/>
        <item x="738"/>
        <item x="162"/>
        <item x="7"/>
        <item x="451"/>
        <item x="1084"/>
        <item x="910"/>
        <item x="993"/>
        <item x="878"/>
        <item x="428"/>
        <item x="577"/>
        <item x="677"/>
        <item x="783"/>
        <item x="79"/>
        <item x="1043"/>
        <item x="56"/>
        <item x="727"/>
        <item x="269"/>
        <item x="147"/>
        <item x="459"/>
        <item x="477"/>
        <item x="455"/>
        <item x="791"/>
        <item x="370"/>
        <item x="239"/>
        <item x="325"/>
        <item x="691"/>
        <item x="41"/>
        <item x="1022"/>
        <item x="124"/>
        <item x="547"/>
        <item x="616"/>
        <item x="887"/>
        <item x="495"/>
        <item x="1066"/>
        <item x="948"/>
        <item x="105"/>
        <item x="472"/>
        <item x="619"/>
        <item x="109"/>
        <item x="115"/>
        <item x="731"/>
        <item x="232"/>
        <item x="844"/>
        <item x="23"/>
        <item x="497"/>
        <item x="977"/>
        <item x="53"/>
        <item x="741"/>
        <item x="973"/>
        <item x="358"/>
        <item x="765"/>
        <item x="372"/>
        <item x="467"/>
        <item x="920"/>
        <item x="835"/>
        <item x="1042"/>
        <item x="444"/>
        <item x="1004"/>
        <item x="981"/>
        <item x="261"/>
        <item x="35"/>
        <item x="128"/>
        <item x="771"/>
        <item x="262"/>
        <item x="287"/>
        <item x="531"/>
        <item x="133"/>
        <item x="391"/>
        <item x="548"/>
        <item x="746"/>
        <item x="312"/>
        <item x="185"/>
        <item x="231"/>
        <item x="285"/>
        <item x="80"/>
        <item x="424"/>
        <item x="892"/>
        <item x="846"/>
        <item x="918"/>
        <item x="1029"/>
        <item x="536"/>
        <item x="613"/>
        <item x="448"/>
        <item x="635"/>
        <item x="284"/>
        <item x="2"/>
        <item x="387"/>
        <item x="420"/>
        <item x="801"/>
        <item x="716"/>
        <item x="90"/>
        <item x="953"/>
        <item x="669"/>
        <item x="1005"/>
        <item x="896"/>
        <item x="855"/>
        <item x="874"/>
        <item x="29"/>
        <item x="354"/>
        <item x="33"/>
        <item x="521"/>
        <item x="629"/>
        <item x="219"/>
        <item x="1002"/>
        <item x="889"/>
        <item x="563"/>
        <item x="812"/>
        <item x="786"/>
        <item x="139"/>
        <item x="906"/>
        <item x="1027"/>
        <item x="912"/>
        <item x="356"/>
        <item x="605"/>
        <item x="766"/>
        <item x="748"/>
        <item x="283"/>
        <item x="701"/>
        <item x="784"/>
        <item x="673"/>
        <item x="101"/>
        <item x="809"/>
        <item x="989"/>
        <item x="453"/>
        <item x="772"/>
        <item x="679"/>
        <item x="956"/>
        <item x="389"/>
        <item x="42"/>
        <item x="667"/>
        <item x="44"/>
        <item x="890"/>
        <item x="620"/>
        <item x="710"/>
        <item x="586"/>
        <item x="9"/>
        <item x="528"/>
        <item x="338"/>
        <item x="62"/>
        <item x="460"/>
        <item x="641"/>
        <item x="611"/>
        <item x="552"/>
        <item x="330"/>
        <item x="882"/>
        <item x="651"/>
        <item x="323"/>
        <item x="253"/>
        <item x="502"/>
        <item x="678"/>
        <item x="364"/>
        <item x="168"/>
        <item x="433"/>
        <item x="631"/>
        <item x="511"/>
        <item x="30"/>
        <item x="208"/>
        <item x="1047"/>
        <item x="347"/>
        <item x="594"/>
        <item x="1079"/>
        <item x="415"/>
        <item x="293"/>
        <item x="980"/>
        <item x="43"/>
        <item x="690"/>
        <item x="441"/>
        <item x="569"/>
        <item x="209"/>
        <item x="113"/>
        <item x="982"/>
        <item x="964"/>
        <item x="191"/>
        <item x="225"/>
        <item x="385"/>
        <item x="181"/>
        <item x="410"/>
        <item x="768"/>
        <item x="320"/>
        <item x="568"/>
        <item x="891"/>
        <item x="1030"/>
        <item x="363"/>
        <item x="975"/>
        <item x="264"/>
        <item x="529"/>
        <item x="867"/>
        <item x="717"/>
        <item x="934"/>
        <item x="908"/>
        <item x="277"/>
        <item x="675"/>
        <item x="159"/>
        <item x="378"/>
        <item x="482"/>
        <item x="291"/>
        <item x="322"/>
        <item x="47"/>
        <item x="899"/>
        <item x="685"/>
        <item x="1051"/>
        <item x="402"/>
        <item x="733"/>
        <item x="939"/>
        <item x="713"/>
        <item x="272"/>
        <item x="425"/>
        <item x="1011"/>
        <item x="1057"/>
        <item x="506"/>
        <item x="880"/>
        <item x="226"/>
        <item x="1082"/>
        <item x="780"/>
        <item x="554"/>
        <item x="638"/>
        <item x="602"/>
        <item x="234"/>
        <item x="308"/>
        <item x="92"/>
        <item x="745"/>
        <item x="95"/>
        <item x="117"/>
        <item x="760"/>
        <item x="300"/>
        <item x="371"/>
        <item x="661"/>
        <item x="106"/>
        <item x="355"/>
        <item x="1044"/>
        <item x="84"/>
        <item x="67"/>
        <item x="909"/>
        <item x="500"/>
        <item x="576"/>
        <item x="988"/>
        <item x="466"/>
        <item x="82"/>
        <item x="1061"/>
        <item x="69"/>
        <item x="870"/>
        <item x="126"/>
        <item x="442"/>
        <item x="938"/>
        <item x="875"/>
        <item x="913"/>
        <item x="622"/>
        <item x="357"/>
        <item x="549"/>
        <item x="894"/>
        <item x="655"/>
        <item x="230"/>
        <item x="77"/>
        <item x="544"/>
        <item x="295"/>
        <item x="422"/>
        <item x="997"/>
        <item x="990"/>
        <item x="276"/>
        <item x="301"/>
        <item x="28"/>
        <item x="873"/>
        <item x="360"/>
        <item x="708"/>
        <item x="608"/>
        <item x="498"/>
        <item x="454"/>
        <item x="596"/>
        <item x="840"/>
        <item x="1028"/>
        <item x="464"/>
        <item x="49"/>
        <item x="545"/>
        <item x="758"/>
        <item x="852"/>
        <item x="790"/>
        <item x="296"/>
        <item x="339"/>
        <item x="523"/>
        <item x="350"/>
        <item x="259"/>
        <item x="680"/>
        <item x="709"/>
        <item x="778"/>
        <item x="671"/>
        <item x="789"/>
        <item x="24"/>
        <item x="1032"/>
        <item x="201"/>
        <item x="427"/>
        <item x="1074"/>
        <item x="591"/>
        <item x="394"/>
        <item x="504"/>
        <item x="450"/>
        <item x="957"/>
        <item x="762"/>
        <item x="240"/>
        <item x="309"/>
        <item x="108"/>
        <item x="16"/>
        <item x="699"/>
        <item x="779"/>
        <item x="469"/>
        <item x="597"/>
        <item x="820"/>
        <item x="1076"/>
        <item x="1052"/>
        <item x="38"/>
        <item x="187"/>
        <item x="946"/>
        <item x="637"/>
        <item x="1067"/>
        <item x="932"/>
        <item x="856"/>
        <item x="282"/>
        <item x="373"/>
        <item x="401"/>
        <item x="1055"/>
        <item x="919"/>
        <item x="341"/>
        <item x="278"/>
        <item x="573"/>
        <item x="966"/>
        <item x="808"/>
        <item x="590"/>
        <item x="491"/>
        <item x="66"/>
        <item x="763"/>
        <item x="1077"/>
        <item x="52"/>
        <item x="118"/>
        <item x="142"/>
        <item x="91"/>
        <item x="39"/>
        <item x="265"/>
        <item x="311"/>
        <item x="333"/>
        <item x="1080"/>
        <item x="465"/>
        <item x="478"/>
        <item x="823"/>
        <item x="927"/>
        <item x="89"/>
        <item x="726"/>
        <item x="167"/>
        <item x="468"/>
        <item x="770"/>
        <item x="650"/>
        <item x="991"/>
        <item x="393"/>
        <item x="15"/>
        <item x="901"/>
        <item x="643"/>
        <item x="843"/>
        <item x="584"/>
        <item x="203"/>
        <item x="817"/>
        <item x="476"/>
        <item x="972"/>
        <item x="116"/>
        <item x="457"/>
        <item x="797"/>
        <item x="141"/>
        <item x="235"/>
        <item x="463"/>
        <item x="317"/>
        <item x="807"/>
        <item x="343"/>
        <item x="628"/>
        <item x="196"/>
        <item x="861"/>
        <item x="494"/>
        <item x="306"/>
        <item x="796"/>
        <item x="828"/>
        <item x="996"/>
        <item x="601"/>
        <item x="5"/>
        <item x="152"/>
        <item x="833"/>
        <item x="877"/>
        <item x="885"/>
        <item x="541"/>
        <item x="273"/>
        <item x="426"/>
        <item x="241"/>
        <item x="429"/>
        <item x="683"/>
        <item x="27"/>
        <item x="555"/>
        <item x="26"/>
        <item x="950"/>
        <item x="564"/>
        <item x="501"/>
        <item x="739"/>
        <item x="830"/>
        <item x="630"/>
        <item x="868"/>
        <item x="48"/>
        <item x="130"/>
        <item x="702"/>
        <item x="274"/>
        <item x="649"/>
        <item x="473"/>
        <item x="138"/>
        <item x="769"/>
        <item x="660"/>
        <item x="1041"/>
        <item x="200"/>
        <item x="579"/>
        <item x="418"/>
        <item x="639"/>
        <item x="170"/>
        <item x="352"/>
        <item x="916"/>
        <item x="859"/>
        <item x="447"/>
        <item x="280"/>
        <item x="897"/>
        <item x="417"/>
        <item x="61"/>
        <item x="4"/>
        <item x="255"/>
        <item x="578"/>
        <item x="626"/>
        <item x="400"/>
        <item x="156"/>
        <item x="192"/>
        <item x="236"/>
        <item x="804"/>
        <item x="202"/>
        <item x="188"/>
        <item x="603"/>
        <item x="184"/>
        <item x="431"/>
        <item x="419"/>
        <item x="970"/>
        <item x="78"/>
        <item x="144"/>
        <item x="1049"/>
        <item x="37"/>
        <item x="666"/>
        <item x="895"/>
        <item x="610"/>
        <item x="744"/>
        <item x="524"/>
        <item x="86"/>
        <item x="103"/>
        <item x="624"/>
        <item x="40"/>
        <item x="937"/>
        <item x="1014"/>
        <item x="423"/>
        <item x="123"/>
        <item x="787"/>
        <item x="94"/>
        <item x="636"/>
        <item x="707"/>
        <item x="157"/>
        <item x="698"/>
        <item x="324"/>
        <item x="1019"/>
        <item x="929"/>
        <item x="481"/>
        <item x="413"/>
        <item x="505"/>
        <item x="785"/>
        <item x="0"/>
        <item x="96"/>
        <item x="173"/>
        <item x="806"/>
        <item x="488"/>
        <item x="362"/>
        <item x="1053"/>
        <item x="749"/>
        <item x="987"/>
        <item x="487"/>
        <item x="150"/>
        <item x="335"/>
        <item x="803"/>
        <item x="1078"/>
        <item x="140"/>
        <item x="800"/>
        <item x="756"/>
        <item x="684"/>
        <item x="131"/>
        <item x="854"/>
        <item x="405"/>
        <item x="437"/>
        <item x="954"/>
        <item x="98"/>
        <item x="257"/>
        <item x="297"/>
        <item x="653"/>
        <item x="483"/>
        <item x="623"/>
        <item x="1025"/>
        <item x="824"/>
        <item x="952"/>
        <item x="670"/>
        <item x="435"/>
        <item x="100"/>
        <item x="1021"/>
        <item x="440"/>
        <item x="825"/>
        <item x="217"/>
        <item x="983"/>
        <item x="267"/>
        <item x="968"/>
        <item x="244"/>
        <item x="366"/>
        <item x="166"/>
        <item x="407"/>
        <item x="122"/>
        <item x="252"/>
        <item x="190"/>
        <item x="940"/>
        <item x="51"/>
        <item x="559"/>
        <item x="446"/>
        <item x="753"/>
        <item x="246"/>
        <item x="310"/>
        <item x="384"/>
        <item x="719"/>
        <item x="822"/>
        <item x="832"/>
        <item x="397"/>
        <item x="395"/>
        <item x="962"/>
        <item x="633"/>
        <item x="313"/>
        <item x="183"/>
        <item x="1034"/>
        <item x="664"/>
        <item x="883"/>
        <item x="704"/>
        <item x="645"/>
        <item x="585"/>
        <item x="676"/>
        <item x="327"/>
        <item x="720"/>
        <item x="725"/>
        <item x="903"/>
        <item x="205"/>
        <item x="775"/>
        <item x="1000"/>
        <item x="551"/>
        <item x="1070"/>
        <item x="114"/>
        <item x="978"/>
        <item x="247"/>
        <item x="752"/>
        <item x="125"/>
        <item x="1006"/>
        <item x="802"/>
        <item x="1016"/>
        <item x="836"/>
        <item x="737"/>
        <item x="777"/>
        <item x="986"/>
        <item x="942"/>
        <item x="342"/>
        <item x="438"/>
        <item x="535"/>
        <item x="1060"/>
        <item x="340"/>
        <item x="705"/>
        <item x="1024"/>
        <item x="810"/>
        <item x="1010"/>
        <item x="634"/>
        <item x="922"/>
        <item x="328"/>
        <item x="1026"/>
        <item x="268"/>
        <item x="254"/>
        <item x="672"/>
        <item x="224"/>
        <item x="736"/>
        <item x="143"/>
        <item x="382"/>
        <item x="764"/>
        <item x="304"/>
        <item x="1046"/>
        <item x="558"/>
        <item x="857"/>
        <item x="403"/>
        <item x="740"/>
        <item x="83"/>
        <item x="732"/>
        <item x="71"/>
        <item x="976"/>
        <item x="625"/>
        <item x="151"/>
        <item x="1003"/>
        <item x="519"/>
        <item x="648"/>
        <item x="841"/>
        <item x="120"/>
        <item x="621"/>
        <item x="553"/>
        <item x="198"/>
        <item x="689"/>
        <item x="480"/>
        <item x="694"/>
        <item x="926"/>
        <item x="674"/>
        <item x="164"/>
        <item x="484"/>
        <item x="279"/>
        <item x="730"/>
        <item x="815"/>
        <item x="221"/>
        <item x="849"/>
        <item x="581"/>
        <item x="493"/>
        <item x="243"/>
        <item x="1081"/>
        <item x="155"/>
        <item x="819"/>
        <item x="248"/>
        <item x="216"/>
        <item x="923"/>
        <item x="575"/>
        <item x="515"/>
        <item x="215"/>
        <item x="275"/>
        <item x="1050"/>
        <item x="792"/>
        <item x="556"/>
        <item x="1062"/>
        <item x="985"/>
        <item x="165"/>
        <item x="949"/>
        <item x="580"/>
        <item x="22"/>
        <item x="1001"/>
        <item x="299"/>
        <item x="55"/>
        <item x="6"/>
        <item x="331"/>
        <item x="1037"/>
        <item x="137"/>
        <item x="837"/>
        <item x="251"/>
        <item x="924"/>
        <item x="220"/>
        <item x="19"/>
        <item x="1073"/>
        <item x="866"/>
        <item x="755"/>
        <item x="774"/>
        <item x="1056"/>
        <item x="321"/>
        <item x="592"/>
        <item x="721"/>
        <item x="955"/>
        <item x="369"/>
        <item x="588"/>
        <item x="50"/>
        <item x="72"/>
        <item x="319"/>
        <item x="734"/>
        <item x="999"/>
        <item x="943"/>
        <item x="351"/>
        <item x="715"/>
        <item x="821"/>
        <item x="858"/>
        <item x="863"/>
        <item x="20"/>
        <item x="112"/>
        <item x="723"/>
        <item x="503"/>
        <item x="88"/>
        <item x="607"/>
        <item x="111"/>
        <item x="408"/>
        <item x="757"/>
        <item x="368"/>
        <item x="759"/>
        <item x="263"/>
        <item x="850"/>
        <item x="510"/>
        <item x="583"/>
        <item x="706"/>
        <item x="110"/>
        <item x="1031"/>
        <item x="642"/>
        <item x="532"/>
        <item x="811"/>
        <item x="406"/>
        <item x="520"/>
        <item x="1064"/>
        <item x="365"/>
        <item x="794"/>
        <item x="1020"/>
        <item x="134"/>
        <item x="160"/>
        <item x="565"/>
        <item x="127"/>
        <item x="1068"/>
        <item x="538"/>
        <item x="346"/>
        <item x="286"/>
        <item x="12"/>
        <item x="195"/>
        <item x="743"/>
        <item x="377"/>
        <item x="560"/>
        <item x="349"/>
        <item x="367"/>
        <item x="905"/>
        <item x="848"/>
        <item x="992"/>
        <item x="911"/>
        <item x="662"/>
        <item x="298"/>
        <item x="816"/>
        <item x="64"/>
        <item x="471"/>
        <item x="561"/>
        <item x="68"/>
        <item x="336"/>
        <item x="411"/>
        <item x="380"/>
        <item x="865"/>
        <item x="332"/>
        <item x="462"/>
        <item x="742"/>
        <item x="847"/>
        <item x="1069"/>
        <item x="445"/>
        <item x="388"/>
        <item x="316"/>
        <item x="654"/>
        <item x="210"/>
        <item x="814"/>
        <item x="59"/>
        <item x="567"/>
        <item x="233"/>
        <item x="881"/>
        <item x="599"/>
        <item x="11"/>
        <item x="627"/>
        <item x="136"/>
        <item x="963"/>
        <item x="712"/>
        <item x="974"/>
        <item x="73"/>
        <item x="443"/>
        <item x="813"/>
        <item x="75"/>
        <item x="928"/>
        <item x="14"/>
        <item x="735"/>
        <item x="222"/>
        <item x="199"/>
        <item x="598"/>
        <item x="646"/>
        <item x="179"/>
        <item x="606"/>
        <item x="329"/>
        <item x="697"/>
        <item x="657"/>
        <item x="206"/>
        <item x="853"/>
        <item x="416"/>
        <item x="227"/>
        <item x="915"/>
        <item x="1048"/>
        <item x="687"/>
        <item x="572"/>
        <item x="1012"/>
        <item x="148"/>
        <item x="132"/>
        <item x="612"/>
        <item x="958"/>
        <item x="692"/>
        <item x="379"/>
        <item x="571"/>
        <item x="951"/>
        <item x="421"/>
        <item x="414"/>
        <item x="292"/>
        <item x="212"/>
        <item x="1058"/>
        <item x="260"/>
        <item x="539"/>
        <item x="74"/>
        <item x="396"/>
        <item x="945"/>
        <item x="711"/>
        <item x="436"/>
        <item x="793"/>
        <item x="45"/>
        <item x="842"/>
        <item x="390"/>
        <item x="944"/>
        <item x="663"/>
        <item x="703"/>
        <item x="872"/>
        <item x="154"/>
        <item x="345"/>
        <item x="213"/>
        <item x="682"/>
        <item x="632"/>
        <item x="533"/>
        <item x="383"/>
        <item x="1009"/>
        <item x="617"/>
        <item x="967"/>
        <item x="17"/>
        <item x="119"/>
        <item x="186"/>
        <item x="898"/>
        <item x="884"/>
        <item x="1065"/>
        <item x="526"/>
        <item x="256"/>
        <item x="522"/>
        <item x="773"/>
        <item x="479"/>
        <item x="146"/>
        <item x="933"/>
        <item x="799"/>
        <item x="214"/>
        <item x="177"/>
        <item x="485"/>
        <item x="211"/>
        <item x="266"/>
        <item x="647"/>
        <item x="314"/>
        <item x="665"/>
        <item x="1075"/>
        <item x="489"/>
        <item x="404"/>
        <item x="525"/>
        <item x="509"/>
        <item x="961"/>
        <item x="960"/>
        <item x="644"/>
        <item x="1036"/>
        <item x="1018"/>
        <item x="839"/>
        <item x="305"/>
        <item x="696"/>
        <item x="864"/>
        <item x="604"/>
        <item x="63"/>
        <item x="302"/>
        <item x="530"/>
        <item x="1039"/>
        <item x="595"/>
        <item x="189"/>
        <item x="914"/>
        <item x="516"/>
        <item x="249"/>
        <item x="826"/>
        <item x="1063"/>
        <item x="587"/>
        <item x="795"/>
        <item x="921"/>
        <item x="600"/>
        <item x="695"/>
        <item x="668"/>
        <item x="245"/>
        <item x="398"/>
        <item x="218"/>
        <item x="386"/>
        <item x="562"/>
        <item x="640"/>
        <item x="169"/>
        <item x="36"/>
        <item x="271"/>
        <item x="1"/>
        <item x="70"/>
        <item x="618"/>
        <item x="935"/>
        <item x="250"/>
        <item x="1083"/>
        <item x="1008"/>
        <item x="781"/>
        <item x="1033"/>
        <item x="907"/>
        <item x="207"/>
        <item x="971"/>
        <item x="237"/>
        <item x="681"/>
        <item x="925"/>
        <item x="470"/>
        <item x="900"/>
        <item x="593"/>
        <item x="818"/>
        <item x="747"/>
        <item x="163"/>
        <item x="798"/>
        <item x="1054"/>
        <item x="270"/>
        <item x="834"/>
        <item x="751"/>
        <item x="376"/>
        <item x="718"/>
        <item x="194"/>
        <item x="1072"/>
        <item x="290"/>
        <item x="700"/>
        <item x="344"/>
        <item x="893"/>
        <item x="614"/>
        <item x="659"/>
        <item x="936"/>
        <item x="656"/>
        <item x="176"/>
        <item x="258"/>
        <item x="782"/>
        <item x="871"/>
        <item x="25"/>
        <item x="149"/>
        <item x="729"/>
        <item x="496"/>
        <item x="979"/>
        <item x="652"/>
        <item x="1040"/>
        <item x="1013"/>
        <item x="994"/>
        <item x="776"/>
        <item x="540"/>
        <item x="434"/>
        <item x="456"/>
        <item x="886"/>
        <item x="876"/>
        <item x="303"/>
        <item x="228"/>
        <item x="326"/>
        <item x="175"/>
        <item x="722"/>
        <item x="238"/>
        <item x="969"/>
        <item x="557"/>
        <item x="432"/>
        <item x="32"/>
        <item x="714"/>
        <item x="318"/>
        <item x="102"/>
        <item x="174"/>
        <item t="default"/>
      </items>
    </pivotField>
    <pivotField showAll="0"/>
    <pivotField showAll="0"/>
    <pivotField showAll="0"/>
    <pivotField showAll="0"/>
    <pivotField dataField="1" showAll="0" sortType="descending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32"/>
  </rowFields>
  <rowItems count="3">
    <i>
      <x/>
    </i>
    <i>
      <x v="1"/>
    </i>
    <i t="grand">
      <x/>
    </i>
  </rowItems>
  <colItems count="1">
    <i/>
  </colItems>
  <dataFields count="1">
    <dataField name="Sum of Total Loan Applications" fld="2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E4E28-26F8-41A2-9A7A-F970D4FFD01C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42:B53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86">
        <item x="947"/>
        <item x="10"/>
        <item x="361"/>
        <item x="461"/>
        <item x="452"/>
        <item x="93"/>
        <item x="829"/>
        <item x="381"/>
        <item x="998"/>
        <item x="513"/>
        <item x="860"/>
        <item x="46"/>
        <item x="107"/>
        <item x="65"/>
        <item x="831"/>
        <item x="223"/>
        <item x="294"/>
        <item x="172"/>
        <item x="21"/>
        <item x="693"/>
        <item x="229"/>
        <item x="449"/>
        <item x="543"/>
        <item x="537"/>
        <item x="879"/>
        <item x="658"/>
        <item x="392"/>
        <item x="862"/>
        <item x="439"/>
        <item x="589"/>
        <item x="688"/>
        <item x="1017"/>
        <item x="348"/>
        <item x="31"/>
        <item x="609"/>
        <item x="54"/>
        <item x="193"/>
        <item x="458"/>
        <item x="180"/>
        <item x="242"/>
        <item x="13"/>
        <item x="1059"/>
        <item x="517"/>
        <item x="965"/>
        <item x="153"/>
        <item x="767"/>
        <item x="430"/>
        <item x="805"/>
        <item x="145"/>
        <item x="788"/>
        <item x="81"/>
        <item x="1015"/>
        <item x="570"/>
        <item x="888"/>
        <item x="129"/>
        <item x="337"/>
        <item x="1035"/>
        <item x="959"/>
        <item x="76"/>
        <item x="851"/>
        <item x="754"/>
        <item x="686"/>
        <item x="499"/>
        <item x="724"/>
        <item x="534"/>
        <item x="904"/>
        <item x="399"/>
        <item x="99"/>
        <item x="1071"/>
        <item x="104"/>
        <item x="409"/>
        <item x="307"/>
        <item x="1023"/>
        <item x="18"/>
        <item x="3"/>
        <item x="930"/>
        <item x="353"/>
        <item x="161"/>
        <item x="171"/>
        <item x="97"/>
        <item x="197"/>
        <item x="508"/>
        <item x="728"/>
        <item x="512"/>
        <item x="941"/>
        <item x="507"/>
        <item x="359"/>
        <item x="57"/>
        <item x="58"/>
        <item x="1045"/>
        <item x="931"/>
        <item x="869"/>
        <item x="375"/>
        <item x="412"/>
        <item x="158"/>
        <item x="566"/>
        <item x="995"/>
        <item x="135"/>
        <item x="121"/>
        <item x="1038"/>
        <item x="546"/>
        <item x="845"/>
        <item x="902"/>
        <item x="984"/>
        <item x="178"/>
        <item x="85"/>
        <item x="288"/>
        <item x="490"/>
        <item x="582"/>
        <item x="527"/>
        <item x="475"/>
        <item x="374"/>
        <item x="1007"/>
        <item x="8"/>
        <item x="761"/>
        <item x="289"/>
        <item x="917"/>
        <item x="518"/>
        <item x="514"/>
        <item x="60"/>
        <item x="486"/>
        <item x="182"/>
        <item x="87"/>
        <item x="827"/>
        <item x="474"/>
        <item x="550"/>
        <item x="574"/>
        <item x="492"/>
        <item x="281"/>
        <item x="315"/>
        <item x="34"/>
        <item x="615"/>
        <item x="334"/>
        <item x="542"/>
        <item x="750"/>
        <item x="204"/>
        <item x="838"/>
        <item x="738"/>
        <item x="162"/>
        <item x="7"/>
        <item x="451"/>
        <item x="1084"/>
        <item x="910"/>
        <item x="993"/>
        <item x="878"/>
        <item x="428"/>
        <item x="577"/>
        <item x="677"/>
        <item x="783"/>
        <item x="79"/>
        <item x="1043"/>
        <item x="56"/>
        <item x="727"/>
        <item x="269"/>
        <item x="147"/>
        <item x="459"/>
        <item x="477"/>
        <item x="455"/>
        <item x="791"/>
        <item x="370"/>
        <item x="239"/>
        <item x="325"/>
        <item x="691"/>
        <item x="41"/>
        <item x="1022"/>
        <item x="124"/>
        <item x="547"/>
        <item x="616"/>
        <item x="887"/>
        <item x="495"/>
        <item x="1066"/>
        <item x="948"/>
        <item x="105"/>
        <item x="472"/>
        <item x="619"/>
        <item x="109"/>
        <item x="115"/>
        <item x="731"/>
        <item x="232"/>
        <item x="844"/>
        <item x="23"/>
        <item x="497"/>
        <item x="977"/>
        <item x="53"/>
        <item x="741"/>
        <item x="973"/>
        <item x="358"/>
        <item x="765"/>
        <item x="372"/>
        <item x="467"/>
        <item x="920"/>
        <item x="835"/>
        <item x="1042"/>
        <item x="444"/>
        <item x="1004"/>
        <item x="981"/>
        <item x="261"/>
        <item x="35"/>
        <item x="128"/>
        <item x="771"/>
        <item x="262"/>
        <item x="287"/>
        <item x="531"/>
        <item x="133"/>
        <item x="391"/>
        <item x="548"/>
        <item x="746"/>
        <item x="312"/>
        <item x="185"/>
        <item x="231"/>
        <item x="285"/>
        <item x="80"/>
        <item x="424"/>
        <item x="892"/>
        <item x="846"/>
        <item x="918"/>
        <item x="1029"/>
        <item x="536"/>
        <item x="613"/>
        <item x="448"/>
        <item x="635"/>
        <item x="284"/>
        <item x="2"/>
        <item x="387"/>
        <item x="420"/>
        <item x="801"/>
        <item x="716"/>
        <item x="90"/>
        <item x="953"/>
        <item x="669"/>
        <item x="1005"/>
        <item x="896"/>
        <item x="855"/>
        <item x="874"/>
        <item x="29"/>
        <item x="354"/>
        <item x="33"/>
        <item x="521"/>
        <item x="629"/>
        <item x="219"/>
        <item x="1002"/>
        <item x="889"/>
        <item x="563"/>
        <item x="812"/>
        <item x="786"/>
        <item x="139"/>
        <item x="906"/>
        <item x="1027"/>
        <item x="912"/>
        <item x="356"/>
        <item x="605"/>
        <item x="766"/>
        <item x="748"/>
        <item x="283"/>
        <item x="701"/>
        <item x="784"/>
        <item x="673"/>
        <item x="101"/>
        <item x="809"/>
        <item x="989"/>
        <item x="453"/>
        <item x="772"/>
        <item x="679"/>
        <item x="956"/>
        <item x="389"/>
        <item x="42"/>
        <item x="667"/>
        <item x="44"/>
        <item x="890"/>
        <item x="620"/>
        <item x="710"/>
        <item x="586"/>
        <item x="9"/>
        <item x="528"/>
        <item x="338"/>
        <item x="62"/>
        <item x="460"/>
        <item x="641"/>
        <item x="611"/>
        <item x="552"/>
        <item x="330"/>
        <item x="882"/>
        <item x="651"/>
        <item x="323"/>
        <item x="253"/>
        <item x="502"/>
        <item x="678"/>
        <item x="364"/>
        <item x="168"/>
        <item x="433"/>
        <item x="631"/>
        <item x="511"/>
        <item x="30"/>
        <item x="208"/>
        <item x="1047"/>
        <item x="347"/>
        <item x="594"/>
        <item x="1079"/>
        <item x="415"/>
        <item x="293"/>
        <item x="980"/>
        <item x="43"/>
        <item x="690"/>
        <item x="441"/>
        <item x="569"/>
        <item x="209"/>
        <item x="113"/>
        <item x="982"/>
        <item x="964"/>
        <item x="191"/>
        <item x="225"/>
        <item x="385"/>
        <item x="181"/>
        <item x="410"/>
        <item x="768"/>
        <item x="320"/>
        <item x="568"/>
        <item x="891"/>
        <item x="1030"/>
        <item x="363"/>
        <item x="975"/>
        <item x="264"/>
        <item x="529"/>
        <item x="867"/>
        <item x="717"/>
        <item x="934"/>
        <item x="908"/>
        <item x="277"/>
        <item x="675"/>
        <item x="159"/>
        <item x="378"/>
        <item x="482"/>
        <item x="291"/>
        <item x="322"/>
        <item x="47"/>
        <item x="899"/>
        <item x="685"/>
        <item x="1051"/>
        <item x="402"/>
        <item x="733"/>
        <item x="939"/>
        <item x="713"/>
        <item x="272"/>
        <item x="425"/>
        <item x="1011"/>
        <item x="1057"/>
        <item x="506"/>
        <item x="880"/>
        <item x="226"/>
        <item x="1082"/>
        <item x="780"/>
        <item x="554"/>
        <item x="638"/>
        <item x="602"/>
        <item x="234"/>
        <item x="308"/>
        <item x="92"/>
        <item x="745"/>
        <item x="95"/>
        <item x="117"/>
        <item x="760"/>
        <item x="300"/>
        <item x="371"/>
        <item x="661"/>
        <item x="106"/>
        <item x="355"/>
        <item x="1044"/>
        <item x="84"/>
        <item x="67"/>
        <item x="909"/>
        <item x="500"/>
        <item x="576"/>
        <item x="988"/>
        <item x="466"/>
        <item x="82"/>
        <item x="1061"/>
        <item x="69"/>
        <item x="870"/>
        <item x="126"/>
        <item x="442"/>
        <item x="938"/>
        <item x="875"/>
        <item x="913"/>
        <item x="622"/>
        <item x="357"/>
        <item x="549"/>
        <item x="894"/>
        <item x="655"/>
        <item x="230"/>
        <item x="77"/>
        <item x="544"/>
        <item x="295"/>
        <item x="422"/>
        <item x="997"/>
        <item x="990"/>
        <item x="276"/>
        <item x="301"/>
        <item x="28"/>
        <item x="873"/>
        <item x="360"/>
        <item x="708"/>
        <item x="608"/>
        <item x="498"/>
        <item x="454"/>
        <item x="596"/>
        <item x="840"/>
        <item x="1028"/>
        <item x="464"/>
        <item x="49"/>
        <item x="545"/>
        <item x="758"/>
        <item x="852"/>
        <item x="790"/>
        <item x="296"/>
        <item x="339"/>
        <item x="523"/>
        <item x="350"/>
        <item x="259"/>
        <item x="680"/>
        <item x="709"/>
        <item x="778"/>
        <item x="671"/>
        <item x="789"/>
        <item x="24"/>
        <item x="1032"/>
        <item x="201"/>
        <item x="427"/>
        <item x="1074"/>
        <item x="591"/>
        <item x="394"/>
        <item x="504"/>
        <item x="450"/>
        <item x="957"/>
        <item x="762"/>
        <item x="240"/>
        <item x="309"/>
        <item x="108"/>
        <item x="16"/>
        <item x="699"/>
        <item x="779"/>
        <item x="469"/>
        <item x="597"/>
        <item x="820"/>
        <item x="1076"/>
        <item x="1052"/>
        <item x="38"/>
        <item x="187"/>
        <item x="946"/>
        <item x="637"/>
        <item x="1067"/>
        <item x="932"/>
        <item x="856"/>
        <item x="282"/>
        <item x="373"/>
        <item x="401"/>
        <item x="1055"/>
        <item x="919"/>
        <item x="341"/>
        <item x="278"/>
        <item x="573"/>
        <item x="966"/>
        <item x="808"/>
        <item x="590"/>
        <item x="491"/>
        <item x="66"/>
        <item x="763"/>
        <item x="1077"/>
        <item x="52"/>
        <item x="118"/>
        <item x="142"/>
        <item x="91"/>
        <item x="39"/>
        <item x="265"/>
        <item x="311"/>
        <item x="333"/>
        <item x="1080"/>
        <item x="465"/>
        <item x="478"/>
        <item x="823"/>
        <item x="927"/>
        <item x="89"/>
        <item x="726"/>
        <item x="167"/>
        <item x="468"/>
        <item x="770"/>
        <item x="650"/>
        <item x="991"/>
        <item x="393"/>
        <item x="15"/>
        <item x="901"/>
        <item x="643"/>
        <item x="843"/>
        <item x="584"/>
        <item x="203"/>
        <item x="817"/>
        <item x="476"/>
        <item x="972"/>
        <item x="116"/>
        <item x="457"/>
        <item x="797"/>
        <item x="141"/>
        <item x="235"/>
        <item x="463"/>
        <item x="317"/>
        <item x="807"/>
        <item x="343"/>
        <item x="628"/>
        <item x="196"/>
        <item x="861"/>
        <item x="494"/>
        <item x="306"/>
        <item x="796"/>
        <item x="828"/>
        <item x="996"/>
        <item x="601"/>
        <item x="5"/>
        <item x="152"/>
        <item x="833"/>
        <item x="877"/>
        <item x="885"/>
        <item x="541"/>
        <item x="273"/>
        <item x="426"/>
        <item x="241"/>
        <item x="429"/>
        <item x="683"/>
        <item x="27"/>
        <item x="555"/>
        <item x="26"/>
        <item x="950"/>
        <item x="564"/>
        <item x="501"/>
        <item x="739"/>
        <item x="830"/>
        <item x="630"/>
        <item x="868"/>
        <item x="48"/>
        <item x="130"/>
        <item x="702"/>
        <item x="274"/>
        <item x="649"/>
        <item x="473"/>
        <item x="138"/>
        <item x="769"/>
        <item x="660"/>
        <item x="1041"/>
        <item x="200"/>
        <item x="579"/>
        <item x="418"/>
        <item x="639"/>
        <item x="170"/>
        <item x="352"/>
        <item x="916"/>
        <item x="859"/>
        <item x="447"/>
        <item x="280"/>
        <item x="897"/>
        <item x="417"/>
        <item x="61"/>
        <item x="4"/>
        <item x="255"/>
        <item x="578"/>
        <item x="626"/>
        <item x="400"/>
        <item x="156"/>
        <item x="192"/>
        <item x="236"/>
        <item x="804"/>
        <item x="202"/>
        <item x="188"/>
        <item x="603"/>
        <item x="184"/>
        <item x="431"/>
        <item x="419"/>
        <item x="970"/>
        <item x="78"/>
        <item x="144"/>
        <item x="1049"/>
        <item x="37"/>
        <item x="666"/>
        <item x="895"/>
        <item x="610"/>
        <item x="744"/>
        <item x="524"/>
        <item x="86"/>
        <item x="103"/>
        <item x="624"/>
        <item x="40"/>
        <item x="937"/>
        <item x="1014"/>
        <item x="423"/>
        <item x="123"/>
        <item x="787"/>
        <item x="94"/>
        <item x="636"/>
        <item x="707"/>
        <item x="157"/>
        <item x="698"/>
        <item x="324"/>
        <item x="1019"/>
        <item x="929"/>
        <item x="481"/>
        <item x="413"/>
        <item x="505"/>
        <item x="785"/>
        <item x="0"/>
        <item x="96"/>
        <item x="173"/>
        <item x="806"/>
        <item x="488"/>
        <item x="362"/>
        <item x="1053"/>
        <item x="749"/>
        <item x="987"/>
        <item x="487"/>
        <item x="150"/>
        <item x="335"/>
        <item x="803"/>
        <item x="1078"/>
        <item x="140"/>
        <item x="800"/>
        <item x="756"/>
        <item x="684"/>
        <item x="131"/>
        <item x="854"/>
        <item x="405"/>
        <item x="437"/>
        <item x="954"/>
        <item x="98"/>
        <item x="257"/>
        <item x="297"/>
        <item x="653"/>
        <item x="483"/>
        <item x="623"/>
        <item x="1025"/>
        <item x="824"/>
        <item x="952"/>
        <item x="670"/>
        <item x="435"/>
        <item x="100"/>
        <item x="1021"/>
        <item x="440"/>
        <item x="825"/>
        <item x="217"/>
        <item x="983"/>
        <item x="267"/>
        <item x="968"/>
        <item x="244"/>
        <item x="366"/>
        <item x="166"/>
        <item x="407"/>
        <item x="122"/>
        <item x="252"/>
        <item x="190"/>
        <item x="940"/>
        <item x="51"/>
        <item x="559"/>
        <item x="446"/>
        <item x="753"/>
        <item x="246"/>
        <item x="310"/>
        <item x="384"/>
        <item x="719"/>
        <item x="822"/>
        <item x="832"/>
        <item x="397"/>
        <item x="395"/>
        <item x="962"/>
        <item x="633"/>
        <item x="313"/>
        <item x="183"/>
        <item x="1034"/>
        <item x="664"/>
        <item x="883"/>
        <item x="704"/>
        <item x="645"/>
        <item x="585"/>
        <item x="676"/>
        <item x="327"/>
        <item x="720"/>
        <item x="725"/>
        <item x="903"/>
        <item x="205"/>
        <item x="775"/>
        <item x="1000"/>
        <item x="551"/>
        <item x="1070"/>
        <item x="114"/>
        <item x="978"/>
        <item x="247"/>
        <item x="752"/>
        <item x="125"/>
        <item x="1006"/>
        <item x="802"/>
        <item x="1016"/>
        <item x="836"/>
        <item x="737"/>
        <item x="777"/>
        <item x="986"/>
        <item x="942"/>
        <item x="342"/>
        <item x="438"/>
        <item x="535"/>
        <item x="1060"/>
        <item x="340"/>
        <item x="705"/>
        <item x="1024"/>
        <item x="810"/>
        <item x="1010"/>
        <item x="634"/>
        <item x="922"/>
        <item x="328"/>
        <item x="1026"/>
        <item x="268"/>
        <item x="254"/>
        <item x="672"/>
        <item x="224"/>
        <item x="736"/>
        <item x="143"/>
        <item x="382"/>
        <item x="764"/>
        <item x="304"/>
        <item x="1046"/>
        <item x="558"/>
        <item x="857"/>
        <item x="403"/>
        <item x="740"/>
        <item x="83"/>
        <item x="732"/>
        <item x="71"/>
        <item x="976"/>
        <item x="625"/>
        <item x="151"/>
        <item x="1003"/>
        <item x="519"/>
        <item x="648"/>
        <item x="841"/>
        <item x="120"/>
        <item x="621"/>
        <item x="553"/>
        <item x="198"/>
        <item x="689"/>
        <item x="480"/>
        <item x="694"/>
        <item x="926"/>
        <item x="674"/>
        <item x="164"/>
        <item x="484"/>
        <item x="279"/>
        <item x="730"/>
        <item x="815"/>
        <item x="221"/>
        <item x="849"/>
        <item x="581"/>
        <item x="493"/>
        <item x="243"/>
        <item x="1081"/>
        <item x="155"/>
        <item x="819"/>
        <item x="248"/>
        <item x="216"/>
        <item x="923"/>
        <item x="575"/>
        <item x="515"/>
        <item x="215"/>
        <item x="275"/>
        <item x="1050"/>
        <item x="792"/>
        <item x="556"/>
        <item x="1062"/>
        <item x="985"/>
        <item x="165"/>
        <item x="949"/>
        <item x="580"/>
        <item x="22"/>
        <item x="1001"/>
        <item x="299"/>
        <item x="55"/>
        <item x="6"/>
        <item x="331"/>
        <item x="1037"/>
        <item x="137"/>
        <item x="837"/>
        <item x="251"/>
        <item x="924"/>
        <item x="220"/>
        <item x="19"/>
        <item x="1073"/>
        <item x="866"/>
        <item x="755"/>
        <item x="774"/>
        <item x="1056"/>
        <item x="321"/>
        <item x="592"/>
        <item x="721"/>
        <item x="955"/>
        <item x="369"/>
        <item x="588"/>
        <item x="50"/>
        <item x="72"/>
        <item x="319"/>
        <item x="734"/>
        <item x="999"/>
        <item x="943"/>
        <item x="351"/>
        <item x="715"/>
        <item x="821"/>
        <item x="858"/>
        <item x="863"/>
        <item x="20"/>
        <item x="112"/>
        <item x="723"/>
        <item x="503"/>
        <item x="88"/>
        <item x="607"/>
        <item x="111"/>
        <item x="408"/>
        <item x="757"/>
        <item x="368"/>
        <item x="759"/>
        <item x="263"/>
        <item x="850"/>
        <item x="510"/>
        <item x="583"/>
        <item x="706"/>
        <item x="110"/>
        <item x="1031"/>
        <item x="642"/>
        <item x="532"/>
        <item x="811"/>
        <item x="406"/>
        <item x="520"/>
        <item x="1064"/>
        <item x="365"/>
        <item x="794"/>
        <item x="1020"/>
        <item x="134"/>
        <item x="160"/>
        <item x="565"/>
        <item x="127"/>
        <item x="1068"/>
        <item x="538"/>
        <item x="346"/>
        <item x="286"/>
        <item x="12"/>
        <item x="195"/>
        <item x="743"/>
        <item x="377"/>
        <item x="560"/>
        <item x="349"/>
        <item x="367"/>
        <item x="905"/>
        <item x="848"/>
        <item x="992"/>
        <item x="911"/>
        <item x="662"/>
        <item x="298"/>
        <item x="816"/>
        <item x="64"/>
        <item x="471"/>
        <item x="561"/>
        <item x="68"/>
        <item x="336"/>
        <item x="411"/>
        <item x="380"/>
        <item x="865"/>
        <item x="332"/>
        <item x="462"/>
        <item x="742"/>
        <item x="847"/>
        <item x="1069"/>
        <item x="445"/>
        <item x="388"/>
        <item x="316"/>
        <item x="654"/>
        <item x="210"/>
        <item x="814"/>
        <item x="59"/>
        <item x="567"/>
        <item x="233"/>
        <item x="881"/>
        <item x="599"/>
        <item x="11"/>
        <item x="627"/>
        <item x="136"/>
        <item x="963"/>
        <item x="712"/>
        <item x="974"/>
        <item x="73"/>
        <item x="443"/>
        <item x="813"/>
        <item x="75"/>
        <item x="928"/>
        <item x="14"/>
        <item x="735"/>
        <item x="222"/>
        <item x="199"/>
        <item x="598"/>
        <item x="646"/>
        <item x="179"/>
        <item x="606"/>
        <item x="329"/>
        <item x="697"/>
        <item x="657"/>
        <item x="206"/>
        <item x="853"/>
        <item x="416"/>
        <item x="227"/>
        <item x="915"/>
        <item x="1048"/>
        <item x="687"/>
        <item x="572"/>
        <item x="1012"/>
        <item x="148"/>
        <item x="132"/>
        <item x="612"/>
        <item x="958"/>
        <item x="692"/>
        <item x="379"/>
        <item x="571"/>
        <item x="951"/>
        <item x="421"/>
        <item x="414"/>
        <item x="292"/>
        <item x="212"/>
        <item x="1058"/>
        <item x="260"/>
        <item x="539"/>
        <item x="74"/>
        <item x="396"/>
        <item x="945"/>
        <item x="711"/>
        <item x="436"/>
        <item x="793"/>
        <item x="45"/>
        <item x="842"/>
        <item x="390"/>
        <item x="944"/>
        <item x="663"/>
        <item x="703"/>
        <item x="872"/>
        <item x="154"/>
        <item x="345"/>
        <item x="213"/>
        <item x="682"/>
        <item x="632"/>
        <item x="533"/>
        <item x="383"/>
        <item x="1009"/>
        <item x="617"/>
        <item x="967"/>
        <item x="17"/>
        <item x="119"/>
        <item x="186"/>
        <item x="898"/>
        <item x="884"/>
        <item x="1065"/>
        <item x="526"/>
        <item x="256"/>
        <item x="522"/>
        <item x="773"/>
        <item x="479"/>
        <item x="146"/>
        <item x="933"/>
        <item x="799"/>
        <item x="214"/>
        <item x="177"/>
        <item x="485"/>
        <item x="211"/>
        <item x="266"/>
        <item x="647"/>
        <item x="314"/>
        <item x="665"/>
        <item x="1075"/>
        <item x="489"/>
        <item x="404"/>
        <item x="525"/>
        <item x="509"/>
        <item x="961"/>
        <item x="960"/>
        <item x="644"/>
        <item x="1036"/>
        <item x="1018"/>
        <item x="839"/>
        <item x="305"/>
        <item x="696"/>
        <item x="864"/>
        <item x="604"/>
        <item x="63"/>
        <item x="302"/>
        <item x="530"/>
        <item x="1039"/>
        <item x="595"/>
        <item x="189"/>
        <item x="914"/>
        <item x="516"/>
        <item x="249"/>
        <item x="826"/>
        <item x="1063"/>
        <item x="587"/>
        <item x="795"/>
        <item x="921"/>
        <item x="600"/>
        <item x="695"/>
        <item x="668"/>
        <item x="245"/>
        <item x="398"/>
        <item x="218"/>
        <item x="386"/>
        <item x="562"/>
        <item x="640"/>
        <item x="169"/>
        <item x="36"/>
        <item x="271"/>
        <item x="1"/>
        <item x="70"/>
        <item x="618"/>
        <item x="935"/>
        <item x="250"/>
        <item x="1083"/>
        <item x="1008"/>
        <item x="781"/>
        <item x="1033"/>
        <item x="907"/>
        <item x="207"/>
        <item x="971"/>
        <item x="237"/>
        <item x="681"/>
        <item x="925"/>
        <item x="470"/>
        <item x="900"/>
        <item x="593"/>
        <item x="818"/>
        <item x="747"/>
        <item x="163"/>
        <item x="798"/>
        <item x="1054"/>
        <item x="270"/>
        <item x="834"/>
        <item x="751"/>
        <item x="376"/>
        <item x="718"/>
        <item x="194"/>
        <item x="1072"/>
        <item x="290"/>
        <item x="700"/>
        <item x="344"/>
        <item x="893"/>
        <item x="614"/>
        <item x="659"/>
        <item x="936"/>
        <item x="656"/>
        <item x="176"/>
        <item x="258"/>
        <item x="782"/>
        <item x="871"/>
        <item x="25"/>
        <item x="149"/>
        <item x="729"/>
        <item x="496"/>
        <item x="979"/>
        <item x="652"/>
        <item x="1040"/>
        <item x="1013"/>
        <item x="994"/>
        <item x="776"/>
        <item x="540"/>
        <item x="434"/>
        <item x="456"/>
        <item x="886"/>
        <item x="876"/>
        <item x="303"/>
        <item x="228"/>
        <item x="326"/>
        <item x="175"/>
        <item x="722"/>
        <item x="238"/>
        <item x="969"/>
        <item x="557"/>
        <item x="432"/>
        <item x="32"/>
        <item x="714"/>
        <item x="318"/>
        <item x="102"/>
        <item x="174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ceived Amount" fld="3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7AFD2-7E06-495D-AFF2-36D5A1D943D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3:B34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86">
        <item x="947"/>
        <item x="10"/>
        <item x="361"/>
        <item x="461"/>
        <item x="452"/>
        <item x="93"/>
        <item x="829"/>
        <item x="381"/>
        <item x="998"/>
        <item x="513"/>
        <item x="860"/>
        <item x="46"/>
        <item x="107"/>
        <item x="65"/>
        <item x="831"/>
        <item x="223"/>
        <item x="294"/>
        <item x="172"/>
        <item x="21"/>
        <item x="693"/>
        <item x="229"/>
        <item x="449"/>
        <item x="543"/>
        <item x="537"/>
        <item x="879"/>
        <item x="658"/>
        <item x="392"/>
        <item x="862"/>
        <item x="439"/>
        <item x="589"/>
        <item x="688"/>
        <item x="1017"/>
        <item x="348"/>
        <item x="31"/>
        <item x="609"/>
        <item x="54"/>
        <item x="193"/>
        <item x="458"/>
        <item x="180"/>
        <item x="242"/>
        <item x="13"/>
        <item x="1059"/>
        <item x="517"/>
        <item x="965"/>
        <item x="153"/>
        <item x="767"/>
        <item x="430"/>
        <item x="805"/>
        <item x="145"/>
        <item x="788"/>
        <item x="81"/>
        <item x="1015"/>
        <item x="570"/>
        <item x="888"/>
        <item x="129"/>
        <item x="337"/>
        <item x="1035"/>
        <item x="959"/>
        <item x="76"/>
        <item x="851"/>
        <item x="754"/>
        <item x="686"/>
        <item x="499"/>
        <item x="724"/>
        <item x="534"/>
        <item x="904"/>
        <item x="399"/>
        <item x="99"/>
        <item x="1071"/>
        <item x="104"/>
        <item x="409"/>
        <item x="307"/>
        <item x="1023"/>
        <item x="18"/>
        <item x="3"/>
        <item x="930"/>
        <item x="353"/>
        <item x="161"/>
        <item x="171"/>
        <item x="97"/>
        <item x="197"/>
        <item x="508"/>
        <item x="728"/>
        <item x="512"/>
        <item x="941"/>
        <item x="507"/>
        <item x="359"/>
        <item x="57"/>
        <item x="58"/>
        <item x="1045"/>
        <item x="931"/>
        <item x="869"/>
        <item x="375"/>
        <item x="412"/>
        <item x="158"/>
        <item x="566"/>
        <item x="995"/>
        <item x="135"/>
        <item x="121"/>
        <item x="1038"/>
        <item x="546"/>
        <item x="845"/>
        <item x="902"/>
        <item x="984"/>
        <item x="178"/>
        <item x="85"/>
        <item x="288"/>
        <item x="490"/>
        <item x="582"/>
        <item x="527"/>
        <item x="475"/>
        <item x="374"/>
        <item x="1007"/>
        <item x="8"/>
        <item x="761"/>
        <item x="289"/>
        <item x="917"/>
        <item x="518"/>
        <item x="514"/>
        <item x="60"/>
        <item x="486"/>
        <item x="182"/>
        <item x="87"/>
        <item x="827"/>
        <item x="474"/>
        <item x="550"/>
        <item x="574"/>
        <item x="492"/>
        <item x="281"/>
        <item x="315"/>
        <item x="34"/>
        <item x="615"/>
        <item x="334"/>
        <item x="542"/>
        <item x="750"/>
        <item x="204"/>
        <item x="838"/>
        <item x="738"/>
        <item x="162"/>
        <item x="7"/>
        <item x="451"/>
        <item x="1084"/>
        <item x="910"/>
        <item x="993"/>
        <item x="878"/>
        <item x="428"/>
        <item x="577"/>
        <item x="677"/>
        <item x="783"/>
        <item x="79"/>
        <item x="1043"/>
        <item x="56"/>
        <item x="727"/>
        <item x="269"/>
        <item x="147"/>
        <item x="459"/>
        <item x="477"/>
        <item x="455"/>
        <item x="791"/>
        <item x="370"/>
        <item x="239"/>
        <item x="325"/>
        <item x="691"/>
        <item x="41"/>
        <item x="1022"/>
        <item x="124"/>
        <item x="547"/>
        <item x="616"/>
        <item x="887"/>
        <item x="495"/>
        <item x="1066"/>
        <item x="948"/>
        <item x="105"/>
        <item x="472"/>
        <item x="619"/>
        <item x="109"/>
        <item x="115"/>
        <item x="731"/>
        <item x="232"/>
        <item x="844"/>
        <item x="23"/>
        <item x="497"/>
        <item x="977"/>
        <item x="53"/>
        <item x="741"/>
        <item x="973"/>
        <item x="358"/>
        <item x="765"/>
        <item x="372"/>
        <item x="467"/>
        <item x="920"/>
        <item x="835"/>
        <item x="1042"/>
        <item x="444"/>
        <item x="1004"/>
        <item x="981"/>
        <item x="261"/>
        <item x="35"/>
        <item x="128"/>
        <item x="771"/>
        <item x="262"/>
        <item x="287"/>
        <item x="531"/>
        <item x="133"/>
        <item x="391"/>
        <item x="548"/>
        <item x="746"/>
        <item x="312"/>
        <item x="185"/>
        <item x="231"/>
        <item x="285"/>
        <item x="80"/>
        <item x="424"/>
        <item x="892"/>
        <item x="846"/>
        <item x="918"/>
        <item x="1029"/>
        <item x="536"/>
        <item x="613"/>
        <item x="448"/>
        <item x="635"/>
        <item x="284"/>
        <item x="2"/>
        <item x="387"/>
        <item x="420"/>
        <item x="801"/>
        <item x="716"/>
        <item x="90"/>
        <item x="953"/>
        <item x="669"/>
        <item x="1005"/>
        <item x="896"/>
        <item x="855"/>
        <item x="874"/>
        <item x="29"/>
        <item x="354"/>
        <item x="33"/>
        <item x="521"/>
        <item x="629"/>
        <item x="219"/>
        <item x="1002"/>
        <item x="889"/>
        <item x="563"/>
        <item x="812"/>
        <item x="786"/>
        <item x="139"/>
        <item x="906"/>
        <item x="1027"/>
        <item x="912"/>
        <item x="356"/>
        <item x="605"/>
        <item x="766"/>
        <item x="748"/>
        <item x="283"/>
        <item x="701"/>
        <item x="784"/>
        <item x="673"/>
        <item x="101"/>
        <item x="809"/>
        <item x="989"/>
        <item x="453"/>
        <item x="772"/>
        <item x="679"/>
        <item x="956"/>
        <item x="389"/>
        <item x="42"/>
        <item x="667"/>
        <item x="44"/>
        <item x="890"/>
        <item x="620"/>
        <item x="710"/>
        <item x="586"/>
        <item x="9"/>
        <item x="528"/>
        <item x="338"/>
        <item x="62"/>
        <item x="460"/>
        <item x="641"/>
        <item x="611"/>
        <item x="552"/>
        <item x="330"/>
        <item x="882"/>
        <item x="651"/>
        <item x="323"/>
        <item x="253"/>
        <item x="502"/>
        <item x="678"/>
        <item x="364"/>
        <item x="168"/>
        <item x="433"/>
        <item x="631"/>
        <item x="511"/>
        <item x="30"/>
        <item x="208"/>
        <item x="1047"/>
        <item x="347"/>
        <item x="594"/>
        <item x="1079"/>
        <item x="415"/>
        <item x="293"/>
        <item x="980"/>
        <item x="43"/>
        <item x="690"/>
        <item x="441"/>
        <item x="569"/>
        <item x="209"/>
        <item x="113"/>
        <item x="982"/>
        <item x="964"/>
        <item x="191"/>
        <item x="225"/>
        <item x="385"/>
        <item x="181"/>
        <item x="410"/>
        <item x="768"/>
        <item x="320"/>
        <item x="568"/>
        <item x="891"/>
        <item x="1030"/>
        <item x="363"/>
        <item x="975"/>
        <item x="264"/>
        <item x="529"/>
        <item x="867"/>
        <item x="717"/>
        <item x="934"/>
        <item x="908"/>
        <item x="277"/>
        <item x="675"/>
        <item x="159"/>
        <item x="378"/>
        <item x="482"/>
        <item x="291"/>
        <item x="322"/>
        <item x="47"/>
        <item x="899"/>
        <item x="685"/>
        <item x="1051"/>
        <item x="402"/>
        <item x="733"/>
        <item x="939"/>
        <item x="713"/>
        <item x="272"/>
        <item x="425"/>
        <item x="1011"/>
        <item x="1057"/>
        <item x="506"/>
        <item x="880"/>
        <item x="226"/>
        <item x="1082"/>
        <item x="780"/>
        <item x="554"/>
        <item x="638"/>
        <item x="602"/>
        <item x="234"/>
        <item x="308"/>
        <item x="92"/>
        <item x="745"/>
        <item x="95"/>
        <item x="117"/>
        <item x="760"/>
        <item x="300"/>
        <item x="371"/>
        <item x="661"/>
        <item x="106"/>
        <item x="355"/>
        <item x="1044"/>
        <item x="84"/>
        <item x="67"/>
        <item x="909"/>
        <item x="500"/>
        <item x="576"/>
        <item x="988"/>
        <item x="466"/>
        <item x="82"/>
        <item x="1061"/>
        <item x="69"/>
        <item x="870"/>
        <item x="126"/>
        <item x="442"/>
        <item x="938"/>
        <item x="875"/>
        <item x="913"/>
        <item x="622"/>
        <item x="357"/>
        <item x="549"/>
        <item x="894"/>
        <item x="655"/>
        <item x="230"/>
        <item x="77"/>
        <item x="544"/>
        <item x="295"/>
        <item x="422"/>
        <item x="997"/>
        <item x="990"/>
        <item x="276"/>
        <item x="301"/>
        <item x="28"/>
        <item x="873"/>
        <item x="360"/>
        <item x="708"/>
        <item x="608"/>
        <item x="498"/>
        <item x="454"/>
        <item x="596"/>
        <item x="840"/>
        <item x="1028"/>
        <item x="464"/>
        <item x="49"/>
        <item x="545"/>
        <item x="758"/>
        <item x="852"/>
        <item x="790"/>
        <item x="296"/>
        <item x="339"/>
        <item x="523"/>
        <item x="350"/>
        <item x="259"/>
        <item x="680"/>
        <item x="709"/>
        <item x="778"/>
        <item x="671"/>
        <item x="789"/>
        <item x="24"/>
        <item x="1032"/>
        <item x="201"/>
        <item x="427"/>
        <item x="1074"/>
        <item x="591"/>
        <item x="394"/>
        <item x="504"/>
        <item x="450"/>
        <item x="957"/>
        <item x="762"/>
        <item x="240"/>
        <item x="309"/>
        <item x="108"/>
        <item x="16"/>
        <item x="699"/>
        <item x="779"/>
        <item x="469"/>
        <item x="597"/>
        <item x="820"/>
        <item x="1076"/>
        <item x="1052"/>
        <item x="38"/>
        <item x="187"/>
        <item x="946"/>
        <item x="637"/>
        <item x="1067"/>
        <item x="932"/>
        <item x="856"/>
        <item x="282"/>
        <item x="373"/>
        <item x="401"/>
        <item x="1055"/>
        <item x="919"/>
        <item x="341"/>
        <item x="278"/>
        <item x="573"/>
        <item x="966"/>
        <item x="808"/>
        <item x="590"/>
        <item x="491"/>
        <item x="66"/>
        <item x="763"/>
        <item x="1077"/>
        <item x="52"/>
        <item x="118"/>
        <item x="142"/>
        <item x="91"/>
        <item x="39"/>
        <item x="265"/>
        <item x="311"/>
        <item x="333"/>
        <item x="1080"/>
        <item x="465"/>
        <item x="478"/>
        <item x="823"/>
        <item x="927"/>
        <item x="89"/>
        <item x="726"/>
        <item x="167"/>
        <item x="468"/>
        <item x="770"/>
        <item x="650"/>
        <item x="991"/>
        <item x="393"/>
        <item x="15"/>
        <item x="901"/>
        <item x="643"/>
        <item x="843"/>
        <item x="584"/>
        <item x="203"/>
        <item x="817"/>
        <item x="476"/>
        <item x="972"/>
        <item x="116"/>
        <item x="457"/>
        <item x="797"/>
        <item x="141"/>
        <item x="235"/>
        <item x="463"/>
        <item x="317"/>
        <item x="807"/>
        <item x="343"/>
        <item x="628"/>
        <item x="196"/>
        <item x="861"/>
        <item x="494"/>
        <item x="306"/>
        <item x="796"/>
        <item x="828"/>
        <item x="996"/>
        <item x="601"/>
        <item x="5"/>
        <item x="152"/>
        <item x="833"/>
        <item x="877"/>
        <item x="885"/>
        <item x="541"/>
        <item x="273"/>
        <item x="426"/>
        <item x="241"/>
        <item x="429"/>
        <item x="683"/>
        <item x="27"/>
        <item x="555"/>
        <item x="26"/>
        <item x="950"/>
        <item x="564"/>
        <item x="501"/>
        <item x="739"/>
        <item x="830"/>
        <item x="630"/>
        <item x="868"/>
        <item x="48"/>
        <item x="130"/>
        <item x="702"/>
        <item x="274"/>
        <item x="649"/>
        <item x="473"/>
        <item x="138"/>
        <item x="769"/>
        <item x="660"/>
        <item x="1041"/>
        <item x="200"/>
        <item x="579"/>
        <item x="418"/>
        <item x="639"/>
        <item x="170"/>
        <item x="352"/>
        <item x="916"/>
        <item x="859"/>
        <item x="447"/>
        <item x="280"/>
        <item x="897"/>
        <item x="417"/>
        <item x="61"/>
        <item x="4"/>
        <item x="255"/>
        <item x="578"/>
        <item x="626"/>
        <item x="400"/>
        <item x="156"/>
        <item x="192"/>
        <item x="236"/>
        <item x="804"/>
        <item x="202"/>
        <item x="188"/>
        <item x="603"/>
        <item x="184"/>
        <item x="431"/>
        <item x="419"/>
        <item x="970"/>
        <item x="78"/>
        <item x="144"/>
        <item x="1049"/>
        <item x="37"/>
        <item x="666"/>
        <item x="895"/>
        <item x="610"/>
        <item x="744"/>
        <item x="524"/>
        <item x="86"/>
        <item x="103"/>
        <item x="624"/>
        <item x="40"/>
        <item x="937"/>
        <item x="1014"/>
        <item x="423"/>
        <item x="123"/>
        <item x="787"/>
        <item x="94"/>
        <item x="636"/>
        <item x="707"/>
        <item x="157"/>
        <item x="698"/>
        <item x="324"/>
        <item x="1019"/>
        <item x="929"/>
        <item x="481"/>
        <item x="413"/>
        <item x="505"/>
        <item x="785"/>
        <item x="0"/>
        <item x="96"/>
        <item x="173"/>
        <item x="806"/>
        <item x="488"/>
        <item x="362"/>
        <item x="1053"/>
        <item x="749"/>
        <item x="987"/>
        <item x="487"/>
        <item x="150"/>
        <item x="335"/>
        <item x="803"/>
        <item x="1078"/>
        <item x="140"/>
        <item x="800"/>
        <item x="756"/>
        <item x="684"/>
        <item x="131"/>
        <item x="854"/>
        <item x="405"/>
        <item x="437"/>
        <item x="954"/>
        <item x="98"/>
        <item x="257"/>
        <item x="297"/>
        <item x="653"/>
        <item x="483"/>
        <item x="623"/>
        <item x="1025"/>
        <item x="824"/>
        <item x="952"/>
        <item x="670"/>
        <item x="435"/>
        <item x="100"/>
        <item x="1021"/>
        <item x="440"/>
        <item x="825"/>
        <item x="217"/>
        <item x="983"/>
        <item x="267"/>
        <item x="968"/>
        <item x="244"/>
        <item x="366"/>
        <item x="166"/>
        <item x="407"/>
        <item x="122"/>
        <item x="252"/>
        <item x="190"/>
        <item x="940"/>
        <item x="51"/>
        <item x="559"/>
        <item x="446"/>
        <item x="753"/>
        <item x="246"/>
        <item x="310"/>
        <item x="384"/>
        <item x="719"/>
        <item x="822"/>
        <item x="832"/>
        <item x="397"/>
        <item x="395"/>
        <item x="962"/>
        <item x="633"/>
        <item x="313"/>
        <item x="183"/>
        <item x="1034"/>
        <item x="664"/>
        <item x="883"/>
        <item x="704"/>
        <item x="645"/>
        <item x="585"/>
        <item x="676"/>
        <item x="327"/>
        <item x="720"/>
        <item x="725"/>
        <item x="903"/>
        <item x="205"/>
        <item x="775"/>
        <item x="1000"/>
        <item x="551"/>
        <item x="1070"/>
        <item x="114"/>
        <item x="978"/>
        <item x="247"/>
        <item x="752"/>
        <item x="125"/>
        <item x="1006"/>
        <item x="802"/>
        <item x="1016"/>
        <item x="836"/>
        <item x="737"/>
        <item x="777"/>
        <item x="986"/>
        <item x="942"/>
        <item x="342"/>
        <item x="438"/>
        <item x="535"/>
        <item x="1060"/>
        <item x="340"/>
        <item x="705"/>
        <item x="1024"/>
        <item x="810"/>
        <item x="1010"/>
        <item x="634"/>
        <item x="922"/>
        <item x="328"/>
        <item x="1026"/>
        <item x="268"/>
        <item x="254"/>
        <item x="672"/>
        <item x="224"/>
        <item x="736"/>
        <item x="143"/>
        <item x="382"/>
        <item x="764"/>
        <item x="304"/>
        <item x="1046"/>
        <item x="558"/>
        <item x="857"/>
        <item x="403"/>
        <item x="740"/>
        <item x="83"/>
        <item x="732"/>
        <item x="71"/>
        <item x="976"/>
        <item x="625"/>
        <item x="151"/>
        <item x="1003"/>
        <item x="519"/>
        <item x="648"/>
        <item x="841"/>
        <item x="120"/>
        <item x="621"/>
        <item x="553"/>
        <item x="198"/>
        <item x="689"/>
        <item x="480"/>
        <item x="694"/>
        <item x="926"/>
        <item x="674"/>
        <item x="164"/>
        <item x="484"/>
        <item x="279"/>
        <item x="730"/>
        <item x="815"/>
        <item x="221"/>
        <item x="849"/>
        <item x="581"/>
        <item x="493"/>
        <item x="243"/>
        <item x="1081"/>
        <item x="155"/>
        <item x="819"/>
        <item x="248"/>
        <item x="216"/>
        <item x="923"/>
        <item x="575"/>
        <item x="515"/>
        <item x="215"/>
        <item x="275"/>
        <item x="1050"/>
        <item x="792"/>
        <item x="556"/>
        <item x="1062"/>
        <item x="985"/>
        <item x="165"/>
        <item x="949"/>
        <item x="580"/>
        <item x="22"/>
        <item x="1001"/>
        <item x="299"/>
        <item x="55"/>
        <item x="6"/>
        <item x="331"/>
        <item x="1037"/>
        <item x="137"/>
        <item x="837"/>
        <item x="251"/>
        <item x="924"/>
        <item x="220"/>
        <item x="19"/>
        <item x="1073"/>
        <item x="866"/>
        <item x="755"/>
        <item x="774"/>
        <item x="1056"/>
        <item x="321"/>
        <item x="592"/>
        <item x="721"/>
        <item x="955"/>
        <item x="369"/>
        <item x="588"/>
        <item x="50"/>
        <item x="72"/>
        <item x="319"/>
        <item x="734"/>
        <item x="999"/>
        <item x="943"/>
        <item x="351"/>
        <item x="715"/>
        <item x="821"/>
        <item x="858"/>
        <item x="863"/>
        <item x="20"/>
        <item x="112"/>
        <item x="723"/>
        <item x="503"/>
        <item x="88"/>
        <item x="607"/>
        <item x="111"/>
        <item x="408"/>
        <item x="757"/>
        <item x="368"/>
        <item x="759"/>
        <item x="263"/>
        <item x="850"/>
        <item x="510"/>
        <item x="583"/>
        <item x="706"/>
        <item x="110"/>
        <item x="1031"/>
        <item x="642"/>
        <item x="532"/>
        <item x="811"/>
        <item x="406"/>
        <item x="520"/>
        <item x="1064"/>
        <item x="365"/>
        <item x="794"/>
        <item x="1020"/>
        <item x="134"/>
        <item x="160"/>
        <item x="565"/>
        <item x="127"/>
        <item x="1068"/>
        <item x="538"/>
        <item x="346"/>
        <item x="286"/>
        <item x="12"/>
        <item x="195"/>
        <item x="743"/>
        <item x="377"/>
        <item x="560"/>
        <item x="349"/>
        <item x="367"/>
        <item x="905"/>
        <item x="848"/>
        <item x="992"/>
        <item x="911"/>
        <item x="662"/>
        <item x="298"/>
        <item x="816"/>
        <item x="64"/>
        <item x="471"/>
        <item x="561"/>
        <item x="68"/>
        <item x="336"/>
        <item x="411"/>
        <item x="380"/>
        <item x="865"/>
        <item x="332"/>
        <item x="462"/>
        <item x="742"/>
        <item x="847"/>
        <item x="1069"/>
        <item x="445"/>
        <item x="388"/>
        <item x="316"/>
        <item x="654"/>
        <item x="210"/>
        <item x="814"/>
        <item x="59"/>
        <item x="567"/>
        <item x="233"/>
        <item x="881"/>
        <item x="599"/>
        <item x="11"/>
        <item x="627"/>
        <item x="136"/>
        <item x="963"/>
        <item x="712"/>
        <item x="974"/>
        <item x="73"/>
        <item x="443"/>
        <item x="813"/>
        <item x="75"/>
        <item x="928"/>
        <item x="14"/>
        <item x="735"/>
        <item x="222"/>
        <item x="199"/>
        <item x="598"/>
        <item x="646"/>
        <item x="179"/>
        <item x="606"/>
        <item x="329"/>
        <item x="697"/>
        <item x="657"/>
        <item x="206"/>
        <item x="853"/>
        <item x="416"/>
        <item x="227"/>
        <item x="915"/>
        <item x="1048"/>
        <item x="687"/>
        <item x="572"/>
        <item x="1012"/>
        <item x="148"/>
        <item x="132"/>
        <item x="612"/>
        <item x="958"/>
        <item x="692"/>
        <item x="379"/>
        <item x="571"/>
        <item x="951"/>
        <item x="421"/>
        <item x="414"/>
        <item x="292"/>
        <item x="212"/>
        <item x="1058"/>
        <item x="260"/>
        <item x="539"/>
        <item x="74"/>
        <item x="396"/>
        <item x="945"/>
        <item x="711"/>
        <item x="436"/>
        <item x="793"/>
        <item x="45"/>
        <item x="842"/>
        <item x="390"/>
        <item x="944"/>
        <item x="663"/>
        <item x="703"/>
        <item x="872"/>
        <item x="154"/>
        <item x="345"/>
        <item x="213"/>
        <item x="682"/>
        <item x="632"/>
        <item x="533"/>
        <item x="383"/>
        <item x="1009"/>
        <item x="617"/>
        <item x="967"/>
        <item x="17"/>
        <item x="119"/>
        <item x="186"/>
        <item x="898"/>
        <item x="884"/>
        <item x="1065"/>
        <item x="526"/>
        <item x="256"/>
        <item x="522"/>
        <item x="773"/>
        <item x="479"/>
        <item x="146"/>
        <item x="933"/>
        <item x="799"/>
        <item x="214"/>
        <item x="177"/>
        <item x="485"/>
        <item x="211"/>
        <item x="266"/>
        <item x="647"/>
        <item x="314"/>
        <item x="665"/>
        <item x="1075"/>
        <item x="489"/>
        <item x="404"/>
        <item x="525"/>
        <item x="509"/>
        <item x="961"/>
        <item x="960"/>
        <item x="644"/>
        <item x="1036"/>
        <item x="1018"/>
        <item x="839"/>
        <item x="305"/>
        <item x="696"/>
        <item x="864"/>
        <item x="604"/>
        <item x="63"/>
        <item x="302"/>
        <item x="530"/>
        <item x="1039"/>
        <item x="595"/>
        <item x="189"/>
        <item x="914"/>
        <item x="516"/>
        <item x="249"/>
        <item x="826"/>
        <item x="1063"/>
        <item x="587"/>
        <item x="795"/>
        <item x="921"/>
        <item x="600"/>
        <item x="695"/>
        <item x="668"/>
        <item x="245"/>
        <item x="398"/>
        <item x="218"/>
        <item x="386"/>
        <item x="562"/>
        <item x="640"/>
        <item x="169"/>
        <item x="36"/>
        <item x="271"/>
        <item x="1"/>
        <item x="70"/>
        <item x="618"/>
        <item x="935"/>
        <item x="250"/>
        <item x="1083"/>
        <item x="1008"/>
        <item x="781"/>
        <item x="1033"/>
        <item x="907"/>
        <item x="207"/>
        <item x="971"/>
        <item x="237"/>
        <item x="681"/>
        <item x="925"/>
        <item x="470"/>
        <item x="900"/>
        <item x="593"/>
        <item x="818"/>
        <item x="747"/>
        <item x="163"/>
        <item x="798"/>
        <item x="1054"/>
        <item x="270"/>
        <item x="834"/>
        <item x="751"/>
        <item x="376"/>
        <item x="718"/>
        <item x="194"/>
        <item x="1072"/>
        <item x="290"/>
        <item x="700"/>
        <item x="344"/>
        <item x="893"/>
        <item x="614"/>
        <item x="659"/>
        <item x="936"/>
        <item x="656"/>
        <item x="176"/>
        <item x="258"/>
        <item x="782"/>
        <item x="871"/>
        <item x="25"/>
        <item x="149"/>
        <item x="729"/>
        <item x="496"/>
        <item x="979"/>
        <item x="652"/>
        <item x="1040"/>
        <item x="1013"/>
        <item x="994"/>
        <item x="776"/>
        <item x="540"/>
        <item x="434"/>
        <item x="456"/>
        <item x="886"/>
        <item x="876"/>
        <item x="303"/>
        <item x="228"/>
        <item x="326"/>
        <item x="175"/>
        <item x="722"/>
        <item x="238"/>
        <item x="969"/>
        <item x="557"/>
        <item x="432"/>
        <item x="32"/>
        <item x="714"/>
        <item x="318"/>
        <item x="102"/>
        <item x="174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Funded Amount" fld="2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67FD8-BFDF-42F0-9284-15AF8AB35A3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4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086">
        <item x="947"/>
        <item x="10"/>
        <item x="361"/>
        <item x="461"/>
        <item x="452"/>
        <item x="93"/>
        <item x="829"/>
        <item x="381"/>
        <item x="998"/>
        <item x="513"/>
        <item x="860"/>
        <item x="46"/>
        <item x="107"/>
        <item x="65"/>
        <item x="831"/>
        <item x="223"/>
        <item x="294"/>
        <item x="172"/>
        <item x="21"/>
        <item x="693"/>
        <item x="229"/>
        <item x="449"/>
        <item x="543"/>
        <item x="537"/>
        <item x="879"/>
        <item x="658"/>
        <item x="392"/>
        <item x="862"/>
        <item x="439"/>
        <item x="589"/>
        <item x="688"/>
        <item x="1017"/>
        <item x="348"/>
        <item x="31"/>
        <item x="609"/>
        <item x="54"/>
        <item x="193"/>
        <item x="458"/>
        <item x="180"/>
        <item x="242"/>
        <item x="13"/>
        <item x="1059"/>
        <item x="517"/>
        <item x="965"/>
        <item x="153"/>
        <item x="767"/>
        <item x="430"/>
        <item x="805"/>
        <item x="145"/>
        <item x="788"/>
        <item x="81"/>
        <item x="1015"/>
        <item x="570"/>
        <item x="888"/>
        <item x="129"/>
        <item x="337"/>
        <item x="1035"/>
        <item x="959"/>
        <item x="76"/>
        <item x="851"/>
        <item x="754"/>
        <item x="686"/>
        <item x="499"/>
        <item x="724"/>
        <item x="534"/>
        <item x="904"/>
        <item x="399"/>
        <item x="99"/>
        <item x="1071"/>
        <item x="104"/>
        <item x="409"/>
        <item x="307"/>
        <item x="1023"/>
        <item x="18"/>
        <item x="3"/>
        <item x="930"/>
        <item x="353"/>
        <item x="161"/>
        <item x="171"/>
        <item x="97"/>
        <item x="197"/>
        <item x="508"/>
        <item x="728"/>
        <item x="512"/>
        <item x="941"/>
        <item x="507"/>
        <item x="359"/>
        <item x="57"/>
        <item x="58"/>
        <item x="1045"/>
        <item x="931"/>
        <item x="869"/>
        <item x="375"/>
        <item x="412"/>
        <item x="158"/>
        <item x="566"/>
        <item x="995"/>
        <item x="135"/>
        <item x="121"/>
        <item x="1038"/>
        <item x="546"/>
        <item x="845"/>
        <item x="902"/>
        <item x="984"/>
        <item x="178"/>
        <item x="85"/>
        <item x="288"/>
        <item x="490"/>
        <item x="582"/>
        <item x="527"/>
        <item x="475"/>
        <item x="374"/>
        <item x="1007"/>
        <item x="8"/>
        <item x="761"/>
        <item x="289"/>
        <item x="917"/>
        <item x="518"/>
        <item x="514"/>
        <item x="60"/>
        <item x="486"/>
        <item x="182"/>
        <item x="87"/>
        <item x="827"/>
        <item x="474"/>
        <item x="550"/>
        <item x="574"/>
        <item x="492"/>
        <item x="281"/>
        <item x="315"/>
        <item x="34"/>
        <item x="615"/>
        <item x="334"/>
        <item x="542"/>
        <item x="750"/>
        <item x="204"/>
        <item x="838"/>
        <item x="738"/>
        <item x="162"/>
        <item x="7"/>
        <item x="451"/>
        <item x="1084"/>
        <item x="910"/>
        <item x="993"/>
        <item x="878"/>
        <item x="428"/>
        <item x="577"/>
        <item x="677"/>
        <item x="783"/>
        <item x="79"/>
        <item x="1043"/>
        <item x="56"/>
        <item x="727"/>
        <item x="269"/>
        <item x="147"/>
        <item x="459"/>
        <item x="477"/>
        <item x="455"/>
        <item x="791"/>
        <item x="370"/>
        <item x="239"/>
        <item x="325"/>
        <item x="691"/>
        <item x="41"/>
        <item x="1022"/>
        <item x="124"/>
        <item x="547"/>
        <item x="616"/>
        <item x="887"/>
        <item x="495"/>
        <item x="1066"/>
        <item x="948"/>
        <item x="105"/>
        <item x="472"/>
        <item x="619"/>
        <item x="109"/>
        <item x="115"/>
        <item x="731"/>
        <item x="232"/>
        <item x="844"/>
        <item x="23"/>
        <item x="497"/>
        <item x="977"/>
        <item x="53"/>
        <item x="741"/>
        <item x="973"/>
        <item x="358"/>
        <item x="765"/>
        <item x="372"/>
        <item x="467"/>
        <item x="920"/>
        <item x="835"/>
        <item x="1042"/>
        <item x="444"/>
        <item x="1004"/>
        <item x="981"/>
        <item x="261"/>
        <item x="35"/>
        <item x="128"/>
        <item x="771"/>
        <item x="262"/>
        <item x="287"/>
        <item x="531"/>
        <item x="133"/>
        <item x="391"/>
        <item x="548"/>
        <item x="746"/>
        <item x="312"/>
        <item x="185"/>
        <item x="231"/>
        <item x="285"/>
        <item x="80"/>
        <item x="424"/>
        <item x="892"/>
        <item x="846"/>
        <item x="918"/>
        <item x="1029"/>
        <item x="536"/>
        <item x="613"/>
        <item x="448"/>
        <item x="635"/>
        <item x="284"/>
        <item x="2"/>
        <item x="387"/>
        <item x="420"/>
        <item x="801"/>
        <item x="716"/>
        <item x="90"/>
        <item x="953"/>
        <item x="669"/>
        <item x="1005"/>
        <item x="896"/>
        <item x="855"/>
        <item x="874"/>
        <item x="29"/>
        <item x="354"/>
        <item x="33"/>
        <item x="521"/>
        <item x="629"/>
        <item x="219"/>
        <item x="1002"/>
        <item x="889"/>
        <item x="563"/>
        <item x="812"/>
        <item x="786"/>
        <item x="139"/>
        <item x="906"/>
        <item x="1027"/>
        <item x="912"/>
        <item x="356"/>
        <item x="605"/>
        <item x="766"/>
        <item x="748"/>
        <item x="283"/>
        <item x="701"/>
        <item x="784"/>
        <item x="673"/>
        <item x="101"/>
        <item x="809"/>
        <item x="989"/>
        <item x="453"/>
        <item x="772"/>
        <item x="679"/>
        <item x="956"/>
        <item x="389"/>
        <item x="42"/>
        <item x="667"/>
        <item x="44"/>
        <item x="890"/>
        <item x="620"/>
        <item x="710"/>
        <item x="586"/>
        <item x="9"/>
        <item x="528"/>
        <item x="338"/>
        <item x="62"/>
        <item x="460"/>
        <item x="641"/>
        <item x="611"/>
        <item x="552"/>
        <item x="330"/>
        <item x="882"/>
        <item x="651"/>
        <item x="323"/>
        <item x="253"/>
        <item x="502"/>
        <item x="678"/>
        <item x="364"/>
        <item x="168"/>
        <item x="433"/>
        <item x="631"/>
        <item x="511"/>
        <item x="30"/>
        <item x="208"/>
        <item x="1047"/>
        <item x="347"/>
        <item x="594"/>
        <item x="1079"/>
        <item x="415"/>
        <item x="293"/>
        <item x="980"/>
        <item x="43"/>
        <item x="690"/>
        <item x="441"/>
        <item x="569"/>
        <item x="209"/>
        <item x="113"/>
        <item x="982"/>
        <item x="964"/>
        <item x="191"/>
        <item x="225"/>
        <item x="385"/>
        <item x="181"/>
        <item x="410"/>
        <item x="768"/>
        <item x="320"/>
        <item x="568"/>
        <item x="891"/>
        <item x="1030"/>
        <item x="363"/>
        <item x="975"/>
        <item x="264"/>
        <item x="529"/>
        <item x="867"/>
        <item x="717"/>
        <item x="934"/>
        <item x="908"/>
        <item x="277"/>
        <item x="675"/>
        <item x="159"/>
        <item x="378"/>
        <item x="482"/>
        <item x="291"/>
        <item x="322"/>
        <item x="47"/>
        <item x="899"/>
        <item x="685"/>
        <item x="1051"/>
        <item x="402"/>
        <item x="733"/>
        <item x="939"/>
        <item x="713"/>
        <item x="272"/>
        <item x="425"/>
        <item x="1011"/>
        <item x="1057"/>
        <item x="506"/>
        <item x="880"/>
        <item x="226"/>
        <item x="1082"/>
        <item x="780"/>
        <item x="554"/>
        <item x="638"/>
        <item x="602"/>
        <item x="234"/>
        <item x="308"/>
        <item x="92"/>
        <item x="745"/>
        <item x="95"/>
        <item x="117"/>
        <item x="760"/>
        <item x="300"/>
        <item x="371"/>
        <item x="661"/>
        <item x="106"/>
        <item x="355"/>
        <item x="1044"/>
        <item x="84"/>
        <item x="67"/>
        <item x="909"/>
        <item x="500"/>
        <item x="576"/>
        <item x="988"/>
        <item x="466"/>
        <item x="82"/>
        <item x="1061"/>
        <item x="69"/>
        <item x="870"/>
        <item x="126"/>
        <item x="442"/>
        <item x="938"/>
        <item x="875"/>
        <item x="913"/>
        <item x="622"/>
        <item x="357"/>
        <item x="549"/>
        <item x="894"/>
        <item x="655"/>
        <item x="230"/>
        <item x="77"/>
        <item x="544"/>
        <item x="295"/>
        <item x="422"/>
        <item x="997"/>
        <item x="990"/>
        <item x="276"/>
        <item x="301"/>
        <item x="28"/>
        <item x="873"/>
        <item x="360"/>
        <item x="708"/>
        <item x="608"/>
        <item x="498"/>
        <item x="454"/>
        <item x="596"/>
        <item x="840"/>
        <item x="1028"/>
        <item x="464"/>
        <item x="49"/>
        <item x="545"/>
        <item x="758"/>
        <item x="852"/>
        <item x="790"/>
        <item x="296"/>
        <item x="339"/>
        <item x="523"/>
        <item x="350"/>
        <item x="259"/>
        <item x="680"/>
        <item x="709"/>
        <item x="778"/>
        <item x="671"/>
        <item x="789"/>
        <item x="24"/>
        <item x="1032"/>
        <item x="201"/>
        <item x="427"/>
        <item x="1074"/>
        <item x="591"/>
        <item x="394"/>
        <item x="504"/>
        <item x="450"/>
        <item x="957"/>
        <item x="762"/>
        <item x="240"/>
        <item x="309"/>
        <item x="108"/>
        <item x="16"/>
        <item x="699"/>
        <item x="779"/>
        <item x="469"/>
        <item x="597"/>
        <item x="820"/>
        <item x="1076"/>
        <item x="1052"/>
        <item x="38"/>
        <item x="187"/>
        <item x="946"/>
        <item x="637"/>
        <item x="1067"/>
        <item x="932"/>
        <item x="856"/>
        <item x="282"/>
        <item x="373"/>
        <item x="401"/>
        <item x="1055"/>
        <item x="919"/>
        <item x="341"/>
        <item x="278"/>
        <item x="573"/>
        <item x="966"/>
        <item x="808"/>
        <item x="590"/>
        <item x="491"/>
        <item x="66"/>
        <item x="763"/>
        <item x="1077"/>
        <item x="52"/>
        <item x="118"/>
        <item x="142"/>
        <item x="91"/>
        <item x="39"/>
        <item x="265"/>
        <item x="311"/>
        <item x="333"/>
        <item x="1080"/>
        <item x="465"/>
        <item x="478"/>
        <item x="823"/>
        <item x="927"/>
        <item x="89"/>
        <item x="726"/>
        <item x="167"/>
        <item x="468"/>
        <item x="770"/>
        <item x="650"/>
        <item x="991"/>
        <item x="393"/>
        <item x="15"/>
        <item x="901"/>
        <item x="643"/>
        <item x="843"/>
        <item x="584"/>
        <item x="203"/>
        <item x="817"/>
        <item x="476"/>
        <item x="972"/>
        <item x="116"/>
        <item x="457"/>
        <item x="797"/>
        <item x="141"/>
        <item x="235"/>
        <item x="463"/>
        <item x="317"/>
        <item x="807"/>
        <item x="343"/>
        <item x="628"/>
        <item x="196"/>
        <item x="861"/>
        <item x="494"/>
        <item x="306"/>
        <item x="796"/>
        <item x="828"/>
        <item x="996"/>
        <item x="601"/>
        <item x="5"/>
        <item x="152"/>
        <item x="833"/>
        <item x="877"/>
        <item x="885"/>
        <item x="541"/>
        <item x="273"/>
        <item x="426"/>
        <item x="241"/>
        <item x="429"/>
        <item x="683"/>
        <item x="27"/>
        <item x="555"/>
        <item x="26"/>
        <item x="950"/>
        <item x="564"/>
        <item x="501"/>
        <item x="739"/>
        <item x="830"/>
        <item x="630"/>
        <item x="868"/>
        <item x="48"/>
        <item x="130"/>
        <item x="702"/>
        <item x="274"/>
        <item x="649"/>
        <item x="473"/>
        <item x="138"/>
        <item x="769"/>
        <item x="660"/>
        <item x="1041"/>
        <item x="200"/>
        <item x="579"/>
        <item x="418"/>
        <item x="639"/>
        <item x="170"/>
        <item x="352"/>
        <item x="916"/>
        <item x="859"/>
        <item x="447"/>
        <item x="280"/>
        <item x="897"/>
        <item x="417"/>
        <item x="61"/>
        <item x="4"/>
        <item x="255"/>
        <item x="578"/>
        <item x="626"/>
        <item x="400"/>
        <item x="156"/>
        <item x="192"/>
        <item x="236"/>
        <item x="804"/>
        <item x="202"/>
        <item x="188"/>
        <item x="603"/>
        <item x="184"/>
        <item x="431"/>
        <item x="419"/>
        <item x="970"/>
        <item x="78"/>
        <item x="144"/>
        <item x="1049"/>
        <item x="37"/>
        <item x="666"/>
        <item x="895"/>
        <item x="610"/>
        <item x="744"/>
        <item x="524"/>
        <item x="86"/>
        <item x="103"/>
        <item x="624"/>
        <item x="40"/>
        <item x="937"/>
        <item x="1014"/>
        <item x="423"/>
        <item x="123"/>
        <item x="787"/>
        <item x="94"/>
        <item x="636"/>
        <item x="707"/>
        <item x="157"/>
        <item x="698"/>
        <item x="324"/>
        <item x="1019"/>
        <item x="929"/>
        <item x="481"/>
        <item x="413"/>
        <item x="505"/>
        <item x="785"/>
        <item x="0"/>
        <item x="96"/>
        <item x="173"/>
        <item x="806"/>
        <item x="488"/>
        <item x="362"/>
        <item x="1053"/>
        <item x="749"/>
        <item x="987"/>
        <item x="487"/>
        <item x="150"/>
        <item x="335"/>
        <item x="803"/>
        <item x="1078"/>
        <item x="140"/>
        <item x="800"/>
        <item x="756"/>
        <item x="684"/>
        <item x="131"/>
        <item x="854"/>
        <item x="405"/>
        <item x="437"/>
        <item x="954"/>
        <item x="98"/>
        <item x="257"/>
        <item x="297"/>
        <item x="653"/>
        <item x="483"/>
        <item x="623"/>
        <item x="1025"/>
        <item x="824"/>
        <item x="952"/>
        <item x="670"/>
        <item x="435"/>
        <item x="100"/>
        <item x="1021"/>
        <item x="440"/>
        <item x="825"/>
        <item x="217"/>
        <item x="983"/>
        <item x="267"/>
        <item x="968"/>
        <item x="244"/>
        <item x="366"/>
        <item x="166"/>
        <item x="407"/>
        <item x="122"/>
        <item x="252"/>
        <item x="190"/>
        <item x="940"/>
        <item x="51"/>
        <item x="559"/>
        <item x="446"/>
        <item x="753"/>
        <item x="246"/>
        <item x="310"/>
        <item x="384"/>
        <item x="719"/>
        <item x="822"/>
        <item x="832"/>
        <item x="397"/>
        <item x="395"/>
        <item x="962"/>
        <item x="633"/>
        <item x="313"/>
        <item x="183"/>
        <item x="1034"/>
        <item x="664"/>
        <item x="883"/>
        <item x="704"/>
        <item x="645"/>
        <item x="585"/>
        <item x="676"/>
        <item x="327"/>
        <item x="720"/>
        <item x="725"/>
        <item x="903"/>
        <item x="205"/>
        <item x="775"/>
        <item x="1000"/>
        <item x="551"/>
        <item x="1070"/>
        <item x="114"/>
        <item x="978"/>
        <item x="247"/>
        <item x="752"/>
        <item x="125"/>
        <item x="1006"/>
        <item x="802"/>
        <item x="1016"/>
        <item x="836"/>
        <item x="737"/>
        <item x="777"/>
        <item x="986"/>
        <item x="942"/>
        <item x="342"/>
        <item x="438"/>
        <item x="535"/>
        <item x="1060"/>
        <item x="340"/>
        <item x="705"/>
        <item x="1024"/>
        <item x="810"/>
        <item x="1010"/>
        <item x="634"/>
        <item x="922"/>
        <item x="328"/>
        <item x="1026"/>
        <item x="268"/>
        <item x="254"/>
        <item x="672"/>
        <item x="224"/>
        <item x="736"/>
        <item x="143"/>
        <item x="382"/>
        <item x="764"/>
        <item x="304"/>
        <item x="1046"/>
        <item x="558"/>
        <item x="857"/>
        <item x="403"/>
        <item x="740"/>
        <item x="83"/>
        <item x="732"/>
        <item x="71"/>
        <item x="976"/>
        <item x="625"/>
        <item x="151"/>
        <item x="1003"/>
        <item x="519"/>
        <item x="648"/>
        <item x="841"/>
        <item x="120"/>
        <item x="621"/>
        <item x="553"/>
        <item x="198"/>
        <item x="689"/>
        <item x="480"/>
        <item x="694"/>
        <item x="926"/>
        <item x="674"/>
        <item x="164"/>
        <item x="484"/>
        <item x="279"/>
        <item x="730"/>
        <item x="815"/>
        <item x="221"/>
        <item x="849"/>
        <item x="581"/>
        <item x="493"/>
        <item x="243"/>
        <item x="1081"/>
        <item x="155"/>
        <item x="819"/>
        <item x="248"/>
        <item x="216"/>
        <item x="923"/>
        <item x="575"/>
        <item x="515"/>
        <item x="215"/>
        <item x="275"/>
        <item x="1050"/>
        <item x="792"/>
        <item x="556"/>
        <item x="1062"/>
        <item x="985"/>
        <item x="165"/>
        <item x="949"/>
        <item x="580"/>
        <item x="22"/>
        <item x="1001"/>
        <item x="299"/>
        <item x="55"/>
        <item x="6"/>
        <item x="331"/>
        <item x="1037"/>
        <item x="137"/>
        <item x="837"/>
        <item x="251"/>
        <item x="924"/>
        <item x="220"/>
        <item x="19"/>
        <item x="1073"/>
        <item x="866"/>
        <item x="755"/>
        <item x="774"/>
        <item x="1056"/>
        <item x="321"/>
        <item x="592"/>
        <item x="721"/>
        <item x="955"/>
        <item x="369"/>
        <item x="588"/>
        <item x="50"/>
        <item x="72"/>
        <item x="319"/>
        <item x="734"/>
        <item x="999"/>
        <item x="943"/>
        <item x="351"/>
        <item x="715"/>
        <item x="821"/>
        <item x="858"/>
        <item x="863"/>
        <item x="20"/>
        <item x="112"/>
        <item x="723"/>
        <item x="503"/>
        <item x="88"/>
        <item x="607"/>
        <item x="111"/>
        <item x="408"/>
        <item x="757"/>
        <item x="368"/>
        <item x="759"/>
        <item x="263"/>
        <item x="850"/>
        <item x="510"/>
        <item x="583"/>
        <item x="706"/>
        <item x="110"/>
        <item x="1031"/>
        <item x="642"/>
        <item x="532"/>
        <item x="811"/>
        <item x="406"/>
        <item x="520"/>
        <item x="1064"/>
        <item x="365"/>
        <item x="794"/>
        <item x="1020"/>
        <item x="134"/>
        <item x="160"/>
        <item x="565"/>
        <item x="127"/>
        <item x="1068"/>
        <item x="538"/>
        <item x="346"/>
        <item x="286"/>
        <item x="12"/>
        <item x="195"/>
        <item x="743"/>
        <item x="377"/>
        <item x="560"/>
        <item x="349"/>
        <item x="367"/>
        <item x="905"/>
        <item x="848"/>
        <item x="992"/>
        <item x="911"/>
        <item x="662"/>
        <item x="298"/>
        <item x="816"/>
        <item x="64"/>
        <item x="471"/>
        <item x="561"/>
        <item x="68"/>
        <item x="336"/>
        <item x="411"/>
        <item x="380"/>
        <item x="865"/>
        <item x="332"/>
        <item x="462"/>
        <item x="742"/>
        <item x="847"/>
        <item x="1069"/>
        <item x="445"/>
        <item x="388"/>
        <item x="316"/>
        <item x="654"/>
        <item x="210"/>
        <item x="814"/>
        <item x="59"/>
        <item x="567"/>
        <item x="233"/>
        <item x="881"/>
        <item x="599"/>
        <item x="11"/>
        <item x="627"/>
        <item x="136"/>
        <item x="963"/>
        <item x="712"/>
        <item x="974"/>
        <item x="73"/>
        <item x="443"/>
        <item x="813"/>
        <item x="75"/>
        <item x="928"/>
        <item x="14"/>
        <item x="735"/>
        <item x="222"/>
        <item x="199"/>
        <item x="598"/>
        <item x="646"/>
        <item x="179"/>
        <item x="606"/>
        <item x="329"/>
        <item x="697"/>
        <item x="657"/>
        <item x="206"/>
        <item x="853"/>
        <item x="416"/>
        <item x="227"/>
        <item x="915"/>
        <item x="1048"/>
        <item x="687"/>
        <item x="572"/>
        <item x="1012"/>
        <item x="148"/>
        <item x="132"/>
        <item x="612"/>
        <item x="958"/>
        <item x="692"/>
        <item x="379"/>
        <item x="571"/>
        <item x="951"/>
        <item x="421"/>
        <item x="414"/>
        <item x="292"/>
        <item x="212"/>
        <item x="1058"/>
        <item x="260"/>
        <item x="539"/>
        <item x="74"/>
        <item x="396"/>
        <item x="945"/>
        <item x="711"/>
        <item x="436"/>
        <item x="793"/>
        <item x="45"/>
        <item x="842"/>
        <item x="390"/>
        <item x="944"/>
        <item x="663"/>
        <item x="703"/>
        <item x="872"/>
        <item x="154"/>
        <item x="345"/>
        <item x="213"/>
        <item x="682"/>
        <item x="632"/>
        <item x="533"/>
        <item x="383"/>
        <item x="1009"/>
        <item x="617"/>
        <item x="967"/>
        <item x="17"/>
        <item x="119"/>
        <item x="186"/>
        <item x="898"/>
        <item x="884"/>
        <item x="1065"/>
        <item x="526"/>
        <item x="256"/>
        <item x="522"/>
        <item x="773"/>
        <item x="479"/>
        <item x="146"/>
        <item x="933"/>
        <item x="799"/>
        <item x="214"/>
        <item x="177"/>
        <item x="485"/>
        <item x="211"/>
        <item x="266"/>
        <item x="647"/>
        <item x="314"/>
        <item x="665"/>
        <item x="1075"/>
        <item x="489"/>
        <item x="404"/>
        <item x="525"/>
        <item x="509"/>
        <item x="961"/>
        <item x="960"/>
        <item x="644"/>
        <item x="1036"/>
        <item x="1018"/>
        <item x="839"/>
        <item x="305"/>
        <item x="696"/>
        <item x="864"/>
        <item x="604"/>
        <item x="63"/>
        <item x="302"/>
        <item x="530"/>
        <item x="1039"/>
        <item x="595"/>
        <item x="189"/>
        <item x="914"/>
        <item x="516"/>
        <item x="249"/>
        <item x="826"/>
        <item x="1063"/>
        <item x="587"/>
        <item x="795"/>
        <item x="921"/>
        <item x="600"/>
        <item x="695"/>
        <item x="668"/>
        <item x="245"/>
        <item x="398"/>
        <item x="218"/>
        <item x="386"/>
        <item x="562"/>
        <item x="640"/>
        <item x="169"/>
        <item x="36"/>
        <item x="271"/>
        <item x="1"/>
        <item x="70"/>
        <item x="618"/>
        <item x="935"/>
        <item x="250"/>
        <item x="1083"/>
        <item x="1008"/>
        <item x="781"/>
        <item x="1033"/>
        <item x="907"/>
        <item x="207"/>
        <item x="971"/>
        <item x="237"/>
        <item x="681"/>
        <item x="925"/>
        <item x="470"/>
        <item x="900"/>
        <item x="593"/>
        <item x="818"/>
        <item x="747"/>
        <item x="163"/>
        <item x="798"/>
        <item x="1054"/>
        <item x="270"/>
        <item x="834"/>
        <item x="751"/>
        <item x="376"/>
        <item x="718"/>
        <item x="194"/>
        <item x="1072"/>
        <item x="290"/>
        <item x="700"/>
        <item x="344"/>
        <item x="893"/>
        <item x="614"/>
        <item x="659"/>
        <item x="936"/>
        <item x="656"/>
        <item x="176"/>
        <item x="258"/>
        <item x="782"/>
        <item x="871"/>
        <item x="25"/>
        <item x="149"/>
        <item x="729"/>
        <item x="496"/>
        <item x="979"/>
        <item x="652"/>
        <item x="1040"/>
        <item x="1013"/>
        <item x="994"/>
        <item x="776"/>
        <item x="540"/>
        <item x="434"/>
        <item x="456"/>
        <item x="886"/>
        <item x="876"/>
        <item x="303"/>
        <item x="228"/>
        <item x="326"/>
        <item x="175"/>
        <item x="722"/>
        <item x="238"/>
        <item x="969"/>
        <item x="557"/>
        <item x="432"/>
        <item x="32"/>
        <item x="714"/>
        <item x="318"/>
        <item x="102"/>
        <item x="17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1">
    <i>
      <x v="50"/>
    </i>
    <i>
      <x v="92"/>
    </i>
    <i>
      <x v="135"/>
    </i>
    <i>
      <x v="236"/>
    </i>
    <i>
      <x v="257"/>
    </i>
    <i>
      <x v="378"/>
    </i>
    <i>
      <x v="615"/>
    </i>
    <i>
      <x v="687"/>
    </i>
    <i>
      <x v="862"/>
    </i>
    <i>
      <x v="1007"/>
    </i>
    <i t="grand">
      <x/>
    </i>
  </rowItems>
  <colItems count="1">
    <i/>
  </colItems>
  <dataFields count="1">
    <dataField name="Sum of Total Loan Applications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A5394-DEC5-46A3-901B-4BFFDD66EA7A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95:B106" firstHeaderRow="1" firstDataRow="1" firstDataCol="1"/>
  <pivotFields count="34">
    <pivotField showAll="0"/>
    <pivotField axis="axisRow" showAll="0" measureFilter="1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86">
        <item x="947"/>
        <item x="10"/>
        <item x="361"/>
        <item x="461"/>
        <item x="452"/>
        <item x="93"/>
        <item x="829"/>
        <item x="381"/>
        <item x="998"/>
        <item x="513"/>
        <item x="860"/>
        <item x="46"/>
        <item x="107"/>
        <item x="65"/>
        <item x="831"/>
        <item x="223"/>
        <item x="294"/>
        <item x="172"/>
        <item x="21"/>
        <item x="693"/>
        <item x="229"/>
        <item x="449"/>
        <item x="543"/>
        <item x="537"/>
        <item x="879"/>
        <item x="658"/>
        <item x="392"/>
        <item x="862"/>
        <item x="439"/>
        <item x="589"/>
        <item x="688"/>
        <item x="1017"/>
        <item x="348"/>
        <item x="31"/>
        <item x="609"/>
        <item x="54"/>
        <item x="193"/>
        <item x="458"/>
        <item x="180"/>
        <item x="242"/>
        <item x="13"/>
        <item x="1059"/>
        <item x="517"/>
        <item x="965"/>
        <item x="153"/>
        <item x="767"/>
        <item x="430"/>
        <item x="805"/>
        <item x="145"/>
        <item x="788"/>
        <item x="81"/>
        <item x="1015"/>
        <item x="570"/>
        <item x="888"/>
        <item x="129"/>
        <item x="337"/>
        <item x="1035"/>
        <item x="959"/>
        <item x="76"/>
        <item x="851"/>
        <item x="754"/>
        <item x="686"/>
        <item x="499"/>
        <item x="724"/>
        <item x="534"/>
        <item x="904"/>
        <item x="399"/>
        <item x="99"/>
        <item x="1071"/>
        <item x="104"/>
        <item x="409"/>
        <item x="307"/>
        <item x="1023"/>
        <item x="18"/>
        <item x="3"/>
        <item x="930"/>
        <item x="353"/>
        <item x="161"/>
        <item x="171"/>
        <item x="97"/>
        <item x="197"/>
        <item x="508"/>
        <item x="728"/>
        <item x="512"/>
        <item x="941"/>
        <item x="507"/>
        <item x="359"/>
        <item x="57"/>
        <item x="58"/>
        <item x="1045"/>
        <item x="931"/>
        <item x="869"/>
        <item x="375"/>
        <item x="412"/>
        <item x="158"/>
        <item x="566"/>
        <item x="995"/>
        <item x="135"/>
        <item x="121"/>
        <item x="1038"/>
        <item x="546"/>
        <item x="845"/>
        <item x="902"/>
        <item x="984"/>
        <item x="178"/>
        <item x="85"/>
        <item x="288"/>
        <item x="490"/>
        <item x="582"/>
        <item x="527"/>
        <item x="475"/>
        <item x="374"/>
        <item x="1007"/>
        <item x="8"/>
        <item x="761"/>
        <item x="289"/>
        <item x="917"/>
        <item x="518"/>
        <item x="514"/>
        <item x="60"/>
        <item x="486"/>
        <item x="182"/>
        <item x="87"/>
        <item x="827"/>
        <item x="474"/>
        <item x="550"/>
        <item x="574"/>
        <item x="492"/>
        <item x="281"/>
        <item x="315"/>
        <item x="34"/>
        <item x="615"/>
        <item x="334"/>
        <item x="542"/>
        <item x="750"/>
        <item x="204"/>
        <item x="838"/>
        <item x="738"/>
        <item x="162"/>
        <item x="7"/>
        <item x="451"/>
        <item x="1084"/>
        <item x="910"/>
        <item x="993"/>
        <item x="878"/>
        <item x="428"/>
        <item x="577"/>
        <item x="677"/>
        <item x="783"/>
        <item x="79"/>
        <item x="1043"/>
        <item x="56"/>
        <item x="727"/>
        <item x="269"/>
        <item x="147"/>
        <item x="459"/>
        <item x="477"/>
        <item x="455"/>
        <item x="791"/>
        <item x="370"/>
        <item x="239"/>
        <item x="325"/>
        <item x="691"/>
        <item x="41"/>
        <item x="1022"/>
        <item x="124"/>
        <item x="547"/>
        <item x="616"/>
        <item x="887"/>
        <item x="495"/>
        <item x="1066"/>
        <item x="948"/>
        <item x="105"/>
        <item x="472"/>
        <item x="619"/>
        <item x="109"/>
        <item x="115"/>
        <item x="731"/>
        <item x="232"/>
        <item x="844"/>
        <item x="23"/>
        <item x="497"/>
        <item x="977"/>
        <item x="53"/>
        <item x="741"/>
        <item x="973"/>
        <item x="358"/>
        <item x="765"/>
        <item x="372"/>
        <item x="467"/>
        <item x="920"/>
        <item x="835"/>
        <item x="1042"/>
        <item x="444"/>
        <item x="1004"/>
        <item x="981"/>
        <item x="261"/>
        <item x="35"/>
        <item x="128"/>
        <item x="771"/>
        <item x="262"/>
        <item x="287"/>
        <item x="531"/>
        <item x="133"/>
        <item x="391"/>
        <item x="548"/>
        <item x="746"/>
        <item x="312"/>
        <item x="185"/>
        <item x="231"/>
        <item x="285"/>
        <item x="80"/>
        <item x="424"/>
        <item x="892"/>
        <item x="846"/>
        <item x="918"/>
        <item x="1029"/>
        <item x="536"/>
        <item x="613"/>
        <item x="448"/>
        <item x="635"/>
        <item x="284"/>
        <item x="2"/>
        <item x="387"/>
        <item x="420"/>
        <item x="801"/>
        <item x="716"/>
        <item x="90"/>
        <item x="953"/>
        <item x="669"/>
        <item x="1005"/>
        <item x="896"/>
        <item x="855"/>
        <item x="874"/>
        <item x="29"/>
        <item x="354"/>
        <item x="33"/>
        <item x="521"/>
        <item x="629"/>
        <item x="219"/>
        <item x="1002"/>
        <item x="889"/>
        <item x="563"/>
        <item x="812"/>
        <item x="786"/>
        <item x="139"/>
        <item x="906"/>
        <item x="1027"/>
        <item x="912"/>
        <item x="356"/>
        <item x="605"/>
        <item x="766"/>
        <item x="748"/>
        <item x="283"/>
        <item x="701"/>
        <item x="784"/>
        <item x="673"/>
        <item x="101"/>
        <item x="809"/>
        <item x="989"/>
        <item x="453"/>
        <item x="772"/>
        <item x="679"/>
        <item x="956"/>
        <item x="389"/>
        <item x="42"/>
        <item x="667"/>
        <item x="44"/>
        <item x="890"/>
        <item x="620"/>
        <item x="710"/>
        <item x="586"/>
        <item x="9"/>
        <item x="528"/>
        <item x="338"/>
        <item x="62"/>
        <item x="460"/>
        <item x="641"/>
        <item x="611"/>
        <item x="552"/>
        <item x="330"/>
        <item x="882"/>
        <item x="651"/>
        <item x="323"/>
        <item x="253"/>
        <item x="502"/>
        <item x="678"/>
        <item x="364"/>
        <item x="168"/>
        <item x="433"/>
        <item x="631"/>
        <item x="511"/>
        <item x="30"/>
        <item x="208"/>
        <item x="1047"/>
        <item x="347"/>
        <item x="594"/>
        <item x="1079"/>
        <item x="415"/>
        <item x="293"/>
        <item x="980"/>
        <item x="43"/>
        <item x="690"/>
        <item x="441"/>
        <item x="569"/>
        <item x="209"/>
        <item x="113"/>
        <item x="982"/>
        <item x="964"/>
        <item x="191"/>
        <item x="225"/>
        <item x="385"/>
        <item x="181"/>
        <item x="410"/>
        <item x="768"/>
        <item x="320"/>
        <item x="568"/>
        <item x="891"/>
        <item x="1030"/>
        <item x="363"/>
        <item x="975"/>
        <item x="264"/>
        <item x="529"/>
        <item x="867"/>
        <item x="717"/>
        <item x="934"/>
        <item x="908"/>
        <item x="277"/>
        <item x="675"/>
        <item x="159"/>
        <item x="378"/>
        <item x="482"/>
        <item x="291"/>
        <item x="322"/>
        <item x="47"/>
        <item x="899"/>
        <item x="685"/>
        <item x="1051"/>
        <item x="402"/>
        <item x="733"/>
        <item x="939"/>
        <item x="713"/>
        <item x="272"/>
        <item x="425"/>
        <item x="1011"/>
        <item x="1057"/>
        <item x="506"/>
        <item x="880"/>
        <item x="226"/>
        <item x="1082"/>
        <item x="780"/>
        <item x="554"/>
        <item x="638"/>
        <item x="602"/>
        <item x="234"/>
        <item x="308"/>
        <item x="92"/>
        <item x="745"/>
        <item x="95"/>
        <item x="117"/>
        <item x="760"/>
        <item x="300"/>
        <item x="371"/>
        <item x="661"/>
        <item x="106"/>
        <item x="355"/>
        <item x="1044"/>
        <item x="84"/>
        <item x="67"/>
        <item x="909"/>
        <item x="500"/>
        <item x="576"/>
        <item x="988"/>
        <item x="466"/>
        <item x="82"/>
        <item x="1061"/>
        <item x="69"/>
        <item x="870"/>
        <item x="126"/>
        <item x="442"/>
        <item x="938"/>
        <item x="875"/>
        <item x="913"/>
        <item x="622"/>
        <item x="357"/>
        <item x="549"/>
        <item x="894"/>
        <item x="655"/>
        <item x="230"/>
        <item x="77"/>
        <item x="544"/>
        <item x="295"/>
        <item x="422"/>
        <item x="997"/>
        <item x="990"/>
        <item x="276"/>
        <item x="301"/>
        <item x="28"/>
        <item x="873"/>
        <item x="360"/>
        <item x="708"/>
        <item x="608"/>
        <item x="498"/>
        <item x="454"/>
        <item x="596"/>
        <item x="840"/>
        <item x="1028"/>
        <item x="464"/>
        <item x="49"/>
        <item x="545"/>
        <item x="758"/>
        <item x="852"/>
        <item x="790"/>
        <item x="296"/>
        <item x="339"/>
        <item x="523"/>
        <item x="350"/>
        <item x="259"/>
        <item x="680"/>
        <item x="709"/>
        <item x="778"/>
        <item x="671"/>
        <item x="789"/>
        <item x="24"/>
        <item x="1032"/>
        <item x="201"/>
        <item x="427"/>
        <item x="1074"/>
        <item x="591"/>
        <item x="394"/>
        <item x="504"/>
        <item x="450"/>
        <item x="957"/>
        <item x="762"/>
        <item x="240"/>
        <item x="309"/>
        <item x="108"/>
        <item x="16"/>
        <item x="699"/>
        <item x="779"/>
        <item x="469"/>
        <item x="597"/>
        <item x="820"/>
        <item x="1076"/>
        <item x="1052"/>
        <item x="38"/>
        <item x="187"/>
        <item x="946"/>
        <item x="637"/>
        <item x="1067"/>
        <item x="932"/>
        <item x="856"/>
        <item x="282"/>
        <item x="373"/>
        <item x="401"/>
        <item x="1055"/>
        <item x="919"/>
        <item x="341"/>
        <item x="278"/>
        <item x="573"/>
        <item x="966"/>
        <item x="808"/>
        <item x="590"/>
        <item x="491"/>
        <item x="66"/>
        <item x="763"/>
        <item x="1077"/>
        <item x="52"/>
        <item x="118"/>
        <item x="142"/>
        <item x="91"/>
        <item x="39"/>
        <item x="265"/>
        <item x="311"/>
        <item x="333"/>
        <item x="1080"/>
        <item x="465"/>
        <item x="478"/>
        <item x="823"/>
        <item x="927"/>
        <item x="89"/>
        <item x="726"/>
        <item x="167"/>
        <item x="468"/>
        <item x="770"/>
        <item x="650"/>
        <item x="991"/>
        <item x="393"/>
        <item x="15"/>
        <item x="901"/>
        <item x="643"/>
        <item x="843"/>
        <item x="584"/>
        <item x="203"/>
        <item x="817"/>
        <item x="476"/>
        <item x="972"/>
        <item x="116"/>
        <item x="457"/>
        <item x="797"/>
        <item x="141"/>
        <item x="235"/>
        <item x="463"/>
        <item x="317"/>
        <item x="807"/>
        <item x="343"/>
        <item x="628"/>
        <item x="196"/>
        <item x="861"/>
        <item x="494"/>
        <item x="306"/>
        <item x="796"/>
        <item x="828"/>
        <item x="996"/>
        <item x="601"/>
        <item x="5"/>
        <item x="152"/>
        <item x="833"/>
        <item x="877"/>
        <item x="885"/>
        <item x="541"/>
        <item x="273"/>
        <item x="426"/>
        <item x="241"/>
        <item x="429"/>
        <item x="683"/>
        <item x="27"/>
        <item x="555"/>
        <item x="26"/>
        <item x="950"/>
        <item x="564"/>
        <item x="501"/>
        <item x="739"/>
        <item x="830"/>
        <item x="630"/>
        <item x="868"/>
        <item x="48"/>
        <item x="130"/>
        <item x="702"/>
        <item x="274"/>
        <item x="649"/>
        <item x="473"/>
        <item x="138"/>
        <item x="769"/>
        <item x="660"/>
        <item x="1041"/>
        <item x="200"/>
        <item x="579"/>
        <item x="418"/>
        <item x="639"/>
        <item x="170"/>
        <item x="352"/>
        <item x="916"/>
        <item x="859"/>
        <item x="447"/>
        <item x="280"/>
        <item x="897"/>
        <item x="417"/>
        <item x="61"/>
        <item x="4"/>
        <item x="255"/>
        <item x="578"/>
        <item x="626"/>
        <item x="400"/>
        <item x="156"/>
        <item x="192"/>
        <item x="236"/>
        <item x="804"/>
        <item x="202"/>
        <item x="188"/>
        <item x="603"/>
        <item x="184"/>
        <item x="431"/>
        <item x="419"/>
        <item x="970"/>
        <item x="78"/>
        <item x="144"/>
        <item x="1049"/>
        <item x="37"/>
        <item x="666"/>
        <item x="895"/>
        <item x="610"/>
        <item x="744"/>
        <item x="524"/>
        <item x="86"/>
        <item x="103"/>
        <item x="624"/>
        <item x="40"/>
        <item x="937"/>
        <item x="1014"/>
        <item x="423"/>
        <item x="123"/>
        <item x="787"/>
        <item x="94"/>
        <item x="636"/>
        <item x="707"/>
        <item x="157"/>
        <item x="698"/>
        <item x="324"/>
        <item x="1019"/>
        <item x="929"/>
        <item x="481"/>
        <item x="413"/>
        <item x="505"/>
        <item x="785"/>
        <item x="0"/>
        <item x="96"/>
        <item x="173"/>
        <item x="806"/>
        <item x="488"/>
        <item x="362"/>
        <item x="1053"/>
        <item x="749"/>
        <item x="987"/>
        <item x="487"/>
        <item x="150"/>
        <item x="335"/>
        <item x="803"/>
        <item x="1078"/>
        <item x="140"/>
        <item x="800"/>
        <item x="756"/>
        <item x="684"/>
        <item x="131"/>
        <item x="854"/>
        <item x="405"/>
        <item x="437"/>
        <item x="954"/>
        <item x="98"/>
        <item x="257"/>
        <item x="297"/>
        <item x="653"/>
        <item x="483"/>
        <item x="623"/>
        <item x="1025"/>
        <item x="824"/>
        <item x="952"/>
        <item x="670"/>
        <item x="435"/>
        <item x="100"/>
        <item x="1021"/>
        <item x="440"/>
        <item x="825"/>
        <item x="217"/>
        <item x="983"/>
        <item x="267"/>
        <item x="968"/>
        <item x="244"/>
        <item x="366"/>
        <item x="166"/>
        <item x="407"/>
        <item x="122"/>
        <item x="252"/>
        <item x="190"/>
        <item x="940"/>
        <item x="51"/>
        <item x="559"/>
        <item x="446"/>
        <item x="753"/>
        <item x="246"/>
        <item x="310"/>
        <item x="384"/>
        <item x="719"/>
        <item x="822"/>
        <item x="832"/>
        <item x="397"/>
        <item x="395"/>
        <item x="962"/>
        <item x="633"/>
        <item x="313"/>
        <item x="183"/>
        <item x="1034"/>
        <item x="664"/>
        <item x="883"/>
        <item x="704"/>
        <item x="645"/>
        <item x="585"/>
        <item x="676"/>
        <item x="327"/>
        <item x="720"/>
        <item x="725"/>
        <item x="903"/>
        <item x="205"/>
        <item x="775"/>
        <item x="1000"/>
        <item x="551"/>
        <item x="1070"/>
        <item x="114"/>
        <item x="978"/>
        <item x="247"/>
        <item x="752"/>
        <item x="125"/>
        <item x="1006"/>
        <item x="802"/>
        <item x="1016"/>
        <item x="836"/>
        <item x="737"/>
        <item x="777"/>
        <item x="986"/>
        <item x="942"/>
        <item x="342"/>
        <item x="438"/>
        <item x="535"/>
        <item x="1060"/>
        <item x="340"/>
        <item x="705"/>
        <item x="1024"/>
        <item x="810"/>
        <item x="1010"/>
        <item x="634"/>
        <item x="922"/>
        <item x="328"/>
        <item x="1026"/>
        <item x="268"/>
        <item x="254"/>
        <item x="672"/>
        <item x="224"/>
        <item x="736"/>
        <item x="143"/>
        <item x="382"/>
        <item x="764"/>
        <item x="304"/>
        <item x="1046"/>
        <item x="558"/>
        <item x="857"/>
        <item x="403"/>
        <item x="740"/>
        <item x="83"/>
        <item x="732"/>
        <item x="71"/>
        <item x="976"/>
        <item x="625"/>
        <item x="151"/>
        <item x="1003"/>
        <item x="519"/>
        <item x="648"/>
        <item x="841"/>
        <item x="120"/>
        <item x="621"/>
        <item x="553"/>
        <item x="198"/>
        <item x="689"/>
        <item x="480"/>
        <item x="694"/>
        <item x="926"/>
        <item x="674"/>
        <item x="164"/>
        <item x="484"/>
        <item x="279"/>
        <item x="730"/>
        <item x="815"/>
        <item x="221"/>
        <item x="849"/>
        <item x="581"/>
        <item x="493"/>
        <item x="243"/>
        <item x="1081"/>
        <item x="155"/>
        <item x="819"/>
        <item x="248"/>
        <item x="216"/>
        <item x="923"/>
        <item x="575"/>
        <item x="515"/>
        <item x="215"/>
        <item x="275"/>
        <item x="1050"/>
        <item x="792"/>
        <item x="556"/>
        <item x="1062"/>
        <item x="985"/>
        <item x="165"/>
        <item x="949"/>
        <item x="580"/>
        <item x="22"/>
        <item x="1001"/>
        <item x="299"/>
        <item x="55"/>
        <item x="6"/>
        <item x="331"/>
        <item x="1037"/>
        <item x="137"/>
        <item x="837"/>
        <item x="251"/>
        <item x="924"/>
        <item x="220"/>
        <item x="19"/>
        <item x="1073"/>
        <item x="866"/>
        <item x="755"/>
        <item x="774"/>
        <item x="1056"/>
        <item x="321"/>
        <item x="592"/>
        <item x="721"/>
        <item x="955"/>
        <item x="369"/>
        <item x="588"/>
        <item x="50"/>
        <item x="72"/>
        <item x="319"/>
        <item x="734"/>
        <item x="999"/>
        <item x="943"/>
        <item x="351"/>
        <item x="715"/>
        <item x="821"/>
        <item x="858"/>
        <item x="863"/>
        <item x="20"/>
        <item x="112"/>
        <item x="723"/>
        <item x="503"/>
        <item x="88"/>
        <item x="607"/>
        <item x="111"/>
        <item x="408"/>
        <item x="757"/>
        <item x="368"/>
        <item x="759"/>
        <item x="263"/>
        <item x="850"/>
        <item x="510"/>
        <item x="583"/>
        <item x="706"/>
        <item x="110"/>
        <item x="1031"/>
        <item x="642"/>
        <item x="532"/>
        <item x="811"/>
        <item x="406"/>
        <item x="520"/>
        <item x="1064"/>
        <item x="365"/>
        <item x="794"/>
        <item x="1020"/>
        <item x="134"/>
        <item x="160"/>
        <item x="565"/>
        <item x="127"/>
        <item x="1068"/>
        <item x="538"/>
        <item x="346"/>
        <item x="286"/>
        <item x="12"/>
        <item x="195"/>
        <item x="743"/>
        <item x="377"/>
        <item x="560"/>
        <item x="349"/>
        <item x="367"/>
        <item x="905"/>
        <item x="848"/>
        <item x="992"/>
        <item x="911"/>
        <item x="662"/>
        <item x="298"/>
        <item x="816"/>
        <item x="64"/>
        <item x="471"/>
        <item x="561"/>
        <item x="68"/>
        <item x="336"/>
        <item x="411"/>
        <item x="380"/>
        <item x="865"/>
        <item x="332"/>
        <item x="462"/>
        <item x="742"/>
        <item x="847"/>
        <item x="1069"/>
        <item x="445"/>
        <item x="388"/>
        <item x="316"/>
        <item x="654"/>
        <item x="210"/>
        <item x="814"/>
        <item x="59"/>
        <item x="567"/>
        <item x="233"/>
        <item x="881"/>
        <item x="599"/>
        <item x="11"/>
        <item x="627"/>
        <item x="136"/>
        <item x="963"/>
        <item x="712"/>
        <item x="974"/>
        <item x="73"/>
        <item x="443"/>
        <item x="813"/>
        <item x="75"/>
        <item x="928"/>
        <item x="14"/>
        <item x="735"/>
        <item x="222"/>
        <item x="199"/>
        <item x="598"/>
        <item x="646"/>
        <item x="179"/>
        <item x="606"/>
        <item x="329"/>
        <item x="697"/>
        <item x="657"/>
        <item x="206"/>
        <item x="853"/>
        <item x="416"/>
        <item x="227"/>
        <item x="915"/>
        <item x="1048"/>
        <item x="687"/>
        <item x="572"/>
        <item x="1012"/>
        <item x="148"/>
        <item x="132"/>
        <item x="612"/>
        <item x="958"/>
        <item x="692"/>
        <item x="379"/>
        <item x="571"/>
        <item x="951"/>
        <item x="421"/>
        <item x="414"/>
        <item x="292"/>
        <item x="212"/>
        <item x="1058"/>
        <item x="260"/>
        <item x="539"/>
        <item x="74"/>
        <item x="396"/>
        <item x="945"/>
        <item x="711"/>
        <item x="436"/>
        <item x="793"/>
        <item x="45"/>
        <item x="842"/>
        <item x="390"/>
        <item x="944"/>
        <item x="663"/>
        <item x="703"/>
        <item x="872"/>
        <item x="154"/>
        <item x="345"/>
        <item x="213"/>
        <item x="682"/>
        <item x="632"/>
        <item x="533"/>
        <item x="383"/>
        <item x="1009"/>
        <item x="617"/>
        <item x="967"/>
        <item x="17"/>
        <item x="119"/>
        <item x="186"/>
        <item x="898"/>
        <item x="884"/>
        <item x="1065"/>
        <item x="526"/>
        <item x="256"/>
        <item x="522"/>
        <item x="773"/>
        <item x="479"/>
        <item x="146"/>
        <item x="933"/>
        <item x="799"/>
        <item x="214"/>
        <item x="177"/>
        <item x="485"/>
        <item x="211"/>
        <item x="266"/>
        <item x="647"/>
        <item x="314"/>
        <item x="665"/>
        <item x="1075"/>
        <item x="489"/>
        <item x="404"/>
        <item x="525"/>
        <item x="509"/>
        <item x="961"/>
        <item x="960"/>
        <item x="644"/>
        <item x="1036"/>
        <item x="1018"/>
        <item x="839"/>
        <item x="305"/>
        <item x="696"/>
        <item x="864"/>
        <item x="604"/>
        <item x="63"/>
        <item x="302"/>
        <item x="530"/>
        <item x="1039"/>
        <item x="595"/>
        <item x="189"/>
        <item x="914"/>
        <item x="516"/>
        <item x="249"/>
        <item x="826"/>
        <item x="1063"/>
        <item x="587"/>
        <item x="795"/>
        <item x="921"/>
        <item x="600"/>
        <item x="695"/>
        <item x="668"/>
        <item x="245"/>
        <item x="398"/>
        <item x="218"/>
        <item x="386"/>
        <item x="562"/>
        <item x="640"/>
        <item x="169"/>
        <item x="36"/>
        <item x="271"/>
        <item x="1"/>
        <item x="70"/>
        <item x="618"/>
        <item x="935"/>
        <item x="250"/>
        <item x="1083"/>
        <item x="1008"/>
        <item x="781"/>
        <item x="1033"/>
        <item x="907"/>
        <item x="207"/>
        <item x="971"/>
        <item x="237"/>
        <item x="681"/>
        <item x="925"/>
        <item x="470"/>
        <item x="900"/>
        <item x="593"/>
        <item x="818"/>
        <item x="747"/>
        <item x="163"/>
        <item x="798"/>
        <item x="1054"/>
        <item x="270"/>
        <item x="834"/>
        <item x="751"/>
        <item x="376"/>
        <item x="718"/>
        <item x="194"/>
        <item x="1072"/>
        <item x="290"/>
        <item x="700"/>
        <item x="344"/>
        <item x="893"/>
        <item x="614"/>
        <item x="659"/>
        <item x="936"/>
        <item x="656"/>
        <item x="176"/>
        <item x="258"/>
        <item x="782"/>
        <item x="871"/>
        <item x="25"/>
        <item x="149"/>
        <item x="729"/>
        <item x="496"/>
        <item x="979"/>
        <item x="652"/>
        <item x="1040"/>
        <item x="1013"/>
        <item x="994"/>
        <item x="776"/>
        <item x="540"/>
        <item x="434"/>
        <item x="456"/>
        <item x="886"/>
        <item x="876"/>
        <item x="303"/>
        <item x="228"/>
        <item x="326"/>
        <item x="175"/>
        <item x="722"/>
        <item x="238"/>
        <item x="969"/>
        <item x="557"/>
        <item x="432"/>
        <item x="32"/>
        <item x="714"/>
        <item x="318"/>
        <item x="102"/>
        <item x="174"/>
        <item t="default"/>
      </items>
    </pivotField>
    <pivotField showAll="0"/>
    <pivotField showAll="0"/>
    <pivotField showAll="0"/>
    <pivotField dataField="1" showAll="0">
      <items count="1997">
        <item x="498"/>
        <item x="687"/>
        <item x="1105"/>
        <item x="1430"/>
        <item x="1596"/>
        <item x="342"/>
        <item x="57"/>
        <item x="17"/>
        <item x="1671"/>
        <item x="792"/>
        <item x="172"/>
        <item x="324"/>
        <item x="900"/>
        <item x="1124"/>
        <item x="1486"/>
        <item x="1092"/>
        <item x="2"/>
        <item x="1099"/>
        <item x="426"/>
        <item x="1162"/>
        <item x="558"/>
        <item x="1951"/>
        <item x="412"/>
        <item x="448"/>
        <item x="1616"/>
        <item x="739"/>
        <item x="1870"/>
        <item x="1763"/>
        <item x="1685"/>
        <item x="932"/>
        <item x="1565"/>
        <item x="745"/>
        <item x="952"/>
        <item x="510"/>
        <item x="1869"/>
        <item x="133"/>
        <item x="824"/>
        <item x="1328"/>
        <item x="1630"/>
        <item x="202"/>
        <item x="1032"/>
        <item x="1584"/>
        <item x="488"/>
        <item x="1824"/>
        <item x="1493"/>
        <item x="1985"/>
        <item x="1975"/>
        <item x="592"/>
        <item x="1675"/>
        <item x="1846"/>
        <item x="1057"/>
        <item x="1276"/>
        <item x="826"/>
        <item x="35"/>
        <item x="1403"/>
        <item x="1559"/>
        <item x="1077"/>
        <item x="1956"/>
        <item x="1371"/>
        <item x="1716"/>
        <item x="995"/>
        <item x="1019"/>
        <item x="1130"/>
        <item x="286"/>
        <item x="1665"/>
        <item x="1154"/>
        <item x="1917"/>
        <item x="439"/>
        <item x="1855"/>
        <item x="341"/>
        <item x="1943"/>
        <item x="1043"/>
        <item x="1084"/>
        <item x="425"/>
        <item x="404"/>
        <item x="168"/>
        <item x="624"/>
        <item x="1973"/>
        <item x="658"/>
        <item x="666"/>
        <item x="518"/>
        <item x="753"/>
        <item x="1323"/>
        <item x="1372"/>
        <item x="750"/>
        <item x="464"/>
        <item x="203"/>
        <item x="1126"/>
        <item x="1214"/>
        <item x="1562"/>
        <item x="908"/>
        <item x="1743"/>
        <item x="1590"/>
        <item x="1216"/>
        <item x="1417"/>
        <item x="1548"/>
        <item x="281"/>
        <item x="1880"/>
        <item x="1933"/>
        <item x="1153"/>
        <item x="916"/>
        <item x="1769"/>
        <item x="1529"/>
        <item x="1283"/>
        <item x="1692"/>
        <item x="389"/>
        <item x="1426"/>
        <item x="1078"/>
        <item x="541"/>
        <item x="1156"/>
        <item x="497"/>
        <item x="295"/>
        <item x="1282"/>
        <item x="580"/>
        <item x="166"/>
        <item x="1385"/>
        <item x="1930"/>
        <item x="1013"/>
        <item x="1470"/>
        <item x="738"/>
        <item x="148"/>
        <item x="1520"/>
        <item x="283"/>
        <item x="1593"/>
        <item x="606"/>
        <item x="1314"/>
        <item x="1237"/>
        <item x="627"/>
        <item x="186"/>
        <item x="859"/>
        <item x="1783"/>
        <item x="1041"/>
        <item x="38"/>
        <item x="255"/>
        <item x="1235"/>
        <item x="1360"/>
        <item x="573"/>
        <item x="1629"/>
        <item x="919"/>
        <item x="1745"/>
        <item x="909"/>
        <item x="806"/>
        <item x="1983"/>
        <item x="1387"/>
        <item x="242"/>
        <item x="942"/>
        <item x="1272"/>
        <item x="1397"/>
        <item x="1908"/>
        <item x="1433"/>
        <item x="1318"/>
        <item x="1000"/>
        <item x="1329"/>
        <item x="1517"/>
        <item x="529"/>
        <item x="96"/>
        <item x="1740"/>
        <item x="1134"/>
        <item x="220"/>
        <item x="477"/>
        <item x="1868"/>
        <item x="648"/>
        <item x="1058"/>
        <item x="1226"/>
        <item x="1330"/>
        <item x="1528"/>
        <item x="1657"/>
        <item x="18"/>
        <item x="1673"/>
        <item x="1400"/>
        <item x="1166"/>
        <item x="1485"/>
        <item x="1439"/>
        <item x="1333"/>
        <item x="51"/>
        <item x="245"/>
        <item x="1827"/>
        <item x="1899"/>
        <item x="576"/>
        <item x="1579"/>
        <item x="1048"/>
        <item x="1966"/>
        <item x="902"/>
        <item x="230"/>
        <item x="661"/>
        <item x="838"/>
        <item x="9"/>
        <item x="968"/>
        <item x="1461"/>
        <item x="1826"/>
        <item x="204"/>
        <item x="1502"/>
        <item x="1364"/>
        <item x="170"/>
        <item x="387"/>
        <item x="1123"/>
        <item x="776"/>
        <item x="455"/>
        <item x="1554"/>
        <item x="990"/>
        <item x="506"/>
        <item x="383"/>
        <item x="1873"/>
        <item x="1325"/>
        <item x="1465"/>
        <item x="704"/>
        <item x="1386"/>
        <item x="1441"/>
        <item x="1102"/>
        <item x="805"/>
        <item x="225"/>
        <item x="1003"/>
        <item x="741"/>
        <item x="1136"/>
        <item x="1462"/>
        <item x="731"/>
        <item x="1647"/>
        <item x="662"/>
        <item x="213"/>
        <item x="382"/>
        <item x="1937"/>
        <item x="1744"/>
        <item x="557"/>
        <item x="663"/>
        <item x="1863"/>
        <item x="1221"/>
        <item x="1392"/>
        <item x="1980"/>
        <item x="1544"/>
        <item x="749"/>
        <item x="1543"/>
        <item x="1867"/>
        <item x="1051"/>
        <item x="1572"/>
        <item x="901"/>
        <item x="514"/>
        <item x="269"/>
        <item x="136"/>
        <item x="1137"/>
        <item x="1274"/>
        <item x="1224"/>
        <item x="556"/>
        <item x="583"/>
        <item x="321"/>
        <item x="327"/>
        <item x="177"/>
        <item x="1984"/>
        <item x="1588"/>
        <item x="762"/>
        <item x="1030"/>
        <item x="720"/>
        <item x="1820"/>
        <item x="1884"/>
        <item x="1730"/>
        <item x="1752"/>
        <item x="653"/>
        <item x="632"/>
        <item x="1625"/>
        <item x="1270"/>
        <item x="1780"/>
        <item x="238"/>
        <item x="1440"/>
        <item x="1056"/>
        <item x="214"/>
        <item x="124"/>
        <item x="1215"/>
        <item x="1722"/>
        <item x="1814"/>
        <item x="1029"/>
        <item x="1269"/>
        <item x="1535"/>
        <item x="1478"/>
        <item x="1066"/>
        <item x="1189"/>
        <item x="1737"/>
        <item x="1319"/>
        <item x="267"/>
        <item x="501"/>
        <item x="1277"/>
        <item x="1185"/>
        <item x="83"/>
        <item x="1473"/>
        <item x="1093"/>
        <item x="211"/>
        <item x="1346"/>
        <item x="1787"/>
        <item x="351"/>
        <item x="1934"/>
        <item x="504"/>
        <item x="47"/>
        <item x="515"/>
        <item x="196"/>
        <item x="1981"/>
        <item x="1317"/>
        <item x="1190"/>
        <item x="1395"/>
        <item x="889"/>
        <item x="310"/>
        <item x="1927"/>
        <item x="1600"/>
        <item x="1644"/>
        <item x="326"/>
        <item x="1621"/>
        <item x="1182"/>
        <item x="396"/>
        <item x="397"/>
        <item x="1095"/>
        <item x="428"/>
        <item x="597"/>
        <item x="760"/>
        <item x="1761"/>
        <item x="722"/>
        <item x="349"/>
        <item x="403"/>
        <item x="1305"/>
        <item x="131"/>
        <item x="256"/>
        <item x="534"/>
        <item x="1207"/>
        <item x="1776"/>
        <item x="189"/>
        <item x="1025"/>
        <item x="1555"/>
        <item x="1340"/>
        <item x="363"/>
        <item x="563"/>
        <item x="848"/>
        <item x="102"/>
        <item x="1978"/>
        <item x="532"/>
        <item x="778"/>
        <item x="774"/>
        <item x="1775"/>
        <item x="1453"/>
        <item x="392"/>
        <item x="1203"/>
        <item x="59"/>
        <item x="1857"/>
        <item x="710"/>
        <item x="1944"/>
        <item x="1234"/>
        <item x="475"/>
        <item x="1382"/>
        <item x="1119"/>
        <item x="1750"/>
        <item x="964"/>
        <item x="332"/>
        <item x="650"/>
        <item x="715"/>
        <item x="1553"/>
        <item x="759"/>
        <item x="1376"/>
        <item x="127"/>
        <item x="1719"/>
        <item x="594"/>
        <item x="934"/>
        <item x="1042"/>
        <item x="72"/>
        <item x="1445"/>
        <item x="1576"/>
        <item x="1589"/>
        <item x="552"/>
        <item x="591"/>
        <item x="458"/>
        <item x="742"/>
        <item x="1708"/>
        <item x="413"/>
        <item x="868"/>
        <item x="520"/>
        <item x="259"/>
        <item x="1923"/>
        <item x="535"/>
        <item x="68"/>
        <item x="1845"/>
        <item x="1754"/>
        <item x="693"/>
        <item x="1948"/>
        <item x="1713"/>
        <item x="1656"/>
        <item x="975"/>
        <item x="350"/>
        <item x="784"/>
        <item x="664"/>
        <item x="830"/>
        <item x="1762"/>
        <item x="698"/>
        <item x="638"/>
        <item x="1812"/>
        <item x="963"/>
        <item x="298"/>
        <item x="1994"/>
        <item x="1662"/>
        <item x="1940"/>
        <item x="1883"/>
        <item x="95"/>
        <item x="684"/>
        <item x="1212"/>
        <item x="1345"/>
        <item x="1784"/>
        <item x="1622"/>
        <item x="1129"/>
        <item x="706"/>
        <item x="29"/>
        <item x="1679"/>
        <item x="718"/>
        <item x="1246"/>
        <item x="26"/>
        <item x="0"/>
        <item x="1020"/>
        <item x="1557"/>
        <item x="194"/>
        <item x="274"/>
        <item x="1238"/>
        <item x="43"/>
        <item x="1715"/>
        <item x="80"/>
        <item x="1631"/>
        <item x="732"/>
        <item x="1731"/>
        <item x="1247"/>
        <item x="1916"/>
        <item x="74"/>
        <item x="262"/>
        <item x="1563"/>
        <item x="763"/>
        <item x="1624"/>
        <item x="197"/>
        <item x="1358"/>
        <item x="1266"/>
        <item x="1558"/>
        <item x="482"/>
        <item x="1104"/>
        <item x="918"/>
        <item x="561"/>
        <item x="379"/>
        <item x="99"/>
        <item x="258"/>
        <item x="420"/>
        <item x="1480"/>
        <item x="825"/>
        <item x="1094"/>
        <item x="599"/>
        <item x="1322"/>
        <item x="1897"/>
        <item x="1326"/>
        <item x="546"/>
        <item x="1885"/>
        <item x="311"/>
        <item x="60"/>
        <item x="1176"/>
        <item x="27"/>
        <item x="656"/>
        <item x="388"/>
        <item x="1856"/>
        <item x="134"/>
        <item x="1080"/>
        <item x="1746"/>
        <item x="447"/>
        <item x="169"/>
        <item x="1871"/>
        <item x="434"/>
        <item x="130"/>
        <item x="5"/>
        <item x="1068"/>
        <item x="755"/>
        <item x="676"/>
        <item x="931"/>
        <item x="802"/>
        <item x="851"/>
        <item x="343"/>
        <item x="1587"/>
        <item x="1920"/>
        <item x="466"/>
        <item x="1039"/>
        <item x="472"/>
        <item x="1454"/>
        <item x="1180"/>
        <item x="887"/>
        <item x="229"/>
        <item x="903"/>
        <item x="721"/>
        <item x="1242"/>
        <item x="105"/>
        <item x="331"/>
        <item x="574"/>
        <item x="783"/>
        <item x="1862"/>
        <item x="1640"/>
        <item x="1155"/>
        <item x="1556"/>
        <item x="1177"/>
        <item x="1263"/>
        <item x="260"/>
        <item x="138"/>
        <item x="1157"/>
        <item x="1704"/>
        <item x="1702"/>
        <item x="1913"/>
        <item x="832"/>
        <item x="1063"/>
        <item x="1100"/>
        <item x="1425"/>
        <item x="1991"/>
        <item x="1687"/>
        <item x="727"/>
        <item x="1738"/>
        <item x="1087"/>
        <item x="192"/>
        <item x="818"/>
        <item x="1718"/>
        <item x="34"/>
        <item x="344"/>
        <item x="468"/>
        <item x="1508"/>
        <item x="1173"/>
        <item x="1639"/>
        <item x="989"/>
        <item x="1423"/>
        <item x="1854"/>
        <item x="142"/>
        <item x="1823"/>
        <item x="1014"/>
        <item x="1500"/>
        <item x="374"/>
        <item x="646"/>
        <item x="160"/>
        <item x="513"/>
        <item x="869"/>
        <item x="457"/>
        <item x="1194"/>
        <item x="1108"/>
        <item x="1536"/>
        <item x="961"/>
        <item x="330"/>
        <item x="1421"/>
        <item x="639"/>
        <item x="84"/>
        <item x="1002"/>
        <item x="703"/>
        <item x="1168"/>
        <item x="1515"/>
        <item x="746"/>
        <item x="569"/>
        <item x="705"/>
        <item x="853"/>
        <item x="241"/>
        <item x="640"/>
        <item x="496"/>
        <item x="171"/>
        <item x="1419"/>
        <item x="1243"/>
        <item x="1982"/>
        <item x="1901"/>
        <item x="1954"/>
        <item x="871"/>
        <item x="1148"/>
        <item x="1197"/>
        <item x="748"/>
        <item x="1694"/>
        <item x="756"/>
        <item x="1822"/>
        <item x="473"/>
        <item x="502"/>
        <item x="1079"/>
        <item x="190"/>
        <item x="357"/>
        <item x="1623"/>
        <item x="1891"/>
        <item x="1613"/>
        <item x="914"/>
        <item x="579"/>
        <item x="250"/>
        <item x="957"/>
        <item x="165"/>
        <item x="438"/>
        <item x="672"/>
        <item x="179"/>
        <item x="979"/>
        <item x="773"/>
        <item x="538"/>
        <item x="1188"/>
        <item x="394"/>
        <item x="1676"/>
        <item x="1689"/>
        <item x="1545"/>
        <item x="1378"/>
        <item x="378"/>
        <item x="581"/>
        <item x="1929"/>
        <item x="1107"/>
        <item x="479"/>
        <item x="31"/>
        <item x="402"/>
        <item x="1638"/>
        <item x="414"/>
        <item x="682"/>
        <item x="764"/>
        <item x="1458"/>
        <item x="1552"/>
        <item x="1995"/>
        <item x="1285"/>
        <item x="1420"/>
        <item x="836"/>
        <item x="436"/>
        <item x="798"/>
        <item x="1510"/>
        <item x="895"/>
        <item x="415"/>
        <item x="1861"/>
        <item x="1986"/>
        <item x="598"/>
        <item x="1540"/>
        <item x="173"/>
        <item x="353"/>
        <item x="1210"/>
        <item x="1418"/>
        <item x="795"/>
        <item x="1965"/>
        <item x="1895"/>
        <item x="1438"/>
        <item x="674"/>
        <item x="421"/>
        <item x="835"/>
        <item x="395"/>
        <item x="1065"/>
        <item x="129"/>
        <item x="1764"/>
        <item x="1990"/>
        <item x="910"/>
        <item x="816"/>
        <item x="1268"/>
        <item x="1351"/>
        <item x="1384"/>
        <item x="1807"/>
        <item x="1905"/>
        <item x="1609"/>
        <item x="525"/>
        <item x="1448"/>
        <item x="850"/>
        <item x="1223"/>
        <item x="1476"/>
        <item x="1125"/>
        <item x="692"/>
        <item x="752"/>
        <item x="619"/>
        <item x="199"/>
        <item x="1963"/>
        <item x="285"/>
        <item x="23"/>
        <item x="1287"/>
        <item x="1211"/>
        <item x="252"/>
        <item x="1165"/>
        <item x="1801"/>
        <item x="1291"/>
        <item x="533"/>
        <item x="1017"/>
        <item x="319"/>
        <item x="1479"/>
        <item x="1264"/>
        <item x="539"/>
        <item x="181"/>
        <item x="231"/>
        <item x="860"/>
        <item x="1249"/>
        <item x="1467"/>
        <item x="63"/>
        <item x="1158"/>
        <item x="1135"/>
        <item x="977"/>
        <item x="593"/>
        <item x="1499"/>
        <item x="1663"/>
        <item x="1912"/>
        <item x="1310"/>
        <item x="1603"/>
        <item x="1496"/>
        <item x="1472"/>
        <item x="1357"/>
        <item x="264"/>
        <item x="1391"/>
        <item x="1463"/>
        <item x="780"/>
        <item x="1344"/>
        <item x="870"/>
        <item x="1088"/>
        <item x="1686"/>
        <item x="1710"/>
        <item x="828"/>
        <item x="1793"/>
        <item x="104"/>
        <item x="1442"/>
        <item x="1332"/>
        <item x="1919"/>
        <item x="1415"/>
        <item x="1098"/>
        <item x="292"/>
        <item x="536"/>
        <item x="456"/>
        <item x="584"/>
        <item x="1469"/>
        <item x="1437"/>
        <item x="940"/>
        <item x="1568"/>
        <item x="1167"/>
        <item x="1006"/>
        <item x="551"/>
        <item x="708"/>
        <item x="1284"/>
        <item x="122"/>
        <item x="950"/>
        <item x="1696"/>
        <item x="121"/>
        <item x="1749"/>
        <item x="1067"/>
        <item x="1220"/>
        <item x="152"/>
        <item x="296"/>
        <item x="844"/>
        <item x="1353"/>
        <item x="669"/>
        <item x="849"/>
        <item x="847"/>
        <item x="1363"/>
        <item x="633"/>
        <item x="867"/>
        <item x="637"/>
        <item x="1460"/>
        <item x="42"/>
        <item x="614"/>
        <item x="812"/>
        <item x="329"/>
        <item x="1691"/>
        <item x="280"/>
        <item x="354"/>
        <item x="659"/>
        <item x="1383"/>
        <item x="33"/>
        <item x="991"/>
        <item x="1230"/>
        <item x="1698"/>
        <item x="1278"/>
        <item x="46"/>
        <item x="587"/>
        <item x="1534"/>
        <item x="89"/>
        <item x="505"/>
        <item x="1044"/>
        <item x="1428"/>
        <item x="117"/>
        <item x="612"/>
        <item x="793"/>
        <item x="361"/>
        <item x="39"/>
        <item x="1208"/>
        <item x="1902"/>
        <item x="1290"/>
        <item x="1832"/>
        <item x="622"/>
        <item x="1199"/>
        <item x="886"/>
        <item x="36"/>
        <item x="685"/>
        <item x="431"/>
        <item x="334"/>
        <item x="1131"/>
        <item x="1835"/>
        <item x="577"/>
        <item x="1218"/>
        <item x="1865"/>
        <item x="328"/>
        <item x="460"/>
        <item x="251"/>
        <item x="325"/>
        <item x="856"/>
        <item x="376"/>
        <item x="1594"/>
        <item x="113"/>
        <item x="261"/>
        <item x="1389"/>
        <item x="1171"/>
        <item x="493"/>
        <item x="118"/>
        <item x="560"/>
        <item x="1936"/>
        <item x="174"/>
        <item x="1915"/>
        <item x="108"/>
        <item x="1116"/>
        <item x="1791"/>
        <item x="1178"/>
        <item x="222"/>
        <item x="1488"/>
        <item x="1335"/>
        <item x="359"/>
        <item x="1200"/>
        <item x="164"/>
        <item x="287"/>
        <item x="1697"/>
        <item x="94"/>
        <item x="206"/>
        <item x="405"/>
        <item x="1903"/>
        <item x="817"/>
        <item x="114"/>
        <item x="596"/>
        <item x="615"/>
        <item x="1667"/>
        <item x="1859"/>
        <item x="1909"/>
        <item x="1652"/>
        <item x="1174"/>
        <item x="1206"/>
        <item x="483"/>
        <item x="1889"/>
        <item x="681"/>
        <item x="1709"/>
        <item x="1161"/>
        <item x="223"/>
        <item x="947"/>
        <item x="575"/>
        <item x="157"/>
        <item x="1637"/>
        <item x="146"/>
        <item x="478"/>
        <item x="904"/>
        <item x="911"/>
        <item x="185"/>
        <item x="1186"/>
        <item x="553"/>
        <item x="1355"/>
        <item x="398"/>
        <item x="1727"/>
        <item x="1790"/>
        <item x="1581"/>
        <item x="690"/>
        <item x="679"/>
        <item x="771"/>
        <item x="1365"/>
        <item x="1627"/>
        <item x="1494"/>
        <item x="1324"/>
        <item x="1819"/>
        <item x="154"/>
        <item x="1591"/>
        <item x="994"/>
        <item x="1699"/>
        <item x="912"/>
        <item x="898"/>
        <item x="249"/>
        <item x="103"/>
        <item x="1606"/>
        <item x="7"/>
        <item x="671"/>
        <item x="4"/>
        <item x="1380"/>
        <item x="1304"/>
        <item x="643"/>
        <item x="291"/>
        <item x="318"/>
        <item x="315"/>
        <item x="609"/>
        <item x="1342"/>
        <item x="1233"/>
        <item x="1967"/>
        <item x="1046"/>
        <item x="1261"/>
        <item x="1507"/>
        <item x="365"/>
        <item x="1851"/>
        <item x="610"/>
        <item x="162"/>
        <item x="1979"/>
        <item x="156"/>
        <item x="702"/>
        <item x="373"/>
        <item x="88"/>
        <item x="607"/>
        <item x="1926"/>
        <item x="946"/>
        <item x="1089"/>
        <item x="655"/>
        <item x="1085"/>
        <item x="1071"/>
        <item x="1872"/>
        <item x="644"/>
        <item x="1260"/>
        <item x="1145"/>
        <item x="1821"/>
        <item x="1106"/>
        <item x="1772"/>
        <item x="766"/>
        <item x="1209"/>
        <item x="670"/>
        <item x="1452"/>
        <item x="1974"/>
        <item x="922"/>
        <item x="209"/>
        <item x="707"/>
        <item x="1349"/>
        <item x="12"/>
        <item x="1113"/>
        <item x="1407"/>
        <item x="265"/>
        <item x="985"/>
        <item x="268"/>
        <item x="150"/>
        <item x="1650"/>
        <item x="631"/>
        <item x="1831"/>
        <item x="348"/>
        <item x="980"/>
        <item x="465"/>
        <item x="1818"/>
        <item x="981"/>
        <item x="507"/>
        <item x="224"/>
        <item x="1608"/>
        <item x="842"/>
        <item x="728"/>
        <item x="1602"/>
        <item x="1509"/>
        <item x="892"/>
        <item x="878"/>
        <item x="1546"/>
        <item x="1289"/>
        <item x="1976"/>
        <item x="938"/>
        <item x="112"/>
        <item x="1366"/>
        <item x="1505"/>
        <item x="1313"/>
        <item x="1993"/>
        <item x="1952"/>
        <item x="971"/>
        <item x="1888"/>
        <item x="1074"/>
        <item x="316"/>
        <item x="891"/>
        <item x="854"/>
        <item x="601"/>
        <item x="1309"/>
        <item x="572"/>
        <item x="1725"/>
        <item x="1271"/>
        <item x="936"/>
        <item x="308"/>
        <item x="1684"/>
        <item x="246"/>
        <item x="1707"/>
        <item x="257"/>
        <item x="649"/>
        <item x="1228"/>
        <item x="53"/>
        <item x="155"/>
        <item x="625"/>
        <item x="1072"/>
        <item x="430"/>
        <item x="951"/>
        <item x="600"/>
        <item x="151"/>
        <item x="440"/>
        <item x="1169"/>
        <item x="1848"/>
        <item x="49"/>
        <item x="21"/>
        <item x="1612"/>
        <item x="178"/>
        <item x="1654"/>
        <item x="61"/>
        <item x="1714"/>
        <item x="314"/>
        <item x="377"/>
        <item x="787"/>
        <item x="141"/>
        <item x="915"/>
        <item x="474"/>
        <item x="386"/>
        <item x="1302"/>
        <item x="1411"/>
        <item x="92"/>
        <item x="424"/>
        <item x="1573"/>
        <item x="796"/>
        <item x="846"/>
        <item x="997"/>
        <item x="429"/>
        <item x="1962"/>
        <item x="782"/>
        <item x="233"/>
        <item x="1574"/>
        <item x="1604"/>
        <item x="1672"/>
        <item x="1810"/>
        <item x="91"/>
        <item x="1007"/>
        <item x="1429"/>
        <item x="215"/>
        <item x="1293"/>
        <item x="1771"/>
        <item x="605"/>
        <item x="1412"/>
        <item x="1229"/>
        <item x="1886"/>
        <item x="926"/>
        <item x="1064"/>
        <item x="1792"/>
        <item x="340"/>
        <item x="948"/>
        <item x="212"/>
        <item x="1227"/>
        <item x="288"/>
        <item x="123"/>
        <item x="1506"/>
        <item x="1023"/>
        <item x="1132"/>
        <item x="380"/>
        <item x="521"/>
        <item x="410"/>
        <item x="877"/>
        <item x="613"/>
        <item x="641"/>
        <item x="865"/>
        <item x="530"/>
        <item x="589"/>
        <item x="1797"/>
        <item x="1642"/>
        <item x="1670"/>
        <item x="528"/>
        <item x="882"/>
        <item x="1012"/>
        <item x="1240"/>
        <item x="665"/>
        <item x="56"/>
        <item x="939"/>
        <item x="872"/>
        <item x="547"/>
        <item x="508"/>
        <item x="751"/>
        <item x="1619"/>
        <item x="965"/>
        <item x="301"/>
        <item x="697"/>
        <item x="1833"/>
        <item x="799"/>
        <item x="852"/>
        <item x="1636"/>
        <item x="446"/>
        <item x="228"/>
        <item x="82"/>
        <item x="1361"/>
        <item x="336"/>
        <item x="1809"/>
        <item x="73"/>
        <item x="1487"/>
        <item x="391"/>
        <item x="1501"/>
        <item x="450"/>
        <item x="1765"/>
        <item x="1804"/>
        <item x="98"/>
        <item x="545"/>
        <item x="399"/>
        <item x="312"/>
        <item x="1571"/>
        <item x="1655"/>
        <item x="454"/>
        <item x="1580"/>
        <item x="1457"/>
        <item x="55"/>
        <item x="90"/>
        <item x="67"/>
        <item x="1296"/>
        <item x="899"/>
        <item x="680"/>
        <item x="1410"/>
        <item x="1038"/>
        <item x="1800"/>
        <item x="1033"/>
        <item x="785"/>
        <item x="1055"/>
        <item x="1138"/>
        <item x="1431"/>
        <item x="1179"/>
        <item x="1483"/>
        <item x="927"/>
        <item x="1096"/>
        <item x="235"/>
        <item x="417"/>
        <item x="1794"/>
        <item x="489"/>
        <item x="811"/>
        <item x="862"/>
        <item x="1026"/>
        <item x="406"/>
        <item x="1816"/>
        <item x="554"/>
        <item x="1347"/>
        <item x="770"/>
        <item x="1768"/>
        <item x="1939"/>
        <item x="893"/>
        <item x="371"/>
        <item x="1969"/>
        <item x="1564"/>
        <item x="876"/>
        <item x="1659"/>
        <item x="461"/>
        <item x="1367"/>
        <item x="743"/>
        <item x="1388"/>
        <item x="1736"/>
        <item x="1146"/>
        <item x="1393"/>
        <item x="744"/>
        <item x="1288"/>
        <item x="1513"/>
        <item x="582"/>
        <item x="125"/>
        <item x="1217"/>
        <item x="1259"/>
        <item x="791"/>
        <item x="789"/>
        <item x="1894"/>
        <item x="1152"/>
        <item x="1964"/>
        <item x="1530"/>
        <item x="1160"/>
        <item x="1398"/>
        <item x="1399"/>
        <item x="1008"/>
        <item x="486"/>
        <item x="254"/>
        <item x="1331"/>
        <item x="1320"/>
        <item x="167"/>
        <item x="290"/>
        <item x="645"/>
        <item x="1786"/>
        <item x="1495"/>
        <item x="1904"/>
        <item x="1614"/>
        <item x="1370"/>
        <item x="623"/>
        <item x="276"/>
        <item x="775"/>
        <item x="1911"/>
        <item x="1117"/>
        <item x="8"/>
        <item x="628"/>
        <item x="1250"/>
        <item x="1582"/>
        <item x="1527"/>
        <item x="800"/>
        <item x="586"/>
        <item x="41"/>
        <item x="941"/>
        <item x="642"/>
        <item x="987"/>
        <item x="1808"/>
        <item x="564"/>
        <item x="128"/>
        <item x="1957"/>
        <item x="522"/>
        <item x="1569"/>
        <item x="176"/>
        <item x="1635"/>
        <item x="1567"/>
        <item x="1336"/>
        <item x="303"/>
        <item x="369"/>
        <item x="139"/>
        <item x="1907"/>
        <item x="293"/>
        <item x="1840"/>
        <item x="1468"/>
        <item x="1354"/>
        <item x="307"/>
        <item x="97"/>
        <item x="970"/>
        <item x="973"/>
        <item x="358"/>
        <item x="921"/>
        <item x="1121"/>
        <item x="1847"/>
        <item x="967"/>
        <item x="1405"/>
        <item x="1424"/>
        <item x="1373"/>
        <item x="1968"/>
        <item x="25"/>
        <item x="1729"/>
        <item x="511"/>
        <item x="999"/>
        <item x="1834"/>
        <item x="1231"/>
        <item x="1408"/>
        <item x="1651"/>
        <item x="1374"/>
        <item x="64"/>
        <item x="1251"/>
        <item x="277"/>
        <item x="1615"/>
        <item x="1369"/>
        <item x="1252"/>
        <item x="1143"/>
        <item x="419"/>
        <item x="1297"/>
        <item x="1362"/>
        <item x="1257"/>
        <item x="1083"/>
        <item x="135"/>
        <item x="958"/>
        <item x="1720"/>
        <item x="400"/>
        <item x="962"/>
        <item x="1112"/>
        <item x="855"/>
        <item x="337"/>
        <item x="768"/>
        <item x="1723"/>
        <item x="467"/>
        <item x="234"/>
        <item x="218"/>
        <item x="1144"/>
        <item x="1059"/>
        <item x="874"/>
        <item x="208"/>
        <item x="1471"/>
        <item x="1141"/>
        <item x="3"/>
        <item x="322"/>
        <item x="32"/>
        <item x="1239"/>
        <item x="226"/>
        <item x="1170"/>
        <item x="1664"/>
        <item x="1446"/>
        <item x="982"/>
        <item x="809"/>
        <item x="730"/>
        <item x="10"/>
        <item x="1693"/>
        <item x="132"/>
        <item x="1248"/>
        <item x="372"/>
        <item x="767"/>
        <item x="790"/>
        <item x="1668"/>
        <item x="608"/>
        <item x="866"/>
        <item x="278"/>
        <item x="1561"/>
        <item x="1311"/>
        <item x="1549"/>
        <item x="565"/>
        <item x="1645"/>
        <item x="273"/>
        <item x="1301"/>
        <item x="161"/>
        <item x="660"/>
        <item x="1747"/>
        <item x="1674"/>
        <item x="781"/>
        <item x="1560"/>
        <item x="1717"/>
        <item x="1120"/>
        <item x="937"/>
        <item x="823"/>
        <item x="115"/>
        <item x="531"/>
        <item x="1516"/>
        <item x="1805"/>
        <item x="1456"/>
        <item x="519"/>
        <item x="1122"/>
        <item x="1796"/>
        <item x="393"/>
        <item x="471"/>
        <item x="686"/>
        <item x="1690"/>
        <item x="566"/>
        <item x="567"/>
        <item x="913"/>
        <item x="1436"/>
        <item x="1191"/>
        <item x="827"/>
        <item x="339"/>
        <item x="1643"/>
        <item x="1049"/>
        <item x="993"/>
        <item x="888"/>
        <item x="120"/>
        <item x="1205"/>
        <item x="717"/>
        <item x="1931"/>
        <item x="923"/>
        <item x="110"/>
        <item x="618"/>
        <item x="907"/>
        <item x="691"/>
        <item x="829"/>
        <item x="1031"/>
        <item x="62"/>
        <item x="58"/>
        <item x="1447"/>
        <item x="362"/>
        <item x="470"/>
        <item x="1669"/>
        <item x="1010"/>
        <item x="966"/>
        <item x="1803"/>
        <item x="786"/>
        <item x="1076"/>
        <item x="1741"/>
        <item x="1739"/>
        <item x="1315"/>
        <item x="1842"/>
        <item x="1514"/>
        <item x="1258"/>
        <item x="831"/>
        <item x="1115"/>
        <item x="777"/>
        <item x="272"/>
        <item x="568"/>
        <item x="1295"/>
        <item x="1932"/>
        <item x="1140"/>
        <item x="1139"/>
        <item x="647"/>
        <item x="232"/>
        <item x="1879"/>
        <item x="1628"/>
        <item x="237"/>
        <item x="1009"/>
        <item x="1922"/>
        <item x="370"/>
        <item x="840"/>
        <item x="1706"/>
        <item x="1658"/>
        <item x="1222"/>
        <item x="813"/>
        <item x="1955"/>
        <item x="1394"/>
        <item x="1721"/>
        <item x="163"/>
        <item x="845"/>
        <item x="1368"/>
        <item x="700"/>
        <item x="490"/>
        <item x="317"/>
        <item x="1876"/>
        <item x="1255"/>
        <item x="1977"/>
        <item x="1118"/>
        <item x="542"/>
        <item x="603"/>
        <item x="145"/>
        <item x="1661"/>
        <item x="1987"/>
        <item x="1016"/>
        <item x="630"/>
        <item x="701"/>
        <item x="443"/>
        <item x="1432"/>
        <item x="1537"/>
        <item x="401"/>
        <item x="1422"/>
        <item x="485"/>
        <item x="1953"/>
        <item x="1961"/>
        <item x="495"/>
        <item x="716"/>
        <item x="1225"/>
        <item x="935"/>
        <item x="442"/>
        <item x="1607"/>
        <item x="814"/>
        <item x="462"/>
        <item x="416"/>
        <item x="943"/>
        <item x="1402"/>
        <item x="1970"/>
        <item x="820"/>
        <item x="1751"/>
        <item x="1921"/>
        <item x="44"/>
        <item x="1678"/>
        <item x="1688"/>
        <item x="1164"/>
        <item x="409"/>
        <item x="1379"/>
        <item x="433"/>
        <item x="1837"/>
        <item x="360"/>
        <item x="384"/>
        <item x="1183"/>
        <item x="297"/>
        <item x="815"/>
        <item x="1918"/>
        <item x="550"/>
        <item x="1649"/>
        <item x="28"/>
        <item x="861"/>
        <item x="1789"/>
        <item x="159"/>
        <item x="747"/>
        <item x="227"/>
        <item x="984"/>
        <item x="6"/>
        <item x="346"/>
        <item x="1280"/>
        <item x="1799"/>
        <item x="617"/>
        <item x="253"/>
        <item x="65"/>
        <item x="137"/>
        <item x="1073"/>
        <item x="1892"/>
        <item x="1427"/>
        <item x="1703"/>
        <item x="193"/>
        <item x="1381"/>
        <item x="1377"/>
        <item x="1062"/>
        <item x="107"/>
        <item x="974"/>
        <item x="1262"/>
        <item x="1924"/>
        <item x="247"/>
        <item x="1491"/>
        <item x="1047"/>
        <item x="87"/>
        <item x="48"/>
        <item x="266"/>
        <item x="1111"/>
        <item x="1474"/>
        <item x="986"/>
        <item x="1705"/>
        <item x="1241"/>
        <item x="555"/>
        <item x="611"/>
        <item x="523"/>
        <item x="1198"/>
        <item x="1836"/>
        <item x="729"/>
        <item x="1497"/>
        <item x="1526"/>
        <item x="200"/>
        <item x="86"/>
        <item x="101"/>
        <item x="1490"/>
        <item x="1660"/>
        <item x="1466"/>
        <item x="1081"/>
        <item x="1312"/>
        <item x="1245"/>
        <item x="821"/>
        <item x="724"/>
        <item x="275"/>
        <item x="1341"/>
        <item x="1127"/>
        <item x="675"/>
        <item x="263"/>
        <item x="1352"/>
        <item x="1542"/>
        <item x="1005"/>
        <item x="1971"/>
        <item x="1760"/>
        <item x="355"/>
        <item x="1435"/>
        <item x="634"/>
        <item x="180"/>
        <item x="20"/>
        <item x="1680"/>
        <item x="925"/>
        <item x="1202"/>
        <item x="1181"/>
        <item x="1053"/>
        <item x="407"/>
        <item x="216"/>
        <item x="1531"/>
        <item x="1253"/>
        <item x="71"/>
        <item x="885"/>
        <item x="1172"/>
        <item x="239"/>
        <item x="1028"/>
        <item x="1681"/>
        <item x="512"/>
        <item x="544"/>
        <item x="549"/>
        <item x="1802"/>
        <item x="153"/>
        <item x="205"/>
        <item x="1875"/>
        <item x="1860"/>
        <item x="240"/>
        <item x="788"/>
        <item x="683"/>
        <item x="1853"/>
        <item x="13"/>
        <item x="50"/>
        <item x="1914"/>
        <item x="1484"/>
        <item x="347"/>
        <item x="804"/>
        <item x="1779"/>
        <item x="1753"/>
        <item x="733"/>
        <item x="1343"/>
        <item x="494"/>
        <item x="1878"/>
        <item x="1060"/>
        <item x="1034"/>
        <item x="183"/>
        <item x="1844"/>
        <item x="1906"/>
        <item x="1303"/>
        <item x="1128"/>
        <item x="81"/>
        <item x="1193"/>
        <item x="452"/>
        <item x="140"/>
        <item x="819"/>
        <item x="699"/>
        <item x="1618"/>
        <item x="1575"/>
        <item x="1989"/>
        <item x="40"/>
        <item x="1728"/>
        <item x="1683"/>
        <item x="1959"/>
        <item x="654"/>
        <item x="924"/>
        <item x="1159"/>
        <item x="1538"/>
        <item x="956"/>
        <item x="945"/>
        <item x="714"/>
        <item x="651"/>
        <item x="1798"/>
        <item x="1401"/>
        <item x="1758"/>
        <item x="1101"/>
        <item x="735"/>
        <item x="1890"/>
        <item x="629"/>
        <item x="313"/>
        <item x="1757"/>
        <item x="1617"/>
        <item x="451"/>
        <item x="182"/>
        <item x="1550"/>
        <item x="1286"/>
        <item x="1061"/>
        <item x="126"/>
        <item x="1742"/>
        <item x="1187"/>
        <item x="1928"/>
        <item x="390"/>
        <item x="880"/>
        <item x="1677"/>
        <item x="1409"/>
        <item x="1770"/>
        <item x="1316"/>
        <item x="111"/>
        <item x="1605"/>
        <item x="1595"/>
        <item x="1040"/>
        <item x="992"/>
        <item x="1887"/>
        <item x="1201"/>
        <item x="294"/>
        <item x="188"/>
        <item x="578"/>
        <item x="1759"/>
        <item x="1777"/>
        <item x="306"/>
        <item x="1192"/>
        <item x="1781"/>
        <item x="988"/>
        <item x="427"/>
        <item x="1632"/>
        <item x="737"/>
        <item x="719"/>
        <item x="422"/>
        <item x="689"/>
        <item x="1307"/>
        <item x="279"/>
        <item x="217"/>
        <item x="1184"/>
        <item x="740"/>
        <item x="1265"/>
        <item x="175"/>
        <item x="1881"/>
        <item x="66"/>
        <item x="1646"/>
        <item x="143"/>
        <item x="1450"/>
        <item x="1829"/>
        <item x="1633"/>
        <item x="881"/>
        <item x="1570"/>
        <item x="1941"/>
        <item x="1778"/>
        <item x="459"/>
        <item x="1027"/>
        <item x="833"/>
        <item x="1841"/>
        <item x="1766"/>
        <item x="198"/>
        <item x="772"/>
        <item x="1281"/>
        <item x="807"/>
        <item x="905"/>
        <item x="1444"/>
        <item x="243"/>
        <item x="1482"/>
        <item x="367"/>
        <item x="207"/>
        <item x="221"/>
        <item x="1070"/>
        <item x="1339"/>
        <item x="1244"/>
        <item x="1712"/>
        <item x="333"/>
        <item x="385"/>
        <item x="688"/>
        <item x="1519"/>
        <item x="1054"/>
        <item x="1334"/>
        <item x="1755"/>
        <item x="364"/>
        <item x="930"/>
        <item x="1254"/>
        <item x="1935"/>
        <item x="1858"/>
        <item x="1533"/>
        <item x="517"/>
        <item x="85"/>
        <item x="375"/>
        <item x="22"/>
        <item x="928"/>
        <item x="1893"/>
        <item x="1724"/>
        <item x="1518"/>
        <item x="1541"/>
        <item x="184"/>
        <item x="1414"/>
        <item x="1267"/>
        <item x="195"/>
        <item x="1734"/>
        <item x="1110"/>
        <item x="435"/>
        <item x="734"/>
        <item x="1348"/>
        <item x="352"/>
        <item x="1299"/>
        <item x="595"/>
        <item x="1852"/>
        <item x="543"/>
        <item x="1011"/>
        <item x="78"/>
        <item x="1413"/>
        <item x="1583"/>
        <item x="873"/>
        <item x="1666"/>
        <item x="1811"/>
        <item x="978"/>
        <item x="843"/>
        <item x="761"/>
        <item x="219"/>
        <item x="1695"/>
        <item x="1390"/>
        <item x="769"/>
        <item x="602"/>
        <item x="302"/>
        <item x="381"/>
        <item x="736"/>
        <item x="1601"/>
        <item x="1701"/>
        <item x="1946"/>
        <item x="894"/>
        <item x="944"/>
        <item x="1648"/>
        <item x="1004"/>
        <item x="1988"/>
        <item x="1036"/>
        <item x="1641"/>
        <item x="106"/>
        <item x="1082"/>
        <item x="1806"/>
        <item x="1256"/>
        <item x="1896"/>
        <item x="338"/>
        <item x="1866"/>
        <item x="548"/>
        <item x="1938"/>
        <item x="626"/>
        <item x="933"/>
        <item x="1813"/>
        <item x="1524"/>
        <item x="368"/>
        <item x="972"/>
        <item x="673"/>
        <item x="116"/>
        <item x="696"/>
        <item x="858"/>
        <item x="1175"/>
        <item x="1050"/>
        <item x="667"/>
        <item x="1597"/>
        <item x="864"/>
        <item x="1732"/>
        <item x="1114"/>
        <item x="1213"/>
        <item x="837"/>
        <item x="1037"/>
        <item x="109"/>
        <item x="960"/>
        <item x="1767"/>
        <item x="119"/>
        <item x="1950"/>
        <item x="801"/>
        <item x="54"/>
        <item x="1489"/>
        <item x="15"/>
        <item x="411"/>
        <item x="1849"/>
        <item x="1585"/>
        <item x="432"/>
        <item x="1151"/>
        <item x="1097"/>
        <item x="1279"/>
        <item x="158"/>
        <item x="1843"/>
        <item x="304"/>
        <item x="1455"/>
        <item x="93"/>
        <item x="955"/>
        <item x="884"/>
        <item x="953"/>
        <item x="1396"/>
        <item x="976"/>
        <item x="1592"/>
        <item x="1443"/>
        <item x="1815"/>
        <item x="1001"/>
        <item x="469"/>
        <item x="668"/>
        <item x="299"/>
        <item x="571"/>
        <item x="1338"/>
        <item x="1150"/>
        <item x="1504"/>
        <item x="1711"/>
        <item x="77"/>
        <item x="588"/>
        <item x="1539"/>
        <item x="491"/>
        <item x="1503"/>
        <item x="1947"/>
        <item x="76"/>
        <item x="897"/>
        <item x="1512"/>
        <item x="621"/>
        <item x="1782"/>
        <item x="1828"/>
        <item x="1578"/>
        <item x="1133"/>
        <item x="1275"/>
        <item x="1464"/>
        <item x="437"/>
        <item x="917"/>
        <item x="725"/>
        <item x="929"/>
        <item x="604"/>
        <item x="1958"/>
        <item x="30"/>
        <item x="709"/>
        <item x="983"/>
        <item x="248"/>
        <item x="1052"/>
        <item x="1086"/>
        <item x="1817"/>
        <item x="79"/>
        <item x="1075"/>
        <item x="1434"/>
        <item x="481"/>
        <item x="1090"/>
        <item x="1795"/>
        <item x="210"/>
        <item x="1451"/>
        <item x="500"/>
        <item x="1306"/>
        <item x="1877"/>
        <item x="652"/>
        <item x="1147"/>
        <item x="1774"/>
        <item x="1091"/>
        <item x="1864"/>
        <item x="954"/>
        <item x="366"/>
        <item x="620"/>
        <item x="863"/>
        <item x="1273"/>
        <item x="959"/>
        <item x="1611"/>
        <item x="1416"/>
        <item x="1477"/>
        <item x="147"/>
        <item x="754"/>
        <item x="1021"/>
        <item x="1925"/>
        <item x="1522"/>
        <item x="1015"/>
        <item x="1327"/>
        <item x="636"/>
        <item x="1449"/>
        <item x="1236"/>
        <item x="810"/>
        <item x="1204"/>
        <item x="1825"/>
        <item x="712"/>
        <item x="52"/>
        <item x="1337"/>
        <item x="1024"/>
        <item x="559"/>
        <item x="1882"/>
        <item x="356"/>
        <item x="1577"/>
        <item x="969"/>
        <item x="1945"/>
        <item x="1294"/>
        <item x="570"/>
        <item x="1498"/>
        <item x="896"/>
        <item x="418"/>
        <item x="677"/>
        <item x="1163"/>
        <item x="758"/>
        <item x="201"/>
        <item x="476"/>
        <item x="1109"/>
        <item x="1735"/>
        <item x="309"/>
        <item x="335"/>
        <item x="797"/>
        <item x="1992"/>
        <item x="1910"/>
        <item x="1523"/>
        <item x="1481"/>
        <item x="1653"/>
        <item x="906"/>
        <item x="1375"/>
        <item x="1726"/>
        <item x="1626"/>
        <item x="445"/>
        <item x="1599"/>
        <item x="1682"/>
        <item x="803"/>
        <item x="695"/>
        <item x="1035"/>
        <item x="839"/>
        <item x="1700"/>
        <item x="1149"/>
        <item x="526"/>
        <item x="998"/>
        <item x="920"/>
        <item x="1022"/>
        <item x="1949"/>
        <item x="444"/>
        <item x="100"/>
        <item x="480"/>
        <item x="499"/>
        <item x="323"/>
        <item x="1404"/>
        <item x="305"/>
        <item x="678"/>
        <item x="289"/>
        <item x="1972"/>
        <item x="822"/>
        <item x="1069"/>
        <item x="1532"/>
        <item x="857"/>
        <item x="423"/>
        <item x="883"/>
        <item x="37"/>
        <item x="1839"/>
        <item x="191"/>
        <item x="345"/>
        <item x="540"/>
        <item x="244"/>
        <item x="1547"/>
        <item x="1195"/>
        <item x="453"/>
        <item x="1838"/>
        <item x="1521"/>
        <item x="14"/>
        <item x="890"/>
        <item x="694"/>
        <item x="1018"/>
        <item x="635"/>
        <item x="949"/>
        <item x="1830"/>
        <item x="875"/>
        <item x="270"/>
        <item x="492"/>
        <item x="1298"/>
        <item x="1785"/>
        <item x="1850"/>
        <item x="527"/>
        <item x="1598"/>
        <item x="765"/>
        <item x="1142"/>
        <item x="45"/>
        <item x="408"/>
        <item x="757"/>
        <item x="16"/>
        <item x="449"/>
        <item x="24"/>
        <item x="1748"/>
        <item x="996"/>
        <item x="75"/>
        <item x="509"/>
        <item x="1196"/>
        <item x="487"/>
        <item x="779"/>
        <item x="282"/>
        <item x="1620"/>
        <item x="300"/>
        <item x="1733"/>
        <item x="144"/>
        <item x="723"/>
        <item x="808"/>
        <item x="841"/>
        <item x="879"/>
        <item x="1459"/>
        <item x="1308"/>
        <item x="1492"/>
        <item x="1103"/>
        <item x="1551"/>
        <item x="1232"/>
        <item x="69"/>
        <item x="1350"/>
        <item x="1"/>
        <item x="484"/>
        <item x="149"/>
        <item x="441"/>
        <item x="657"/>
        <item x="187"/>
        <item x="1219"/>
        <item x="1525"/>
        <item x="70"/>
        <item x="1566"/>
        <item x="236"/>
        <item x="19"/>
        <item x="1900"/>
        <item x="585"/>
        <item x="11"/>
        <item x="590"/>
        <item x="537"/>
        <item x="1610"/>
        <item x="1045"/>
        <item x="463"/>
        <item x="1359"/>
        <item x="524"/>
        <item x="834"/>
        <item x="1942"/>
        <item x="271"/>
        <item x="1475"/>
        <item x="794"/>
        <item x="1406"/>
        <item x="284"/>
        <item x="516"/>
        <item x="726"/>
        <item x="320"/>
        <item x="616"/>
        <item x="1300"/>
        <item x="562"/>
        <item x="1788"/>
        <item x="713"/>
        <item x="1511"/>
        <item x="1874"/>
        <item x="1586"/>
        <item x="1960"/>
        <item x="1898"/>
        <item x="1356"/>
        <item x="1634"/>
        <item x="1292"/>
        <item x="503"/>
        <item x="1321"/>
        <item x="711"/>
        <item x="1756"/>
        <item x="1773"/>
        <item t="default"/>
      </items>
    </pivotField>
    <pivotField showAll="0" sortType="descending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504"/>
    </i>
    <i>
      <x v="712"/>
    </i>
    <i>
      <x v="1294"/>
    </i>
    <i>
      <x v="1323"/>
    </i>
    <i>
      <x v="1358"/>
    </i>
    <i>
      <x v="1636"/>
    </i>
    <i>
      <x v="1758"/>
    </i>
    <i>
      <x v="1775"/>
    </i>
    <i>
      <x v="1901"/>
    </i>
    <i>
      <x v="1963"/>
    </i>
    <i t="grand">
      <x/>
    </i>
  </rowItems>
  <colItems count="1">
    <i/>
  </colItems>
  <dataFields count="1">
    <dataField name="Sum of Monthly_Installment" fld="1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4AF6D-B9EF-4FF3-B816-E8823427FF8A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7">
  <location ref="A79:B85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86">
        <item x="947"/>
        <item x="10"/>
        <item x="361"/>
        <item x="461"/>
        <item x="452"/>
        <item x="93"/>
        <item x="829"/>
        <item x="381"/>
        <item x="998"/>
        <item x="513"/>
        <item x="860"/>
        <item x="46"/>
        <item x="107"/>
        <item x="65"/>
        <item x="831"/>
        <item x="223"/>
        <item x="294"/>
        <item x="172"/>
        <item x="21"/>
        <item x="693"/>
        <item x="229"/>
        <item x="449"/>
        <item x="543"/>
        <item x="537"/>
        <item x="879"/>
        <item x="658"/>
        <item x="392"/>
        <item x="862"/>
        <item x="439"/>
        <item x="589"/>
        <item x="688"/>
        <item x="1017"/>
        <item x="348"/>
        <item x="31"/>
        <item x="609"/>
        <item x="54"/>
        <item x="193"/>
        <item x="458"/>
        <item x="180"/>
        <item x="242"/>
        <item x="13"/>
        <item x="1059"/>
        <item x="517"/>
        <item x="965"/>
        <item x="153"/>
        <item x="767"/>
        <item x="430"/>
        <item x="805"/>
        <item x="145"/>
        <item x="788"/>
        <item x="81"/>
        <item x="1015"/>
        <item x="570"/>
        <item x="888"/>
        <item x="129"/>
        <item x="337"/>
        <item x="1035"/>
        <item x="959"/>
        <item x="76"/>
        <item x="851"/>
        <item x="754"/>
        <item x="686"/>
        <item x="499"/>
        <item x="724"/>
        <item x="534"/>
        <item x="904"/>
        <item x="399"/>
        <item x="99"/>
        <item x="1071"/>
        <item x="104"/>
        <item x="409"/>
        <item x="307"/>
        <item x="1023"/>
        <item x="18"/>
        <item x="3"/>
        <item x="930"/>
        <item x="353"/>
        <item x="161"/>
        <item x="171"/>
        <item x="97"/>
        <item x="197"/>
        <item x="508"/>
        <item x="728"/>
        <item x="512"/>
        <item x="941"/>
        <item x="507"/>
        <item x="359"/>
        <item x="57"/>
        <item x="58"/>
        <item x="1045"/>
        <item x="931"/>
        <item x="869"/>
        <item x="375"/>
        <item x="412"/>
        <item x="158"/>
        <item x="566"/>
        <item x="995"/>
        <item x="135"/>
        <item x="121"/>
        <item x="1038"/>
        <item x="546"/>
        <item x="845"/>
        <item x="902"/>
        <item x="984"/>
        <item x="178"/>
        <item x="85"/>
        <item x="288"/>
        <item x="490"/>
        <item x="582"/>
        <item x="527"/>
        <item x="475"/>
        <item x="374"/>
        <item x="1007"/>
        <item x="8"/>
        <item x="761"/>
        <item x="289"/>
        <item x="917"/>
        <item x="518"/>
        <item x="514"/>
        <item x="60"/>
        <item x="486"/>
        <item x="182"/>
        <item x="87"/>
        <item x="827"/>
        <item x="474"/>
        <item x="550"/>
        <item x="574"/>
        <item x="492"/>
        <item x="281"/>
        <item x="315"/>
        <item x="34"/>
        <item x="615"/>
        <item x="334"/>
        <item x="542"/>
        <item x="750"/>
        <item x="204"/>
        <item x="838"/>
        <item x="738"/>
        <item x="162"/>
        <item x="7"/>
        <item x="451"/>
        <item x="1084"/>
        <item x="910"/>
        <item x="993"/>
        <item x="878"/>
        <item x="428"/>
        <item x="577"/>
        <item x="677"/>
        <item x="783"/>
        <item x="79"/>
        <item x="1043"/>
        <item x="56"/>
        <item x="727"/>
        <item x="269"/>
        <item x="147"/>
        <item x="459"/>
        <item x="477"/>
        <item x="455"/>
        <item x="791"/>
        <item x="370"/>
        <item x="239"/>
        <item x="325"/>
        <item x="691"/>
        <item x="41"/>
        <item x="1022"/>
        <item x="124"/>
        <item x="547"/>
        <item x="616"/>
        <item x="887"/>
        <item x="495"/>
        <item x="1066"/>
        <item x="948"/>
        <item x="105"/>
        <item x="472"/>
        <item x="619"/>
        <item x="109"/>
        <item x="115"/>
        <item x="731"/>
        <item x="232"/>
        <item x="844"/>
        <item x="23"/>
        <item x="497"/>
        <item x="977"/>
        <item x="53"/>
        <item x="741"/>
        <item x="973"/>
        <item x="358"/>
        <item x="765"/>
        <item x="372"/>
        <item x="467"/>
        <item x="920"/>
        <item x="835"/>
        <item x="1042"/>
        <item x="444"/>
        <item x="1004"/>
        <item x="981"/>
        <item x="261"/>
        <item x="35"/>
        <item x="128"/>
        <item x="771"/>
        <item x="262"/>
        <item x="287"/>
        <item x="531"/>
        <item x="133"/>
        <item x="391"/>
        <item x="548"/>
        <item x="746"/>
        <item x="312"/>
        <item x="185"/>
        <item x="231"/>
        <item x="285"/>
        <item x="80"/>
        <item x="424"/>
        <item x="892"/>
        <item x="846"/>
        <item x="918"/>
        <item x="1029"/>
        <item x="536"/>
        <item x="613"/>
        <item x="448"/>
        <item x="635"/>
        <item x="284"/>
        <item x="2"/>
        <item x="387"/>
        <item x="420"/>
        <item x="801"/>
        <item x="716"/>
        <item x="90"/>
        <item x="953"/>
        <item x="669"/>
        <item x="1005"/>
        <item x="896"/>
        <item x="855"/>
        <item x="874"/>
        <item x="29"/>
        <item x="354"/>
        <item x="33"/>
        <item x="521"/>
        <item x="629"/>
        <item x="219"/>
        <item x="1002"/>
        <item x="889"/>
        <item x="563"/>
        <item x="812"/>
        <item x="786"/>
        <item x="139"/>
        <item x="906"/>
        <item x="1027"/>
        <item x="912"/>
        <item x="356"/>
        <item x="605"/>
        <item x="766"/>
        <item x="748"/>
        <item x="283"/>
        <item x="701"/>
        <item x="784"/>
        <item x="673"/>
        <item x="101"/>
        <item x="809"/>
        <item x="989"/>
        <item x="453"/>
        <item x="772"/>
        <item x="679"/>
        <item x="956"/>
        <item x="389"/>
        <item x="42"/>
        <item x="667"/>
        <item x="44"/>
        <item x="890"/>
        <item x="620"/>
        <item x="710"/>
        <item x="586"/>
        <item x="9"/>
        <item x="528"/>
        <item x="338"/>
        <item x="62"/>
        <item x="460"/>
        <item x="641"/>
        <item x="611"/>
        <item x="552"/>
        <item x="330"/>
        <item x="882"/>
        <item x="651"/>
        <item x="323"/>
        <item x="253"/>
        <item x="502"/>
        <item x="678"/>
        <item x="364"/>
        <item x="168"/>
        <item x="433"/>
        <item x="631"/>
        <item x="511"/>
        <item x="30"/>
        <item x="208"/>
        <item x="1047"/>
        <item x="347"/>
        <item x="594"/>
        <item x="1079"/>
        <item x="415"/>
        <item x="293"/>
        <item x="980"/>
        <item x="43"/>
        <item x="690"/>
        <item x="441"/>
        <item x="569"/>
        <item x="209"/>
        <item x="113"/>
        <item x="982"/>
        <item x="964"/>
        <item x="191"/>
        <item x="225"/>
        <item x="385"/>
        <item x="181"/>
        <item x="410"/>
        <item x="768"/>
        <item x="320"/>
        <item x="568"/>
        <item x="891"/>
        <item x="1030"/>
        <item x="363"/>
        <item x="975"/>
        <item x="264"/>
        <item x="529"/>
        <item x="867"/>
        <item x="717"/>
        <item x="934"/>
        <item x="908"/>
        <item x="277"/>
        <item x="675"/>
        <item x="159"/>
        <item x="378"/>
        <item x="482"/>
        <item x="291"/>
        <item x="322"/>
        <item x="47"/>
        <item x="899"/>
        <item x="685"/>
        <item x="1051"/>
        <item x="402"/>
        <item x="733"/>
        <item x="939"/>
        <item x="713"/>
        <item x="272"/>
        <item x="425"/>
        <item x="1011"/>
        <item x="1057"/>
        <item x="506"/>
        <item x="880"/>
        <item x="226"/>
        <item x="1082"/>
        <item x="780"/>
        <item x="554"/>
        <item x="638"/>
        <item x="602"/>
        <item x="234"/>
        <item x="308"/>
        <item x="92"/>
        <item x="745"/>
        <item x="95"/>
        <item x="117"/>
        <item x="760"/>
        <item x="300"/>
        <item x="371"/>
        <item x="661"/>
        <item x="106"/>
        <item x="355"/>
        <item x="1044"/>
        <item x="84"/>
        <item x="67"/>
        <item x="909"/>
        <item x="500"/>
        <item x="576"/>
        <item x="988"/>
        <item x="466"/>
        <item x="82"/>
        <item x="1061"/>
        <item x="69"/>
        <item x="870"/>
        <item x="126"/>
        <item x="442"/>
        <item x="938"/>
        <item x="875"/>
        <item x="913"/>
        <item x="622"/>
        <item x="357"/>
        <item x="549"/>
        <item x="894"/>
        <item x="655"/>
        <item x="230"/>
        <item x="77"/>
        <item x="544"/>
        <item x="295"/>
        <item x="422"/>
        <item x="997"/>
        <item x="990"/>
        <item x="276"/>
        <item x="301"/>
        <item x="28"/>
        <item x="873"/>
        <item x="360"/>
        <item x="708"/>
        <item x="608"/>
        <item x="498"/>
        <item x="454"/>
        <item x="596"/>
        <item x="840"/>
        <item x="1028"/>
        <item x="464"/>
        <item x="49"/>
        <item x="545"/>
        <item x="758"/>
        <item x="852"/>
        <item x="790"/>
        <item x="296"/>
        <item x="339"/>
        <item x="523"/>
        <item x="350"/>
        <item x="259"/>
        <item x="680"/>
        <item x="709"/>
        <item x="778"/>
        <item x="671"/>
        <item x="789"/>
        <item x="24"/>
        <item x="1032"/>
        <item x="201"/>
        <item x="427"/>
        <item x="1074"/>
        <item x="591"/>
        <item x="394"/>
        <item x="504"/>
        <item x="450"/>
        <item x="957"/>
        <item x="762"/>
        <item x="240"/>
        <item x="309"/>
        <item x="108"/>
        <item x="16"/>
        <item x="699"/>
        <item x="779"/>
        <item x="469"/>
        <item x="597"/>
        <item x="820"/>
        <item x="1076"/>
        <item x="1052"/>
        <item x="38"/>
        <item x="187"/>
        <item x="946"/>
        <item x="637"/>
        <item x="1067"/>
        <item x="932"/>
        <item x="856"/>
        <item x="282"/>
        <item x="373"/>
        <item x="401"/>
        <item x="1055"/>
        <item x="919"/>
        <item x="341"/>
        <item x="278"/>
        <item x="573"/>
        <item x="966"/>
        <item x="808"/>
        <item x="590"/>
        <item x="491"/>
        <item x="66"/>
        <item x="763"/>
        <item x="1077"/>
        <item x="52"/>
        <item x="118"/>
        <item x="142"/>
        <item x="91"/>
        <item x="39"/>
        <item x="265"/>
        <item x="311"/>
        <item x="333"/>
        <item x="1080"/>
        <item x="465"/>
        <item x="478"/>
        <item x="823"/>
        <item x="927"/>
        <item x="89"/>
        <item x="726"/>
        <item x="167"/>
        <item x="468"/>
        <item x="770"/>
        <item x="650"/>
        <item x="991"/>
        <item x="393"/>
        <item x="15"/>
        <item x="901"/>
        <item x="643"/>
        <item x="843"/>
        <item x="584"/>
        <item x="203"/>
        <item x="817"/>
        <item x="476"/>
        <item x="972"/>
        <item x="116"/>
        <item x="457"/>
        <item x="797"/>
        <item x="141"/>
        <item x="235"/>
        <item x="463"/>
        <item x="317"/>
        <item x="807"/>
        <item x="343"/>
        <item x="628"/>
        <item x="196"/>
        <item x="861"/>
        <item x="494"/>
        <item x="306"/>
        <item x="796"/>
        <item x="828"/>
        <item x="996"/>
        <item x="601"/>
        <item x="5"/>
        <item x="152"/>
        <item x="833"/>
        <item x="877"/>
        <item x="885"/>
        <item x="541"/>
        <item x="273"/>
        <item x="426"/>
        <item x="241"/>
        <item x="429"/>
        <item x="683"/>
        <item x="27"/>
        <item x="555"/>
        <item x="26"/>
        <item x="950"/>
        <item x="564"/>
        <item x="501"/>
        <item x="739"/>
        <item x="830"/>
        <item x="630"/>
        <item x="868"/>
        <item x="48"/>
        <item x="130"/>
        <item x="702"/>
        <item x="274"/>
        <item x="649"/>
        <item x="473"/>
        <item x="138"/>
        <item x="769"/>
        <item x="660"/>
        <item x="1041"/>
        <item x="200"/>
        <item x="579"/>
        <item x="418"/>
        <item x="639"/>
        <item x="170"/>
        <item x="352"/>
        <item x="916"/>
        <item x="859"/>
        <item x="447"/>
        <item x="280"/>
        <item x="897"/>
        <item x="417"/>
        <item x="61"/>
        <item x="4"/>
        <item x="255"/>
        <item x="578"/>
        <item x="626"/>
        <item x="400"/>
        <item x="156"/>
        <item x="192"/>
        <item x="236"/>
        <item x="804"/>
        <item x="202"/>
        <item x="188"/>
        <item x="603"/>
        <item x="184"/>
        <item x="431"/>
        <item x="419"/>
        <item x="970"/>
        <item x="78"/>
        <item x="144"/>
        <item x="1049"/>
        <item x="37"/>
        <item x="666"/>
        <item x="895"/>
        <item x="610"/>
        <item x="744"/>
        <item x="524"/>
        <item x="86"/>
        <item x="103"/>
        <item x="624"/>
        <item x="40"/>
        <item x="937"/>
        <item x="1014"/>
        <item x="423"/>
        <item x="123"/>
        <item x="787"/>
        <item x="94"/>
        <item x="636"/>
        <item x="707"/>
        <item x="157"/>
        <item x="698"/>
        <item x="324"/>
        <item x="1019"/>
        <item x="929"/>
        <item x="481"/>
        <item x="413"/>
        <item x="505"/>
        <item x="785"/>
        <item x="0"/>
        <item x="96"/>
        <item x="173"/>
        <item x="806"/>
        <item x="488"/>
        <item x="362"/>
        <item x="1053"/>
        <item x="749"/>
        <item x="987"/>
        <item x="487"/>
        <item x="150"/>
        <item x="335"/>
        <item x="803"/>
        <item x="1078"/>
        <item x="140"/>
        <item x="800"/>
        <item x="756"/>
        <item x="684"/>
        <item x="131"/>
        <item x="854"/>
        <item x="405"/>
        <item x="437"/>
        <item x="954"/>
        <item x="98"/>
        <item x="257"/>
        <item x="297"/>
        <item x="653"/>
        <item x="483"/>
        <item x="623"/>
        <item x="1025"/>
        <item x="824"/>
        <item x="952"/>
        <item x="670"/>
        <item x="435"/>
        <item x="100"/>
        <item x="1021"/>
        <item x="440"/>
        <item x="825"/>
        <item x="217"/>
        <item x="983"/>
        <item x="267"/>
        <item x="968"/>
        <item x="244"/>
        <item x="366"/>
        <item x="166"/>
        <item x="407"/>
        <item x="122"/>
        <item x="252"/>
        <item x="190"/>
        <item x="940"/>
        <item x="51"/>
        <item x="559"/>
        <item x="446"/>
        <item x="753"/>
        <item x="246"/>
        <item x="310"/>
        <item x="384"/>
        <item x="719"/>
        <item x="822"/>
        <item x="832"/>
        <item x="397"/>
        <item x="395"/>
        <item x="962"/>
        <item x="633"/>
        <item x="313"/>
        <item x="183"/>
        <item x="1034"/>
        <item x="664"/>
        <item x="883"/>
        <item x="704"/>
        <item x="645"/>
        <item x="585"/>
        <item x="676"/>
        <item x="327"/>
        <item x="720"/>
        <item x="725"/>
        <item x="903"/>
        <item x="205"/>
        <item x="775"/>
        <item x="1000"/>
        <item x="551"/>
        <item x="1070"/>
        <item x="114"/>
        <item x="978"/>
        <item x="247"/>
        <item x="752"/>
        <item x="125"/>
        <item x="1006"/>
        <item x="802"/>
        <item x="1016"/>
        <item x="836"/>
        <item x="737"/>
        <item x="777"/>
        <item x="986"/>
        <item x="942"/>
        <item x="342"/>
        <item x="438"/>
        <item x="535"/>
        <item x="1060"/>
        <item x="340"/>
        <item x="705"/>
        <item x="1024"/>
        <item x="810"/>
        <item x="1010"/>
        <item x="634"/>
        <item x="922"/>
        <item x="328"/>
        <item x="1026"/>
        <item x="268"/>
        <item x="254"/>
        <item x="672"/>
        <item x="224"/>
        <item x="736"/>
        <item x="143"/>
        <item x="382"/>
        <item x="764"/>
        <item x="304"/>
        <item x="1046"/>
        <item x="558"/>
        <item x="857"/>
        <item x="403"/>
        <item x="740"/>
        <item x="83"/>
        <item x="732"/>
        <item x="71"/>
        <item x="976"/>
        <item x="625"/>
        <item x="151"/>
        <item x="1003"/>
        <item x="519"/>
        <item x="648"/>
        <item x="841"/>
        <item x="120"/>
        <item x="621"/>
        <item x="553"/>
        <item x="198"/>
        <item x="689"/>
        <item x="480"/>
        <item x="694"/>
        <item x="926"/>
        <item x="674"/>
        <item x="164"/>
        <item x="484"/>
        <item x="279"/>
        <item x="730"/>
        <item x="815"/>
        <item x="221"/>
        <item x="849"/>
        <item x="581"/>
        <item x="493"/>
        <item x="243"/>
        <item x="1081"/>
        <item x="155"/>
        <item x="819"/>
        <item x="248"/>
        <item x="216"/>
        <item x="923"/>
        <item x="575"/>
        <item x="515"/>
        <item x="215"/>
        <item x="275"/>
        <item x="1050"/>
        <item x="792"/>
        <item x="556"/>
        <item x="1062"/>
        <item x="985"/>
        <item x="165"/>
        <item x="949"/>
        <item x="580"/>
        <item x="22"/>
        <item x="1001"/>
        <item x="299"/>
        <item x="55"/>
        <item x="6"/>
        <item x="331"/>
        <item x="1037"/>
        <item x="137"/>
        <item x="837"/>
        <item x="251"/>
        <item x="924"/>
        <item x="220"/>
        <item x="19"/>
        <item x="1073"/>
        <item x="866"/>
        <item x="755"/>
        <item x="774"/>
        <item x="1056"/>
        <item x="321"/>
        <item x="592"/>
        <item x="721"/>
        <item x="955"/>
        <item x="369"/>
        <item x="588"/>
        <item x="50"/>
        <item x="72"/>
        <item x="319"/>
        <item x="734"/>
        <item x="999"/>
        <item x="943"/>
        <item x="351"/>
        <item x="715"/>
        <item x="821"/>
        <item x="858"/>
        <item x="863"/>
        <item x="20"/>
        <item x="112"/>
        <item x="723"/>
        <item x="503"/>
        <item x="88"/>
        <item x="607"/>
        <item x="111"/>
        <item x="408"/>
        <item x="757"/>
        <item x="368"/>
        <item x="759"/>
        <item x="263"/>
        <item x="850"/>
        <item x="510"/>
        <item x="583"/>
        <item x="706"/>
        <item x="110"/>
        <item x="1031"/>
        <item x="642"/>
        <item x="532"/>
        <item x="811"/>
        <item x="406"/>
        <item x="520"/>
        <item x="1064"/>
        <item x="365"/>
        <item x="794"/>
        <item x="1020"/>
        <item x="134"/>
        <item x="160"/>
        <item x="565"/>
        <item x="127"/>
        <item x="1068"/>
        <item x="538"/>
        <item x="346"/>
        <item x="286"/>
        <item x="12"/>
        <item x="195"/>
        <item x="743"/>
        <item x="377"/>
        <item x="560"/>
        <item x="349"/>
        <item x="367"/>
        <item x="905"/>
        <item x="848"/>
        <item x="992"/>
        <item x="911"/>
        <item x="662"/>
        <item x="298"/>
        <item x="816"/>
        <item x="64"/>
        <item x="471"/>
        <item x="561"/>
        <item x="68"/>
        <item x="336"/>
        <item x="411"/>
        <item x="380"/>
        <item x="865"/>
        <item x="332"/>
        <item x="462"/>
        <item x="742"/>
        <item x="847"/>
        <item x="1069"/>
        <item x="445"/>
        <item x="388"/>
        <item x="316"/>
        <item x="654"/>
        <item x="210"/>
        <item x="814"/>
        <item x="59"/>
        <item x="567"/>
        <item x="233"/>
        <item x="881"/>
        <item x="599"/>
        <item x="11"/>
        <item x="627"/>
        <item x="136"/>
        <item x="963"/>
        <item x="712"/>
        <item x="974"/>
        <item x="73"/>
        <item x="443"/>
        <item x="813"/>
        <item x="75"/>
        <item x="928"/>
        <item x="14"/>
        <item x="735"/>
        <item x="222"/>
        <item x="199"/>
        <item x="598"/>
        <item x="646"/>
        <item x="179"/>
        <item x="606"/>
        <item x="329"/>
        <item x="697"/>
        <item x="657"/>
        <item x="206"/>
        <item x="853"/>
        <item x="416"/>
        <item x="227"/>
        <item x="915"/>
        <item x="1048"/>
        <item x="687"/>
        <item x="572"/>
        <item x="1012"/>
        <item x="148"/>
        <item x="132"/>
        <item x="612"/>
        <item x="958"/>
        <item x="692"/>
        <item x="379"/>
        <item x="571"/>
        <item x="951"/>
        <item x="421"/>
        <item x="414"/>
        <item x="292"/>
        <item x="212"/>
        <item x="1058"/>
        <item x="260"/>
        <item x="539"/>
        <item x="74"/>
        <item x="396"/>
        <item x="945"/>
        <item x="711"/>
        <item x="436"/>
        <item x="793"/>
        <item x="45"/>
        <item x="842"/>
        <item x="390"/>
        <item x="944"/>
        <item x="663"/>
        <item x="703"/>
        <item x="872"/>
        <item x="154"/>
        <item x="345"/>
        <item x="213"/>
        <item x="682"/>
        <item x="632"/>
        <item x="533"/>
        <item x="383"/>
        <item x="1009"/>
        <item x="617"/>
        <item x="967"/>
        <item x="17"/>
        <item x="119"/>
        <item x="186"/>
        <item x="898"/>
        <item x="884"/>
        <item x="1065"/>
        <item x="526"/>
        <item x="256"/>
        <item x="522"/>
        <item x="773"/>
        <item x="479"/>
        <item x="146"/>
        <item x="933"/>
        <item x="799"/>
        <item x="214"/>
        <item x="177"/>
        <item x="485"/>
        <item x="211"/>
        <item x="266"/>
        <item x="647"/>
        <item x="314"/>
        <item x="665"/>
        <item x="1075"/>
        <item x="489"/>
        <item x="404"/>
        <item x="525"/>
        <item x="509"/>
        <item x="961"/>
        <item x="960"/>
        <item x="644"/>
        <item x="1036"/>
        <item x="1018"/>
        <item x="839"/>
        <item x="305"/>
        <item x="696"/>
        <item x="864"/>
        <item x="604"/>
        <item x="63"/>
        <item x="302"/>
        <item x="530"/>
        <item x="1039"/>
        <item x="595"/>
        <item x="189"/>
        <item x="914"/>
        <item x="516"/>
        <item x="249"/>
        <item x="826"/>
        <item x="1063"/>
        <item x="587"/>
        <item x="795"/>
        <item x="921"/>
        <item x="600"/>
        <item x="695"/>
        <item x="668"/>
        <item x="245"/>
        <item x="398"/>
        <item x="218"/>
        <item x="386"/>
        <item x="562"/>
        <item x="640"/>
        <item x="169"/>
        <item x="36"/>
        <item x="271"/>
        <item x="1"/>
        <item x="70"/>
        <item x="618"/>
        <item x="935"/>
        <item x="250"/>
        <item x="1083"/>
        <item x="1008"/>
        <item x="781"/>
        <item x="1033"/>
        <item x="907"/>
        <item x="207"/>
        <item x="971"/>
        <item x="237"/>
        <item x="681"/>
        <item x="925"/>
        <item x="470"/>
        <item x="900"/>
        <item x="593"/>
        <item x="818"/>
        <item x="747"/>
        <item x="163"/>
        <item x="798"/>
        <item x="1054"/>
        <item x="270"/>
        <item x="834"/>
        <item x="751"/>
        <item x="376"/>
        <item x="718"/>
        <item x="194"/>
        <item x="1072"/>
        <item x="290"/>
        <item x="700"/>
        <item x="344"/>
        <item x="893"/>
        <item x="614"/>
        <item x="659"/>
        <item x="936"/>
        <item x="656"/>
        <item x="176"/>
        <item x="258"/>
        <item x="782"/>
        <item x="871"/>
        <item x="25"/>
        <item x="149"/>
        <item x="729"/>
        <item x="496"/>
        <item x="979"/>
        <item x="652"/>
        <item x="1040"/>
        <item x="1013"/>
        <item x="994"/>
        <item x="776"/>
        <item x="540"/>
        <item x="434"/>
        <item x="456"/>
        <item x="886"/>
        <item x="876"/>
        <item x="303"/>
        <item x="228"/>
        <item x="326"/>
        <item x="175"/>
        <item x="722"/>
        <item x="238"/>
        <item x="969"/>
        <item x="557"/>
        <item x="432"/>
        <item x="32"/>
        <item x="714"/>
        <item x="318"/>
        <item x="102"/>
        <item x="174"/>
        <item t="default"/>
      </items>
    </pivotField>
    <pivotField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dataField="1" showAll="0">
      <items count="1997">
        <item x="498"/>
        <item x="687"/>
        <item x="1105"/>
        <item x="1430"/>
        <item x="1596"/>
        <item x="342"/>
        <item x="57"/>
        <item x="17"/>
        <item x="1671"/>
        <item x="792"/>
        <item x="172"/>
        <item x="324"/>
        <item x="900"/>
        <item x="1124"/>
        <item x="1486"/>
        <item x="1092"/>
        <item x="2"/>
        <item x="1099"/>
        <item x="426"/>
        <item x="1162"/>
        <item x="558"/>
        <item x="1951"/>
        <item x="412"/>
        <item x="448"/>
        <item x="1616"/>
        <item x="739"/>
        <item x="1870"/>
        <item x="1763"/>
        <item x="1685"/>
        <item x="932"/>
        <item x="1565"/>
        <item x="745"/>
        <item x="952"/>
        <item x="510"/>
        <item x="1869"/>
        <item x="133"/>
        <item x="824"/>
        <item x="1328"/>
        <item x="1630"/>
        <item x="202"/>
        <item x="1032"/>
        <item x="1584"/>
        <item x="488"/>
        <item x="1824"/>
        <item x="1493"/>
        <item x="1985"/>
        <item x="1975"/>
        <item x="592"/>
        <item x="1675"/>
        <item x="1846"/>
        <item x="1057"/>
        <item x="1276"/>
        <item x="826"/>
        <item x="35"/>
        <item x="1403"/>
        <item x="1559"/>
        <item x="1077"/>
        <item x="1956"/>
        <item x="1371"/>
        <item x="1716"/>
        <item x="995"/>
        <item x="1019"/>
        <item x="1130"/>
        <item x="286"/>
        <item x="1665"/>
        <item x="1154"/>
        <item x="1917"/>
        <item x="439"/>
        <item x="1855"/>
        <item x="341"/>
        <item x="1943"/>
        <item x="1043"/>
        <item x="1084"/>
        <item x="425"/>
        <item x="404"/>
        <item x="168"/>
        <item x="624"/>
        <item x="1973"/>
        <item x="658"/>
        <item x="666"/>
        <item x="518"/>
        <item x="753"/>
        <item x="1323"/>
        <item x="1372"/>
        <item x="750"/>
        <item x="464"/>
        <item x="203"/>
        <item x="1126"/>
        <item x="1214"/>
        <item x="1562"/>
        <item x="908"/>
        <item x="1743"/>
        <item x="1590"/>
        <item x="1216"/>
        <item x="1417"/>
        <item x="1548"/>
        <item x="281"/>
        <item x="1880"/>
        <item x="1933"/>
        <item x="1153"/>
        <item x="916"/>
        <item x="1769"/>
        <item x="1529"/>
        <item x="1283"/>
        <item x="1692"/>
        <item x="389"/>
        <item x="1426"/>
        <item x="1078"/>
        <item x="541"/>
        <item x="1156"/>
        <item x="497"/>
        <item x="295"/>
        <item x="1282"/>
        <item x="580"/>
        <item x="166"/>
        <item x="1385"/>
        <item x="1930"/>
        <item x="1013"/>
        <item x="1470"/>
        <item x="738"/>
        <item x="148"/>
        <item x="1520"/>
        <item x="283"/>
        <item x="1593"/>
        <item x="606"/>
        <item x="1314"/>
        <item x="1237"/>
        <item x="627"/>
        <item x="186"/>
        <item x="859"/>
        <item x="1783"/>
        <item x="1041"/>
        <item x="38"/>
        <item x="255"/>
        <item x="1235"/>
        <item x="1360"/>
        <item x="573"/>
        <item x="1629"/>
        <item x="919"/>
        <item x="1745"/>
        <item x="909"/>
        <item x="806"/>
        <item x="1983"/>
        <item x="1387"/>
        <item x="242"/>
        <item x="942"/>
        <item x="1272"/>
        <item x="1397"/>
        <item x="1908"/>
        <item x="1433"/>
        <item x="1318"/>
        <item x="1000"/>
        <item x="1329"/>
        <item x="1517"/>
        <item x="529"/>
        <item x="96"/>
        <item x="1740"/>
        <item x="1134"/>
        <item x="220"/>
        <item x="477"/>
        <item x="1868"/>
        <item x="648"/>
        <item x="1058"/>
        <item x="1226"/>
        <item x="1330"/>
        <item x="1528"/>
        <item x="1657"/>
        <item x="18"/>
        <item x="1673"/>
        <item x="1400"/>
        <item x="1166"/>
        <item x="1485"/>
        <item x="1439"/>
        <item x="1333"/>
        <item x="51"/>
        <item x="245"/>
        <item x="1827"/>
        <item x="1899"/>
        <item x="576"/>
        <item x="1579"/>
        <item x="1048"/>
        <item x="1966"/>
        <item x="902"/>
        <item x="230"/>
        <item x="661"/>
        <item x="838"/>
        <item x="9"/>
        <item x="968"/>
        <item x="1461"/>
        <item x="1826"/>
        <item x="204"/>
        <item x="1502"/>
        <item x="1364"/>
        <item x="170"/>
        <item x="387"/>
        <item x="1123"/>
        <item x="776"/>
        <item x="455"/>
        <item x="1554"/>
        <item x="990"/>
        <item x="506"/>
        <item x="383"/>
        <item x="1873"/>
        <item x="1325"/>
        <item x="1465"/>
        <item x="704"/>
        <item x="1386"/>
        <item x="1441"/>
        <item x="1102"/>
        <item x="805"/>
        <item x="225"/>
        <item x="1003"/>
        <item x="741"/>
        <item x="1136"/>
        <item x="1462"/>
        <item x="731"/>
        <item x="1647"/>
        <item x="662"/>
        <item x="213"/>
        <item x="382"/>
        <item x="1937"/>
        <item x="1744"/>
        <item x="557"/>
        <item x="663"/>
        <item x="1863"/>
        <item x="1221"/>
        <item x="1392"/>
        <item x="1980"/>
        <item x="1544"/>
        <item x="749"/>
        <item x="1543"/>
        <item x="1867"/>
        <item x="1051"/>
        <item x="1572"/>
        <item x="901"/>
        <item x="514"/>
        <item x="269"/>
        <item x="136"/>
        <item x="1137"/>
        <item x="1274"/>
        <item x="1224"/>
        <item x="556"/>
        <item x="583"/>
        <item x="321"/>
        <item x="327"/>
        <item x="177"/>
        <item x="1984"/>
        <item x="1588"/>
        <item x="762"/>
        <item x="1030"/>
        <item x="720"/>
        <item x="1820"/>
        <item x="1884"/>
        <item x="1730"/>
        <item x="1752"/>
        <item x="653"/>
        <item x="632"/>
        <item x="1625"/>
        <item x="1270"/>
        <item x="1780"/>
        <item x="238"/>
        <item x="1440"/>
        <item x="1056"/>
        <item x="214"/>
        <item x="124"/>
        <item x="1215"/>
        <item x="1722"/>
        <item x="1814"/>
        <item x="1029"/>
        <item x="1269"/>
        <item x="1535"/>
        <item x="1478"/>
        <item x="1066"/>
        <item x="1189"/>
        <item x="1737"/>
        <item x="1319"/>
        <item x="267"/>
        <item x="501"/>
        <item x="1277"/>
        <item x="1185"/>
        <item x="83"/>
        <item x="1473"/>
        <item x="1093"/>
        <item x="211"/>
        <item x="1346"/>
        <item x="1787"/>
        <item x="351"/>
        <item x="1934"/>
        <item x="504"/>
        <item x="47"/>
        <item x="515"/>
        <item x="196"/>
        <item x="1981"/>
        <item x="1317"/>
        <item x="1190"/>
        <item x="1395"/>
        <item x="889"/>
        <item x="310"/>
        <item x="1927"/>
        <item x="1600"/>
        <item x="1644"/>
        <item x="326"/>
        <item x="1621"/>
        <item x="1182"/>
        <item x="396"/>
        <item x="397"/>
        <item x="1095"/>
        <item x="428"/>
        <item x="597"/>
        <item x="760"/>
        <item x="1761"/>
        <item x="722"/>
        <item x="349"/>
        <item x="403"/>
        <item x="1305"/>
        <item x="131"/>
        <item x="256"/>
        <item x="534"/>
        <item x="1207"/>
        <item x="1776"/>
        <item x="189"/>
        <item x="1025"/>
        <item x="1555"/>
        <item x="1340"/>
        <item x="363"/>
        <item x="563"/>
        <item x="848"/>
        <item x="102"/>
        <item x="1978"/>
        <item x="532"/>
        <item x="778"/>
        <item x="774"/>
        <item x="1775"/>
        <item x="1453"/>
        <item x="392"/>
        <item x="1203"/>
        <item x="59"/>
        <item x="1857"/>
        <item x="710"/>
        <item x="1944"/>
        <item x="1234"/>
        <item x="475"/>
        <item x="1382"/>
        <item x="1119"/>
        <item x="1750"/>
        <item x="964"/>
        <item x="332"/>
        <item x="650"/>
        <item x="715"/>
        <item x="1553"/>
        <item x="759"/>
        <item x="1376"/>
        <item x="127"/>
        <item x="1719"/>
        <item x="594"/>
        <item x="934"/>
        <item x="1042"/>
        <item x="72"/>
        <item x="1445"/>
        <item x="1576"/>
        <item x="1589"/>
        <item x="552"/>
        <item x="591"/>
        <item x="458"/>
        <item x="742"/>
        <item x="1708"/>
        <item x="413"/>
        <item x="868"/>
        <item x="520"/>
        <item x="259"/>
        <item x="1923"/>
        <item x="535"/>
        <item x="68"/>
        <item x="1845"/>
        <item x="1754"/>
        <item x="693"/>
        <item x="1948"/>
        <item x="1713"/>
        <item x="1656"/>
        <item x="975"/>
        <item x="350"/>
        <item x="784"/>
        <item x="664"/>
        <item x="830"/>
        <item x="1762"/>
        <item x="698"/>
        <item x="638"/>
        <item x="1812"/>
        <item x="963"/>
        <item x="298"/>
        <item x="1994"/>
        <item x="1662"/>
        <item x="1940"/>
        <item x="1883"/>
        <item x="95"/>
        <item x="684"/>
        <item x="1212"/>
        <item x="1345"/>
        <item x="1784"/>
        <item x="1622"/>
        <item x="1129"/>
        <item x="706"/>
        <item x="29"/>
        <item x="1679"/>
        <item x="718"/>
        <item x="1246"/>
        <item x="26"/>
        <item x="0"/>
        <item x="1020"/>
        <item x="1557"/>
        <item x="194"/>
        <item x="274"/>
        <item x="1238"/>
        <item x="43"/>
        <item x="1715"/>
        <item x="80"/>
        <item x="1631"/>
        <item x="732"/>
        <item x="1731"/>
        <item x="1247"/>
        <item x="1916"/>
        <item x="74"/>
        <item x="262"/>
        <item x="1563"/>
        <item x="763"/>
        <item x="1624"/>
        <item x="197"/>
        <item x="1358"/>
        <item x="1266"/>
        <item x="1558"/>
        <item x="482"/>
        <item x="1104"/>
        <item x="918"/>
        <item x="561"/>
        <item x="379"/>
        <item x="99"/>
        <item x="258"/>
        <item x="420"/>
        <item x="1480"/>
        <item x="825"/>
        <item x="1094"/>
        <item x="599"/>
        <item x="1322"/>
        <item x="1897"/>
        <item x="1326"/>
        <item x="546"/>
        <item x="1885"/>
        <item x="311"/>
        <item x="60"/>
        <item x="1176"/>
        <item x="27"/>
        <item x="656"/>
        <item x="388"/>
        <item x="1856"/>
        <item x="134"/>
        <item x="1080"/>
        <item x="1746"/>
        <item x="447"/>
        <item x="169"/>
        <item x="1871"/>
        <item x="434"/>
        <item x="130"/>
        <item x="5"/>
        <item x="1068"/>
        <item x="755"/>
        <item x="676"/>
        <item x="931"/>
        <item x="802"/>
        <item x="851"/>
        <item x="343"/>
        <item x="1587"/>
        <item x="1920"/>
        <item x="466"/>
        <item x="1039"/>
        <item x="472"/>
        <item x="1454"/>
        <item x="1180"/>
        <item x="887"/>
        <item x="229"/>
        <item x="903"/>
        <item x="721"/>
        <item x="1242"/>
        <item x="105"/>
        <item x="331"/>
        <item x="574"/>
        <item x="783"/>
        <item x="1862"/>
        <item x="1640"/>
        <item x="1155"/>
        <item x="1556"/>
        <item x="1177"/>
        <item x="1263"/>
        <item x="260"/>
        <item x="138"/>
        <item x="1157"/>
        <item x="1704"/>
        <item x="1702"/>
        <item x="1913"/>
        <item x="832"/>
        <item x="1063"/>
        <item x="1100"/>
        <item x="1425"/>
        <item x="1991"/>
        <item x="1687"/>
        <item x="727"/>
        <item x="1738"/>
        <item x="1087"/>
        <item x="192"/>
        <item x="818"/>
        <item x="1718"/>
        <item x="34"/>
        <item x="344"/>
        <item x="468"/>
        <item x="1508"/>
        <item x="1173"/>
        <item x="1639"/>
        <item x="989"/>
        <item x="1423"/>
        <item x="1854"/>
        <item x="142"/>
        <item x="1823"/>
        <item x="1014"/>
        <item x="1500"/>
        <item x="374"/>
        <item x="646"/>
        <item x="160"/>
        <item x="513"/>
        <item x="869"/>
        <item x="457"/>
        <item x="1194"/>
        <item x="1108"/>
        <item x="1536"/>
        <item x="961"/>
        <item x="330"/>
        <item x="1421"/>
        <item x="639"/>
        <item x="84"/>
        <item x="1002"/>
        <item x="703"/>
        <item x="1168"/>
        <item x="1515"/>
        <item x="746"/>
        <item x="569"/>
        <item x="705"/>
        <item x="853"/>
        <item x="241"/>
        <item x="640"/>
        <item x="496"/>
        <item x="171"/>
        <item x="1419"/>
        <item x="1243"/>
        <item x="1982"/>
        <item x="1901"/>
        <item x="1954"/>
        <item x="871"/>
        <item x="1148"/>
        <item x="1197"/>
        <item x="748"/>
        <item x="1694"/>
        <item x="756"/>
        <item x="1822"/>
        <item x="473"/>
        <item x="502"/>
        <item x="1079"/>
        <item x="190"/>
        <item x="357"/>
        <item x="1623"/>
        <item x="1891"/>
        <item x="1613"/>
        <item x="914"/>
        <item x="579"/>
        <item x="250"/>
        <item x="957"/>
        <item x="165"/>
        <item x="438"/>
        <item x="672"/>
        <item x="179"/>
        <item x="979"/>
        <item x="773"/>
        <item x="538"/>
        <item x="1188"/>
        <item x="394"/>
        <item x="1676"/>
        <item x="1689"/>
        <item x="1545"/>
        <item x="1378"/>
        <item x="378"/>
        <item x="581"/>
        <item x="1929"/>
        <item x="1107"/>
        <item x="479"/>
        <item x="31"/>
        <item x="402"/>
        <item x="1638"/>
        <item x="414"/>
        <item x="682"/>
        <item x="764"/>
        <item x="1458"/>
        <item x="1552"/>
        <item x="1995"/>
        <item x="1285"/>
        <item x="1420"/>
        <item x="836"/>
        <item x="436"/>
        <item x="798"/>
        <item x="1510"/>
        <item x="895"/>
        <item x="415"/>
        <item x="1861"/>
        <item x="1986"/>
        <item x="598"/>
        <item x="1540"/>
        <item x="173"/>
        <item x="353"/>
        <item x="1210"/>
        <item x="1418"/>
        <item x="795"/>
        <item x="1965"/>
        <item x="1895"/>
        <item x="1438"/>
        <item x="674"/>
        <item x="421"/>
        <item x="835"/>
        <item x="395"/>
        <item x="1065"/>
        <item x="129"/>
        <item x="1764"/>
        <item x="1990"/>
        <item x="910"/>
        <item x="816"/>
        <item x="1268"/>
        <item x="1351"/>
        <item x="1384"/>
        <item x="1807"/>
        <item x="1905"/>
        <item x="1609"/>
        <item x="525"/>
        <item x="1448"/>
        <item x="850"/>
        <item x="1223"/>
        <item x="1476"/>
        <item x="1125"/>
        <item x="692"/>
        <item x="752"/>
        <item x="619"/>
        <item x="199"/>
        <item x="1963"/>
        <item x="285"/>
        <item x="23"/>
        <item x="1287"/>
        <item x="1211"/>
        <item x="252"/>
        <item x="1165"/>
        <item x="1801"/>
        <item x="1291"/>
        <item x="533"/>
        <item x="1017"/>
        <item x="319"/>
        <item x="1479"/>
        <item x="1264"/>
        <item x="539"/>
        <item x="181"/>
        <item x="231"/>
        <item x="860"/>
        <item x="1249"/>
        <item x="1467"/>
        <item x="63"/>
        <item x="1158"/>
        <item x="1135"/>
        <item x="977"/>
        <item x="593"/>
        <item x="1499"/>
        <item x="1663"/>
        <item x="1912"/>
        <item x="1310"/>
        <item x="1603"/>
        <item x="1496"/>
        <item x="1472"/>
        <item x="1357"/>
        <item x="264"/>
        <item x="1391"/>
        <item x="1463"/>
        <item x="780"/>
        <item x="1344"/>
        <item x="870"/>
        <item x="1088"/>
        <item x="1686"/>
        <item x="1710"/>
        <item x="828"/>
        <item x="1793"/>
        <item x="104"/>
        <item x="1442"/>
        <item x="1332"/>
        <item x="1919"/>
        <item x="1415"/>
        <item x="1098"/>
        <item x="292"/>
        <item x="536"/>
        <item x="456"/>
        <item x="584"/>
        <item x="1469"/>
        <item x="1437"/>
        <item x="940"/>
        <item x="1568"/>
        <item x="1167"/>
        <item x="1006"/>
        <item x="551"/>
        <item x="708"/>
        <item x="1284"/>
        <item x="122"/>
        <item x="950"/>
        <item x="1696"/>
        <item x="121"/>
        <item x="1749"/>
        <item x="1067"/>
        <item x="1220"/>
        <item x="152"/>
        <item x="296"/>
        <item x="844"/>
        <item x="1353"/>
        <item x="669"/>
        <item x="849"/>
        <item x="847"/>
        <item x="1363"/>
        <item x="633"/>
        <item x="867"/>
        <item x="637"/>
        <item x="1460"/>
        <item x="42"/>
        <item x="614"/>
        <item x="812"/>
        <item x="329"/>
        <item x="1691"/>
        <item x="280"/>
        <item x="354"/>
        <item x="659"/>
        <item x="1383"/>
        <item x="33"/>
        <item x="991"/>
        <item x="1230"/>
        <item x="1698"/>
        <item x="1278"/>
        <item x="46"/>
        <item x="587"/>
        <item x="1534"/>
        <item x="89"/>
        <item x="505"/>
        <item x="1044"/>
        <item x="1428"/>
        <item x="117"/>
        <item x="612"/>
        <item x="793"/>
        <item x="361"/>
        <item x="39"/>
        <item x="1208"/>
        <item x="1902"/>
        <item x="1290"/>
        <item x="1832"/>
        <item x="622"/>
        <item x="1199"/>
        <item x="886"/>
        <item x="36"/>
        <item x="685"/>
        <item x="431"/>
        <item x="334"/>
        <item x="1131"/>
        <item x="1835"/>
        <item x="577"/>
        <item x="1218"/>
        <item x="1865"/>
        <item x="328"/>
        <item x="460"/>
        <item x="251"/>
        <item x="325"/>
        <item x="856"/>
        <item x="376"/>
        <item x="1594"/>
        <item x="113"/>
        <item x="261"/>
        <item x="1389"/>
        <item x="1171"/>
        <item x="493"/>
        <item x="118"/>
        <item x="560"/>
        <item x="1936"/>
        <item x="174"/>
        <item x="1915"/>
        <item x="108"/>
        <item x="1116"/>
        <item x="1791"/>
        <item x="1178"/>
        <item x="222"/>
        <item x="1488"/>
        <item x="1335"/>
        <item x="359"/>
        <item x="1200"/>
        <item x="164"/>
        <item x="287"/>
        <item x="1697"/>
        <item x="94"/>
        <item x="206"/>
        <item x="405"/>
        <item x="1903"/>
        <item x="817"/>
        <item x="114"/>
        <item x="596"/>
        <item x="615"/>
        <item x="1667"/>
        <item x="1859"/>
        <item x="1909"/>
        <item x="1652"/>
        <item x="1174"/>
        <item x="1206"/>
        <item x="483"/>
        <item x="1889"/>
        <item x="681"/>
        <item x="1709"/>
        <item x="1161"/>
        <item x="223"/>
        <item x="947"/>
        <item x="575"/>
        <item x="157"/>
        <item x="1637"/>
        <item x="146"/>
        <item x="478"/>
        <item x="904"/>
        <item x="911"/>
        <item x="185"/>
        <item x="1186"/>
        <item x="553"/>
        <item x="1355"/>
        <item x="398"/>
        <item x="1727"/>
        <item x="1790"/>
        <item x="1581"/>
        <item x="690"/>
        <item x="679"/>
        <item x="771"/>
        <item x="1365"/>
        <item x="1627"/>
        <item x="1494"/>
        <item x="1324"/>
        <item x="1819"/>
        <item x="154"/>
        <item x="1591"/>
        <item x="994"/>
        <item x="1699"/>
        <item x="912"/>
        <item x="898"/>
        <item x="249"/>
        <item x="103"/>
        <item x="1606"/>
        <item x="7"/>
        <item x="671"/>
        <item x="4"/>
        <item x="1380"/>
        <item x="1304"/>
        <item x="643"/>
        <item x="291"/>
        <item x="318"/>
        <item x="315"/>
        <item x="609"/>
        <item x="1342"/>
        <item x="1233"/>
        <item x="1967"/>
        <item x="1046"/>
        <item x="1261"/>
        <item x="1507"/>
        <item x="365"/>
        <item x="1851"/>
        <item x="610"/>
        <item x="162"/>
        <item x="1979"/>
        <item x="156"/>
        <item x="702"/>
        <item x="373"/>
        <item x="88"/>
        <item x="607"/>
        <item x="1926"/>
        <item x="946"/>
        <item x="1089"/>
        <item x="655"/>
        <item x="1085"/>
        <item x="1071"/>
        <item x="1872"/>
        <item x="644"/>
        <item x="1260"/>
        <item x="1145"/>
        <item x="1821"/>
        <item x="1106"/>
        <item x="1772"/>
        <item x="766"/>
        <item x="1209"/>
        <item x="670"/>
        <item x="1452"/>
        <item x="1974"/>
        <item x="922"/>
        <item x="209"/>
        <item x="707"/>
        <item x="1349"/>
        <item x="12"/>
        <item x="1113"/>
        <item x="1407"/>
        <item x="265"/>
        <item x="985"/>
        <item x="268"/>
        <item x="150"/>
        <item x="1650"/>
        <item x="631"/>
        <item x="1831"/>
        <item x="348"/>
        <item x="980"/>
        <item x="465"/>
        <item x="1818"/>
        <item x="981"/>
        <item x="507"/>
        <item x="224"/>
        <item x="1608"/>
        <item x="842"/>
        <item x="728"/>
        <item x="1602"/>
        <item x="1509"/>
        <item x="892"/>
        <item x="878"/>
        <item x="1546"/>
        <item x="1289"/>
        <item x="1976"/>
        <item x="938"/>
        <item x="112"/>
        <item x="1366"/>
        <item x="1505"/>
        <item x="1313"/>
        <item x="1993"/>
        <item x="1952"/>
        <item x="971"/>
        <item x="1888"/>
        <item x="1074"/>
        <item x="316"/>
        <item x="891"/>
        <item x="854"/>
        <item x="601"/>
        <item x="1309"/>
        <item x="572"/>
        <item x="1725"/>
        <item x="1271"/>
        <item x="936"/>
        <item x="308"/>
        <item x="1684"/>
        <item x="246"/>
        <item x="1707"/>
        <item x="257"/>
        <item x="649"/>
        <item x="1228"/>
        <item x="53"/>
        <item x="155"/>
        <item x="625"/>
        <item x="1072"/>
        <item x="430"/>
        <item x="951"/>
        <item x="600"/>
        <item x="151"/>
        <item x="440"/>
        <item x="1169"/>
        <item x="1848"/>
        <item x="49"/>
        <item x="21"/>
        <item x="1612"/>
        <item x="178"/>
        <item x="1654"/>
        <item x="61"/>
        <item x="1714"/>
        <item x="314"/>
        <item x="377"/>
        <item x="787"/>
        <item x="141"/>
        <item x="915"/>
        <item x="474"/>
        <item x="386"/>
        <item x="1302"/>
        <item x="1411"/>
        <item x="92"/>
        <item x="424"/>
        <item x="1573"/>
        <item x="796"/>
        <item x="846"/>
        <item x="997"/>
        <item x="429"/>
        <item x="1962"/>
        <item x="782"/>
        <item x="233"/>
        <item x="1574"/>
        <item x="1604"/>
        <item x="1672"/>
        <item x="1810"/>
        <item x="91"/>
        <item x="1007"/>
        <item x="1429"/>
        <item x="215"/>
        <item x="1293"/>
        <item x="1771"/>
        <item x="605"/>
        <item x="1412"/>
        <item x="1229"/>
        <item x="1886"/>
        <item x="926"/>
        <item x="1064"/>
        <item x="1792"/>
        <item x="340"/>
        <item x="948"/>
        <item x="212"/>
        <item x="1227"/>
        <item x="288"/>
        <item x="123"/>
        <item x="1506"/>
        <item x="1023"/>
        <item x="1132"/>
        <item x="380"/>
        <item x="521"/>
        <item x="410"/>
        <item x="877"/>
        <item x="613"/>
        <item x="641"/>
        <item x="865"/>
        <item x="530"/>
        <item x="589"/>
        <item x="1797"/>
        <item x="1642"/>
        <item x="1670"/>
        <item x="528"/>
        <item x="882"/>
        <item x="1012"/>
        <item x="1240"/>
        <item x="665"/>
        <item x="56"/>
        <item x="939"/>
        <item x="872"/>
        <item x="547"/>
        <item x="508"/>
        <item x="751"/>
        <item x="1619"/>
        <item x="965"/>
        <item x="301"/>
        <item x="697"/>
        <item x="1833"/>
        <item x="799"/>
        <item x="852"/>
        <item x="1636"/>
        <item x="446"/>
        <item x="228"/>
        <item x="82"/>
        <item x="1361"/>
        <item x="336"/>
        <item x="1809"/>
        <item x="73"/>
        <item x="1487"/>
        <item x="391"/>
        <item x="1501"/>
        <item x="450"/>
        <item x="1765"/>
        <item x="1804"/>
        <item x="98"/>
        <item x="545"/>
        <item x="399"/>
        <item x="312"/>
        <item x="1571"/>
        <item x="1655"/>
        <item x="454"/>
        <item x="1580"/>
        <item x="1457"/>
        <item x="55"/>
        <item x="90"/>
        <item x="67"/>
        <item x="1296"/>
        <item x="899"/>
        <item x="680"/>
        <item x="1410"/>
        <item x="1038"/>
        <item x="1800"/>
        <item x="1033"/>
        <item x="785"/>
        <item x="1055"/>
        <item x="1138"/>
        <item x="1431"/>
        <item x="1179"/>
        <item x="1483"/>
        <item x="927"/>
        <item x="1096"/>
        <item x="235"/>
        <item x="417"/>
        <item x="1794"/>
        <item x="489"/>
        <item x="811"/>
        <item x="862"/>
        <item x="1026"/>
        <item x="406"/>
        <item x="1816"/>
        <item x="554"/>
        <item x="1347"/>
        <item x="770"/>
        <item x="1768"/>
        <item x="1939"/>
        <item x="893"/>
        <item x="371"/>
        <item x="1969"/>
        <item x="1564"/>
        <item x="876"/>
        <item x="1659"/>
        <item x="461"/>
        <item x="1367"/>
        <item x="743"/>
        <item x="1388"/>
        <item x="1736"/>
        <item x="1146"/>
        <item x="1393"/>
        <item x="744"/>
        <item x="1288"/>
        <item x="1513"/>
        <item x="582"/>
        <item x="125"/>
        <item x="1217"/>
        <item x="1259"/>
        <item x="791"/>
        <item x="789"/>
        <item x="1894"/>
        <item x="1152"/>
        <item x="1964"/>
        <item x="1530"/>
        <item x="1160"/>
        <item x="1398"/>
        <item x="1399"/>
        <item x="1008"/>
        <item x="486"/>
        <item x="254"/>
        <item x="1331"/>
        <item x="1320"/>
        <item x="167"/>
        <item x="290"/>
        <item x="645"/>
        <item x="1786"/>
        <item x="1495"/>
        <item x="1904"/>
        <item x="1614"/>
        <item x="1370"/>
        <item x="623"/>
        <item x="276"/>
        <item x="775"/>
        <item x="1911"/>
        <item x="1117"/>
        <item x="8"/>
        <item x="628"/>
        <item x="1250"/>
        <item x="1582"/>
        <item x="1527"/>
        <item x="800"/>
        <item x="586"/>
        <item x="41"/>
        <item x="941"/>
        <item x="642"/>
        <item x="987"/>
        <item x="1808"/>
        <item x="564"/>
        <item x="128"/>
        <item x="1957"/>
        <item x="522"/>
        <item x="1569"/>
        <item x="176"/>
        <item x="1635"/>
        <item x="1567"/>
        <item x="1336"/>
        <item x="303"/>
        <item x="369"/>
        <item x="139"/>
        <item x="1907"/>
        <item x="293"/>
        <item x="1840"/>
        <item x="1468"/>
        <item x="1354"/>
        <item x="307"/>
        <item x="97"/>
        <item x="970"/>
        <item x="973"/>
        <item x="358"/>
        <item x="921"/>
        <item x="1121"/>
        <item x="1847"/>
        <item x="967"/>
        <item x="1405"/>
        <item x="1424"/>
        <item x="1373"/>
        <item x="1968"/>
        <item x="25"/>
        <item x="1729"/>
        <item x="511"/>
        <item x="999"/>
        <item x="1834"/>
        <item x="1231"/>
        <item x="1408"/>
        <item x="1651"/>
        <item x="1374"/>
        <item x="64"/>
        <item x="1251"/>
        <item x="277"/>
        <item x="1615"/>
        <item x="1369"/>
        <item x="1252"/>
        <item x="1143"/>
        <item x="419"/>
        <item x="1297"/>
        <item x="1362"/>
        <item x="1257"/>
        <item x="1083"/>
        <item x="135"/>
        <item x="958"/>
        <item x="1720"/>
        <item x="400"/>
        <item x="962"/>
        <item x="1112"/>
        <item x="855"/>
        <item x="337"/>
        <item x="768"/>
        <item x="1723"/>
        <item x="467"/>
        <item x="234"/>
        <item x="218"/>
        <item x="1144"/>
        <item x="1059"/>
        <item x="874"/>
        <item x="208"/>
        <item x="1471"/>
        <item x="1141"/>
        <item x="3"/>
        <item x="322"/>
        <item x="32"/>
        <item x="1239"/>
        <item x="226"/>
        <item x="1170"/>
        <item x="1664"/>
        <item x="1446"/>
        <item x="982"/>
        <item x="809"/>
        <item x="730"/>
        <item x="10"/>
        <item x="1693"/>
        <item x="132"/>
        <item x="1248"/>
        <item x="372"/>
        <item x="767"/>
        <item x="790"/>
        <item x="1668"/>
        <item x="608"/>
        <item x="866"/>
        <item x="278"/>
        <item x="1561"/>
        <item x="1311"/>
        <item x="1549"/>
        <item x="565"/>
        <item x="1645"/>
        <item x="273"/>
        <item x="1301"/>
        <item x="161"/>
        <item x="660"/>
        <item x="1747"/>
        <item x="1674"/>
        <item x="781"/>
        <item x="1560"/>
        <item x="1717"/>
        <item x="1120"/>
        <item x="937"/>
        <item x="823"/>
        <item x="115"/>
        <item x="531"/>
        <item x="1516"/>
        <item x="1805"/>
        <item x="1456"/>
        <item x="519"/>
        <item x="1122"/>
        <item x="1796"/>
        <item x="393"/>
        <item x="471"/>
        <item x="686"/>
        <item x="1690"/>
        <item x="566"/>
        <item x="567"/>
        <item x="913"/>
        <item x="1436"/>
        <item x="1191"/>
        <item x="827"/>
        <item x="339"/>
        <item x="1643"/>
        <item x="1049"/>
        <item x="993"/>
        <item x="888"/>
        <item x="120"/>
        <item x="1205"/>
        <item x="717"/>
        <item x="1931"/>
        <item x="923"/>
        <item x="110"/>
        <item x="618"/>
        <item x="907"/>
        <item x="691"/>
        <item x="829"/>
        <item x="1031"/>
        <item x="62"/>
        <item x="58"/>
        <item x="1447"/>
        <item x="362"/>
        <item x="470"/>
        <item x="1669"/>
        <item x="1010"/>
        <item x="966"/>
        <item x="1803"/>
        <item x="786"/>
        <item x="1076"/>
        <item x="1741"/>
        <item x="1739"/>
        <item x="1315"/>
        <item x="1842"/>
        <item x="1514"/>
        <item x="1258"/>
        <item x="831"/>
        <item x="1115"/>
        <item x="777"/>
        <item x="272"/>
        <item x="568"/>
        <item x="1295"/>
        <item x="1932"/>
        <item x="1140"/>
        <item x="1139"/>
        <item x="647"/>
        <item x="232"/>
        <item x="1879"/>
        <item x="1628"/>
        <item x="237"/>
        <item x="1009"/>
        <item x="1922"/>
        <item x="370"/>
        <item x="840"/>
        <item x="1706"/>
        <item x="1658"/>
        <item x="1222"/>
        <item x="813"/>
        <item x="1955"/>
        <item x="1394"/>
        <item x="1721"/>
        <item x="163"/>
        <item x="845"/>
        <item x="1368"/>
        <item x="700"/>
        <item x="490"/>
        <item x="317"/>
        <item x="1876"/>
        <item x="1255"/>
        <item x="1977"/>
        <item x="1118"/>
        <item x="542"/>
        <item x="603"/>
        <item x="145"/>
        <item x="1661"/>
        <item x="1987"/>
        <item x="1016"/>
        <item x="630"/>
        <item x="701"/>
        <item x="443"/>
        <item x="1432"/>
        <item x="1537"/>
        <item x="401"/>
        <item x="1422"/>
        <item x="485"/>
        <item x="1953"/>
        <item x="1961"/>
        <item x="495"/>
        <item x="716"/>
        <item x="1225"/>
        <item x="935"/>
        <item x="442"/>
        <item x="1607"/>
        <item x="814"/>
        <item x="462"/>
        <item x="416"/>
        <item x="943"/>
        <item x="1402"/>
        <item x="1970"/>
        <item x="820"/>
        <item x="1751"/>
        <item x="1921"/>
        <item x="44"/>
        <item x="1678"/>
        <item x="1688"/>
        <item x="1164"/>
        <item x="409"/>
        <item x="1379"/>
        <item x="433"/>
        <item x="1837"/>
        <item x="360"/>
        <item x="384"/>
        <item x="1183"/>
        <item x="297"/>
        <item x="815"/>
        <item x="1918"/>
        <item x="550"/>
        <item x="1649"/>
        <item x="28"/>
        <item x="861"/>
        <item x="1789"/>
        <item x="159"/>
        <item x="747"/>
        <item x="227"/>
        <item x="984"/>
        <item x="6"/>
        <item x="346"/>
        <item x="1280"/>
        <item x="1799"/>
        <item x="617"/>
        <item x="253"/>
        <item x="65"/>
        <item x="137"/>
        <item x="1073"/>
        <item x="1892"/>
        <item x="1427"/>
        <item x="1703"/>
        <item x="193"/>
        <item x="1381"/>
        <item x="1377"/>
        <item x="1062"/>
        <item x="107"/>
        <item x="974"/>
        <item x="1262"/>
        <item x="1924"/>
        <item x="247"/>
        <item x="1491"/>
        <item x="1047"/>
        <item x="87"/>
        <item x="48"/>
        <item x="266"/>
        <item x="1111"/>
        <item x="1474"/>
        <item x="986"/>
        <item x="1705"/>
        <item x="1241"/>
        <item x="555"/>
        <item x="611"/>
        <item x="523"/>
        <item x="1198"/>
        <item x="1836"/>
        <item x="729"/>
        <item x="1497"/>
        <item x="1526"/>
        <item x="200"/>
        <item x="86"/>
        <item x="101"/>
        <item x="1490"/>
        <item x="1660"/>
        <item x="1466"/>
        <item x="1081"/>
        <item x="1312"/>
        <item x="1245"/>
        <item x="821"/>
        <item x="724"/>
        <item x="275"/>
        <item x="1341"/>
        <item x="1127"/>
        <item x="675"/>
        <item x="263"/>
        <item x="1352"/>
        <item x="1542"/>
        <item x="1005"/>
        <item x="1971"/>
        <item x="1760"/>
        <item x="355"/>
        <item x="1435"/>
        <item x="634"/>
        <item x="180"/>
        <item x="20"/>
        <item x="1680"/>
        <item x="925"/>
        <item x="1202"/>
        <item x="1181"/>
        <item x="1053"/>
        <item x="407"/>
        <item x="216"/>
        <item x="1531"/>
        <item x="1253"/>
        <item x="71"/>
        <item x="885"/>
        <item x="1172"/>
        <item x="239"/>
        <item x="1028"/>
        <item x="1681"/>
        <item x="512"/>
        <item x="544"/>
        <item x="549"/>
        <item x="1802"/>
        <item x="153"/>
        <item x="205"/>
        <item x="1875"/>
        <item x="1860"/>
        <item x="240"/>
        <item x="788"/>
        <item x="683"/>
        <item x="1853"/>
        <item x="13"/>
        <item x="50"/>
        <item x="1914"/>
        <item x="1484"/>
        <item x="347"/>
        <item x="804"/>
        <item x="1779"/>
        <item x="1753"/>
        <item x="733"/>
        <item x="1343"/>
        <item x="494"/>
        <item x="1878"/>
        <item x="1060"/>
        <item x="1034"/>
        <item x="183"/>
        <item x="1844"/>
        <item x="1906"/>
        <item x="1303"/>
        <item x="1128"/>
        <item x="81"/>
        <item x="1193"/>
        <item x="452"/>
        <item x="140"/>
        <item x="819"/>
        <item x="699"/>
        <item x="1618"/>
        <item x="1575"/>
        <item x="1989"/>
        <item x="40"/>
        <item x="1728"/>
        <item x="1683"/>
        <item x="1959"/>
        <item x="654"/>
        <item x="924"/>
        <item x="1159"/>
        <item x="1538"/>
        <item x="956"/>
        <item x="945"/>
        <item x="714"/>
        <item x="651"/>
        <item x="1798"/>
        <item x="1401"/>
        <item x="1758"/>
        <item x="1101"/>
        <item x="735"/>
        <item x="1890"/>
        <item x="629"/>
        <item x="313"/>
        <item x="1757"/>
        <item x="1617"/>
        <item x="451"/>
        <item x="182"/>
        <item x="1550"/>
        <item x="1286"/>
        <item x="1061"/>
        <item x="126"/>
        <item x="1742"/>
        <item x="1187"/>
        <item x="1928"/>
        <item x="390"/>
        <item x="880"/>
        <item x="1677"/>
        <item x="1409"/>
        <item x="1770"/>
        <item x="1316"/>
        <item x="111"/>
        <item x="1605"/>
        <item x="1595"/>
        <item x="1040"/>
        <item x="992"/>
        <item x="1887"/>
        <item x="1201"/>
        <item x="294"/>
        <item x="188"/>
        <item x="578"/>
        <item x="1759"/>
        <item x="1777"/>
        <item x="306"/>
        <item x="1192"/>
        <item x="1781"/>
        <item x="988"/>
        <item x="427"/>
        <item x="1632"/>
        <item x="737"/>
        <item x="719"/>
        <item x="422"/>
        <item x="689"/>
        <item x="1307"/>
        <item x="279"/>
        <item x="217"/>
        <item x="1184"/>
        <item x="740"/>
        <item x="1265"/>
        <item x="175"/>
        <item x="1881"/>
        <item x="66"/>
        <item x="1646"/>
        <item x="143"/>
        <item x="1450"/>
        <item x="1829"/>
        <item x="1633"/>
        <item x="881"/>
        <item x="1570"/>
        <item x="1941"/>
        <item x="1778"/>
        <item x="459"/>
        <item x="1027"/>
        <item x="833"/>
        <item x="1841"/>
        <item x="1766"/>
        <item x="198"/>
        <item x="772"/>
        <item x="1281"/>
        <item x="807"/>
        <item x="905"/>
        <item x="1444"/>
        <item x="243"/>
        <item x="1482"/>
        <item x="367"/>
        <item x="207"/>
        <item x="221"/>
        <item x="1070"/>
        <item x="1339"/>
        <item x="1244"/>
        <item x="1712"/>
        <item x="333"/>
        <item x="385"/>
        <item x="688"/>
        <item x="1519"/>
        <item x="1054"/>
        <item x="1334"/>
        <item x="1755"/>
        <item x="364"/>
        <item x="930"/>
        <item x="1254"/>
        <item x="1935"/>
        <item x="1858"/>
        <item x="1533"/>
        <item x="517"/>
        <item x="85"/>
        <item x="375"/>
        <item x="22"/>
        <item x="928"/>
        <item x="1893"/>
        <item x="1724"/>
        <item x="1518"/>
        <item x="1541"/>
        <item x="184"/>
        <item x="1414"/>
        <item x="1267"/>
        <item x="195"/>
        <item x="1734"/>
        <item x="1110"/>
        <item x="435"/>
        <item x="734"/>
        <item x="1348"/>
        <item x="352"/>
        <item x="1299"/>
        <item x="595"/>
        <item x="1852"/>
        <item x="543"/>
        <item x="1011"/>
        <item x="78"/>
        <item x="1413"/>
        <item x="1583"/>
        <item x="873"/>
        <item x="1666"/>
        <item x="1811"/>
        <item x="978"/>
        <item x="843"/>
        <item x="761"/>
        <item x="219"/>
        <item x="1695"/>
        <item x="1390"/>
        <item x="769"/>
        <item x="602"/>
        <item x="302"/>
        <item x="381"/>
        <item x="736"/>
        <item x="1601"/>
        <item x="1701"/>
        <item x="1946"/>
        <item x="894"/>
        <item x="944"/>
        <item x="1648"/>
        <item x="1004"/>
        <item x="1988"/>
        <item x="1036"/>
        <item x="1641"/>
        <item x="106"/>
        <item x="1082"/>
        <item x="1806"/>
        <item x="1256"/>
        <item x="1896"/>
        <item x="338"/>
        <item x="1866"/>
        <item x="548"/>
        <item x="1938"/>
        <item x="626"/>
        <item x="933"/>
        <item x="1813"/>
        <item x="1524"/>
        <item x="368"/>
        <item x="972"/>
        <item x="673"/>
        <item x="116"/>
        <item x="696"/>
        <item x="858"/>
        <item x="1175"/>
        <item x="1050"/>
        <item x="667"/>
        <item x="1597"/>
        <item x="864"/>
        <item x="1732"/>
        <item x="1114"/>
        <item x="1213"/>
        <item x="837"/>
        <item x="1037"/>
        <item x="109"/>
        <item x="960"/>
        <item x="1767"/>
        <item x="119"/>
        <item x="1950"/>
        <item x="801"/>
        <item x="54"/>
        <item x="1489"/>
        <item x="15"/>
        <item x="411"/>
        <item x="1849"/>
        <item x="1585"/>
        <item x="432"/>
        <item x="1151"/>
        <item x="1097"/>
        <item x="1279"/>
        <item x="158"/>
        <item x="1843"/>
        <item x="304"/>
        <item x="1455"/>
        <item x="93"/>
        <item x="955"/>
        <item x="884"/>
        <item x="953"/>
        <item x="1396"/>
        <item x="976"/>
        <item x="1592"/>
        <item x="1443"/>
        <item x="1815"/>
        <item x="1001"/>
        <item x="469"/>
        <item x="668"/>
        <item x="299"/>
        <item x="571"/>
        <item x="1338"/>
        <item x="1150"/>
        <item x="1504"/>
        <item x="1711"/>
        <item x="77"/>
        <item x="588"/>
        <item x="1539"/>
        <item x="491"/>
        <item x="1503"/>
        <item x="1947"/>
        <item x="76"/>
        <item x="897"/>
        <item x="1512"/>
        <item x="621"/>
        <item x="1782"/>
        <item x="1828"/>
        <item x="1578"/>
        <item x="1133"/>
        <item x="1275"/>
        <item x="1464"/>
        <item x="437"/>
        <item x="917"/>
        <item x="725"/>
        <item x="929"/>
        <item x="604"/>
        <item x="1958"/>
        <item x="30"/>
        <item x="709"/>
        <item x="983"/>
        <item x="248"/>
        <item x="1052"/>
        <item x="1086"/>
        <item x="1817"/>
        <item x="79"/>
        <item x="1075"/>
        <item x="1434"/>
        <item x="481"/>
        <item x="1090"/>
        <item x="1795"/>
        <item x="210"/>
        <item x="1451"/>
        <item x="500"/>
        <item x="1306"/>
        <item x="1877"/>
        <item x="652"/>
        <item x="1147"/>
        <item x="1774"/>
        <item x="1091"/>
        <item x="1864"/>
        <item x="954"/>
        <item x="366"/>
        <item x="620"/>
        <item x="863"/>
        <item x="1273"/>
        <item x="959"/>
        <item x="1611"/>
        <item x="1416"/>
        <item x="1477"/>
        <item x="147"/>
        <item x="754"/>
        <item x="1021"/>
        <item x="1925"/>
        <item x="1522"/>
        <item x="1015"/>
        <item x="1327"/>
        <item x="636"/>
        <item x="1449"/>
        <item x="1236"/>
        <item x="810"/>
        <item x="1204"/>
        <item x="1825"/>
        <item x="712"/>
        <item x="52"/>
        <item x="1337"/>
        <item x="1024"/>
        <item x="559"/>
        <item x="1882"/>
        <item x="356"/>
        <item x="1577"/>
        <item x="969"/>
        <item x="1945"/>
        <item x="1294"/>
        <item x="570"/>
        <item x="1498"/>
        <item x="896"/>
        <item x="418"/>
        <item x="677"/>
        <item x="1163"/>
        <item x="758"/>
        <item x="201"/>
        <item x="476"/>
        <item x="1109"/>
        <item x="1735"/>
        <item x="309"/>
        <item x="335"/>
        <item x="797"/>
        <item x="1992"/>
        <item x="1910"/>
        <item x="1523"/>
        <item x="1481"/>
        <item x="1653"/>
        <item x="906"/>
        <item x="1375"/>
        <item x="1726"/>
        <item x="1626"/>
        <item x="445"/>
        <item x="1599"/>
        <item x="1682"/>
        <item x="803"/>
        <item x="695"/>
        <item x="1035"/>
        <item x="839"/>
        <item x="1700"/>
        <item x="1149"/>
        <item x="526"/>
        <item x="998"/>
        <item x="920"/>
        <item x="1022"/>
        <item x="1949"/>
        <item x="444"/>
        <item x="100"/>
        <item x="480"/>
        <item x="499"/>
        <item x="323"/>
        <item x="1404"/>
        <item x="305"/>
        <item x="678"/>
        <item x="289"/>
        <item x="1972"/>
        <item x="822"/>
        <item x="1069"/>
        <item x="1532"/>
        <item x="857"/>
        <item x="423"/>
        <item x="883"/>
        <item x="37"/>
        <item x="1839"/>
        <item x="191"/>
        <item x="345"/>
        <item x="540"/>
        <item x="244"/>
        <item x="1547"/>
        <item x="1195"/>
        <item x="453"/>
        <item x="1838"/>
        <item x="1521"/>
        <item x="14"/>
        <item x="890"/>
        <item x="694"/>
        <item x="1018"/>
        <item x="635"/>
        <item x="949"/>
        <item x="1830"/>
        <item x="875"/>
        <item x="270"/>
        <item x="492"/>
        <item x="1298"/>
        <item x="1785"/>
        <item x="1850"/>
        <item x="527"/>
        <item x="1598"/>
        <item x="765"/>
        <item x="1142"/>
        <item x="45"/>
        <item x="408"/>
        <item x="757"/>
        <item x="16"/>
        <item x="449"/>
        <item x="24"/>
        <item x="1748"/>
        <item x="996"/>
        <item x="75"/>
        <item x="509"/>
        <item x="1196"/>
        <item x="487"/>
        <item x="779"/>
        <item x="282"/>
        <item x="1620"/>
        <item x="300"/>
        <item x="1733"/>
        <item x="144"/>
        <item x="723"/>
        <item x="808"/>
        <item x="841"/>
        <item x="879"/>
        <item x="1459"/>
        <item x="1308"/>
        <item x="1492"/>
        <item x="1103"/>
        <item x="1551"/>
        <item x="1232"/>
        <item x="69"/>
        <item x="1350"/>
        <item x="1"/>
        <item x="484"/>
        <item x="149"/>
        <item x="441"/>
        <item x="657"/>
        <item x="187"/>
        <item x="1219"/>
        <item x="1525"/>
        <item x="70"/>
        <item x="1566"/>
        <item x="236"/>
        <item x="19"/>
        <item x="1900"/>
        <item x="585"/>
        <item x="11"/>
        <item x="590"/>
        <item x="537"/>
        <item x="1610"/>
        <item x="1045"/>
        <item x="463"/>
        <item x="1359"/>
        <item x="524"/>
        <item x="834"/>
        <item x="1942"/>
        <item x="271"/>
        <item x="1475"/>
        <item x="794"/>
        <item x="1406"/>
        <item x="284"/>
        <item x="516"/>
        <item x="726"/>
        <item x="320"/>
        <item x="616"/>
        <item x="1300"/>
        <item x="562"/>
        <item x="1788"/>
        <item x="713"/>
        <item x="1511"/>
        <item x="1874"/>
        <item x="1586"/>
        <item x="1960"/>
        <item x="1898"/>
        <item x="1356"/>
        <item x="1634"/>
        <item x="1292"/>
        <item x="503"/>
        <item x="1321"/>
        <item x="711"/>
        <item x="1756"/>
        <item x="1773"/>
        <item t="default"/>
      </items>
    </pivotField>
    <pivotField showAll="0" sortType="descending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_Installment" fld="19" baseField="0" baseItem="0"/>
  </dataFields>
  <chartFormats count="2">
    <chartFormat chart="3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C0377-EF8F-4055-AD02-917478048B1F}" name="Table1" displayName="Table1" ref="A1:AH2001" totalsRowShown="0">
  <autoFilter ref="A1:AH2001" xr:uid="{1D3C0377-EF8F-4055-AD02-917478048B1F}"/>
  <tableColumns count="34">
    <tableColumn id="1" xr3:uid="{AC42500F-A1D8-4F93-9A10-6F7460A435DF}" name="Loan_ID"/>
    <tableColumn id="2" xr3:uid="{07FC8D65-AE4B-419C-890E-1A68686439E0}" name="Customer_ID"/>
    <tableColumn id="3" xr3:uid="{C36D6862-E4F2-45FC-9998-30E5D333A701}" name="Age"/>
    <tableColumn id="4" xr3:uid="{F71DF87B-E053-4887-A16D-A89878737CFC}" name="Gender"/>
    <tableColumn id="5" xr3:uid="{A5C4219F-F7D1-4CB0-A3D2-480996FB0C54}" name="Marital_Status"/>
    <tableColumn id="6" xr3:uid="{2A12914E-A7B7-4CF3-AC19-BBE43C3AFC81}" name="Employment_Status"/>
    <tableColumn id="7" xr3:uid="{90159145-D827-4D15-B6BF-9B70C3F5B3C7}" name="Annual_Income"/>
    <tableColumn id="8" xr3:uid="{2766B7C0-E52C-4D9A-B6F0-77BAE3EF1A96}" name="Credit_Score"/>
    <tableColumn id="9" xr3:uid="{C5E6897A-C216-4136-B1B4-F804F1B5E474}" name="Loan_Amount"/>
    <tableColumn id="10" xr3:uid="{E01EA90F-F204-4776-B5FC-18EFB3742279}" name="Interest_Rate"/>
    <tableColumn id="11" xr3:uid="{8F92B312-595F-430C-AB3C-9D46250194B9}" name="Loan_Term_Months"/>
    <tableColumn id="12" xr3:uid="{F884F984-6C58-48EB-A985-BACFB63277F4}" name="Loan_Type"/>
    <tableColumn id="13" xr3:uid="{74B69422-2E1E-4065-A546-B7629D6116EE}" name="Debt_To_Income"/>
    <tableColumn id="14" xr3:uid="{4662B8F0-5F01-495F-AFBE-64924A77AA04}" name="Existing_Debt"/>
    <tableColumn id="15" xr3:uid="{34446D0F-06F0-4369-86D2-C6445C003EED}" name="Collateral_Value"/>
    <tableColumn id="16" xr3:uid="{FEA357BA-2224-4DD1-A214-DA287B67796B}" name="Application_Date"/>
    <tableColumn id="17" xr3:uid="{55A8137B-F09B-4B8C-B19A-2073A99D4788}" name="Approval_Status"/>
    <tableColumn id="18" xr3:uid="{3653E922-7FA4-4F7C-B00A-BFFB31C3E61F}" name="Default_Status"/>
    <tableColumn id="19" xr3:uid="{A61FA992-69F1-4204-805A-687BF37BEAB0}" name="Region"/>
    <tableColumn id="20" xr3:uid="{A43238E4-3DBB-4E5C-BDEA-3AB1C2341A1D}" name="Monthly_Installment"/>
    <tableColumn id="21" xr3:uid="{DF9B567D-B0D9-488D-A6F1-2AF3AAD058A8}" name="Total Loan Applications" dataDxfId="13">
      <calculatedColumnFormula>COUNTA(A2:A2001)</calculatedColumnFormula>
    </tableColumn>
    <tableColumn id="22" xr3:uid="{93DFA76B-0621-4846-9F0E-9133F76A9E1D}" name="Approved Loans" dataDxfId="12">
      <calculatedColumnFormula>COUNTIF(Q2:Q2001,"APPROVED")</calculatedColumnFormula>
    </tableColumn>
    <tableColumn id="23" xr3:uid="{540D8EA0-E4EB-4C77-BCE1-D8CA49F5A39F}" name="Rejected Loans" dataDxfId="11">
      <calculatedColumnFormula>COUNTIF(Q2:Q2002,"Rejected")</calculatedColumnFormula>
    </tableColumn>
    <tableColumn id="24" xr3:uid="{FBE84C92-3C19-464B-ABBE-576861C52984}" name="Approval Rate" dataDxfId="10">
      <calculatedColumnFormula>703/2000</calculatedColumnFormula>
    </tableColumn>
    <tableColumn id="25" xr3:uid="{EEF827A6-36B2-47F3-98E2-F6853BDE44DB}" name="Total Funded Amount" dataDxfId="9" dataCellStyle="Percent">
      <calculatedColumnFormula>SUM(I2:I2001)</calculatedColumnFormula>
    </tableColumn>
    <tableColumn id="26" xr3:uid="{E22D3CB4-00CE-4D94-92DA-CAB615EEE145}" name="Average Loan Amount" dataDxfId="8">
      <calculatedColumnFormula>AVERAGE(I2:I20001)</calculatedColumnFormula>
    </tableColumn>
    <tableColumn id="27" xr3:uid="{C6DFF6DA-34B6-4FD0-955D-BC2EC3E28BC4}" name="Highest Loan Granted" dataDxfId="7">
      <calculatedColumnFormula>MAX(I2:I2001)</calculatedColumnFormula>
    </tableColumn>
    <tableColumn id="28" xr3:uid="{F001C1E0-19B6-452F-85F0-603EE1A418D8}" name="Lowest Loan Grated" dataDxfId="6">
      <calculatedColumnFormula>MIN(I2:I2001)</calculatedColumnFormula>
    </tableColumn>
    <tableColumn id="29" xr3:uid="{D1B2864C-CAA5-4A8C-957B-91B47C927963}" name="Total Amount Repaid" dataDxfId="5">
      <calculatedColumnFormula>SUM(T2:T2001)</calculatedColumnFormula>
    </tableColumn>
    <tableColumn id="30" xr3:uid="{A5A0B572-695D-4937-A93B-60E0254456A0}" name="Average Repayment" dataDxfId="4">
      <calculatedColumnFormula>AVERAGE(T2:T2001)</calculatedColumnFormula>
    </tableColumn>
    <tableColumn id="31" xr3:uid="{B148DAF0-3BFF-4F97-83E5-21ABA815B12C}" name="Repayment Rate" dataDxfId="3">
      <calculatedColumnFormula>703/2000</calculatedColumnFormula>
    </tableColumn>
    <tableColumn id="32" xr3:uid="{9970DBAB-47C9-4FBC-B45A-BED5B50BD034}" name="Received Amount" dataDxfId="2">
      <calculatedColumnFormula>SUM(AC2:AC2001)</calculatedColumnFormula>
    </tableColumn>
    <tableColumn id="33" xr3:uid="{7AC62C5A-5B27-42A7-85B5-BB1C94C1E588}" name="Good and Bad Loans" dataDxfId="1">
      <calculatedColumnFormula>IF(AH2=0,"Bad", IF(AH1&lt;I1, "Active", IF(AH1=I1, "Good", "Over Paid")))</calculatedColumnFormula>
    </tableColumn>
    <tableColumn id="34" xr3:uid="{E14E1503-4D37-48A5-895C-077C85E53129}" name="Yearly Payment" dataDxfId="0">
      <calculatedColumnFormula>T2*12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5C7D-0A36-49E8-AFBA-57F0EB1EF811}">
  <dimension ref="A2:C118"/>
  <sheetViews>
    <sheetView tabSelected="1" zoomScale="95" workbookViewId="0"/>
  </sheetViews>
  <sheetFormatPr defaultRowHeight="14.5" x14ac:dyDescent="0.35"/>
  <cols>
    <col min="1" max="1" width="12.6328125" bestFit="1" customWidth="1"/>
    <col min="2" max="2" width="25" bestFit="1" customWidth="1"/>
    <col min="3" max="3" width="14.26953125" bestFit="1" customWidth="1"/>
  </cols>
  <sheetData>
    <row r="2" spans="1:2" x14ac:dyDescent="0.35">
      <c r="A2" s="6" t="s">
        <v>5163</v>
      </c>
    </row>
    <row r="3" spans="1:2" x14ac:dyDescent="0.35">
      <c r="A3" s="2" t="s">
        <v>5142</v>
      </c>
      <c r="B3" t="s">
        <v>5144</v>
      </c>
    </row>
    <row r="4" spans="1:2" x14ac:dyDescent="0.35">
      <c r="A4" s="3" t="s">
        <v>290</v>
      </c>
      <c r="B4">
        <v>5521</v>
      </c>
    </row>
    <row r="5" spans="1:2" x14ac:dyDescent="0.35">
      <c r="A5" s="3" t="s">
        <v>1272</v>
      </c>
      <c r="B5">
        <v>6699</v>
      </c>
    </row>
    <row r="6" spans="1:2" x14ac:dyDescent="0.35">
      <c r="A6" s="3" t="s">
        <v>693</v>
      </c>
      <c r="B6">
        <v>5542</v>
      </c>
    </row>
    <row r="7" spans="1:2" x14ac:dyDescent="0.35">
      <c r="A7" s="3" t="s">
        <v>144</v>
      </c>
      <c r="B7">
        <v>5531</v>
      </c>
    </row>
    <row r="8" spans="1:2" x14ac:dyDescent="0.35">
      <c r="A8" s="3" t="s">
        <v>352</v>
      </c>
      <c r="B8">
        <v>5819</v>
      </c>
    </row>
    <row r="9" spans="1:2" x14ac:dyDescent="0.35">
      <c r="A9" s="3" t="s">
        <v>427</v>
      </c>
      <c r="B9">
        <v>5465</v>
      </c>
    </row>
    <row r="10" spans="1:2" x14ac:dyDescent="0.35">
      <c r="A10" s="3" t="s">
        <v>513</v>
      </c>
      <c r="B10">
        <v>5716</v>
      </c>
    </row>
    <row r="11" spans="1:2" x14ac:dyDescent="0.35">
      <c r="A11" s="3" t="s">
        <v>391</v>
      </c>
      <c r="B11">
        <v>5800</v>
      </c>
    </row>
    <row r="12" spans="1:2" x14ac:dyDescent="0.35">
      <c r="A12" s="3" t="s">
        <v>1135</v>
      </c>
      <c r="B12">
        <v>8079</v>
      </c>
    </row>
    <row r="13" spans="1:2" x14ac:dyDescent="0.35">
      <c r="A13" s="3" t="s">
        <v>737</v>
      </c>
      <c r="B13">
        <v>6023</v>
      </c>
    </row>
    <row r="14" spans="1:2" x14ac:dyDescent="0.35">
      <c r="A14" s="3" t="s">
        <v>5143</v>
      </c>
      <c r="B14">
        <v>60195</v>
      </c>
    </row>
    <row r="22" spans="1:2" x14ac:dyDescent="0.35">
      <c r="A22" s="7" t="s">
        <v>5162</v>
      </c>
    </row>
    <row r="23" spans="1:2" x14ac:dyDescent="0.35">
      <c r="A23" s="2" t="s">
        <v>5142</v>
      </c>
      <c r="B23" t="s">
        <v>5145</v>
      </c>
    </row>
    <row r="24" spans="1:2" x14ac:dyDescent="0.35">
      <c r="A24" s="3">
        <v>2000</v>
      </c>
      <c r="B24">
        <v>103282064</v>
      </c>
    </row>
    <row r="25" spans="1:2" x14ac:dyDescent="0.35">
      <c r="A25" s="3">
        <v>1999</v>
      </c>
      <c r="B25">
        <v>103206349</v>
      </c>
    </row>
    <row r="26" spans="1:2" x14ac:dyDescent="0.35">
      <c r="A26" s="3">
        <v>1998</v>
      </c>
      <c r="B26">
        <v>103132577</v>
      </c>
    </row>
    <row r="27" spans="1:2" x14ac:dyDescent="0.35">
      <c r="A27" s="3">
        <v>1997</v>
      </c>
      <c r="B27">
        <v>103127478</v>
      </c>
    </row>
    <row r="28" spans="1:2" x14ac:dyDescent="0.35">
      <c r="A28" s="3">
        <v>1996</v>
      </c>
      <c r="B28">
        <v>103079161</v>
      </c>
    </row>
    <row r="29" spans="1:2" x14ac:dyDescent="0.35">
      <c r="A29" s="3">
        <v>1995</v>
      </c>
      <c r="B29">
        <v>103030998</v>
      </c>
    </row>
    <row r="30" spans="1:2" x14ac:dyDescent="0.35">
      <c r="A30" s="3">
        <v>1994</v>
      </c>
      <c r="B30">
        <v>102946729</v>
      </c>
    </row>
    <row r="31" spans="1:2" x14ac:dyDescent="0.35">
      <c r="A31" s="3">
        <v>1993</v>
      </c>
      <c r="B31">
        <v>102875140</v>
      </c>
    </row>
    <row r="32" spans="1:2" x14ac:dyDescent="0.35">
      <c r="A32" s="3">
        <v>1992</v>
      </c>
      <c r="B32">
        <v>102776400</v>
      </c>
    </row>
    <row r="33" spans="1:2" x14ac:dyDescent="0.35">
      <c r="A33" s="3">
        <v>1991</v>
      </c>
      <c r="B33">
        <v>102729553</v>
      </c>
    </row>
    <row r="34" spans="1:2" x14ac:dyDescent="0.35">
      <c r="A34" s="3" t="s">
        <v>5143</v>
      </c>
      <c r="B34">
        <v>1030186449</v>
      </c>
    </row>
    <row r="41" spans="1:2" x14ac:dyDescent="0.35">
      <c r="A41" s="6" t="s">
        <v>5161</v>
      </c>
    </row>
    <row r="42" spans="1:2" x14ac:dyDescent="0.35">
      <c r="A42" s="2" t="s">
        <v>5142</v>
      </c>
      <c r="B42" t="s">
        <v>5146</v>
      </c>
    </row>
    <row r="43" spans="1:2" x14ac:dyDescent="0.35">
      <c r="A43" s="3">
        <v>2000</v>
      </c>
      <c r="B43">
        <v>2685655655.8500009</v>
      </c>
    </row>
    <row r="44" spans="1:2" x14ac:dyDescent="0.35">
      <c r="A44" s="3">
        <v>1999</v>
      </c>
      <c r="B44">
        <v>2682970730.0600004</v>
      </c>
    </row>
    <row r="45" spans="1:2" x14ac:dyDescent="0.35">
      <c r="A45" s="3">
        <v>1998</v>
      </c>
      <c r="B45">
        <v>2680286027.9000006</v>
      </c>
    </row>
    <row r="46" spans="1:2" x14ac:dyDescent="0.35">
      <c r="A46" s="3">
        <v>1997</v>
      </c>
      <c r="B46">
        <v>2677607752.5100012</v>
      </c>
    </row>
    <row r="47" spans="1:2" x14ac:dyDescent="0.35">
      <c r="A47" s="3">
        <v>1996</v>
      </c>
      <c r="B47">
        <v>2674929507.7600012</v>
      </c>
    </row>
    <row r="48" spans="1:2" x14ac:dyDescent="0.35">
      <c r="A48" s="3">
        <v>1995</v>
      </c>
      <c r="B48">
        <v>2672252309.0700011</v>
      </c>
    </row>
    <row r="49" spans="1:3" x14ac:dyDescent="0.35">
      <c r="A49" s="3">
        <v>1994</v>
      </c>
      <c r="B49">
        <v>2669575607.5800014</v>
      </c>
    </row>
    <row r="50" spans="1:3" x14ac:dyDescent="0.35">
      <c r="A50" s="3">
        <v>1993</v>
      </c>
      <c r="B50">
        <v>2666899150.6300011</v>
      </c>
    </row>
    <row r="51" spans="1:3" x14ac:dyDescent="0.35">
      <c r="A51" s="3">
        <v>1992</v>
      </c>
      <c r="B51">
        <v>2664224287.730001</v>
      </c>
    </row>
    <row r="52" spans="1:3" x14ac:dyDescent="0.35">
      <c r="A52" s="3">
        <v>1991</v>
      </c>
      <c r="B52">
        <v>2661549917.3000011</v>
      </c>
    </row>
    <row r="53" spans="1:3" x14ac:dyDescent="0.35">
      <c r="A53" s="3" t="s">
        <v>5143</v>
      </c>
      <c r="B53">
        <v>26735950946.390007</v>
      </c>
    </row>
    <row r="61" spans="1:3" x14ac:dyDescent="0.35">
      <c r="A61" s="4" t="s">
        <v>5149</v>
      </c>
      <c r="B61" s="4"/>
      <c r="C61" s="4"/>
    </row>
    <row r="62" spans="1:3" x14ac:dyDescent="0.35">
      <c r="A62" s="2" t="s">
        <v>5142</v>
      </c>
      <c r="B62" t="s">
        <v>5144</v>
      </c>
    </row>
    <row r="63" spans="1:3" x14ac:dyDescent="0.35">
      <c r="A63" s="3" t="s">
        <v>5148</v>
      </c>
      <c r="B63">
        <v>1787945</v>
      </c>
    </row>
    <row r="64" spans="1:3" x14ac:dyDescent="0.35">
      <c r="A64" s="3" t="s">
        <v>5147</v>
      </c>
      <c r="B64">
        <v>213055</v>
      </c>
    </row>
    <row r="65" spans="1:3" x14ac:dyDescent="0.35">
      <c r="A65" s="3" t="s">
        <v>5143</v>
      </c>
      <c r="B65">
        <v>2001000</v>
      </c>
    </row>
    <row r="78" spans="1:3" x14ac:dyDescent="0.35">
      <c r="A78" s="4" t="s">
        <v>5151</v>
      </c>
      <c r="B78" s="4"/>
      <c r="C78" s="4"/>
    </row>
    <row r="79" spans="1:3" x14ac:dyDescent="0.35">
      <c r="A79" s="2" t="s">
        <v>5142</v>
      </c>
      <c r="B79" t="s">
        <v>5150</v>
      </c>
    </row>
    <row r="80" spans="1:3" x14ac:dyDescent="0.35">
      <c r="A80" s="3" t="s">
        <v>35</v>
      </c>
      <c r="B80">
        <v>553258.33999999985</v>
      </c>
    </row>
    <row r="81" spans="1:3" x14ac:dyDescent="0.35">
      <c r="A81" s="3" t="s">
        <v>49</v>
      </c>
      <c r="B81">
        <v>527005.32999999961</v>
      </c>
    </row>
    <row r="82" spans="1:3" x14ac:dyDescent="0.35">
      <c r="A82" s="3" t="s">
        <v>68</v>
      </c>
      <c r="B82">
        <v>506677.45000000013</v>
      </c>
    </row>
    <row r="83" spans="1:3" x14ac:dyDescent="0.35">
      <c r="A83" s="3" t="s">
        <v>29</v>
      </c>
      <c r="B83">
        <v>565696.01999999979</v>
      </c>
    </row>
    <row r="84" spans="1:3" x14ac:dyDescent="0.35">
      <c r="A84" s="3" t="s">
        <v>43</v>
      </c>
      <c r="B84">
        <v>532288.65000000014</v>
      </c>
    </row>
    <row r="85" spans="1:3" x14ac:dyDescent="0.35">
      <c r="A85" s="3" t="s">
        <v>5143</v>
      </c>
      <c r="B85">
        <v>2684925.79</v>
      </c>
    </row>
    <row r="94" spans="1:3" x14ac:dyDescent="0.35">
      <c r="A94" s="4" t="s">
        <v>5152</v>
      </c>
      <c r="B94" s="4"/>
      <c r="C94" s="4"/>
    </row>
    <row r="95" spans="1:3" x14ac:dyDescent="0.35">
      <c r="A95" s="2" t="s">
        <v>5142</v>
      </c>
      <c r="B95" t="s">
        <v>5150</v>
      </c>
    </row>
    <row r="96" spans="1:3" x14ac:dyDescent="0.35">
      <c r="A96" s="3" t="s">
        <v>1478</v>
      </c>
      <c r="B96">
        <v>9308.49</v>
      </c>
    </row>
    <row r="97" spans="1:3" x14ac:dyDescent="0.35">
      <c r="A97" s="3" t="s">
        <v>2025</v>
      </c>
      <c r="B97">
        <v>9513.68</v>
      </c>
    </row>
    <row r="98" spans="1:3" x14ac:dyDescent="0.35">
      <c r="A98" s="3" t="s">
        <v>3482</v>
      </c>
      <c r="B98">
        <v>9214.6200000000008</v>
      </c>
    </row>
    <row r="99" spans="1:3" x14ac:dyDescent="0.35">
      <c r="A99" s="3" t="s">
        <v>3549</v>
      </c>
      <c r="B99">
        <v>9442.66</v>
      </c>
    </row>
    <row r="100" spans="1:3" x14ac:dyDescent="0.35">
      <c r="A100" s="3" t="s">
        <v>3634</v>
      </c>
      <c r="B100">
        <v>9147.49</v>
      </c>
    </row>
    <row r="101" spans="1:3" x14ac:dyDescent="0.35">
      <c r="A101" s="3" t="s">
        <v>4296</v>
      </c>
      <c r="B101">
        <v>9186.09</v>
      </c>
    </row>
    <row r="102" spans="1:3" x14ac:dyDescent="0.35">
      <c r="A102" s="3" t="s">
        <v>4576</v>
      </c>
      <c r="B102">
        <v>10121.700000000001</v>
      </c>
    </row>
    <row r="103" spans="1:3" x14ac:dyDescent="0.35">
      <c r="A103" s="3" t="s">
        <v>4614</v>
      </c>
      <c r="B103">
        <v>10142.040000000001</v>
      </c>
    </row>
    <row r="104" spans="1:3" x14ac:dyDescent="0.35">
      <c r="A104" s="3" t="s">
        <v>4906</v>
      </c>
      <c r="B104">
        <v>8946.76</v>
      </c>
    </row>
    <row r="105" spans="1:3" x14ac:dyDescent="0.35">
      <c r="A105" s="3" t="s">
        <v>5043</v>
      </c>
      <c r="B105">
        <v>8828.3700000000008</v>
      </c>
    </row>
    <row r="106" spans="1:3" x14ac:dyDescent="0.35">
      <c r="A106" s="3" t="s">
        <v>5143</v>
      </c>
      <c r="B106">
        <v>93851.89999999998</v>
      </c>
    </row>
    <row r="111" spans="1:3" x14ac:dyDescent="0.35">
      <c r="A111" s="5" t="s">
        <v>5153</v>
      </c>
      <c r="B111" s="5"/>
      <c r="C111" s="5"/>
    </row>
    <row r="112" spans="1:3" x14ac:dyDescent="0.35">
      <c r="A112" t="s">
        <v>5154</v>
      </c>
    </row>
    <row r="113" spans="1:1" x14ac:dyDescent="0.35">
      <c r="A113" t="s">
        <v>5155</v>
      </c>
    </row>
    <row r="114" spans="1:1" x14ac:dyDescent="0.35">
      <c r="A114" t="s">
        <v>5156</v>
      </c>
    </row>
    <row r="115" spans="1:1" x14ac:dyDescent="0.35">
      <c r="A115" t="s">
        <v>5157</v>
      </c>
    </row>
    <row r="116" spans="1:1" x14ac:dyDescent="0.35">
      <c r="A116" t="s">
        <v>5158</v>
      </c>
    </row>
    <row r="117" spans="1:1" x14ac:dyDescent="0.35">
      <c r="A117" t="s">
        <v>5159</v>
      </c>
    </row>
    <row r="118" spans="1:1" x14ac:dyDescent="0.35">
      <c r="A118" t="s">
        <v>5160</v>
      </c>
    </row>
  </sheetData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01"/>
  <sheetViews>
    <sheetView topLeftCell="X1" workbookViewId="0">
      <selection activeCell="AI2" sqref="AI2"/>
    </sheetView>
  </sheetViews>
  <sheetFormatPr defaultRowHeight="14.5" x14ac:dyDescent="0.35"/>
  <cols>
    <col min="1" max="1" width="9.6328125" customWidth="1"/>
    <col min="2" max="2" width="13.81640625" customWidth="1"/>
    <col min="4" max="4" width="9" customWidth="1"/>
    <col min="5" max="5" width="15.1796875" customWidth="1"/>
    <col min="6" max="6" width="19.7265625" customWidth="1"/>
    <col min="7" max="7" width="15.90625" customWidth="1"/>
    <col min="8" max="8" width="13.453125" customWidth="1"/>
    <col min="9" max="9" width="17.1796875" customWidth="1"/>
    <col min="10" max="10" width="14.26953125" customWidth="1"/>
    <col min="11" max="11" width="22.36328125" customWidth="1"/>
    <col min="12" max="12" width="14.36328125" customWidth="1"/>
    <col min="13" max="13" width="19.7265625" customWidth="1"/>
    <col min="14" max="14" width="14.26953125" customWidth="1"/>
    <col min="15" max="15" width="16.54296875" customWidth="1"/>
    <col min="16" max="16" width="17.26953125" customWidth="1"/>
    <col min="17" max="17" width="16.6328125" customWidth="1"/>
    <col min="18" max="18" width="15.26953125" customWidth="1"/>
    <col min="20" max="20" width="20.453125" customWidth="1"/>
    <col min="21" max="21" width="23.26953125" customWidth="1"/>
    <col min="22" max="22" width="19" customWidth="1"/>
    <col min="23" max="23" width="12.7265625" customWidth="1"/>
    <col min="24" max="24" width="14" customWidth="1"/>
    <col min="25" max="25" width="18" style="1" customWidth="1"/>
    <col min="29" max="29" width="21.26953125" customWidth="1"/>
    <col min="30" max="30" width="17.7265625" customWidth="1"/>
    <col min="31" max="31" width="19.90625" customWidth="1"/>
    <col min="32" max="32" width="16.26953125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5128</v>
      </c>
      <c r="V1" t="s">
        <v>5130</v>
      </c>
      <c r="W1" t="s">
        <v>5129</v>
      </c>
      <c r="X1" t="s">
        <v>5131</v>
      </c>
      <c r="Y1" s="1" t="s">
        <v>5132</v>
      </c>
      <c r="Z1" t="s">
        <v>5133</v>
      </c>
      <c r="AA1" t="s">
        <v>5134</v>
      </c>
      <c r="AB1" t="s">
        <v>5135</v>
      </c>
      <c r="AC1" t="s">
        <v>5136</v>
      </c>
      <c r="AD1" t="s">
        <v>5137</v>
      </c>
      <c r="AE1" t="s">
        <v>5138</v>
      </c>
      <c r="AF1" t="s">
        <v>5139</v>
      </c>
      <c r="AG1" t="s">
        <v>5140</v>
      </c>
      <c r="AH1" t="s">
        <v>5141</v>
      </c>
    </row>
    <row r="2" spans="1:34" x14ac:dyDescent="0.35">
      <c r="A2" t="s">
        <v>20</v>
      </c>
      <c r="B2" t="s">
        <v>21</v>
      </c>
      <c r="C2">
        <v>54</v>
      </c>
      <c r="D2" t="s">
        <v>22</v>
      </c>
      <c r="E2" t="s">
        <v>23</v>
      </c>
      <c r="F2" t="s">
        <v>24</v>
      </c>
      <c r="G2">
        <v>114618</v>
      </c>
      <c r="H2">
        <v>599</v>
      </c>
      <c r="I2">
        <v>75715</v>
      </c>
      <c r="J2">
        <v>6.33</v>
      </c>
      <c r="K2">
        <v>360</v>
      </c>
      <c r="L2" t="s">
        <v>25</v>
      </c>
      <c r="M2">
        <v>45.06</v>
      </c>
      <c r="N2">
        <v>62644</v>
      </c>
      <c r="O2">
        <v>213104</v>
      </c>
      <c r="P2" t="s">
        <v>26</v>
      </c>
      <c r="Q2" t="s">
        <v>27</v>
      </c>
      <c r="R2" t="s">
        <v>28</v>
      </c>
      <c r="S2" t="s">
        <v>29</v>
      </c>
      <c r="T2">
        <v>223.63</v>
      </c>
      <c r="U2">
        <f t="shared" ref="U2:U65" si="0">COUNTA(A2:A2001)</f>
        <v>2000</v>
      </c>
      <c r="V2">
        <f t="shared" ref="V2:V65" si="1">COUNTIF(Q2:Q2001,"APPROVED")</f>
        <v>703</v>
      </c>
      <c r="W2">
        <f t="shared" ref="W2:W65" si="2">COUNTIF(Q2:Q2002,"Rejected")</f>
        <v>650</v>
      </c>
      <c r="X2">
        <f t="shared" ref="X2:X65" si="3">703/2000</f>
        <v>0.35149999999999998</v>
      </c>
      <c r="Y2" s="1">
        <f t="shared" ref="Y2:Y65" si="4">SUM(I2:I2001)</f>
        <v>103282064</v>
      </c>
      <c r="Z2">
        <f t="shared" ref="Z2:Z65" si="5">AVERAGE(I2:I20001)</f>
        <v>51641.031999999999</v>
      </c>
      <c r="AA2">
        <f t="shared" ref="AA2:AA65" si="6">MAX(I2:I2001)</f>
        <v>99996</v>
      </c>
      <c r="AB2">
        <f t="shared" ref="AB2:AB65" si="7">MIN(I2:I2001)</f>
        <v>5002</v>
      </c>
      <c r="AC2">
        <f t="shared" ref="AC2:AC65" si="8">SUM(T2:T2001)</f>
        <v>2684925.790000001</v>
      </c>
      <c r="AD2">
        <f t="shared" ref="AD2:AD65" si="9">AVERAGE(T2:T2001)</f>
        <v>1342.4628950000006</v>
      </c>
      <c r="AE2">
        <f t="shared" ref="AE2:AE65" si="10">703/2000</f>
        <v>0.35149999999999998</v>
      </c>
      <c r="AF2">
        <f t="shared" ref="AF2:AF65" si="11">SUM(AC2:AC2001)</f>
        <v>2685655655.8500009</v>
      </c>
      <c r="AG2" t="str">
        <f t="shared" ref="AG2:AG65" si="12">IF(AH2=0,"Bad", IF(AH1&lt;I1, "Active", IF(AH1=I1, "Good", "Over Paid")))</f>
        <v>Over Paid</v>
      </c>
      <c r="AH2">
        <f t="shared" ref="AH2:AH65" si="13">T2*12</f>
        <v>2683.56</v>
      </c>
    </row>
    <row r="3" spans="1:34" x14ac:dyDescent="0.35">
      <c r="A3" t="s">
        <v>30</v>
      </c>
      <c r="B3" t="s">
        <v>31</v>
      </c>
      <c r="C3">
        <v>34</v>
      </c>
      <c r="D3" t="s">
        <v>22</v>
      </c>
      <c r="E3" t="s">
        <v>32</v>
      </c>
      <c r="F3" t="s">
        <v>24</v>
      </c>
      <c r="G3">
        <v>118018</v>
      </c>
      <c r="H3">
        <v>546</v>
      </c>
      <c r="I3">
        <v>73772</v>
      </c>
      <c r="J3">
        <v>4.54</v>
      </c>
      <c r="K3">
        <v>12</v>
      </c>
      <c r="L3" t="s">
        <v>33</v>
      </c>
      <c r="M3">
        <v>46.81</v>
      </c>
      <c r="N3">
        <v>74529</v>
      </c>
      <c r="O3">
        <v>167541</v>
      </c>
      <c r="P3" t="s">
        <v>34</v>
      </c>
      <c r="Q3" t="s">
        <v>27</v>
      </c>
      <c r="R3" t="s">
        <v>28</v>
      </c>
      <c r="S3" t="s">
        <v>35</v>
      </c>
      <c r="T3">
        <v>6426.77</v>
      </c>
      <c r="U3">
        <f t="shared" si="0"/>
        <v>1999</v>
      </c>
      <c r="V3">
        <f t="shared" si="1"/>
        <v>703</v>
      </c>
      <c r="W3">
        <f t="shared" si="2"/>
        <v>650</v>
      </c>
      <c r="X3">
        <f t="shared" si="3"/>
        <v>0.35149999999999998</v>
      </c>
      <c r="Y3" s="1">
        <f t="shared" si="4"/>
        <v>103206349</v>
      </c>
      <c r="Z3">
        <f t="shared" si="5"/>
        <v>51628.988994497246</v>
      </c>
      <c r="AA3">
        <f t="shared" si="6"/>
        <v>99996</v>
      </c>
      <c r="AB3">
        <f t="shared" si="7"/>
        <v>5002</v>
      </c>
      <c r="AC3">
        <f t="shared" si="8"/>
        <v>2684702.1600000011</v>
      </c>
      <c r="AD3">
        <f t="shared" si="9"/>
        <v>1343.0225912956485</v>
      </c>
      <c r="AE3">
        <f t="shared" si="10"/>
        <v>0.35149999999999998</v>
      </c>
      <c r="AF3">
        <f t="shared" si="11"/>
        <v>2682970730.0600004</v>
      </c>
      <c r="AG3" t="str">
        <f t="shared" si="12"/>
        <v>Active</v>
      </c>
      <c r="AH3">
        <f t="shared" si="13"/>
        <v>77121.240000000005</v>
      </c>
    </row>
    <row r="4" spans="1:34" x14ac:dyDescent="0.35">
      <c r="A4" t="s">
        <v>36</v>
      </c>
      <c r="B4" t="s">
        <v>37</v>
      </c>
      <c r="C4">
        <v>39</v>
      </c>
      <c r="D4" t="s">
        <v>38</v>
      </c>
      <c r="E4" t="s">
        <v>39</v>
      </c>
      <c r="F4" t="s">
        <v>24</v>
      </c>
      <c r="G4">
        <v>159206</v>
      </c>
      <c r="H4">
        <v>838</v>
      </c>
      <c r="I4">
        <v>5099</v>
      </c>
      <c r="J4">
        <v>8.17</v>
      </c>
      <c r="K4">
        <v>180</v>
      </c>
      <c r="L4" t="s">
        <v>40</v>
      </c>
      <c r="M4">
        <v>42.61</v>
      </c>
      <c r="N4">
        <v>2803</v>
      </c>
      <c r="O4">
        <v>111732</v>
      </c>
      <c r="P4" t="s">
        <v>41</v>
      </c>
      <c r="Q4" t="s">
        <v>42</v>
      </c>
      <c r="R4" t="s">
        <v>28</v>
      </c>
      <c r="S4" t="s">
        <v>43</v>
      </c>
      <c r="T4">
        <v>30.64</v>
      </c>
      <c r="U4">
        <f t="shared" si="0"/>
        <v>1998</v>
      </c>
      <c r="V4">
        <f t="shared" si="1"/>
        <v>703</v>
      </c>
      <c r="W4">
        <f t="shared" si="2"/>
        <v>650</v>
      </c>
      <c r="X4">
        <f t="shared" si="3"/>
        <v>0.35149999999999998</v>
      </c>
      <c r="Y4" s="1">
        <f t="shared" si="4"/>
        <v>103132577</v>
      </c>
      <c r="Z4">
        <f t="shared" si="5"/>
        <v>51617.906406406408</v>
      </c>
      <c r="AA4">
        <f t="shared" si="6"/>
        <v>99996</v>
      </c>
      <c r="AB4">
        <f t="shared" si="7"/>
        <v>5002</v>
      </c>
      <c r="AC4">
        <f t="shared" si="8"/>
        <v>2678275.3900000015</v>
      </c>
      <c r="AD4">
        <f t="shared" si="9"/>
        <v>1340.4781731731739</v>
      </c>
      <c r="AE4">
        <f t="shared" si="10"/>
        <v>0.35149999999999998</v>
      </c>
      <c r="AF4">
        <f t="shared" si="11"/>
        <v>2680286027.9000006</v>
      </c>
      <c r="AG4" t="str">
        <f t="shared" si="12"/>
        <v>Over Paid</v>
      </c>
      <c r="AH4">
        <f t="shared" si="13"/>
        <v>367.68</v>
      </c>
    </row>
    <row r="5" spans="1:34" x14ac:dyDescent="0.35">
      <c r="A5" t="s">
        <v>44</v>
      </c>
      <c r="B5" t="s">
        <v>45</v>
      </c>
      <c r="C5">
        <v>24</v>
      </c>
      <c r="D5" t="s">
        <v>22</v>
      </c>
      <c r="E5" t="s">
        <v>23</v>
      </c>
      <c r="F5" t="s">
        <v>46</v>
      </c>
      <c r="G5">
        <v>166626</v>
      </c>
      <c r="H5">
        <v>325</v>
      </c>
      <c r="I5">
        <v>48317</v>
      </c>
      <c r="J5">
        <v>3.92</v>
      </c>
      <c r="K5">
        <v>48</v>
      </c>
      <c r="L5" t="s">
        <v>33</v>
      </c>
      <c r="M5">
        <v>8.1</v>
      </c>
      <c r="N5">
        <v>60213</v>
      </c>
      <c r="O5">
        <v>24464</v>
      </c>
      <c r="P5" t="s">
        <v>47</v>
      </c>
      <c r="Q5" t="s">
        <v>42</v>
      </c>
      <c r="R5" t="s">
        <v>48</v>
      </c>
      <c r="S5" t="s">
        <v>49</v>
      </c>
      <c r="T5">
        <v>1046.06</v>
      </c>
      <c r="U5">
        <f t="shared" si="0"/>
        <v>1997</v>
      </c>
      <c r="V5">
        <f t="shared" si="1"/>
        <v>702</v>
      </c>
      <c r="W5">
        <f t="shared" si="2"/>
        <v>650</v>
      </c>
      <c r="X5">
        <f t="shared" si="3"/>
        <v>0.35149999999999998</v>
      </c>
      <c r="Y5" s="1">
        <f t="shared" si="4"/>
        <v>103127478</v>
      </c>
      <c r="Z5">
        <f t="shared" si="5"/>
        <v>51641.200801201805</v>
      </c>
      <c r="AA5">
        <f t="shared" si="6"/>
        <v>99996</v>
      </c>
      <c r="AB5">
        <f t="shared" si="7"/>
        <v>5002</v>
      </c>
      <c r="AC5">
        <f t="shared" si="8"/>
        <v>2678244.7500000014</v>
      </c>
      <c r="AD5">
        <f t="shared" si="9"/>
        <v>1341.1340761141719</v>
      </c>
      <c r="AE5">
        <f t="shared" si="10"/>
        <v>0.35149999999999998</v>
      </c>
      <c r="AF5">
        <f t="shared" si="11"/>
        <v>2677607752.5100012</v>
      </c>
      <c r="AG5" t="str">
        <f t="shared" si="12"/>
        <v>Active</v>
      </c>
      <c r="AH5">
        <f t="shared" si="13"/>
        <v>12552.72</v>
      </c>
    </row>
    <row r="6" spans="1:34" x14ac:dyDescent="0.35">
      <c r="A6" t="s">
        <v>50</v>
      </c>
      <c r="B6" t="s">
        <v>51</v>
      </c>
      <c r="C6">
        <v>42</v>
      </c>
      <c r="D6" t="s">
        <v>22</v>
      </c>
      <c r="E6" t="s">
        <v>39</v>
      </c>
      <c r="F6" t="s">
        <v>24</v>
      </c>
      <c r="G6">
        <v>69289</v>
      </c>
      <c r="H6">
        <v>629</v>
      </c>
      <c r="I6">
        <v>48163</v>
      </c>
      <c r="J6">
        <v>23.88</v>
      </c>
      <c r="K6">
        <v>120</v>
      </c>
      <c r="L6" t="s">
        <v>52</v>
      </c>
      <c r="M6">
        <v>10.029999999999999</v>
      </c>
      <c r="N6">
        <v>18678</v>
      </c>
      <c r="O6">
        <v>130179</v>
      </c>
      <c r="P6" t="s">
        <v>53</v>
      </c>
      <c r="Q6" t="s">
        <v>42</v>
      </c>
      <c r="R6" t="s">
        <v>48</v>
      </c>
      <c r="S6" t="s">
        <v>43</v>
      </c>
      <c r="T6">
        <v>497.2</v>
      </c>
      <c r="U6">
        <f t="shared" si="0"/>
        <v>1996</v>
      </c>
      <c r="V6">
        <f t="shared" si="1"/>
        <v>701</v>
      </c>
      <c r="W6">
        <f t="shared" si="2"/>
        <v>650</v>
      </c>
      <c r="X6">
        <f t="shared" si="3"/>
        <v>0.35149999999999998</v>
      </c>
      <c r="Y6" s="1">
        <f t="shared" si="4"/>
        <v>103079161</v>
      </c>
      <c r="Z6">
        <f t="shared" si="5"/>
        <v>51642.866232464927</v>
      </c>
      <c r="AA6">
        <f t="shared" si="6"/>
        <v>99996</v>
      </c>
      <c r="AB6">
        <f t="shared" si="7"/>
        <v>5002</v>
      </c>
      <c r="AC6">
        <f t="shared" si="8"/>
        <v>2677198.6900000018</v>
      </c>
      <c r="AD6">
        <f t="shared" si="9"/>
        <v>1341.2819088176361</v>
      </c>
      <c r="AE6">
        <f t="shared" si="10"/>
        <v>0.35149999999999998</v>
      </c>
      <c r="AF6">
        <f t="shared" si="11"/>
        <v>2674929507.7600012</v>
      </c>
      <c r="AG6" t="str">
        <f t="shared" si="12"/>
        <v>Active</v>
      </c>
      <c r="AH6">
        <f t="shared" si="13"/>
        <v>5966.4</v>
      </c>
    </row>
    <row r="7" spans="1:34" x14ac:dyDescent="0.35">
      <c r="A7" t="s">
        <v>54</v>
      </c>
      <c r="B7" t="s">
        <v>55</v>
      </c>
      <c r="C7">
        <v>40</v>
      </c>
      <c r="D7" t="s">
        <v>22</v>
      </c>
      <c r="E7" t="s">
        <v>39</v>
      </c>
      <c r="F7" t="s">
        <v>46</v>
      </c>
      <c r="G7">
        <v>148842</v>
      </c>
      <c r="H7">
        <v>375</v>
      </c>
      <c r="I7">
        <v>84269</v>
      </c>
      <c r="J7">
        <v>4.47</v>
      </c>
      <c r="K7">
        <v>360</v>
      </c>
      <c r="L7" t="s">
        <v>33</v>
      </c>
      <c r="M7">
        <v>16.079999999999998</v>
      </c>
      <c r="N7">
        <v>17443</v>
      </c>
      <c r="O7">
        <v>123938</v>
      </c>
      <c r="P7" t="s">
        <v>56</v>
      </c>
      <c r="Q7" t="s">
        <v>27</v>
      </c>
      <c r="R7" t="s">
        <v>28</v>
      </c>
      <c r="S7" t="s">
        <v>29</v>
      </c>
      <c r="T7">
        <v>244.54</v>
      </c>
      <c r="U7">
        <f t="shared" si="0"/>
        <v>1995</v>
      </c>
      <c r="V7">
        <f t="shared" si="1"/>
        <v>700</v>
      </c>
      <c r="W7">
        <f t="shared" si="2"/>
        <v>650</v>
      </c>
      <c r="X7">
        <f t="shared" si="3"/>
        <v>0.35149999999999998</v>
      </c>
      <c r="Y7" s="1">
        <f t="shared" si="4"/>
        <v>103030998</v>
      </c>
      <c r="Z7">
        <f t="shared" si="5"/>
        <v>51644.610526315788</v>
      </c>
      <c r="AA7">
        <f t="shared" si="6"/>
        <v>99996</v>
      </c>
      <c r="AB7">
        <f t="shared" si="7"/>
        <v>5002</v>
      </c>
      <c r="AC7">
        <f t="shared" si="8"/>
        <v>2676701.4900000016</v>
      </c>
      <c r="AD7">
        <f t="shared" si="9"/>
        <v>1341.7050075187979</v>
      </c>
      <c r="AE7">
        <f t="shared" si="10"/>
        <v>0.35149999999999998</v>
      </c>
      <c r="AF7">
        <f t="shared" si="11"/>
        <v>2672252309.0700011</v>
      </c>
      <c r="AG7" t="str">
        <f t="shared" si="12"/>
        <v>Active</v>
      </c>
      <c r="AH7">
        <f t="shared" si="13"/>
        <v>2934.48</v>
      </c>
    </row>
    <row r="8" spans="1:34" x14ac:dyDescent="0.35">
      <c r="A8" t="s">
        <v>57</v>
      </c>
      <c r="B8" t="s">
        <v>58</v>
      </c>
      <c r="C8">
        <v>32</v>
      </c>
      <c r="D8" t="s">
        <v>38</v>
      </c>
      <c r="E8" t="s">
        <v>32</v>
      </c>
      <c r="F8" t="s">
        <v>59</v>
      </c>
      <c r="G8">
        <v>148284</v>
      </c>
      <c r="H8">
        <v>397</v>
      </c>
      <c r="I8">
        <v>71589</v>
      </c>
      <c r="J8">
        <v>6.88</v>
      </c>
      <c r="K8">
        <v>48</v>
      </c>
      <c r="L8" t="s">
        <v>40</v>
      </c>
      <c r="M8">
        <v>56.21</v>
      </c>
      <c r="N8">
        <v>22653</v>
      </c>
      <c r="O8">
        <v>205093</v>
      </c>
      <c r="P8" t="s">
        <v>60</v>
      </c>
      <c r="Q8" t="s">
        <v>61</v>
      </c>
      <c r="R8" t="s">
        <v>48</v>
      </c>
      <c r="S8" t="s">
        <v>49</v>
      </c>
      <c r="T8">
        <v>1594.05</v>
      </c>
      <c r="U8">
        <f t="shared" si="0"/>
        <v>1994</v>
      </c>
      <c r="V8">
        <f t="shared" si="1"/>
        <v>700</v>
      </c>
      <c r="W8">
        <f t="shared" si="2"/>
        <v>650</v>
      </c>
      <c r="X8">
        <f t="shared" si="3"/>
        <v>0.35149999999999998</v>
      </c>
      <c r="Y8" s="1">
        <f t="shared" si="4"/>
        <v>102946729</v>
      </c>
      <c r="Z8">
        <f t="shared" si="5"/>
        <v>51628.249247743232</v>
      </c>
      <c r="AA8">
        <f t="shared" si="6"/>
        <v>99996</v>
      </c>
      <c r="AB8">
        <f t="shared" si="7"/>
        <v>5002</v>
      </c>
      <c r="AC8">
        <f t="shared" si="8"/>
        <v>2676456.9500000016</v>
      </c>
      <c r="AD8">
        <f t="shared" si="9"/>
        <v>1342.2552407221674</v>
      </c>
      <c r="AE8">
        <f t="shared" si="10"/>
        <v>0.35149999999999998</v>
      </c>
      <c r="AF8">
        <f t="shared" si="11"/>
        <v>2669575607.5800014</v>
      </c>
      <c r="AG8" t="str">
        <f t="shared" si="12"/>
        <v>Active</v>
      </c>
      <c r="AH8">
        <f t="shared" si="13"/>
        <v>19128.599999999999</v>
      </c>
    </row>
    <row r="9" spans="1:34" x14ac:dyDescent="0.35">
      <c r="A9" t="s">
        <v>62</v>
      </c>
      <c r="B9" t="s">
        <v>63</v>
      </c>
      <c r="C9">
        <v>56</v>
      </c>
      <c r="D9" t="s">
        <v>38</v>
      </c>
      <c r="E9" t="s">
        <v>32</v>
      </c>
      <c r="F9" t="s">
        <v>24</v>
      </c>
      <c r="G9">
        <v>68458</v>
      </c>
      <c r="H9">
        <v>305</v>
      </c>
      <c r="I9">
        <v>98740</v>
      </c>
      <c r="J9">
        <v>19.7</v>
      </c>
      <c r="K9">
        <v>240</v>
      </c>
      <c r="L9" t="s">
        <v>25</v>
      </c>
      <c r="M9">
        <v>7.92</v>
      </c>
      <c r="N9">
        <v>36457</v>
      </c>
      <c r="O9">
        <v>241507</v>
      </c>
      <c r="P9" t="s">
        <v>64</v>
      </c>
      <c r="Q9" t="s">
        <v>27</v>
      </c>
      <c r="R9" t="s">
        <v>28</v>
      </c>
      <c r="S9" t="s">
        <v>35</v>
      </c>
      <c r="T9">
        <v>492.47</v>
      </c>
      <c r="U9">
        <f t="shared" si="0"/>
        <v>1993</v>
      </c>
      <c r="V9">
        <f t="shared" si="1"/>
        <v>700</v>
      </c>
      <c r="W9">
        <f t="shared" si="2"/>
        <v>649</v>
      </c>
      <c r="X9">
        <f t="shared" si="3"/>
        <v>0.35149999999999998</v>
      </c>
      <c r="Y9" s="1">
        <f t="shared" si="4"/>
        <v>102875140</v>
      </c>
      <c r="Z9">
        <f t="shared" si="5"/>
        <v>51618.233818364271</v>
      </c>
      <c r="AA9">
        <f t="shared" si="6"/>
        <v>99996</v>
      </c>
      <c r="AB9">
        <f t="shared" si="7"/>
        <v>5002</v>
      </c>
      <c r="AC9">
        <f t="shared" si="8"/>
        <v>2674862.9000000013</v>
      </c>
      <c r="AD9">
        <f t="shared" si="9"/>
        <v>1342.1289011540398</v>
      </c>
      <c r="AE9">
        <f t="shared" si="10"/>
        <v>0.35149999999999998</v>
      </c>
      <c r="AF9">
        <f t="shared" si="11"/>
        <v>2666899150.6300011</v>
      </c>
      <c r="AG9" t="str">
        <f t="shared" si="12"/>
        <v>Active</v>
      </c>
      <c r="AH9">
        <f t="shared" si="13"/>
        <v>5909.64</v>
      </c>
    </row>
    <row r="10" spans="1:34" x14ac:dyDescent="0.35">
      <c r="A10" t="s">
        <v>65</v>
      </c>
      <c r="B10" t="s">
        <v>66</v>
      </c>
      <c r="C10">
        <v>57</v>
      </c>
      <c r="D10" t="s">
        <v>38</v>
      </c>
      <c r="E10" t="s">
        <v>32</v>
      </c>
      <c r="F10" t="s">
        <v>24</v>
      </c>
      <c r="G10">
        <v>153852</v>
      </c>
      <c r="H10">
        <v>829</v>
      </c>
      <c r="I10">
        <v>46847</v>
      </c>
      <c r="J10">
        <v>14.6</v>
      </c>
      <c r="K10">
        <v>60</v>
      </c>
      <c r="L10" t="s">
        <v>40</v>
      </c>
      <c r="M10">
        <v>5.8</v>
      </c>
      <c r="N10">
        <v>53990</v>
      </c>
      <c r="O10">
        <v>53582</v>
      </c>
      <c r="P10" t="s">
        <v>67</v>
      </c>
      <c r="Q10" t="s">
        <v>42</v>
      </c>
      <c r="R10" t="s">
        <v>48</v>
      </c>
      <c r="S10" t="s">
        <v>68</v>
      </c>
      <c r="T10">
        <v>894.78</v>
      </c>
      <c r="U10">
        <f t="shared" si="0"/>
        <v>1992</v>
      </c>
      <c r="V10">
        <f t="shared" si="1"/>
        <v>700</v>
      </c>
      <c r="W10">
        <f t="shared" si="2"/>
        <v>649</v>
      </c>
      <c r="X10">
        <f t="shared" si="3"/>
        <v>0.35149999999999998</v>
      </c>
      <c r="Y10" s="1">
        <f t="shared" si="4"/>
        <v>102776400</v>
      </c>
      <c r="Z10">
        <f t="shared" si="5"/>
        <v>51594.578313253012</v>
      </c>
      <c r="AA10">
        <f t="shared" si="6"/>
        <v>99996</v>
      </c>
      <c r="AB10">
        <f t="shared" si="7"/>
        <v>5002</v>
      </c>
      <c r="AC10">
        <f t="shared" si="8"/>
        <v>2674370.4300000016</v>
      </c>
      <c r="AD10">
        <f t="shared" si="9"/>
        <v>1342.5554367469888</v>
      </c>
      <c r="AE10">
        <f t="shared" si="10"/>
        <v>0.35149999999999998</v>
      </c>
      <c r="AF10">
        <f t="shared" si="11"/>
        <v>2664224287.730001</v>
      </c>
      <c r="AG10" t="str">
        <f t="shared" si="12"/>
        <v>Active</v>
      </c>
      <c r="AH10">
        <f t="shared" si="13"/>
        <v>10737.36</v>
      </c>
    </row>
    <row r="11" spans="1:34" x14ac:dyDescent="0.35">
      <c r="A11" t="s">
        <v>69</v>
      </c>
      <c r="B11" t="s">
        <v>70</v>
      </c>
      <c r="C11">
        <v>51</v>
      </c>
      <c r="D11" t="s">
        <v>38</v>
      </c>
      <c r="E11" t="s">
        <v>32</v>
      </c>
      <c r="F11" t="s">
        <v>24</v>
      </c>
      <c r="G11">
        <v>163365</v>
      </c>
      <c r="H11">
        <v>588</v>
      </c>
      <c r="I11">
        <v>26421</v>
      </c>
      <c r="J11">
        <v>10.130000000000001</v>
      </c>
      <c r="K11">
        <v>240</v>
      </c>
      <c r="L11" t="s">
        <v>40</v>
      </c>
      <c r="M11">
        <v>21.47</v>
      </c>
      <c r="N11">
        <v>13547</v>
      </c>
      <c r="O11">
        <v>34140</v>
      </c>
      <c r="P11" t="s">
        <v>71</v>
      </c>
      <c r="Q11" t="s">
        <v>27</v>
      </c>
      <c r="R11" t="s">
        <v>48</v>
      </c>
      <c r="S11" t="s">
        <v>43</v>
      </c>
      <c r="T11">
        <v>121.24</v>
      </c>
      <c r="U11">
        <f t="shared" si="0"/>
        <v>1991</v>
      </c>
      <c r="V11">
        <f t="shared" si="1"/>
        <v>699</v>
      </c>
      <c r="W11">
        <f t="shared" si="2"/>
        <v>649</v>
      </c>
      <c r="X11">
        <f t="shared" si="3"/>
        <v>0.35149999999999998</v>
      </c>
      <c r="Y11" s="1">
        <f t="shared" si="4"/>
        <v>102729553</v>
      </c>
      <c r="Z11">
        <f t="shared" si="5"/>
        <v>51596.962832747362</v>
      </c>
      <c r="AA11">
        <f t="shared" si="6"/>
        <v>99996</v>
      </c>
      <c r="AB11">
        <f t="shared" si="7"/>
        <v>5002</v>
      </c>
      <c r="AC11">
        <f t="shared" si="8"/>
        <v>2673475.6500000013</v>
      </c>
      <c r="AD11">
        <f t="shared" si="9"/>
        <v>1342.780336514315</v>
      </c>
      <c r="AE11">
        <f t="shared" si="10"/>
        <v>0.35149999999999998</v>
      </c>
      <c r="AF11">
        <f t="shared" si="11"/>
        <v>2661549917.3000011</v>
      </c>
      <c r="AG11" t="str">
        <f t="shared" si="12"/>
        <v>Active</v>
      </c>
      <c r="AH11">
        <f t="shared" si="13"/>
        <v>1454.8799999999999</v>
      </c>
    </row>
    <row r="12" spans="1:34" x14ac:dyDescent="0.35">
      <c r="A12" t="s">
        <v>72</v>
      </c>
      <c r="B12" t="s">
        <v>73</v>
      </c>
      <c r="C12">
        <v>55</v>
      </c>
      <c r="D12" t="s">
        <v>38</v>
      </c>
      <c r="E12" t="s">
        <v>32</v>
      </c>
      <c r="F12" t="s">
        <v>46</v>
      </c>
      <c r="G12">
        <v>163760</v>
      </c>
      <c r="H12">
        <v>597</v>
      </c>
      <c r="I12">
        <v>34629</v>
      </c>
      <c r="J12">
        <v>12.74</v>
      </c>
      <c r="K12">
        <v>36</v>
      </c>
      <c r="L12" t="s">
        <v>40</v>
      </c>
      <c r="M12">
        <v>44.23</v>
      </c>
      <c r="N12">
        <v>30847</v>
      </c>
      <c r="O12">
        <v>86263</v>
      </c>
      <c r="P12" t="s">
        <v>74</v>
      </c>
      <c r="Q12" t="s">
        <v>42</v>
      </c>
      <c r="R12" t="s">
        <v>28</v>
      </c>
      <c r="S12" t="s">
        <v>35</v>
      </c>
      <c r="T12">
        <v>1084.46</v>
      </c>
      <c r="U12">
        <f t="shared" si="0"/>
        <v>1990</v>
      </c>
      <c r="V12">
        <f t="shared" si="1"/>
        <v>699</v>
      </c>
      <c r="W12">
        <f t="shared" si="2"/>
        <v>649</v>
      </c>
      <c r="X12">
        <f t="shared" si="3"/>
        <v>0.35149999999999998</v>
      </c>
      <c r="Y12" s="1">
        <f t="shared" si="4"/>
        <v>102703132</v>
      </c>
      <c r="Z12">
        <f t="shared" si="5"/>
        <v>51609.614070351759</v>
      </c>
      <c r="AA12">
        <f t="shared" si="6"/>
        <v>99996</v>
      </c>
      <c r="AB12">
        <f t="shared" si="7"/>
        <v>5002</v>
      </c>
      <c r="AC12">
        <f t="shared" si="8"/>
        <v>2673354.4100000015</v>
      </c>
      <c r="AD12">
        <f t="shared" si="9"/>
        <v>1343.3941758793978</v>
      </c>
      <c r="AE12">
        <f t="shared" si="10"/>
        <v>0.35149999999999998</v>
      </c>
      <c r="AF12">
        <f t="shared" si="11"/>
        <v>2658876441.650001</v>
      </c>
      <c r="AG12" t="str">
        <f t="shared" si="12"/>
        <v>Active</v>
      </c>
      <c r="AH12">
        <f t="shared" si="13"/>
        <v>13013.52</v>
      </c>
    </row>
    <row r="13" spans="1:34" x14ac:dyDescent="0.35">
      <c r="A13" t="s">
        <v>75</v>
      </c>
      <c r="B13" t="s">
        <v>76</v>
      </c>
      <c r="C13">
        <v>31</v>
      </c>
      <c r="D13" t="s">
        <v>38</v>
      </c>
      <c r="E13" t="s">
        <v>23</v>
      </c>
      <c r="F13" t="s">
        <v>24</v>
      </c>
      <c r="G13">
        <v>148471</v>
      </c>
      <c r="H13">
        <v>647</v>
      </c>
      <c r="I13">
        <v>82419</v>
      </c>
      <c r="J13">
        <v>5.7</v>
      </c>
      <c r="K13">
        <v>12</v>
      </c>
      <c r="L13" t="s">
        <v>33</v>
      </c>
      <c r="M13">
        <v>20.21</v>
      </c>
      <c r="N13">
        <v>70789</v>
      </c>
      <c r="O13">
        <v>33608</v>
      </c>
      <c r="P13" t="s">
        <v>77</v>
      </c>
      <c r="Q13" t="s">
        <v>27</v>
      </c>
      <c r="R13" t="s">
        <v>48</v>
      </c>
      <c r="S13" t="s">
        <v>29</v>
      </c>
      <c r="T13">
        <v>7259.74</v>
      </c>
      <c r="U13">
        <f t="shared" si="0"/>
        <v>1989</v>
      </c>
      <c r="V13">
        <f t="shared" si="1"/>
        <v>698</v>
      </c>
      <c r="W13">
        <f t="shared" si="2"/>
        <v>649</v>
      </c>
      <c r="X13">
        <f t="shared" si="3"/>
        <v>0.35149999999999998</v>
      </c>
      <c r="Y13" s="1">
        <f t="shared" si="4"/>
        <v>102668503</v>
      </c>
      <c r="Z13">
        <f t="shared" si="5"/>
        <v>51618.151332327805</v>
      </c>
      <c r="AA13">
        <f t="shared" si="6"/>
        <v>99996</v>
      </c>
      <c r="AB13">
        <f t="shared" si="7"/>
        <v>5002</v>
      </c>
      <c r="AC13">
        <f t="shared" si="8"/>
        <v>2672269.9500000016</v>
      </c>
      <c r="AD13">
        <f t="shared" si="9"/>
        <v>1343.5243589743598</v>
      </c>
      <c r="AE13">
        <f t="shared" si="10"/>
        <v>0.35149999999999998</v>
      </c>
      <c r="AF13">
        <f t="shared" si="11"/>
        <v>2656203087.2400012</v>
      </c>
      <c r="AG13" t="str">
        <f t="shared" si="12"/>
        <v>Active</v>
      </c>
      <c r="AH13">
        <f t="shared" si="13"/>
        <v>87116.88</v>
      </c>
    </row>
    <row r="14" spans="1:34" x14ac:dyDescent="0.35">
      <c r="A14" t="s">
        <v>78</v>
      </c>
      <c r="B14" t="s">
        <v>79</v>
      </c>
      <c r="C14">
        <v>41</v>
      </c>
      <c r="D14" t="s">
        <v>38</v>
      </c>
      <c r="E14" t="s">
        <v>39</v>
      </c>
      <c r="F14" t="s">
        <v>59</v>
      </c>
      <c r="G14">
        <v>123983</v>
      </c>
      <c r="H14">
        <v>514</v>
      </c>
      <c r="I14">
        <v>88692</v>
      </c>
      <c r="J14">
        <v>10.42</v>
      </c>
      <c r="K14">
        <v>180</v>
      </c>
      <c r="L14" t="s">
        <v>33</v>
      </c>
      <c r="M14">
        <v>47.22</v>
      </c>
      <c r="N14">
        <v>4093</v>
      </c>
      <c r="O14">
        <v>130456</v>
      </c>
      <c r="P14" t="s">
        <v>80</v>
      </c>
      <c r="Q14" t="s">
        <v>61</v>
      </c>
      <c r="R14" t="s">
        <v>48</v>
      </c>
      <c r="S14" t="s">
        <v>43</v>
      </c>
      <c r="T14">
        <v>544.08000000000004</v>
      </c>
      <c r="U14">
        <f t="shared" si="0"/>
        <v>1988</v>
      </c>
      <c r="V14">
        <f t="shared" si="1"/>
        <v>698</v>
      </c>
      <c r="W14">
        <f t="shared" si="2"/>
        <v>649</v>
      </c>
      <c r="X14">
        <f t="shared" si="3"/>
        <v>0.35149999999999998</v>
      </c>
      <c r="Y14" s="1">
        <f t="shared" si="4"/>
        <v>102586084</v>
      </c>
      <c r="Z14">
        <f t="shared" si="5"/>
        <v>51602.657947686115</v>
      </c>
      <c r="AA14">
        <f t="shared" si="6"/>
        <v>99996</v>
      </c>
      <c r="AB14">
        <f t="shared" si="7"/>
        <v>5002</v>
      </c>
      <c r="AC14">
        <f t="shared" si="8"/>
        <v>2665010.2100000014</v>
      </c>
      <c r="AD14">
        <f t="shared" si="9"/>
        <v>1340.5483953722342</v>
      </c>
      <c r="AE14">
        <f t="shared" si="10"/>
        <v>0.35149999999999998</v>
      </c>
      <c r="AF14">
        <f t="shared" si="11"/>
        <v>2653530817.2900009</v>
      </c>
      <c r="AG14" t="str">
        <f t="shared" si="12"/>
        <v>Over Paid</v>
      </c>
      <c r="AH14">
        <f t="shared" si="13"/>
        <v>6528.9600000000009</v>
      </c>
    </row>
    <row r="15" spans="1:34" x14ac:dyDescent="0.35">
      <c r="A15" t="s">
        <v>81</v>
      </c>
      <c r="B15" t="s">
        <v>82</v>
      </c>
      <c r="C15">
        <v>31</v>
      </c>
      <c r="D15" t="s">
        <v>38</v>
      </c>
      <c r="E15" t="s">
        <v>23</v>
      </c>
      <c r="F15" t="s">
        <v>46</v>
      </c>
      <c r="G15">
        <v>103993</v>
      </c>
      <c r="H15">
        <v>564</v>
      </c>
      <c r="I15">
        <v>61070</v>
      </c>
      <c r="J15">
        <v>7.92</v>
      </c>
      <c r="K15">
        <v>36</v>
      </c>
      <c r="L15" t="s">
        <v>25</v>
      </c>
      <c r="M15">
        <v>26.51</v>
      </c>
      <c r="N15">
        <v>65632</v>
      </c>
      <c r="O15">
        <v>84504</v>
      </c>
      <c r="P15" t="s">
        <v>83</v>
      </c>
      <c r="Q15" t="s">
        <v>42</v>
      </c>
      <c r="R15" t="s">
        <v>28</v>
      </c>
      <c r="S15" t="s">
        <v>35</v>
      </c>
      <c r="T15">
        <v>1830.74</v>
      </c>
      <c r="U15">
        <f t="shared" si="0"/>
        <v>1987</v>
      </c>
      <c r="V15">
        <f t="shared" si="1"/>
        <v>698</v>
      </c>
      <c r="W15">
        <f t="shared" si="2"/>
        <v>648</v>
      </c>
      <c r="X15">
        <f t="shared" si="3"/>
        <v>0.35149999999999998</v>
      </c>
      <c r="Y15" s="1">
        <f t="shared" si="4"/>
        <v>102497392</v>
      </c>
      <c r="Z15">
        <f t="shared" si="5"/>
        <v>51583.991947659786</v>
      </c>
      <c r="AA15">
        <f t="shared" si="6"/>
        <v>99996</v>
      </c>
      <c r="AB15">
        <f t="shared" si="7"/>
        <v>5002</v>
      </c>
      <c r="AC15">
        <f t="shared" si="8"/>
        <v>2664466.1300000013</v>
      </c>
      <c r="AD15">
        <f t="shared" si="9"/>
        <v>1340.9492350276805</v>
      </c>
      <c r="AE15">
        <f t="shared" si="10"/>
        <v>0.35149999999999998</v>
      </c>
      <c r="AF15">
        <f t="shared" si="11"/>
        <v>2650865807.0800004</v>
      </c>
      <c r="AG15" t="str">
        <f t="shared" si="12"/>
        <v>Active</v>
      </c>
      <c r="AH15">
        <f t="shared" si="13"/>
        <v>21968.880000000001</v>
      </c>
    </row>
    <row r="16" spans="1:34" x14ac:dyDescent="0.35">
      <c r="A16" t="s">
        <v>84</v>
      </c>
      <c r="B16" t="s">
        <v>85</v>
      </c>
      <c r="C16">
        <v>22</v>
      </c>
      <c r="D16" t="s">
        <v>22</v>
      </c>
      <c r="E16" t="s">
        <v>39</v>
      </c>
      <c r="F16" t="s">
        <v>46</v>
      </c>
      <c r="G16">
        <v>184469</v>
      </c>
      <c r="H16">
        <v>489</v>
      </c>
      <c r="I16">
        <v>54160</v>
      </c>
      <c r="J16">
        <v>5.55</v>
      </c>
      <c r="K16">
        <v>12</v>
      </c>
      <c r="L16" t="s">
        <v>86</v>
      </c>
      <c r="M16">
        <v>23.23</v>
      </c>
      <c r="N16">
        <v>4395</v>
      </c>
      <c r="O16">
        <v>128240</v>
      </c>
      <c r="P16" t="s">
        <v>87</v>
      </c>
      <c r="Q16" t="s">
        <v>42</v>
      </c>
      <c r="R16" t="s">
        <v>48</v>
      </c>
      <c r="S16" t="s">
        <v>35</v>
      </c>
      <c r="T16">
        <v>4763.82</v>
      </c>
      <c r="U16">
        <f t="shared" si="0"/>
        <v>1986</v>
      </c>
      <c r="V16">
        <f t="shared" si="1"/>
        <v>697</v>
      </c>
      <c r="W16">
        <f t="shared" si="2"/>
        <v>648</v>
      </c>
      <c r="X16">
        <f t="shared" si="3"/>
        <v>0.35149999999999998</v>
      </c>
      <c r="Y16" s="1">
        <f t="shared" si="4"/>
        <v>102436322</v>
      </c>
      <c r="Z16">
        <f t="shared" si="5"/>
        <v>51579.215508559922</v>
      </c>
      <c r="AA16">
        <f t="shared" si="6"/>
        <v>99996</v>
      </c>
      <c r="AB16">
        <f t="shared" si="7"/>
        <v>5002</v>
      </c>
      <c r="AC16">
        <f t="shared" si="8"/>
        <v>2662635.3900000015</v>
      </c>
      <c r="AD16">
        <f t="shared" si="9"/>
        <v>1340.7026132930521</v>
      </c>
      <c r="AE16">
        <f t="shared" si="10"/>
        <v>0.35149999999999998</v>
      </c>
      <c r="AF16">
        <f t="shared" si="11"/>
        <v>2648201340.9499998</v>
      </c>
      <c r="AG16" t="str">
        <f t="shared" si="12"/>
        <v>Active</v>
      </c>
      <c r="AH16">
        <f t="shared" si="13"/>
        <v>57165.84</v>
      </c>
    </row>
    <row r="17" spans="1:34" x14ac:dyDescent="0.35">
      <c r="A17" t="s">
        <v>88</v>
      </c>
      <c r="B17" t="s">
        <v>89</v>
      </c>
      <c r="C17">
        <v>32</v>
      </c>
      <c r="D17" t="s">
        <v>22</v>
      </c>
      <c r="E17" t="s">
        <v>32</v>
      </c>
      <c r="F17" t="s">
        <v>24</v>
      </c>
      <c r="G17">
        <v>185066</v>
      </c>
      <c r="H17">
        <v>336</v>
      </c>
      <c r="I17">
        <v>31996</v>
      </c>
      <c r="J17">
        <v>6.83</v>
      </c>
      <c r="K17">
        <v>12</v>
      </c>
      <c r="L17" t="s">
        <v>40</v>
      </c>
      <c r="M17">
        <v>7.8</v>
      </c>
      <c r="N17">
        <v>74100</v>
      </c>
      <c r="O17">
        <v>176876</v>
      </c>
      <c r="P17" t="s">
        <v>90</v>
      </c>
      <c r="Q17" t="s">
        <v>61</v>
      </c>
      <c r="R17" t="s">
        <v>28</v>
      </c>
      <c r="S17" t="s">
        <v>43</v>
      </c>
      <c r="T17">
        <v>2848.44</v>
      </c>
      <c r="U17">
        <f t="shared" si="0"/>
        <v>1985</v>
      </c>
      <c r="V17">
        <f t="shared" si="1"/>
        <v>696</v>
      </c>
      <c r="W17">
        <f t="shared" si="2"/>
        <v>648</v>
      </c>
      <c r="X17">
        <f t="shared" si="3"/>
        <v>0.35149999999999998</v>
      </c>
      <c r="Y17" s="1">
        <f t="shared" si="4"/>
        <v>102382162</v>
      </c>
      <c r="Z17">
        <f t="shared" si="5"/>
        <v>51577.915365239292</v>
      </c>
      <c r="AA17">
        <f t="shared" si="6"/>
        <v>99996</v>
      </c>
      <c r="AB17">
        <f t="shared" si="7"/>
        <v>5002</v>
      </c>
      <c r="AC17">
        <f t="shared" si="8"/>
        <v>2657871.5700000022</v>
      </c>
      <c r="AD17">
        <f t="shared" si="9"/>
        <v>1338.9781209068021</v>
      </c>
      <c r="AE17">
        <f t="shared" si="10"/>
        <v>0.35149999999999998</v>
      </c>
      <c r="AF17">
        <f t="shared" si="11"/>
        <v>2645538705.559999</v>
      </c>
      <c r="AG17" t="str">
        <f t="shared" si="12"/>
        <v>Over Paid</v>
      </c>
      <c r="AH17">
        <f t="shared" si="13"/>
        <v>34181.279999999999</v>
      </c>
    </row>
    <row r="18" spans="1:34" x14ac:dyDescent="0.35">
      <c r="A18" t="s">
        <v>91</v>
      </c>
      <c r="B18" t="s">
        <v>92</v>
      </c>
      <c r="C18">
        <v>46</v>
      </c>
      <c r="D18" t="s">
        <v>38</v>
      </c>
      <c r="E18" t="s">
        <v>23</v>
      </c>
      <c r="F18" t="s">
        <v>46</v>
      </c>
      <c r="G18">
        <v>122019</v>
      </c>
      <c r="H18">
        <v>356</v>
      </c>
      <c r="I18">
        <v>60916</v>
      </c>
      <c r="J18">
        <v>6.23</v>
      </c>
      <c r="K18">
        <v>12</v>
      </c>
      <c r="L18" t="s">
        <v>25</v>
      </c>
      <c r="M18">
        <v>26.86</v>
      </c>
      <c r="N18">
        <v>13106</v>
      </c>
      <c r="O18">
        <v>130493</v>
      </c>
      <c r="P18" t="s">
        <v>93</v>
      </c>
      <c r="Q18" t="s">
        <v>42</v>
      </c>
      <c r="R18" t="s">
        <v>48</v>
      </c>
      <c r="S18" t="s">
        <v>43</v>
      </c>
      <c r="T18">
        <v>5392.59</v>
      </c>
      <c r="U18">
        <f t="shared" si="0"/>
        <v>1984</v>
      </c>
      <c r="V18">
        <f t="shared" si="1"/>
        <v>696</v>
      </c>
      <c r="W18">
        <f t="shared" si="2"/>
        <v>647</v>
      </c>
      <c r="X18">
        <f t="shared" si="3"/>
        <v>0.35149999999999998</v>
      </c>
      <c r="Y18" s="1">
        <f t="shared" si="4"/>
        <v>102350166</v>
      </c>
      <c r="Z18">
        <f t="shared" si="5"/>
        <v>51587.785282258068</v>
      </c>
      <c r="AA18">
        <f t="shared" si="6"/>
        <v>99996</v>
      </c>
      <c r="AB18">
        <f t="shared" si="7"/>
        <v>5002</v>
      </c>
      <c r="AC18">
        <f t="shared" si="8"/>
        <v>2655023.1300000022</v>
      </c>
      <c r="AD18">
        <f t="shared" si="9"/>
        <v>1338.2173034274206</v>
      </c>
      <c r="AE18">
        <f t="shared" si="10"/>
        <v>0.35149999999999998</v>
      </c>
      <c r="AF18">
        <f t="shared" si="11"/>
        <v>2642880833.9899993</v>
      </c>
      <c r="AG18" t="str">
        <f t="shared" si="12"/>
        <v>Over Paid</v>
      </c>
      <c r="AH18">
        <f t="shared" si="13"/>
        <v>64711.08</v>
      </c>
    </row>
    <row r="19" spans="1:34" x14ac:dyDescent="0.35">
      <c r="A19" t="s">
        <v>94</v>
      </c>
      <c r="B19" t="s">
        <v>95</v>
      </c>
      <c r="C19">
        <v>56</v>
      </c>
      <c r="D19" t="s">
        <v>22</v>
      </c>
      <c r="E19" t="s">
        <v>32</v>
      </c>
      <c r="F19" t="s">
        <v>59</v>
      </c>
      <c r="G19">
        <v>194769</v>
      </c>
      <c r="H19">
        <v>560</v>
      </c>
      <c r="I19">
        <v>6565</v>
      </c>
      <c r="J19">
        <v>19.62</v>
      </c>
      <c r="K19">
        <v>360</v>
      </c>
      <c r="L19" t="s">
        <v>40</v>
      </c>
      <c r="M19">
        <v>53.13</v>
      </c>
      <c r="N19">
        <v>67648</v>
      </c>
      <c r="O19">
        <v>211561</v>
      </c>
      <c r="P19" t="s">
        <v>96</v>
      </c>
      <c r="Q19" t="s">
        <v>27</v>
      </c>
      <c r="R19" t="s">
        <v>48</v>
      </c>
      <c r="S19" t="s">
        <v>35</v>
      </c>
      <c r="T19">
        <v>21.81</v>
      </c>
      <c r="U19">
        <f t="shared" si="0"/>
        <v>1983</v>
      </c>
      <c r="V19">
        <f t="shared" si="1"/>
        <v>695</v>
      </c>
      <c r="W19">
        <f t="shared" si="2"/>
        <v>647</v>
      </c>
      <c r="X19">
        <f t="shared" si="3"/>
        <v>0.35149999999999998</v>
      </c>
      <c r="Y19" s="1">
        <f t="shared" si="4"/>
        <v>102289250</v>
      </c>
      <c r="Z19">
        <f t="shared" si="5"/>
        <v>51583.081190115983</v>
      </c>
      <c r="AA19">
        <f t="shared" si="6"/>
        <v>99996</v>
      </c>
      <c r="AB19">
        <f t="shared" si="7"/>
        <v>5002</v>
      </c>
      <c r="AC19">
        <f t="shared" si="8"/>
        <v>2649630.5400000024</v>
      </c>
      <c r="AD19">
        <f t="shared" si="9"/>
        <v>1336.1727382753415</v>
      </c>
      <c r="AE19">
        <f t="shared" si="10"/>
        <v>0.35149999999999998</v>
      </c>
      <c r="AF19">
        <f t="shared" si="11"/>
        <v>2640225810.8599992</v>
      </c>
      <c r="AG19" t="str">
        <f t="shared" si="12"/>
        <v>Over Paid</v>
      </c>
      <c r="AH19">
        <f t="shared" si="13"/>
        <v>261.71999999999997</v>
      </c>
    </row>
    <row r="20" spans="1:34" x14ac:dyDescent="0.35">
      <c r="A20" t="s">
        <v>97</v>
      </c>
      <c r="B20" t="s">
        <v>98</v>
      </c>
      <c r="C20">
        <v>35</v>
      </c>
      <c r="D20" t="s">
        <v>38</v>
      </c>
      <c r="E20" t="s">
        <v>32</v>
      </c>
      <c r="F20" t="s">
        <v>46</v>
      </c>
      <c r="G20">
        <v>156370</v>
      </c>
      <c r="H20">
        <v>373</v>
      </c>
      <c r="I20">
        <v>17253</v>
      </c>
      <c r="J20">
        <v>19.71</v>
      </c>
      <c r="K20">
        <v>180</v>
      </c>
      <c r="L20" t="s">
        <v>52</v>
      </c>
      <c r="M20">
        <v>5.91</v>
      </c>
      <c r="N20">
        <v>71504</v>
      </c>
      <c r="O20">
        <v>52972</v>
      </c>
      <c r="P20" t="s">
        <v>99</v>
      </c>
      <c r="Q20" t="s">
        <v>61</v>
      </c>
      <c r="R20" t="s">
        <v>48</v>
      </c>
      <c r="S20" t="s">
        <v>49</v>
      </c>
      <c r="T20">
        <v>114.74</v>
      </c>
      <c r="U20">
        <f t="shared" si="0"/>
        <v>1982</v>
      </c>
      <c r="V20">
        <f t="shared" si="1"/>
        <v>695</v>
      </c>
      <c r="W20">
        <f t="shared" si="2"/>
        <v>647</v>
      </c>
      <c r="X20">
        <f t="shared" si="3"/>
        <v>0.35149999999999998</v>
      </c>
      <c r="Y20" s="1">
        <f t="shared" si="4"/>
        <v>102282685</v>
      </c>
      <c r="Z20">
        <f t="shared" si="5"/>
        <v>51605.794651866803</v>
      </c>
      <c r="AA20">
        <f t="shared" si="6"/>
        <v>99996</v>
      </c>
      <c r="AB20">
        <f t="shared" si="7"/>
        <v>5002</v>
      </c>
      <c r="AC20">
        <f t="shared" si="8"/>
        <v>2649608.7300000023</v>
      </c>
      <c r="AD20">
        <f t="shared" si="9"/>
        <v>1336.8358879919285</v>
      </c>
      <c r="AE20">
        <f t="shared" si="10"/>
        <v>0.35149999999999998</v>
      </c>
      <c r="AF20">
        <f t="shared" si="11"/>
        <v>2637576180.3199992</v>
      </c>
      <c r="AG20" t="str">
        <f t="shared" si="12"/>
        <v>Active</v>
      </c>
      <c r="AH20">
        <f t="shared" si="13"/>
        <v>1376.8799999999999</v>
      </c>
    </row>
    <row r="21" spans="1:34" x14ac:dyDescent="0.35">
      <c r="A21" t="s">
        <v>100</v>
      </c>
      <c r="B21" t="s">
        <v>101</v>
      </c>
      <c r="C21">
        <v>26</v>
      </c>
      <c r="D21" t="s">
        <v>22</v>
      </c>
      <c r="E21" t="s">
        <v>32</v>
      </c>
      <c r="F21" t="s">
        <v>24</v>
      </c>
      <c r="G21">
        <v>169669</v>
      </c>
      <c r="H21">
        <v>599</v>
      </c>
      <c r="I21">
        <v>75395</v>
      </c>
      <c r="J21">
        <v>11.92</v>
      </c>
      <c r="K21">
        <v>12</v>
      </c>
      <c r="L21" t="s">
        <v>33</v>
      </c>
      <c r="M21">
        <v>41.77</v>
      </c>
      <c r="N21">
        <v>14497</v>
      </c>
      <c r="O21">
        <v>231609</v>
      </c>
      <c r="P21" t="s">
        <v>102</v>
      </c>
      <c r="Q21" t="s">
        <v>27</v>
      </c>
      <c r="R21" t="s">
        <v>28</v>
      </c>
      <c r="S21" t="s">
        <v>29</v>
      </c>
      <c r="T21">
        <v>7031.84</v>
      </c>
      <c r="U21">
        <f t="shared" si="0"/>
        <v>1981</v>
      </c>
      <c r="V21">
        <f t="shared" si="1"/>
        <v>695</v>
      </c>
      <c r="W21">
        <f t="shared" si="2"/>
        <v>646</v>
      </c>
      <c r="X21">
        <f t="shared" si="3"/>
        <v>0.35149999999999998</v>
      </c>
      <c r="Y21" s="1">
        <f t="shared" si="4"/>
        <v>102265432</v>
      </c>
      <c r="Z21">
        <f t="shared" si="5"/>
        <v>51623.13579000505</v>
      </c>
      <c r="AA21">
        <f t="shared" si="6"/>
        <v>99996</v>
      </c>
      <c r="AB21">
        <f t="shared" si="7"/>
        <v>5002</v>
      </c>
      <c r="AC21">
        <f t="shared" si="8"/>
        <v>2649493.9900000026</v>
      </c>
      <c r="AD21">
        <f t="shared" si="9"/>
        <v>1337.4527965673915</v>
      </c>
      <c r="AE21">
        <f t="shared" si="10"/>
        <v>0.35149999999999998</v>
      </c>
      <c r="AF21">
        <f t="shared" si="11"/>
        <v>2634926571.5899997</v>
      </c>
      <c r="AG21" t="str">
        <f t="shared" si="12"/>
        <v>Active</v>
      </c>
      <c r="AH21">
        <f t="shared" si="13"/>
        <v>84382.080000000002</v>
      </c>
    </row>
    <row r="22" spans="1:34" x14ac:dyDescent="0.35">
      <c r="A22" t="s">
        <v>103</v>
      </c>
      <c r="B22" t="s">
        <v>104</v>
      </c>
      <c r="C22">
        <v>29</v>
      </c>
      <c r="D22" t="s">
        <v>38</v>
      </c>
      <c r="E22" t="s">
        <v>32</v>
      </c>
      <c r="F22" t="s">
        <v>59</v>
      </c>
      <c r="G22">
        <v>197868</v>
      </c>
      <c r="H22">
        <v>487</v>
      </c>
      <c r="I22">
        <v>56860</v>
      </c>
      <c r="J22">
        <v>10.61</v>
      </c>
      <c r="K22">
        <v>36</v>
      </c>
      <c r="L22" t="s">
        <v>86</v>
      </c>
      <c r="M22">
        <v>27.23</v>
      </c>
      <c r="N22">
        <v>1039</v>
      </c>
      <c r="O22">
        <v>64623</v>
      </c>
      <c r="P22" t="s">
        <v>105</v>
      </c>
      <c r="Q22" t="s">
        <v>27</v>
      </c>
      <c r="R22" t="s">
        <v>28</v>
      </c>
      <c r="S22" t="s">
        <v>35</v>
      </c>
      <c r="T22">
        <v>1747.02</v>
      </c>
      <c r="U22">
        <f t="shared" si="0"/>
        <v>1980</v>
      </c>
      <c r="V22">
        <f t="shared" si="1"/>
        <v>695</v>
      </c>
      <c r="W22">
        <f t="shared" si="2"/>
        <v>646</v>
      </c>
      <c r="X22">
        <f t="shared" si="3"/>
        <v>0.35149999999999998</v>
      </c>
      <c r="Y22" s="1">
        <f t="shared" si="4"/>
        <v>102190037</v>
      </c>
      <c r="Z22">
        <f t="shared" si="5"/>
        <v>51611.129797979796</v>
      </c>
      <c r="AA22">
        <f t="shared" si="6"/>
        <v>99996</v>
      </c>
      <c r="AB22">
        <f t="shared" si="7"/>
        <v>5002</v>
      </c>
      <c r="AC22">
        <f t="shared" si="8"/>
        <v>2642462.1500000022</v>
      </c>
      <c r="AD22">
        <f t="shared" si="9"/>
        <v>1334.5768434343445</v>
      </c>
      <c r="AE22">
        <f t="shared" si="10"/>
        <v>0.35149999999999998</v>
      </c>
      <c r="AF22">
        <f t="shared" si="11"/>
        <v>2632277077.5999999</v>
      </c>
      <c r="AG22" t="str">
        <f t="shared" si="12"/>
        <v>Over Paid</v>
      </c>
      <c r="AH22">
        <f t="shared" si="13"/>
        <v>20964.239999999998</v>
      </c>
    </row>
    <row r="23" spans="1:34" x14ac:dyDescent="0.35">
      <c r="A23" t="s">
        <v>106</v>
      </c>
      <c r="B23" t="s">
        <v>107</v>
      </c>
      <c r="C23">
        <v>28</v>
      </c>
      <c r="D23" t="s">
        <v>38</v>
      </c>
      <c r="E23" t="s">
        <v>39</v>
      </c>
      <c r="F23" t="s">
        <v>46</v>
      </c>
      <c r="G23">
        <v>146404</v>
      </c>
      <c r="H23">
        <v>703</v>
      </c>
      <c r="I23">
        <v>26417</v>
      </c>
      <c r="J23">
        <v>9.58</v>
      </c>
      <c r="K23">
        <v>48</v>
      </c>
      <c r="L23" t="s">
        <v>86</v>
      </c>
      <c r="M23">
        <v>9.2899999999999991</v>
      </c>
      <c r="N23">
        <v>10066</v>
      </c>
      <c r="O23">
        <v>137042</v>
      </c>
      <c r="P23" t="s">
        <v>108</v>
      </c>
      <c r="Q23" t="s">
        <v>42</v>
      </c>
      <c r="R23" t="s">
        <v>48</v>
      </c>
      <c r="S23" t="s">
        <v>35</v>
      </c>
      <c r="T23">
        <v>603.08000000000004</v>
      </c>
      <c r="U23">
        <f t="shared" si="0"/>
        <v>1979</v>
      </c>
      <c r="V23">
        <f t="shared" si="1"/>
        <v>695</v>
      </c>
      <c r="W23">
        <f t="shared" si="2"/>
        <v>646</v>
      </c>
      <c r="X23">
        <f t="shared" si="3"/>
        <v>0.35149999999999998</v>
      </c>
      <c r="Y23" s="1">
        <f t="shared" si="4"/>
        <v>102133177</v>
      </c>
      <c r="Z23">
        <f t="shared" si="5"/>
        <v>51608.477513895908</v>
      </c>
      <c r="AA23">
        <f t="shared" si="6"/>
        <v>99996</v>
      </c>
      <c r="AB23">
        <f t="shared" si="7"/>
        <v>5002</v>
      </c>
      <c r="AC23">
        <f t="shared" si="8"/>
        <v>2640715.1300000022</v>
      </c>
      <c r="AD23">
        <f t="shared" si="9"/>
        <v>1334.3684335523003</v>
      </c>
      <c r="AE23">
        <f t="shared" si="10"/>
        <v>0.35149999999999998</v>
      </c>
      <c r="AF23">
        <f t="shared" si="11"/>
        <v>2629634615.4500003</v>
      </c>
      <c r="AG23" t="str">
        <f t="shared" si="12"/>
        <v>Active</v>
      </c>
      <c r="AH23">
        <f t="shared" si="13"/>
        <v>7236.9600000000009</v>
      </c>
    </row>
    <row r="24" spans="1:34" x14ac:dyDescent="0.35">
      <c r="A24" t="s">
        <v>109</v>
      </c>
      <c r="B24" t="s">
        <v>110</v>
      </c>
      <c r="C24">
        <v>37</v>
      </c>
      <c r="D24" t="s">
        <v>22</v>
      </c>
      <c r="E24" t="s">
        <v>39</v>
      </c>
      <c r="F24" t="s">
        <v>59</v>
      </c>
      <c r="G24">
        <v>109251</v>
      </c>
      <c r="H24">
        <v>835</v>
      </c>
      <c r="I24">
        <v>92340</v>
      </c>
      <c r="J24">
        <v>22.98</v>
      </c>
      <c r="K24">
        <v>48</v>
      </c>
      <c r="L24" t="s">
        <v>52</v>
      </c>
      <c r="M24">
        <v>24.35</v>
      </c>
      <c r="N24">
        <v>39291</v>
      </c>
      <c r="O24">
        <v>203643</v>
      </c>
      <c r="P24" t="s">
        <v>111</v>
      </c>
      <c r="Q24" t="s">
        <v>61</v>
      </c>
      <c r="R24" t="s">
        <v>28</v>
      </c>
      <c r="S24" t="s">
        <v>68</v>
      </c>
      <c r="T24">
        <v>2365.83</v>
      </c>
      <c r="U24">
        <f t="shared" si="0"/>
        <v>1978</v>
      </c>
      <c r="V24">
        <f t="shared" si="1"/>
        <v>694</v>
      </c>
      <c r="W24">
        <f t="shared" si="2"/>
        <v>646</v>
      </c>
      <c r="X24">
        <f t="shared" si="3"/>
        <v>0.35149999999999998</v>
      </c>
      <c r="Y24" s="1">
        <f t="shared" si="4"/>
        <v>102106760</v>
      </c>
      <c r="Z24">
        <f t="shared" si="5"/>
        <v>51621.213346814962</v>
      </c>
      <c r="AA24">
        <f t="shared" si="6"/>
        <v>99996</v>
      </c>
      <c r="AB24">
        <f t="shared" si="7"/>
        <v>5002</v>
      </c>
      <c r="AC24">
        <f t="shared" si="8"/>
        <v>2640112.0500000021</v>
      </c>
      <c r="AD24">
        <f t="shared" si="9"/>
        <v>1334.7381445904966</v>
      </c>
      <c r="AE24">
        <f t="shared" si="10"/>
        <v>0.35149999999999998</v>
      </c>
      <c r="AF24">
        <f t="shared" si="11"/>
        <v>2626993900.3200006</v>
      </c>
      <c r="AG24" t="str">
        <f t="shared" si="12"/>
        <v>Active</v>
      </c>
      <c r="AH24">
        <f t="shared" si="13"/>
        <v>28389.96</v>
      </c>
    </row>
    <row r="25" spans="1:34" x14ac:dyDescent="0.35">
      <c r="A25" t="s">
        <v>112</v>
      </c>
      <c r="B25" t="s">
        <v>113</v>
      </c>
      <c r="C25">
        <v>41</v>
      </c>
      <c r="D25" t="s">
        <v>38</v>
      </c>
      <c r="E25" t="s">
        <v>23</v>
      </c>
      <c r="F25" t="s">
        <v>24</v>
      </c>
      <c r="G25">
        <v>126621</v>
      </c>
      <c r="H25">
        <v>381</v>
      </c>
      <c r="I25">
        <v>51746</v>
      </c>
      <c r="J25">
        <v>21.17</v>
      </c>
      <c r="K25">
        <v>180</v>
      </c>
      <c r="L25" t="s">
        <v>52</v>
      </c>
      <c r="M25">
        <v>17.61</v>
      </c>
      <c r="N25">
        <v>43185</v>
      </c>
      <c r="O25">
        <v>225744</v>
      </c>
      <c r="P25" t="s">
        <v>114</v>
      </c>
      <c r="Q25" t="s">
        <v>42</v>
      </c>
      <c r="R25" t="s">
        <v>28</v>
      </c>
      <c r="S25" t="s">
        <v>29</v>
      </c>
      <c r="T25">
        <v>348.34</v>
      </c>
      <c r="U25">
        <f t="shared" si="0"/>
        <v>1977</v>
      </c>
      <c r="V25">
        <f t="shared" si="1"/>
        <v>694</v>
      </c>
      <c r="W25">
        <f t="shared" si="2"/>
        <v>645</v>
      </c>
      <c r="X25">
        <f t="shared" si="3"/>
        <v>0.35149999999999998</v>
      </c>
      <c r="Y25" s="1">
        <f t="shared" si="4"/>
        <v>102014420</v>
      </c>
      <c r="Z25">
        <f t="shared" si="5"/>
        <v>51600.617096611029</v>
      </c>
      <c r="AA25">
        <f t="shared" si="6"/>
        <v>99996</v>
      </c>
      <c r="AB25">
        <f t="shared" si="7"/>
        <v>5002</v>
      </c>
      <c r="AC25">
        <f t="shared" si="8"/>
        <v>2637746.2200000021</v>
      </c>
      <c r="AD25">
        <f t="shared" si="9"/>
        <v>1334.2166009104715</v>
      </c>
      <c r="AE25">
        <f t="shared" si="10"/>
        <v>0.35149999999999998</v>
      </c>
      <c r="AF25">
        <f t="shared" si="11"/>
        <v>2624353788.2700005</v>
      </c>
      <c r="AG25" t="str">
        <f t="shared" si="12"/>
        <v>Active</v>
      </c>
      <c r="AH25">
        <f t="shared" si="13"/>
        <v>4180.08</v>
      </c>
    </row>
    <row r="26" spans="1:34" x14ac:dyDescent="0.35">
      <c r="A26" t="s">
        <v>115</v>
      </c>
      <c r="B26" t="s">
        <v>116</v>
      </c>
      <c r="C26">
        <v>56</v>
      </c>
      <c r="D26" t="s">
        <v>22</v>
      </c>
      <c r="E26" t="s">
        <v>23</v>
      </c>
      <c r="F26" t="s">
        <v>59</v>
      </c>
      <c r="G26">
        <v>119364</v>
      </c>
      <c r="H26">
        <v>365</v>
      </c>
      <c r="I26">
        <v>60682</v>
      </c>
      <c r="J26">
        <v>10.199999999999999</v>
      </c>
      <c r="K26">
        <v>12</v>
      </c>
      <c r="L26" t="s">
        <v>52</v>
      </c>
      <c r="M26">
        <v>33.950000000000003</v>
      </c>
      <c r="N26">
        <v>62441</v>
      </c>
      <c r="O26">
        <v>243548</v>
      </c>
      <c r="P26" t="s">
        <v>117</v>
      </c>
      <c r="Q26" t="s">
        <v>42</v>
      </c>
      <c r="R26" t="s">
        <v>28</v>
      </c>
      <c r="S26" t="s">
        <v>35</v>
      </c>
      <c r="T26">
        <v>5572.63</v>
      </c>
      <c r="U26">
        <f t="shared" si="0"/>
        <v>1976</v>
      </c>
      <c r="V26">
        <f t="shared" si="1"/>
        <v>693</v>
      </c>
      <c r="W26">
        <f t="shared" si="2"/>
        <v>645</v>
      </c>
      <c r="X26">
        <f t="shared" si="3"/>
        <v>0.35149999999999998</v>
      </c>
      <c r="Y26" s="1">
        <f t="shared" si="4"/>
        <v>101962674</v>
      </c>
      <c r="Z26">
        <f t="shared" si="5"/>
        <v>51600.543522267209</v>
      </c>
      <c r="AA26">
        <f t="shared" si="6"/>
        <v>99996</v>
      </c>
      <c r="AB26">
        <f t="shared" si="7"/>
        <v>5002</v>
      </c>
      <c r="AC26">
        <f t="shared" si="8"/>
        <v>2637397.8800000018</v>
      </c>
      <c r="AD26">
        <f t="shared" si="9"/>
        <v>1334.7155263157904</v>
      </c>
      <c r="AE26">
        <f t="shared" si="10"/>
        <v>0.35149999999999998</v>
      </c>
      <c r="AF26">
        <f t="shared" si="11"/>
        <v>2621716042.0500007</v>
      </c>
      <c r="AG26" t="str">
        <f t="shared" si="12"/>
        <v>Active</v>
      </c>
      <c r="AH26">
        <f t="shared" si="13"/>
        <v>66871.56</v>
      </c>
    </row>
    <row r="27" spans="1:34" x14ac:dyDescent="0.35">
      <c r="A27" t="s">
        <v>118</v>
      </c>
      <c r="B27" t="s">
        <v>119</v>
      </c>
      <c r="C27">
        <v>50</v>
      </c>
      <c r="D27" t="s">
        <v>22</v>
      </c>
      <c r="E27" t="s">
        <v>23</v>
      </c>
      <c r="F27" t="s">
        <v>59</v>
      </c>
      <c r="G27">
        <v>167857</v>
      </c>
      <c r="H27">
        <v>392</v>
      </c>
      <c r="I27">
        <v>43849</v>
      </c>
      <c r="J27">
        <v>4.2699999999999996</v>
      </c>
      <c r="K27">
        <v>48</v>
      </c>
      <c r="L27" t="s">
        <v>33</v>
      </c>
      <c r="M27">
        <v>42.73</v>
      </c>
      <c r="N27">
        <v>73179</v>
      </c>
      <c r="O27">
        <v>192058</v>
      </c>
      <c r="P27" t="s">
        <v>120</v>
      </c>
      <c r="Q27" t="s">
        <v>27</v>
      </c>
      <c r="R27" t="s">
        <v>48</v>
      </c>
      <c r="S27" t="s">
        <v>68</v>
      </c>
      <c r="T27">
        <v>952.53</v>
      </c>
      <c r="U27">
        <f t="shared" si="0"/>
        <v>1975</v>
      </c>
      <c r="V27">
        <f t="shared" si="1"/>
        <v>692</v>
      </c>
      <c r="W27">
        <f t="shared" si="2"/>
        <v>645</v>
      </c>
      <c r="X27">
        <f t="shared" si="3"/>
        <v>0.35149999999999998</v>
      </c>
      <c r="Y27" s="1">
        <f t="shared" si="4"/>
        <v>101901992</v>
      </c>
      <c r="Z27">
        <f t="shared" si="5"/>
        <v>51595.945316455698</v>
      </c>
      <c r="AA27">
        <f t="shared" si="6"/>
        <v>99996</v>
      </c>
      <c r="AB27">
        <f t="shared" si="7"/>
        <v>5002</v>
      </c>
      <c r="AC27">
        <f t="shared" si="8"/>
        <v>2631825.2500000019</v>
      </c>
      <c r="AD27">
        <f t="shared" si="9"/>
        <v>1332.569746835444</v>
      </c>
      <c r="AE27">
        <f t="shared" si="10"/>
        <v>0.35149999999999998</v>
      </c>
      <c r="AF27">
        <f t="shared" si="11"/>
        <v>2619078644.1700006</v>
      </c>
      <c r="AG27" t="str">
        <f t="shared" si="12"/>
        <v>Over Paid</v>
      </c>
      <c r="AH27">
        <f t="shared" si="13"/>
        <v>11430.36</v>
      </c>
    </row>
    <row r="28" spans="1:34" x14ac:dyDescent="0.35">
      <c r="A28" t="s">
        <v>121</v>
      </c>
      <c r="B28" t="s">
        <v>122</v>
      </c>
      <c r="C28">
        <v>44</v>
      </c>
      <c r="D28" t="s">
        <v>22</v>
      </c>
      <c r="E28" t="s">
        <v>39</v>
      </c>
      <c r="F28" t="s">
        <v>59</v>
      </c>
      <c r="G28">
        <v>190087</v>
      </c>
      <c r="H28">
        <v>351</v>
      </c>
      <c r="I28">
        <v>33029</v>
      </c>
      <c r="J28">
        <v>21.69</v>
      </c>
      <c r="K28">
        <v>180</v>
      </c>
      <c r="L28" t="s">
        <v>33</v>
      </c>
      <c r="M28">
        <v>25.18</v>
      </c>
      <c r="N28">
        <v>7729</v>
      </c>
      <c r="O28">
        <v>157173</v>
      </c>
      <c r="P28" t="s">
        <v>123</v>
      </c>
      <c r="Q28" t="s">
        <v>27</v>
      </c>
      <c r="R28" t="s">
        <v>48</v>
      </c>
      <c r="S28" t="s">
        <v>49</v>
      </c>
      <c r="T28">
        <v>223.29</v>
      </c>
      <c r="U28">
        <f t="shared" si="0"/>
        <v>1974</v>
      </c>
      <c r="V28">
        <f t="shared" si="1"/>
        <v>692</v>
      </c>
      <c r="W28">
        <f t="shared" si="2"/>
        <v>645</v>
      </c>
      <c r="X28">
        <f t="shared" si="3"/>
        <v>0.35149999999999998</v>
      </c>
      <c r="Y28" s="1">
        <f t="shared" si="4"/>
        <v>101858143</v>
      </c>
      <c r="Z28">
        <f t="shared" si="5"/>
        <v>51599.869807497467</v>
      </c>
      <c r="AA28">
        <f t="shared" si="6"/>
        <v>99996</v>
      </c>
      <c r="AB28">
        <f t="shared" si="7"/>
        <v>5002</v>
      </c>
      <c r="AC28">
        <f t="shared" si="8"/>
        <v>2630872.7200000021</v>
      </c>
      <c r="AD28">
        <f t="shared" si="9"/>
        <v>1332.7622695035473</v>
      </c>
      <c r="AE28">
        <f t="shared" si="10"/>
        <v>0.35149999999999998</v>
      </c>
      <c r="AF28">
        <f t="shared" si="11"/>
        <v>2616446818.9200001</v>
      </c>
      <c r="AG28" t="str">
        <f t="shared" si="12"/>
        <v>Active</v>
      </c>
      <c r="AH28">
        <f t="shared" si="13"/>
        <v>2679.48</v>
      </c>
    </row>
    <row r="29" spans="1:34" x14ac:dyDescent="0.35">
      <c r="A29" t="s">
        <v>124</v>
      </c>
      <c r="B29" t="s">
        <v>125</v>
      </c>
      <c r="C29">
        <v>44</v>
      </c>
      <c r="D29" t="s">
        <v>38</v>
      </c>
      <c r="E29" t="s">
        <v>32</v>
      </c>
      <c r="F29" t="s">
        <v>46</v>
      </c>
      <c r="G29">
        <v>148007</v>
      </c>
      <c r="H29">
        <v>750</v>
      </c>
      <c r="I29">
        <v>72032</v>
      </c>
      <c r="J29">
        <v>20.16</v>
      </c>
      <c r="K29">
        <v>360</v>
      </c>
      <c r="L29" t="s">
        <v>86</v>
      </c>
      <c r="M29">
        <v>42.52</v>
      </c>
      <c r="N29">
        <v>76030</v>
      </c>
      <c r="O29">
        <v>104955</v>
      </c>
      <c r="P29" t="s">
        <v>126</v>
      </c>
      <c r="Q29" t="s">
        <v>27</v>
      </c>
      <c r="R29" t="s">
        <v>28</v>
      </c>
      <c r="S29" t="s">
        <v>29</v>
      </c>
      <c r="T29">
        <v>240.43</v>
      </c>
      <c r="U29">
        <f t="shared" si="0"/>
        <v>1973</v>
      </c>
      <c r="V29">
        <f t="shared" si="1"/>
        <v>692</v>
      </c>
      <c r="W29">
        <f t="shared" si="2"/>
        <v>645</v>
      </c>
      <c r="X29">
        <f t="shared" si="3"/>
        <v>0.35149999999999998</v>
      </c>
      <c r="Y29" s="1">
        <f t="shared" si="4"/>
        <v>101825114</v>
      </c>
      <c r="Z29">
        <f t="shared" si="5"/>
        <v>51609.282311201219</v>
      </c>
      <c r="AA29">
        <f t="shared" si="6"/>
        <v>99996</v>
      </c>
      <c r="AB29">
        <f t="shared" si="7"/>
        <v>5002</v>
      </c>
      <c r="AC29">
        <f t="shared" si="8"/>
        <v>2630649.430000002</v>
      </c>
      <c r="AD29">
        <f t="shared" si="9"/>
        <v>1333.3245970603152</v>
      </c>
      <c r="AE29">
        <f t="shared" si="10"/>
        <v>0.35149999999999998</v>
      </c>
      <c r="AF29">
        <f t="shared" si="11"/>
        <v>2613815946.2000003</v>
      </c>
      <c r="AG29" t="str">
        <f t="shared" si="12"/>
        <v>Active</v>
      </c>
      <c r="AH29">
        <f t="shared" si="13"/>
        <v>2885.16</v>
      </c>
    </row>
    <row r="30" spans="1:34" x14ac:dyDescent="0.35">
      <c r="A30" t="s">
        <v>127</v>
      </c>
      <c r="B30" t="s">
        <v>128</v>
      </c>
      <c r="C30">
        <v>54</v>
      </c>
      <c r="D30" t="s">
        <v>38</v>
      </c>
      <c r="E30" t="s">
        <v>32</v>
      </c>
      <c r="F30" t="s">
        <v>24</v>
      </c>
      <c r="G30">
        <v>163217</v>
      </c>
      <c r="H30">
        <v>428</v>
      </c>
      <c r="I30">
        <v>33853</v>
      </c>
      <c r="J30">
        <v>12.22</v>
      </c>
      <c r="K30">
        <v>24</v>
      </c>
      <c r="L30" t="s">
        <v>40</v>
      </c>
      <c r="M30">
        <v>46.67</v>
      </c>
      <c r="N30">
        <v>34536</v>
      </c>
      <c r="O30">
        <v>237042</v>
      </c>
      <c r="P30" t="s">
        <v>129</v>
      </c>
      <c r="Q30" t="s">
        <v>27</v>
      </c>
      <c r="R30" t="s">
        <v>28</v>
      </c>
      <c r="S30" t="s">
        <v>43</v>
      </c>
      <c r="T30">
        <v>1582.91</v>
      </c>
      <c r="U30">
        <f t="shared" si="0"/>
        <v>1972</v>
      </c>
      <c r="V30">
        <f t="shared" si="1"/>
        <v>692</v>
      </c>
      <c r="W30">
        <f t="shared" si="2"/>
        <v>645</v>
      </c>
      <c r="X30">
        <f t="shared" si="3"/>
        <v>0.35149999999999998</v>
      </c>
      <c r="Y30" s="1">
        <f t="shared" si="4"/>
        <v>101753082</v>
      </c>
      <c r="Z30">
        <f t="shared" si="5"/>
        <v>51598.925963488844</v>
      </c>
      <c r="AA30">
        <f t="shared" si="6"/>
        <v>99996</v>
      </c>
      <c r="AB30">
        <f t="shared" si="7"/>
        <v>5002</v>
      </c>
      <c r="AC30">
        <f t="shared" si="8"/>
        <v>2630409.0000000019</v>
      </c>
      <c r="AD30">
        <f t="shared" si="9"/>
        <v>1333.878803245437</v>
      </c>
      <c r="AE30">
        <f t="shared" si="10"/>
        <v>0.35149999999999998</v>
      </c>
      <c r="AF30">
        <f t="shared" si="11"/>
        <v>2611185296.7700005</v>
      </c>
      <c r="AG30" t="str">
        <f t="shared" si="12"/>
        <v>Active</v>
      </c>
      <c r="AH30">
        <f t="shared" si="13"/>
        <v>18994.920000000002</v>
      </c>
    </row>
    <row r="31" spans="1:34" x14ac:dyDescent="0.35">
      <c r="A31" t="s">
        <v>130</v>
      </c>
      <c r="B31" t="s">
        <v>131</v>
      </c>
      <c r="C31">
        <v>30</v>
      </c>
      <c r="D31" t="s">
        <v>38</v>
      </c>
      <c r="E31" t="s">
        <v>23</v>
      </c>
      <c r="F31" t="s">
        <v>46</v>
      </c>
      <c r="G31">
        <v>42401</v>
      </c>
      <c r="H31">
        <v>488</v>
      </c>
      <c r="I31">
        <v>22758</v>
      </c>
      <c r="J31">
        <v>16.5</v>
      </c>
      <c r="K31">
        <v>120</v>
      </c>
      <c r="L31" t="s">
        <v>86</v>
      </c>
      <c r="M31">
        <v>9.7100000000000009</v>
      </c>
      <c r="N31">
        <v>20488</v>
      </c>
      <c r="O31">
        <v>90881</v>
      </c>
      <c r="P31" t="s">
        <v>132</v>
      </c>
      <c r="Q31" t="s">
        <v>61</v>
      </c>
      <c r="R31" t="s">
        <v>28</v>
      </c>
      <c r="S31" t="s">
        <v>35</v>
      </c>
      <c r="T31">
        <v>220.94</v>
      </c>
      <c r="U31">
        <f t="shared" si="0"/>
        <v>1971</v>
      </c>
      <c r="V31">
        <f t="shared" si="1"/>
        <v>692</v>
      </c>
      <c r="W31">
        <f t="shared" si="2"/>
        <v>645</v>
      </c>
      <c r="X31">
        <f t="shared" si="3"/>
        <v>0.35149999999999998</v>
      </c>
      <c r="Y31" s="1">
        <f t="shared" si="4"/>
        <v>101719229</v>
      </c>
      <c r="Z31">
        <f t="shared" si="5"/>
        <v>51607.929477422629</v>
      </c>
      <c r="AA31">
        <f t="shared" si="6"/>
        <v>99996</v>
      </c>
      <c r="AB31">
        <f t="shared" si="7"/>
        <v>5002</v>
      </c>
      <c r="AC31">
        <f t="shared" si="8"/>
        <v>2628826.0900000017</v>
      </c>
      <c r="AD31">
        <f t="shared" si="9"/>
        <v>1333.7524556062922</v>
      </c>
      <c r="AE31">
        <f t="shared" si="10"/>
        <v>0.35149999999999998</v>
      </c>
      <c r="AF31">
        <f t="shared" si="11"/>
        <v>2608554887.77</v>
      </c>
      <c r="AG31" t="str">
        <f t="shared" si="12"/>
        <v>Active</v>
      </c>
      <c r="AH31">
        <f t="shared" si="13"/>
        <v>2651.2799999999997</v>
      </c>
    </row>
    <row r="32" spans="1:34" x14ac:dyDescent="0.35">
      <c r="A32" t="s">
        <v>133</v>
      </c>
      <c r="B32" t="s">
        <v>134</v>
      </c>
      <c r="C32">
        <v>39</v>
      </c>
      <c r="D32" t="s">
        <v>22</v>
      </c>
      <c r="E32" t="s">
        <v>39</v>
      </c>
      <c r="F32" t="s">
        <v>24</v>
      </c>
      <c r="G32">
        <v>179673</v>
      </c>
      <c r="H32">
        <v>780</v>
      </c>
      <c r="I32">
        <v>98191</v>
      </c>
      <c r="J32">
        <v>20.13</v>
      </c>
      <c r="K32">
        <v>36</v>
      </c>
      <c r="L32" t="s">
        <v>52</v>
      </c>
      <c r="M32">
        <v>5.58</v>
      </c>
      <c r="N32">
        <v>28714</v>
      </c>
      <c r="O32">
        <v>99860</v>
      </c>
      <c r="P32" t="s">
        <v>135</v>
      </c>
      <c r="Q32" t="s">
        <v>61</v>
      </c>
      <c r="R32" t="s">
        <v>28</v>
      </c>
      <c r="S32" t="s">
        <v>35</v>
      </c>
      <c r="T32">
        <v>3276.58</v>
      </c>
      <c r="U32">
        <f t="shared" si="0"/>
        <v>1970</v>
      </c>
      <c r="V32">
        <f t="shared" si="1"/>
        <v>692</v>
      </c>
      <c r="W32">
        <f t="shared" si="2"/>
        <v>644</v>
      </c>
      <c r="X32">
        <f t="shared" si="3"/>
        <v>0.35149999999999998</v>
      </c>
      <c r="Y32" s="1">
        <f t="shared" si="4"/>
        <v>101696471</v>
      </c>
      <c r="Z32">
        <f t="shared" si="5"/>
        <v>51622.574111675123</v>
      </c>
      <c r="AA32">
        <f t="shared" si="6"/>
        <v>99996</v>
      </c>
      <c r="AB32">
        <f t="shared" si="7"/>
        <v>5002</v>
      </c>
      <c r="AC32">
        <f t="shared" si="8"/>
        <v>2628605.1500000018</v>
      </c>
      <c r="AD32">
        <f t="shared" si="9"/>
        <v>1334.3173350253817</v>
      </c>
      <c r="AE32">
        <f t="shared" si="10"/>
        <v>0.35149999999999998</v>
      </c>
      <c r="AF32">
        <f t="shared" si="11"/>
        <v>2605926061.6799994</v>
      </c>
      <c r="AG32" t="str">
        <f t="shared" si="12"/>
        <v>Active</v>
      </c>
      <c r="AH32">
        <f t="shared" si="13"/>
        <v>39318.959999999999</v>
      </c>
    </row>
    <row r="33" spans="1:34" x14ac:dyDescent="0.35">
      <c r="A33" t="s">
        <v>136</v>
      </c>
      <c r="B33" t="s">
        <v>137</v>
      </c>
      <c r="C33">
        <v>22</v>
      </c>
      <c r="D33" t="s">
        <v>22</v>
      </c>
      <c r="E33" t="s">
        <v>32</v>
      </c>
      <c r="F33" t="s">
        <v>46</v>
      </c>
      <c r="G33">
        <v>47613</v>
      </c>
      <c r="H33">
        <v>723</v>
      </c>
      <c r="I33">
        <v>30081</v>
      </c>
      <c r="J33">
        <v>22.65</v>
      </c>
      <c r="K33">
        <v>120</v>
      </c>
      <c r="L33" t="s">
        <v>25</v>
      </c>
      <c r="M33">
        <v>36.659999999999997</v>
      </c>
      <c r="N33">
        <v>23031</v>
      </c>
      <c r="O33">
        <v>134587</v>
      </c>
      <c r="P33" t="s">
        <v>138</v>
      </c>
      <c r="Q33" t="s">
        <v>61</v>
      </c>
      <c r="R33" t="s">
        <v>48</v>
      </c>
      <c r="S33" t="s">
        <v>35</v>
      </c>
      <c r="T33">
        <v>307.45</v>
      </c>
      <c r="U33">
        <f t="shared" si="0"/>
        <v>1969</v>
      </c>
      <c r="V33">
        <f t="shared" si="1"/>
        <v>692</v>
      </c>
      <c r="W33">
        <f t="shared" si="2"/>
        <v>643</v>
      </c>
      <c r="X33">
        <f t="shared" si="3"/>
        <v>0.35149999999999998</v>
      </c>
      <c r="Y33" s="1">
        <f t="shared" si="4"/>
        <v>101598280</v>
      </c>
      <c r="Z33">
        <f t="shared" si="5"/>
        <v>51598.923311325547</v>
      </c>
      <c r="AA33">
        <f t="shared" si="6"/>
        <v>99996</v>
      </c>
      <c r="AB33">
        <f t="shared" si="7"/>
        <v>5002</v>
      </c>
      <c r="AC33">
        <f t="shared" si="8"/>
        <v>2625328.5700000017</v>
      </c>
      <c r="AD33">
        <f t="shared" si="9"/>
        <v>1333.3309141696302</v>
      </c>
      <c r="AE33">
        <f t="shared" si="10"/>
        <v>0.35149999999999998</v>
      </c>
      <c r="AF33">
        <f t="shared" si="11"/>
        <v>2603297456.5300002</v>
      </c>
      <c r="AG33" t="str">
        <f t="shared" si="12"/>
        <v>Active</v>
      </c>
      <c r="AH33">
        <f t="shared" si="13"/>
        <v>3689.3999999999996</v>
      </c>
    </row>
    <row r="34" spans="1:34" x14ac:dyDescent="0.35">
      <c r="A34" t="s">
        <v>139</v>
      </c>
      <c r="B34" t="s">
        <v>140</v>
      </c>
      <c r="C34">
        <v>57</v>
      </c>
      <c r="D34" t="s">
        <v>38</v>
      </c>
      <c r="E34" t="s">
        <v>32</v>
      </c>
      <c r="F34" t="s">
        <v>59</v>
      </c>
      <c r="G34">
        <v>188473</v>
      </c>
      <c r="H34">
        <v>671</v>
      </c>
      <c r="I34">
        <v>33419</v>
      </c>
      <c r="J34">
        <v>13.47</v>
      </c>
      <c r="K34">
        <v>36</v>
      </c>
      <c r="L34" t="s">
        <v>86</v>
      </c>
      <c r="M34">
        <v>12.1</v>
      </c>
      <c r="N34">
        <v>28934</v>
      </c>
      <c r="O34">
        <v>209725</v>
      </c>
      <c r="P34" t="s">
        <v>141</v>
      </c>
      <c r="Q34" t="s">
        <v>27</v>
      </c>
      <c r="R34" t="s">
        <v>48</v>
      </c>
      <c r="S34" t="s">
        <v>49</v>
      </c>
      <c r="T34">
        <v>1053.3499999999999</v>
      </c>
      <c r="U34">
        <f t="shared" si="0"/>
        <v>1968</v>
      </c>
      <c r="V34">
        <f t="shared" si="1"/>
        <v>692</v>
      </c>
      <c r="W34">
        <f t="shared" si="2"/>
        <v>642</v>
      </c>
      <c r="X34">
        <f t="shared" si="3"/>
        <v>0.35149999999999998</v>
      </c>
      <c r="Y34" s="1">
        <f t="shared" si="4"/>
        <v>101568199</v>
      </c>
      <c r="Z34">
        <f t="shared" si="5"/>
        <v>51609.857215447155</v>
      </c>
      <c r="AA34">
        <f t="shared" si="6"/>
        <v>99996</v>
      </c>
      <c r="AB34">
        <f t="shared" si="7"/>
        <v>5002</v>
      </c>
      <c r="AC34">
        <f t="shared" si="8"/>
        <v>2625021.120000002</v>
      </c>
      <c r="AD34">
        <f t="shared" si="9"/>
        <v>1333.8521951219523</v>
      </c>
      <c r="AE34">
        <f t="shared" si="10"/>
        <v>0.35149999999999998</v>
      </c>
      <c r="AF34">
        <f t="shared" si="11"/>
        <v>2600672127.9600005</v>
      </c>
      <c r="AG34" t="str">
        <f t="shared" si="12"/>
        <v>Active</v>
      </c>
      <c r="AH34">
        <f t="shared" si="13"/>
        <v>12640.199999999999</v>
      </c>
    </row>
    <row r="35" spans="1:34" x14ac:dyDescent="0.35">
      <c r="A35" t="s">
        <v>142</v>
      </c>
      <c r="B35" t="s">
        <v>143</v>
      </c>
      <c r="C35">
        <v>33</v>
      </c>
      <c r="D35" t="s">
        <v>38</v>
      </c>
      <c r="E35" t="s">
        <v>39</v>
      </c>
      <c r="F35" t="s">
        <v>59</v>
      </c>
      <c r="G35">
        <v>77330</v>
      </c>
      <c r="H35">
        <v>742</v>
      </c>
      <c r="I35">
        <v>44571</v>
      </c>
      <c r="J35">
        <v>9.83</v>
      </c>
      <c r="K35">
        <v>120</v>
      </c>
      <c r="L35" t="s">
        <v>40</v>
      </c>
      <c r="M35">
        <v>27.36</v>
      </c>
      <c r="N35">
        <v>61980</v>
      </c>
      <c r="O35">
        <v>232451</v>
      </c>
      <c r="P35" t="s">
        <v>144</v>
      </c>
      <c r="Q35" t="s">
        <v>42</v>
      </c>
      <c r="R35" t="s">
        <v>28</v>
      </c>
      <c r="S35" t="s">
        <v>49</v>
      </c>
      <c r="T35">
        <v>407.94</v>
      </c>
      <c r="U35">
        <f t="shared" si="0"/>
        <v>1967</v>
      </c>
      <c r="V35">
        <f t="shared" si="1"/>
        <v>692</v>
      </c>
      <c r="W35">
        <f t="shared" si="2"/>
        <v>642</v>
      </c>
      <c r="X35">
        <f t="shared" si="3"/>
        <v>0.35149999999999998</v>
      </c>
      <c r="Y35" s="1">
        <f t="shared" si="4"/>
        <v>101534780</v>
      </c>
      <c r="Z35">
        <f t="shared" si="5"/>
        <v>51619.10523640061</v>
      </c>
      <c r="AA35">
        <f t="shared" si="6"/>
        <v>99996</v>
      </c>
      <c r="AB35">
        <f t="shared" si="7"/>
        <v>5002</v>
      </c>
      <c r="AC35">
        <f t="shared" si="8"/>
        <v>2623967.7700000019</v>
      </c>
      <c r="AD35">
        <f t="shared" si="9"/>
        <v>1333.9947991865795</v>
      </c>
      <c r="AE35">
        <f t="shared" si="10"/>
        <v>0.35149999999999998</v>
      </c>
      <c r="AF35">
        <f t="shared" si="11"/>
        <v>2598047106.8400002</v>
      </c>
      <c r="AG35" t="str">
        <f t="shared" si="12"/>
        <v>Active</v>
      </c>
      <c r="AH35">
        <f t="shared" si="13"/>
        <v>4895.28</v>
      </c>
    </row>
    <row r="36" spans="1:34" x14ac:dyDescent="0.35">
      <c r="A36" t="s">
        <v>145</v>
      </c>
      <c r="B36" t="s">
        <v>146</v>
      </c>
      <c r="C36">
        <v>23</v>
      </c>
      <c r="D36" t="s">
        <v>38</v>
      </c>
      <c r="E36" t="s">
        <v>23</v>
      </c>
      <c r="F36" t="s">
        <v>46</v>
      </c>
      <c r="G36">
        <v>113733</v>
      </c>
      <c r="H36">
        <v>365</v>
      </c>
      <c r="I36">
        <v>88993</v>
      </c>
      <c r="J36">
        <v>9.93</v>
      </c>
      <c r="K36">
        <v>360</v>
      </c>
      <c r="L36" t="s">
        <v>25</v>
      </c>
      <c r="M36">
        <v>7.93</v>
      </c>
      <c r="N36">
        <v>11491</v>
      </c>
      <c r="O36">
        <v>58399</v>
      </c>
      <c r="P36" t="s">
        <v>147</v>
      </c>
      <c r="Q36" t="s">
        <v>61</v>
      </c>
      <c r="R36" t="s">
        <v>28</v>
      </c>
      <c r="S36" t="s">
        <v>49</v>
      </c>
      <c r="T36">
        <v>271.75</v>
      </c>
      <c r="U36">
        <f t="shared" si="0"/>
        <v>1966</v>
      </c>
      <c r="V36">
        <f t="shared" si="1"/>
        <v>691</v>
      </c>
      <c r="W36">
        <f t="shared" si="2"/>
        <v>642</v>
      </c>
      <c r="X36">
        <f t="shared" si="3"/>
        <v>0.35149999999999998</v>
      </c>
      <c r="Y36" s="1">
        <f t="shared" si="4"/>
        <v>101490209</v>
      </c>
      <c r="Z36">
        <f t="shared" si="5"/>
        <v>51622.690233977621</v>
      </c>
      <c r="AA36">
        <f t="shared" si="6"/>
        <v>99996</v>
      </c>
      <c r="AB36">
        <f t="shared" si="7"/>
        <v>5002</v>
      </c>
      <c r="AC36">
        <f t="shared" si="8"/>
        <v>2623559.8300000015</v>
      </c>
      <c r="AD36">
        <f t="shared" si="9"/>
        <v>1334.4658341810791</v>
      </c>
      <c r="AE36">
        <f t="shared" si="10"/>
        <v>0.35149999999999998</v>
      </c>
      <c r="AF36">
        <f t="shared" si="11"/>
        <v>2595423139.0700002</v>
      </c>
      <c r="AG36" t="str">
        <f t="shared" si="12"/>
        <v>Active</v>
      </c>
      <c r="AH36">
        <f t="shared" si="13"/>
        <v>3261</v>
      </c>
    </row>
    <row r="37" spans="1:34" x14ac:dyDescent="0.35">
      <c r="A37" t="s">
        <v>148</v>
      </c>
      <c r="B37" t="s">
        <v>149</v>
      </c>
      <c r="C37">
        <v>60</v>
      </c>
      <c r="D37" t="s">
        <v>38</v>
      </c>
      <c r="E37" t="s">
        <v>39</v>
      </c>
      <c r="F37" t="s">
        <v>46</v>
      </c>
      <c r="G37">
        <v>46577</v>
      </c>
      <c r="H37">
        <v>768</v>
      </c>
      <c r="I37">
        <v>17898</v>
      </c>
      <c r="J37">
        <v>4.47</v>
      </c>
      <c r="K37">
        <v>360</v>
      </c>
      <c r="L37" t="s">
        <v>25</v>
      </c>
      <c r="M37">
        <v>16.87</v>
      </c>
      <c r="N37">
        <v>25490</v>
      </c>
      <c r="O37">
        <v>233384</v>
      </c>
      <c r="P37" t="s">
        <v>150</v>
      </c>
      <c r="Q37" t="s">
        <v>42</v>
      </c>
      <c r="R37" t="s">
        <v>48</v>
      </c>
      <c r="S37" t="s">
        <v>49</v>
      </c>
      <c r="T37">
        <v>51.94</v>
      </c>
      <c r="U37">
        <f t="shared" si="0"/>
        <v>1965</v>
      </c>
      <c r="V37">
        <f t="shared" si="1"/>
        <v>691</v>
      </c>
      <c r="W37">
        <f t="shared" si="2"/>
        <v>641</v>
      </c>
      <c r="X37">
        <f t="shared" si="3"/>
        <v>0.35149999999999998</v>
      </c>
      <c r="Y37" s="1">
        <f t="shared" si="4"/>
        <v>101401216</v>
      </c>
      <c r="Z37">
        <f t="shared" si="5"/>
        <v>51603.672264631045</v>
      </c>
      <c r="AA37">
        <f t="shared" si="6"/>
        <v>99996</v>
      </c>
      <c r="AB37">
        <f t="shared" si="7"/>
        <v>5002</v>
      </c>
      <c r="AC37">
        <f t="shared" si="8"/>
        <v>2623288.0800000015</v>
      </c>
      <c r="AD37">
        <f t="shared" si="9"/>
        <v>1335.0066564885503</v>
      </c>
      <c r="AE37">
        <f t="shared" si="10"/>
        <v>0.35149999999999998</v>
      </c>
      <c r="AF37">
        <f t="shared" si="11"/>
        <v>2592799579.2400002</v>
      </c>
      <c r="AG37" t="str">
        <f t="shared" si="12"/>
        <v>Active</v>
      </c>
      <c r="AH37">
        <f t="shared" si="13"/>
        <v>623.28</v>
      </c>
    </row>
    <row r="38" spans="1:34" x14ac:dyDescent="0.35">
      <c r="A38" t="s">
        <v>151</v>
      </c>
      <c r="B38" t="s">
        <v>152</v>
      </c>
      <c r="C38">
        <v>45</v>
      </c>
      <c r="D38" t="s">
        <v>38</v>
      </c>
      <c r="E38" t="s">
        <v>32</v>
      </c>
      <c r="F38" t="s">
        <v>46</v>
      </c>
      <c r="G38">
        <v>174963</v>
      </c>
      <c r="H38">
        <v>690</v>
      </c>
      <c r="I38">
        <v>65402</v>
      </c>
      <c r="J38">
        <v>17.3</v>
      </c>
      <c r="K38">
        <v>180</v>
      </c>
      <c r="L38" t="s">
        <v>52</v>
      </c>
      <c r="M38">
        <v>52.9</v>
      </c>
      <c r="N38">
        <v>36491</v>
      </c>
      <c r="O38">
        <v>127772</v>
      </c>
      <c r="P38" t="s">
        <v>153</v>
      </c>
      <c r="Q38" t="s">
        <v>42</v>
      </c>
      <c r="R38" t="s">
        <v>28</v>
      </c>
      <c r="S38" t="s">
        <v>49</v>
      </c>
      <c r="T38">
        <v>426.2</v>
      </c>
      <c r="U38">
        <f t="shared" si="0"/>
        <v>1964</v>
      </c>
      <c r="V38">
        <f t="shared" si="1"/>
        <v>690</v>
      </c>
      <c r="W38">
        <f t="shared" si="2"/>
        <v>641</v>
      </c>
      <c r="X38">
        <f t="shared" si="3"/>
        <v>0.35149999999999998</v>
      </c>
      <c r="Y38" s="1">
        <f t="shared" si="4"/>
        <v>101383318</v>
      </c>
      <c r="Z38">
        <f t="shared" si="5"/>
        <v>51620.834012219959</v>
      </c>
      <c r="AA38">
        <f t="shared" si="6"/>
        <v>99996</v>
      </c>
      <c r="AB38">
        <f t="shared" si="7"/>
        <v>5002</v>
      </c>
      <c r="AC38">
        <f t="shared" si="8"/>
        <v>2623236.1400000015</v>
      </c>
      <c r="AD38">
        <f t="shared" si="9"/>
        <v>1335.6599490835038</v>
      </c>
      <c r="AE38">
        <f t="shared" si="10"/>
        <v>0.35149999999999998</v>
      </c>
      <c r="AF38">
        <f t="shared" si="11"/>
        <v>2590176291.1600003</v>
      </c>
      <c r="AG38" t="str">
        <f t="shared" si="12"/>
        <v>Active</v>
      </c>
      <c r="AH38">
        <f t="shared" si="13"/>
        <v>5114.3999999999996</v>
      </c>
    </row>
    <row r="39" spans="1:34" x14ac:dyDescent="0.35">
      <c r="A39" t="s">
        <v>154</v>
      </c>
      <c r="B39" t="s">
        <v>155</v>
      </c>
      <c r="C39">
        <v>59</v>
      </c>
      <c r="D39" t="s">
        <v>22</v>
      </c>
      <c r="E39" t="s">
        <v>32</v>
      </c>
      <c r="F39" t="s">
        <v>24</v>
      </c>
      <c r="G39">
        <v>105747</v>
      </c>
      <c r="H39">
        <v>764</v>
      </c>
      <c r="I39">
        <v>52650</v>
      </c>
      <c r="J39">
        <v>5.37</v>
      </c>
      <c r="K39">
        <v>12</v>
      </c>
      <c r="L39" t="s">
        <v>25</v>
      </c>
      <c r="M39">
        <v>54.44</v>
      </c>
      <c r="N39">
        <v>56221</v>
      </c>
      <c r="O39">
        <v>36264</v>
      </c>
      <c r="P39" t="s">
        <v>156</v>
      </c>
      <c r="Q39" t="s">
        <v>27</v>
      </c>
      <c r="R39" t="s">
        <v>28</v>
      </c>
      <c r="S39" t="s">
        <v>29</v>
      </c>
      <c r="T39">
        <v>4623.1099999999997</v>
      </c>
      <c r="U39">
        <f t="shared" si="0"/>
        <v>1963</v>
      </c>
      <c r="V39">
        <f t="shared" si="1"/>
        <v>689</v>
      </c>
      <c r="W39">
        <f t="shared" si="2"/>
        <v>641</v>
      </c>
      <c r="X39">
        <f t="shared" si="3"/>
        <v>0.35149999999999998</v>
      </c>
      <c r="Y39" s="1">
        <f t="shared" si="4"/>
        <v>101317916</v>
      </c>
      <c r="Z39">
        <f t="shared" si="5"/>
        <v>51613.813550687722</v>
      </c>
      <c r="AA39">
        <f t="shared" si="6"/>
        <v>99996</v>
      </c>
      <c r="AB39">
        <f t="shared" si="7"/>
        <v>5002</v>
      </c>
      <c r="AC39">
        <f t="shared" si="8"/>
        <v>2622809.9400000018</v>
      </c>
      <c r="AD39">
        <f t="shared" si="9"/>
        <v>1336.1232501273571</v>
      </c>
      <c r="AE39">
        <f t="shared" si="10"/>
        <v>0.35149999999999998</v>
      </c>
      <c r="AF39">
        <f t="shared" si="11"/>
        <v>2587553055.0199995</v>
      </c>
      <c r="AG39" t="str">
        <f t="shared" si="12"/>
        <v>Active</v>
      </c>
      <c r="AH39">
        <f t="shared" si="13"/>
        <v>55477.319999999992</v>
      </c>
    </row>
    <row r="40" spans="1:34" x14ac:dyDescent="0.35">
      <c r="A40" t="s">
        <v>157</v>
      </c>
      <c r="B40" t="s">
        <v>158</v>
      </c>
      <c r="C40">
        <v>35</v>
      </c>
      <c r="D40" t="s">
        <v>38</v>
      </c>
      <c r="E40" t="s">
        <v>32</v>
      </c>
      <c r="F40" t="s">
        <v>46</v>
      </c>
      <c r="G40">
        <v>124031</v>
      </c>
      <c r="H40">
        <v>371</v>
      </c>
      <c r="I40">
        <v>27486</v>
      </c>
      <c r="J40">
        <v>23.57</v>
      </c>
      <c r="K40">
        <v>360</v>
      </c>
      <c r="L40" t="s">
        <v>40</v>
      </c>
      <c r="M40">
        <v>13.54</v>
      </c>
      <c r="N40">
        <v>34099</v>
      </c>
      <c r="O40">
        <v>86710</v>
      </c>
      <c r="P40" t="s">
        <v>159</v>
      </c>
      <c r="Q40" t="s">
        <v>61</v>
      </c>
      <c r="R40" t="s">
        <v>48</v>
      </c>
      <c r="S40" t="s">
        <v>29</v>
      </c>
      <c r="T40">
        <v>94.35</v>
      </c>
      <c r="U40">
        <f t="shared" si="0"/>
        <v>1962</v>
      </c>
      <c r="V40">
        <f t="shared" si="1"/>
        <v>689</v>
      </c>
      <c r="W40">
        <f t="shared" si="2"/>
        <v>641</v>
      </c>
      <c r="X40">
        <f t="shared" si="3"/>
        <v>0.35149999999999998</v>
      </c>
      <c r="Y40" s="1">
        <f t="shared" si="4"/>
        <v>101265266</v>
      </c>
      <c r="Z40">
        <f t="shared" si="5"/>
        <v>51613.28542303772</v>
      </c>
      <c r="AA40">
        <f t="shared" si="6"/>
        <v>99996</v>
      </c>
      <c r="AB40">
        <f t="shared" si="7"/>
        <v>5002</v>
      </c>
      <c r="AC40">
        <f t="shared" si="8"/>
        <v>2618186.8300000015</v>
      </c>
      <c r="AD40">
        <f t="shared" si="9"/>
        <v>1334.4479255861374</v>
      </c>
      <c r="AE40">
        <f t="shared" si="10"/>
        <v>0.35149999999999998</v>
      </c>
      <c r="AF40">
        <f t="shared" si="11"/>
        <v>2584930245.0799994</v>
      </c>
      <c r="AG40" t="str">
        <f t="shared" si="12"/>
        <v>Over Paid</v>
      </c>
      <c r="AH40">
        <f t="shared" si="13"/>
        <v>1132.1999999999998</v>
      </c>
    </row>
    <row r="41" spans="1:34" x14ac:dyDescent="0.35">
      <c r="A41" t="s">
        <v>160</v>
      </c>
      <c r="B41" t="s">
        <v>161</v>
      </c>
      <c r="C41">
        <v>22</v>
      </c>
      <c r="D41" t="s">
        <v>22</v>
      </c>
      <c r="E41" t="s">
        <v>32</v>
      </c>
      <c r="F41" t="s">
        <v>59</v>
      </c>
      <c r="G41">
        <v>93215</v>
      </c>
      <c r="H41">
        <v>391</v>
      </c>
      <c r="I41">
        <v>62649</v>
      </c>
      <c r="J41">
        <v>20.51</v>
      </c>
      <c r="K41">
        <v>180</v>
      </c>
      <c r="L41" t="s">
        <v>52</v>
      </c>
      <c r="M41">
        <v>30.6</v>
      </c>
      <c r="N41">
        <v>8442</v>
      </c>
      <c r="O41">
        <v>243841</v>
      </c>
      <c r="P41" t="s">
        <v>162</v>
      </c>
      <c r="Q41" t="s">
        <v>42</v>
      </c>
      <c r="R41" t="s">
        <v>48</v>
      </c>
      <c r="S41" t="s">
        <v>43</v>
      </c>
      <c r="T41">
        <v>419.44</v>
      </c>
      <c r="U41">
        <f t="shared" si="0"/>
        <v>1961</v>
      </c>
      <c r="V41">
        <f t="shared" si="1"/>
        <v>689</v>
      </c>
      <c r="W41">
        <f t="shared" si="2"/>
        <v>640</v>
      </c>
      <c r="X41">
        <f t="shared" si="3"/>
        <v>0.35149999999999998</v>
      </c>
      <c r="Y41" s="1">
        <f t="shared" si="4"/>
        <v>101237780</v>
      </c>
      <c r="Z41">
        <f t="shared" si="5"/>
        <v>51625.588985211623</v>
      </c>
      <c r="AA41">
        <f t="shared" si="6"/>
        <v>99996</v>
      </c>
      <c r="AB41">
        <f t="shared" si="7"/>
        <v>5002</v>
      </c>
      <c r="AC41">
        <f t="shared" si="8"/>
        <v>2618092.4800000014</v>
      </c>
      <c r="AD41">
        <f t="shared" si="9"/>
        <v>1335.0803059663444</v>
      </c>
      <c r="AE41">
        <f t="shared" si="10"/>
        <v>0.35149999999999998</v>
      </c>
      <c r="AF41">
        <f t="shared" si="11"/>
        <v>2582312058.2499995</v>
      </c>
      <c r="AG41" t="str">
        <f t="shared" si="12"/>
        <v>Active</v>
      </c>
      <c r="AH41">
        <f t="shared" si="13"/>
        <v>5033.28</v>
      </c>
    </row>
    <row r="42" spans="1:34" x14ac:dyDescent="0.35">
      <c r="A42" t="s">
        <v>163</v>
      </c>
      <c r="B42" t="s">
        <v>164</v>
      </c>
      <c r="C42">
        <v>59</v>
      </c>
      <c r="D42" t="s">
        <v>38</v>
      </c>
      <c r="E42" t="s">
        <v>23</v>
      </c>
      <c r="F42" t="s">
        <v>46</v>
      </c>
      <c r="G42">
        <v>131691</v>
      </c>
      <c r="H42">
        <v>396</v>
      </c>
      <c r="I42">
        <v>20730</v>
      </c>
      <c r="J42">
        <v>9.73</v>
      </c>
      <c r="K42">
        <v>12</v>
      </c>
      <c r="L42" t="s">
        <v>40</v>
      </c>
      <c r="M42">
        <v>40.79</v>
      </c>
      <c r="N42">
        <v>8451</v>
      </c>
      <c r="O42">
        <v>44459</v>
      </c>
      <c r="P42" t="s">
        <v>165</v>
      </c>
      <c r="Q42" t="s">
        <v>61</v>
      </c>
      <c r="R42" t="s">
        <v>48</v>
      </c>
      <c r="S42" t="s">
        <v>29</v>
      </c>
      <c r="T42">
        <v>1895.59</v>
      </c>
      <c r="U42">
        <f t="shared" si="0"/>
        <v>1960</v>
      </c>
      <c r="V42">
        <f t="shared" si="1"/>
        <v>688</v>
      </c>
      <c r="W42">
        <f t="shared" si="2"/>
        <v>640</v>
      </c>
      <c r="X42">
        <f t="shared" si="3"/>
        <v>0.35149999999999998</v>
      </c>
      <c r="Y42" s="1">
        <f t="shared" si="4"/>
        <v>101175131</v>
      </c>
      <c r="Z42">
        <f t="shared" si="5"/>
        <v>51619.964795918364</v>
      </c>
      <c r="AA42">
        <f t="shared" si="6"/>
        <v>99996</v>
      </c>
      <c r="AB42">
        <f t="shared" si="7"/>
        <v>5002</v>
      </c>
      <c r="AC42">
        <f t="shared" si="8"/>
        <v>2617673.0400000014</v>
      </c>
      <c r="AD42">
        <f t="shared" si="9"/>
        <v>1335.5474693877559</v>
      </c>
      <c r="AE42">
        <f t="shared" si="10"/>
        <v>0.35149999999999998</v>
      </c>
      <c r="AF42">
        <f t="shared" si="11"/>
        <v>2579693965.769999</v>
      </c>
      <c r="AG42" t="str">
        <f t="shared" si="12"/>
        <v>Active</v>
      </c>
      <c r="AH42">
        <f t="shared" si="13"/>
        <v>22747.079999999998</v>
      </c>
    </row>
    <row r="43" spans="1:34" x14ac:dyDescent="0.35">
      <c r="A43" t="s">
        <v>166</v>
      </c>
      <c r="B43" t="s">
        <v>167</v>
      </c>
      <c r="C43">
        <v>65</v>
      </c>
      <c r="D43" t="s">
        <v>38</v>
      </c>
      <c r="E43" t="s">
        <v>23</v>
      </c>
      <c r="F43" t="s">
        <v>24</v>
      </c>
      <c r="G43">
        <v>20963</v>
      </c>
      <c r="H43">
        <v>485</v>
      </c>
      <c r="I43">
        <v>45422</v>
      </c>
      <c r="J43">
        <v>18.989999999999998</v>
      </c>
      <c r="K43">
        <v>60</v>
      </c>
      <c r="L43" t="s">
        <v>33</v>
      </c>
      <c r="M43">
        <v>54.7</v>
      </c>
      <c r="N43">
        <v>63348</v>
      </c>
      <c r="O43">
        <v>83422</v>
      </c>
      <c r="P43" t="s">
        <v>168</v>
      </c>
      <c r="Q43" t="s">
        <v>61</v>
      </c>
      <c r="R43" t="s">
        <v>48</v>
      </c>
      <c r="S43" t="s">
        <v>68</v>
      </c>
      <c r="T43">
        <v>900.79</v>
      </c>
      <c r="U43">
        <f t="shared" si="0"/>
        <v>1959</v>
      </c>
      <c r="V43">
        <f t="shared" si="1"/>
        <v>688</v>
      </c>
      <c r="W43">
        <f t="shared" si="2"/>
        <v>639</v>
      </c>
      <c r="X43">
        <f t="shared" si="3"/>
        <v>0.35149999999999998</v>
      </c>
      <c r="Y43" s="1">
        <f t="shared" si="4"/>
        <v>101154401</v>
      </c>
      <c r="Z43">
        <f t="shared" si="5"/>
        <v>51635.733027054623</v>
      </c>
      <c r="AA43">
        <f t="shared" si="6"/>
        <v>99996</v>
      </c>
      <c r="AB43">
        <f t="shared" si="7"/>
        <v>5002</v>
      </c>
      <c r="AC43">
        <f t="shared" si="8"/>
        <v>2615777.4500000016</v>
      </c>
      <c r="AD43">
        <f t="shared" si="9"/>
        <v>1335.2615875446666</v>
      </c>
      <c r="AE43">
        <f t="shared" si="10"/>
        <v>0.35149999999999998</v>
      </c>
      <c r="AF43">
        <f t="shared" si="11"/>
        <v>2577076292.7299991</v>
      </c>
      <c r="AG43" t="str">
        <f t="shared" si="12"/>
        <v>Over Paid</v>
      </c>
      <c r="AH43">
        <f t="shared" si="13"/>
        <v>10809.48</v>
      </c>
    </row>
    <row r="44" spans="1:34" x14ac:dyDescent="0.35">
      <c r="A44" t="s">
        <v>169</v>
      </c>
      <c r="B44" t="s">
        <v>170</v>
      </c>
      <c r="C44">
        <v>60</v>
      </c>
      <c r="D44" t="s">
        <v>22</v>
      </c>
      <c r="E44" t="s">
        <v>39</v>
      </c>
      <c r="F44" t="s">
        <v>46</v>
      </c>
      <c r="G44">
        <v>167815</v>
      </c>
      <c r="H44">
        <v>359</v>
      </c>
      <c r="I44">
        <v>67074</v>
      </c>
      <c r="J44">
        <v>7.21</v>
      </c>
      <c r="K44">
        <v>180</v>
      </c>
      <c r="L44" t="s">
        <v>40</v>
      </c>
      <c r="M44">
        <v>39.340000000000003</v>
      </c>
      <c r="N44">
        <v>63072</v>
      </c>
      <c r="O44">
        <v>162097</v>
      </c>
      <c r="P44" t="s">
        <v>171</v>
      </c>
      <c r="Q44" t="s">
        <v>61</v>
      </c>
      <c r="R44" t="s">
        <v>48</v>
      </c>
      <c r="S44" t="s">
        <v>35</v>
      </c>
      <c r="T44">
        <v>399.5</v>
      </c>
      <c r="U44">
        <f t="shared" si="0"/>
        <v>1958</v>
      </c>
      <c r="V44">
        <f t="shared" si="1"/>
        <v>688</v>
      </c>
      <c r="W44">
        <f t="shared" si="2"/>
        <v>638</v>
      </c>
      <c r="X44">
        <f t="shared" si="3"/>
        <v>0.35149999999999998</v>
      </c>
      <c r="Y44" s="1">
        <f t="shared" si="4"/>
        <v>101108979</v>
      </c>
      <c r="Z44">
        <f t="shared" si="5"/>
        <v>51638.906537282943</v>
      </c>
      <c r="AA44">
        <f t="shared" si="6"/>
        <v>99996</v>
      </c>
      <c r="AB44">
        <f t="shared" si="7"/>
        <v>5002</v>
      </c>
      <c r="AC44">
        <f t="shared" si="8"/>
        <v>2614876.6600000015</v>
      </c>
      <c r="AD44">
        <f t="shared" si="9"/>
        <v>1335.4834831460682</v>
      </c>
      <c r="AE44">
        <f t="shared" si="10"/>
        <v>0.35149999999999998</v>
      </c>
      <c r="AF44">
        <f t="shared" si="11"/>
        <v>2574460515.2799988</v>
      </c>
      <c r="AG44" t="str">
        <f t="shared" si="12"/>
        <v>Active</v>
      </c>
      <c r="AH44">
        <f t="shared" si="13"/>
        <v>4794</v>
      </c>
    </row>
    <row r="45" spans="1:34" x14ac:dyDescent="0.35">
      <c r="A45" t="s">
        <v>172</v>
      </c>
      <c r="B45" t="s">
        <v>173</v>
      </c>
      <c r="C45">
        <v>32</v>
      </c>
      <c r="D45" t="s">
        <v>38</v>
      </c>
      <c r="E45" t="s">
        <v>23</v>
      </c>
      <c r="F45" t="s">
        <v>46</v>
      </c>
      <c r="G45">
        <v>117142</v>
      </c>
      <c r="H45">
        <v>469</v>
      </c>
      <c r="I45">
        <v>47050</v>
      </c>
      <c r="J45">
        <v>15.95</v>
      </c>
      <c r="K45">
        <v>240</v>
      </c>
      <c r="L45" t="s">
        <v>33</v>
      </c>
      <c r="M45">
        <v>20.28</v>
      </c>
      <c r="N45">
        <v>58969</v>
      </c>
      <c r="O45">
        <v>248858</v>
      </c>
      <c r="P45" t="s">
        <v>174</v>
      </c>
      <c r="Q45" t="s">
        <v>42</v>
      </c>
      <c r="R45" t="s">
        <v>48</v>
      </c>
      <c r="S45" t="s">
        <v>35</v>
      </c>
      <c r="T45">
        <v>227.31</v>
      </c>
      <c r="U45">
        <f t="shared" si="0"/>
        <v>1957</v>
      </c>
      <c r="V45">
        <f t="shared" si="1"/>
        <v>688</v>
      </c>
      <c r="W45">
        <f t="shared" si="2"/>
        <v>637</v>
      </c>
      <c r="X45">
        <f t="shared" si="3"/>
        <v>0.35149999999999998</v>
      </c>
      <c r="Y45" s="1">
        <f t="shared" si="4"/>
        <v>101041905</v>
      </c>
      <c r="Z45">
        <f t="shared" si="5"/>
        <v>51631.019417475727</v>
      </c>
      <c r="AA45">
        <f t="shared" si="6"/>
        <v>99996</v>
      </c>
      <c r="AB45">
        <f t="shared" si="7"/>
        <v>5002</v>
      </c>
      <c r="AC45">
        <f t="shared" si="8"/>
        <v>2614477.1600000015</v>
      </c>
      <c r="AD45">
        <f t="shared" si="9"/>
        <v>1335.9617577925403</v>
      </c>
      <c r="AE45">
        <f t="shared" si="10"/>
        <v>0.35149999999999998</v>
      </c>
      <c r="AF45">
        <f t="shared" si="11"/>
        <v>2571845638.6199989</v>
      </c>
      <c r="AG45" t="str">
        <f t="shared" si="12"/>
        <v>Active</v>
      </c>
      <c r="AH45">
        <f t="shared" si="13"/>
        <v>2727.7200000000003</v>
      </c>
    </row>
    <row r="46" spans="1:34" x14ac:dyDescent="0.35">
      <c r="A46" t="s">
        <v>175</v>
      </c>
      <c r="B46" t="s">
        <v>176</v>
      </c>
      <c r="C46">
        <v>53</v>
      </c>
      <c r="D46" t="s">
        <v>22</v>
      </c>
      <c r="E46" t="s">
        <v>23</v>
      </c>
      <c r="F46" t="s">
        <v>24</v>
      </c>
      <c r="G46">
        <v>167140</v>
      </c>
      <c r="H46">
        <v>745</v>
      </c>
      <c r="I46">
        <v>79899</v>
      </c>
      <c r="J46">
        <v>15.61</v>
      </c>
      <c r="K46">
        <v>60</v>
      </c>
      <c r="L46" t="s">
        <v>52</v>
      </c>
      <c r="M46">
        <v>56.9</v>
      </c>
      <c r="N46">
        <v>33749</v>
      </c>
      <c r="O46">
        <v>32868</v>
      </c>
      <c r="P46" t="s">
        <v>177</v>
      </c>
      <c r="Q46" t="s">
        <v>42</v>
      </c>
      <c r="R46" t="s">
        <v>48</v>
      </c>
      <c r="S46" t="s">
        <v>43</v>
      </c>
      <c r="T46">
        <v>1539.52</v>
      </c>
      <c r="U46">
        <f t="shared" si="0"/>
        <v>1956</v>
      </c>
      <c r="V46">
        <f t="shared" si="1"/>
        <v>687</v>
      </c>
      <c r="W46">
        <f t="shared" si="2"/>
        <v>637</v>
      </c>
      <c r="X46">
        <f t="shared" si="3"/>
        <v>0.35149999999999998</v>
      </c>
      <c r="Y46" s="1">
        <f t="shared" si="4"/>
        <v>100994855</v>
      </c>
      <c r="Z46">
        <f t="shared" si="5"/>
        <v>51633.361451942743</v>
      </c>
      <c r="AA46">
        <f t="shared" si="6"/>
        <v>99996</v>
      </c>
      <c r="AB46">
        <f t="shared" si="7"/>
        <v>5002</v>
      </c>
      <c r="AC46">
        <f t="shared" si="8"/>
        <v>2614249.8500000015</v>
      </c>
      <c r="AD46">
        <f t="shared" si="9"/>
        <v>1336.528553169735</v>
      </c>
      <c r="AE46">
        <f t="shared" si="10"/>
        <v>0.35149999999999998</v>
      </c>
      <c r="AF46">
        <f t="shared" si="11"/>
        <v>2569231161.4599991</v>
      </c>
      <c r="AG46" t="str">
        <f t="shared" si="12"/>
        <v>Active</v>
      </c>
      <c r="AH46">
        <f t="shared" si="13"/>
        <v>18474.239999999998</v>
      </c>
    </row>
    <row r="47" spans="1:34" x14ac:dyDescent="0.35">
      <c r="A47" t="s">
        <v>178</v>
      </c>
      <c r="B47" t="s">
        <v>179</v>
      </c>
      <c r="C47">
        <v>52</v>
      </c>
      <c r="D47" t="s">
        <v>38</v>
      </c>
      <c r="E47" t="s">
        <v>32</v>
      </c>
      <c r="F47" t="s">
        <v>59</v>
      </c>
      <c r="G47">
        <v>77400</v>
      </c>
      <c r="H47">
        <v>701</v>
      </c>
      <c r="I47">
        <v>57764</v>
      </c>
      <c r="J47">
        <v>10.67</v>
      </c>
      <c r="K47">
        <v>12</v>
      </c>
      <c r="L47" t="s">
        <v>52</v>
      </c>
      <c r="M47">
        <v>23.67</v>
      </c>
      <c r="N47">
        <v>61644</v>
      </c>
      <c r="O47">
        <v>140886</v>
      </c>
      <c r="P47" t="s">
        <v>180</v>
      </c>
      <c r="Q47" t="s">
        <v>42</v>
      </c>
      <c r="R47" t="s">
        <v>48</v>
      </c>
      <c r="S47" t="s">
        <v>29</v>
      </c>
      <c r="T47">
        <v>5327.28</v>
      </c>
      <c r="U47">
        <f t="shared" si="0"/>
        <v>1955</v>
      </c>
      <c r="V47">
        <f t="shared" si="1"/>
        <v>686</v>
      </c>
      <c r="W47">
        <f t="shared" si="2"/>
        <v>637</v>
      </c>
      <c r="X47">
        <f t="shared" si="3"/>
        <v>0.35149999999999998</v>
      </c>
      <c r="Y47" s="1">
        <f t="shared" si="4"/>
        <v>100914956</v>
      </c>
      <c r="Z47">
        <f t="shared" si="5"/>
        <v>51618.903324808183</v>
      </c>
      <c r="AA47">
        <f t="shared" si="6"/>
        <v>99996</v>
      </c>
      <c r="AB47">
        <f t="shared" si="7"/>
        <v>5002</v>
      </c>
      <c r="AC47">
        <f t="shared" si="8"/>
        <v>2612710.3300000015</v>
      </c>
      <c r="AD47">
        <f t="shared" si="9"/>
        <v>1336.4247212276223</v>
      </c>
      <c r="AE47">
        <f t="shared" si="10"/>
        <v>0.35149999999999998</v>
      </c>
      <c r="AF47">
        <f t="shared" si="11"/>
        <v>2566616911.6099992</v>
      </c>
      <c r="AG47" t="str">
        <f t="shared" si="12"/>
        <v>Active</v>
      </c>
      <c r="AH47">
        <f t="shared" si="13"/>
        <v>63927.360000000001</v>
      </c>
    </row>
    <row r="48" spans="1:34" x14ac:dyDescent="0.35">
      <c r="A48" t="s">
        <v>181</v>
      </c>
      <c r="B48" t="s">
        <v>182</v>
      </c>
      <c r="C48">
        <v>22</v>
      </c>
      <c r="D48" t="s">
        <v>38</v>
      </c>
      <c r="E48" t="s">
        <v>39</v>
      </c>
      <c r="F48" t="s">
        <v>46</v>
      </c>
      <c r="G48">
        <v>80826</v>
      </c>
      <c r="H48">
        <v>349</v>
      </c>
      <c r="I48">
        <v>17247</v>
      </c>
      <c r="J48">
        <v>14.43</v>
      </c>
      <c r="K48">
        <v>48</v>
      </c>
      <c r="L48" t="s">
        <v>25</v>
      </c>
      <c r="M48">
        <v>56.27</v>
      </c>
      <c r="N48">
        <v>19524</v>
      </c>
      <c r="O48">
        <v>227399</v>
      </c>
      <c r="P48" t="s">
        <v>99</v>
      </c>
      <c r="Q48" t="s">
        <v>27</v>
      </c>
      <c r="R48" t="s">
        <v>48</v>
      </c>
      <c r="S48" t="s">
        <v>35</v>
      </c>
      <c r="T48">
        <v>411.16</v>
      </c>
      <c r="U48">
        <f t="shared" si="0"/>
        <v>1954</v>
      </c>
      <c r="V48">
        <f t="shared" si="1"/>
        <v>685</v>
      </c>
      <c r="W48">
        <f t="shared" si="2"/>
        <v>637</v>
      </c>
      <c r="X48">
        <f t="shared" si="3"/>
        <v>0.35149999999999998</v>
      </c>
      <c r="Y48" s="1">
        <f t="shared" si="4"/>
        <v>100857192</v>
      </c>
      <c r="Z48">
        <f t="shared" si="5"/>
        <v>51615.75844421699</v>
      </c>
      <c r="AA48">
        <f t="shared" si="6"/>
        <v>99996</v>
      </c>
      <c r="AB48">
        <f t="shared" si="7"/>
        <v>5002</v>
      </c>
      <c r="AC48">
        <f t="shared" si="8"/>
        <v>2607383.0500000021</v>
      </c>
      <c r="AD48">
        <f t="shared" si="9"/>
        <v>1334.3823183213931</v>
      </c>
      <c r="AE48">
        <f t="shared" si="10"/>
        <v>0.35149999999999998</v>
      </c>
      <c r="AF48">
        <f t="shared" si="11"/>
        <v>2564004201.2799993</v>
      </c>
      <c r="AG48" t="str">
        <f t="shared" si="12"/>
        <v>Over Paid</v>
      </c>
      <c r="AH48">
        <f t="shared" si="13"/>
        <v>4933.92</v>
      </c>
    </row>
    <row r="49" spans="1:34" x14ac:dyDescent="0.35">
      <c r="A49" t="s">
        <v>183</v>
      </c>
      <c r="B49" t="s">
        <v>184</v>
      </c>
      <c r="C49">
        <v>46</v>
      </c>
      <c r="D49" t="s">
        <v>22</v>
      </c>
      <c r="E49" t="s">
        <v>32</v>
      </c>
      <c r="F49" t="s">
        <v>59</v>
      </c>
      <c r="G49">
        <v>131047</v>
      </c>
      <c r="H49">
        <v>709</v>
      </c>
      <c r="I49">
        <v>49325</v>
      </c>
      <c r="J49">
        <v>23.42</v>
      </c>
      <c r="K49">
        <v>360</v>
      </c>
      <c r="L49" t="s">
        <v>33</v>
      </c>
      <c r="M49">
        <v>6.02</v>
      </c>
      <c r="N49">
        <v>4517</v>
      </c>
      <c r="O49">
        <v>113523</v>
      </c>
      <c r="P49" t="s">
        <v>185</v>
      </c>
      <c r="Q49" t="s">
        <v>27</v>
      </c>
      <c r="R49" t="s">
        <v>28</v>
      </c>
      <c r="S49" t="s">
        <v>43</v>
      </c>
      <c r="T49">
        <v>169.1</v>
      </c>
      <c r="U49">
        <f t="shared" si="0"/>
        <v>1953</v>
      </c>
      <c r="V49">
        <f t="shared" si="1"/>
        <v>685</v>
      </c>
      <c r="W49">
        <f t="shared" si="2"/>
        <v>637</v>
      </c>
      <c r="X49">
        <f t="shared" si="3"/>
        <v>0.35149999999999998</v>
      </c>
      <c r="Y49" s="1">
        <f t="shared" si="4"/>
        <v>100839945</v>
      </c>
      <c r="Z49">
        <f t="shared" si="5"/>
        <v>51633.356374807991</v>
      </c>
      <c r="AA49">
        <f t="shared" si="6"/>
        <v>99996</v>
      </c>
      <c r="AB49">
        <f t="shared" si="7"/>
        <v>5002</v>
      </c>
      <c r="AC49">
        <f t="shared" si="8"/>
        <v>2606971.890000002</v>
      </c>
      <c r="AD49">
        <f t="shared" si="9"/>
        <v>1334.8550384024588</v>
      </c>
      <c r="AE49">
        <f t="shared" si="10"/>
        <v>0.35149999999999998</v>
      </c>
      <c r="AF49">
        <f t="shared" si="11"/>
        <v>2561396818.2299995</v>
      </c>
      <c r="AG49" t="str">
        <f t="shared" si="12"/>
        <v>Active</v>
      </c>
      <c r="AH49">
        <f t="shared" si="13"/>
        <v>2029.1999999999998</v>
      </c>
    </row>
    <row r="50" spans="1:34" x14ac:dyDescent="0.35">
      <c r="A50" t="s">
        <v>186</v>
      </c>
      <c r="B50" t="s">
        <v>187</v>
      </c>
      <c r="C50">
        <v>57</v>
      </c>
      <c r="D50" t="s">
        <v>22</v>
      </c>
      <c r="E50" t="s">
        <v>23</v>
      </c>
      <c r="F50" t="s">
        <v>24</v>
      </c>
      <c r="G50">
        <v>39726</v>
      </c>
      <c r="H50">
        <v>523</v>
      </c>
      <c r="I50">
        <v>84212</v>
      </c>
      <c r="J50">
        <v>17.22</v>
      </c>
      <c r="K50">
        <v>60</v>
      </c>
      <c r="L50" t="s">
        <v>86</v>
      </c>
      <c r="M50">
        <v>42.97</v>
      </c>
      <c r="N50">
        <v>63356</v>
      </c>
      <c r="O50">
        <v>200977</v>
      </c>
      <c r="P50" t="s">
        <v>188</v>
      </c>
      <c r="Q50" t="s">
        <v>61</v>
      </c>
      <c r="R50" t="s">
        <v>28</v>
      </c>
      <c r="S50" t="s">
        <v>35</v>
      </c>
      <c r="T50">
        <v>1645.22</v>
      </c>
      <c r="U50">
        <f t="shared" si="0"/>
        <v>1952</v>
      </c>
      <c r="V50">
        <f t="shared" si="1"/>
        <v>685</v>
      </c>
      <c r="W50">
        <f t="shared" si="2"/>
        <v>637</v>
      </c>
      <c r="X50">
        <f t="shared" si="3"/>
        <v>0.35149999999999998</v>
      </c>
      <c r="Y50" s="1">
        <f t="shared" si="4"/>
        <v>100790620</v>
      </c>
      <c r="Z50">
        <f t="shared" si="5"/>
        <v>51634.538934426229</v>
      </c>
      <c r="AA50">
        <f t="shared" si="6"/>
        <v>99996</v>
      </c>
      <c r="AB50">
        <f t="shared" si="7"/>
        <v>5002</v>
      </c>
      <c r="AC50">
        <f t="shared" si="8"/>
        <v>2606802.7900000024</v>
      </c>
      <c r="AD50">
        <f t="shared" si="9"/>
        <v>1335.4522489754111</v>
      </c>
      <c r="AE50">
        <f t="shared" si="10"/>
        <v>0.35149999999999998</v>
      </c>
      <c r="AF50">
        <f t="shared" si="11"/>
        <v>2558789846.3399997</v>
      </c>
      <c r="AG50" t="str">
        <f t="shared" si="12"/>
        <v>Active</v>
      </c>
      <c r="AH50">
        <f t="shared" si="13"/>
        <v>19742.64</v>
      </c>
    </row>
    <row r="51" spans="1:34" x14ac:dyDescent="0.35">
      <c r="A51" t="s">
        <v>189</v>
      </c>
      <c r="B51" t="s">
        <v>190</v>
      </c>
      <c r="C51">
        <v>64</v>
      </c>
      <c r="D51" t="s">
        <v>22</v>
      </c>
      <c r="E51" t="s">
        <v>23</v>
      </c>
      <c r="F51" t="s">
        <v>59</v>
      </c>
      <c r="G51">
        <v>101921</v>
      </c>
      <c r="H51">
        <v>770</v>
      </c>
      <c r="I51">
        <v>66287</v>
      </c>
      <c r="J51">
        <v>9.15</v>
      </c>
      <c r="K51">
        <v>120</v>
      </c>
      <c r="L51" t="s">
        <v>40</v>
      </c>
      <c r="M51">
        <v>56.44</v>
      </c>
      <c r="N51">
        <v>60311</v>
      </c>
      <c r="O51">
        <v>109107</v>
      </c>
      <c r="P51" t="s">
        <v>191</v>
      </c>
      <c r="Q51" t="s">
        <v>61</v>
      </c>
      <c r="R51" t="s">
        <v>48</v>
      </c>
      <c r="S51" t="s">
        <v>68</v>
      </c>
      <c r="T51">
        <v>602.94000000000005</v>
      </c>
      <c r="U51">
        <f t="shared" si="0"/>
        <v>1951</v>
      </c>
      <c r="V51">
        <f t="shared" si="1"/>
        <v>685</v>
      </c>
      <c r="W51">
        <f t="shared" si="2"/>
        <v>636</v>
      </c>
      <c r="X51">
        <f t="shared" si="3"/>
        <v>0.35149999999999998</v>
      </c>
      <c r="Y51" s="1">
        <f t="shared" si="4"/>
        <v>100706408</v>
      </c>
      <c r="Z51">
        <f t="shared" si="5"/>
        <v>51617.84110712455</v>
      </c>
      <c r="AA51">
        <f t="shared" si="6"/>
        <v>99996</v>
      </c>
      <c r="AB51">
        <f t="shared" si="7"/>
        <v>5002</v>
      </c>
      <c r="AC51">
        <f t="shared" si="8"/>
        <v>2605157.5700000022</v>
      </c>
      <c r="AD51">
        <f t="shared" si="9"/>
        <v>1335.2934751409546</v>
      </c>
      <c r="AE51">
        <f t="shared" si="10"/>
        <v>0.35149999999999998</v>
      </c>
      <c r="AF51">
        <f t="shared" si="11"/>
        <v>2556183043.5499997</v>
      </c>
      <c r="AG51" t="str">
        <f t="shared" si="12"/>
        <v>Active</v>
      </c>
      <c r="AH51">
        <f t="shared" si="13"/>
        <v>7235.2800000000007</v>
      </c>
    </row>
    <row r="52" spans="1:34" x14ac:dyDescent="0.35">
      <c r="A52" t="s">
        <v>192</v>
      </c>
      <c r="B52" t="s">
        <v>193</v>
      </c>
      <c r="C52">
        <v>60</v>
      </c>
      <c r="D52" t="s">
        <v>22</v>
      </c>
      <c r="E52" t="s">
        <v>39</v>
      </c>
      <c r="F52" t="s">
        <v>46</v>
      </c>
      <c r="G52">
        <v>30885</v>
      </c>
      <c r="H52">
        <v>848</v>
      </c>
      <c r="I52">
        <v>40348</v>
      </c>
      <c r="J52">
        <v>9.83</v>
      </c>
      <c r="K52">
        <v>24</v>
      </c>
      <c r="L52" t="s">
        <v>25</v>
      </c>
      <c r="M52">
        <v>57.84</v>
      </c>
      <c r="N52">
        <v>26582</v>
      </c>
      <c r="O52">
        <v>26745</v>
      </c>
      <c r="P52" t="s">
        <v>194</v>
      </c>
      <c r="Q52" t="s">
        <v>27</v>
      </c>
      <c r="R52" t="s">
        <v>28</v>
      </c>
      <c r="S52" t="s">
        <v>29</v>
      </c>
      <c r="T52">
        <v>1846.43</v>
      </c>
      <c r="U52">
        <f t="shared" si="0"/>
        <v>1950</v>
      </c>
      <c r="V52">
        <f t="shared" si="1"/>
        <v>685</v>
      </c>
      <c r="W52">
        <f t="shared" si="2"/>
        <v>635</v>
      </c>
      <c r="X52">
        <f t="shared" si="3"/>
        <v>0.35149999999999998</v>
      </c>
      <c r="Y52" s="1">
        <f t="shared" si="4"/>
        <v>100640121</v>
      </c>
      <c r="Z52">
        <f t="shared" si="5"/>
        <v>51610.31846153846</v>
      </c>
      <c r="AA52">
        <f t="shared" si="6"/>
        <v>99996</v>
      </c>
      <c r="AB52">
        <f t="shared" si="7"/>
        <v>5002</v>
      </c>
      <c r="AC52">
        <f t="shared" si="8"/>
        <v>2604554.6300000027</v>
      </c>
      <c r="AD52">
        <f t="shared" si="9"/>
        <v>1335.6690410256424</v>
      </c>
      <c r="AE52">
        <f t="shared" si="10"/>
        <v>0.35149999999999998</v>
      </c>
      <c r="AF52">
        <f t="shared" si="11"/>
        <v>2553577885.98</v>
      </c>
      <c r="AG52" t="str">
        <f t="shared" si="12"/>
        <v>Active</v>
      </c>
      <c r="AH52">
        <f t="shared" si="13"/>
        <v>22157.16</v>
      </c>
    </row>
    <row r="53" spans="1:34" x14ac:dyDescent="0.35">
      <c r="A53" t="s">
        <v>195</v>
      </c>
      <c r="B53" t="s">
        <v>196</v>
      </c>
      <c r="C53">
        <v>53</v>
      </c>
      <c r="D53" t="s">
        <v>38</v>
      </c>
      <c r="E53" t="s">
        <v>23</v>
      </c>
      <c r="F53" t="s">
        <v>59</v>
      </c>
      <c r="G53">
        <v>166335</v>
      </c>
      <c r="H53">
        <v>805</v>
      </c>
      <c r="I53">
        <v>25772</v>
      </c>
      <c r="J53">
        <v>9.25</v>
      </c>
      <c r="K53">
        <v>240</v>
      </c>
      <c r="L53" t="s">
        <v>33</v>
      </c>
      <c r="M53">
        <v>30.3</v>
      </c>
      <c r="N53">
        <v>34592</v>
      </c>
      <c r="O53">
        <v>51730</v>
      </c>
      <c r="P53" t="s">
        <v>197</v>
      </c>
      <c r="Q53" t="s">
        <v>61</v>
      </c>
      <c r="R53" t="s">
        <v>48</v>
      </c>
      <c r="S53" t="s">
        <v>68</v>
      </c>
      <c r="T53">
        <v>117.32</v>
      </c>
      <c r="U53">
        <f t="shared" si="0"/>
        <v>1949</v>
      </c>
      <c r="V53">
        <f t="shared" si="1"/>
        <v>685</v>
      </c>
      <c r="W53">
        <f t="shared" si="2"/>
        <v>635</v>
      </c>
      <c r="X53">
        <f t="shared" si="3"/>
        <v>0.35149999999999998</v>
      </c>
      <c r="Y53" s="1">
        <f t="shared" si="4"/>
        <v>100599773</v>
      </c>
      <c r="Z53">
        <f t="shared" si="5"/>
        <v>51616.096972806568</v>
      </c>
      <c r="AA53">
        <f t="shared" si="6"/>
        <v>99996</v>
      </c>
      <c r="AB53">
        <f t="shared" si="7"/>
        <v>5002</v>
      </c>
      <c r="AC53">
        <f t="shared" si="8"/>
        <v>2602708.200000002</v>
      </c>
      <c r="AD53">
        <f t="shared" si="9"/>
        <v>1335.4069779374049</v>
      </c>
      <c r="AE53">
        <f t="shared" si="10"/>
        <v>0.35149999999999998</v>
      </c>
      <c r="AF53">
        <f t="shared" si="11"/>
        <v>2550973331.3499994</v>
      </c>
      <c r="AG53" t="str">
        <f t="shared" si="12"/>
        <v>Active</v>
      </c>
      <c r="AH53">
        <f t="shared" si="13"/>
        <v>1407.84</v>
      </c>
    </row>
    <row r="54" spans="1:34" x14ac:dyDescent="0.35">
      <c r="A54" t="s">
        <v>198</v>
      </c>
      <c r="B54" t="s">
        <v>199</v>
      </c>
      <c r="C54">
        <v>44</v>
      </c>
      <c r="D54" t="s">
        <v>22</v>
      </c>
      <c r="E54" t="s">
        <v>23</v>
      </c>
      <c r="F54" t="s">
        <v>59</v>
      </c>
      <c r="G54">
        <v>179743</v>
      </c>
      <c r="H54">
        <v>744</v>
      </c>
      <c r="I54">
        <v>85438</v>
      </c>
      <c r="J54">
        <v>9.0399999999999991</v>
      </c>
      <c r="K54">
        <v>24</v>
      </c>
      <c r="L54" t="s">
        <v>86</v>
      </c>
      <c r="M54">
        <v>29.25</v>
      </c>
      <c r="N54">
        <v>18322</v>
      </c>
      <c r="O54">
        <v>127316</v>
      </c>
      <c r="P54" t="s">
        <v>200</v>
      </c>
      <c r="Q54" t="s">
        <v>27</v>
      </c>
      <c r="R54" t="s">
        <v>48</v>
      </c>
      <c r="S54" t="s">
        <v>68</v>
      </c>
      <c r="T54">
        <v>3881.73</v>
      </c>
      <c r="U54">
        <f t="shared" si="0"/>
        <v>1948</v>
      </c>
      <c r="V54">
        <f t="shared" si="1"/>
        <v>685</v>
      </c>
      <c r="W54">
        <f t="shared" si="2"/>
        <v>634</v>
      </c>
      <c r="X54">
        <f t="shared" si="3"/>
        <v>0.35149999999999998</v>
      </c>
      <c r="Y54" s="1">
        <f t="shared" si="4"/>
        <v>100574001</v>
      </c>
      <c r="Z54">
        <f t="shared" si="5"/>
        <v>51629.363963039017</v>
      </c>
      <c r="AA54">
        <f t="shared" si="6"/>
        <v>99996</v>
      </c>
      <c r="AB54">
        <f t="shared" si="7"/>
        <v>5002</v>
      </c>
      <c r="AC54">
        <f t="shared" si="8"/>
        <v>2602590.8800000022</v>
      </c>
      <c r="AD54">
        <f t="shared" si="9"/>
        <v>1336.0322792607815</v>
      </c>
      <c r="AE54">
        <f t="shared" si="10"/>
        <v>0.35149999999999998</v>
      </c>
      <c r="AF54">
        <f t="shared" si="11"/>
        <v>2548370623.1499991</v>
      </c>
      <c r="AG54" t="str">
        <f t="shared" si="12"/>
        <v>Active</v>
      </c>
      <c r="AH54">
        <f t="shared" si="13"/>
        <v>46580.76</v>
      </c>
    </row>
    <row r="55" spans="1:34" x14ac:dyDescent="0.35">
      <c r="A55" t="s">
        <v>201</v>
      </c>
      <c r="B55" t="s">
        <v>202</v>
      </c>
      <c r="C55">
        <v>33</v>
      </c>
      <c r="D55" t="s">
        <v>22</v>
      </c>
      <c r="E55" t="s">
        <v>32</v>
      </c>
      <c r="F55" t="s">
        <v>24</v>
      </c>
      <c r="G55">
        <v>50601</v>
      </c>
      <c r="H55">
        <v>558</v>
      </c>
      <c r="I55">
        <v>13473</v>
      </c>
      <c r="J55">
        <v>5.37</v>
      </c>
      <c r="K55">
        <v>24</v>
      </c>
      <c r="L55" t="s">
        <v>52</v>
      </c>
      <c r="M55">
        <v>59.16</v>
      </c>
      <c r="N55">
        <v>59941</v>
      </c>
      <c r="O55">
        <v>116169</v>
      </c>
      <c r="P55" t="s">
        <v>203</v>
      </c>
      <c r="Q55" t="s">
        <v>42</v>
      </c>
      <c r="R55" t="s">
        <v>48</v>
      </c>
      <c r="S55" t="s">
        <v>29</v>
      </c>
      <c r="T55">
        <v>591.52</v>
      </c>
      <c r="U55">
        <f t="shared" si="0"/>
        <v>1947</v>
      </c>
      <c r="V55">
        <f t="shared" si="1"/>
        <v>685</v>
      </c>
      <c r="W55">
        <f t="shared" si="2"/>
        <v>634</v>
      </c>
      <c r="X55">
        <f t="shared" si="3"/>
        <v>0.35149999999999998</v>
      </c>
      <c r="Y55" s="1">
        <f t="shared" si="4"/>
        <v>100488563</v>
      </c>
      <c r="Z55">
        <f t="shared" si="5"/>
        <v>51611.999486389315</v>
      </c>
      <c r="AA55">
        <f t="shared" si="6"/>
        <v>99996</v>
      </c>
      <c r="AB55">
        <f t="shared" si="7"/>
        <v>5002</v>
      </c>
      <c r="AC55">
        <f t="shared" si="8"/>
        <v>2598709.1500000022</v>
      </c>
      <c r="AD55">
        <f t="shared" si="9"/>
        <v>1334.7247817154607</v>
      </c>
      <c r="AE55">
        <f t="shared" si="10"/>
        <v>0.35149999999999998</v>
      </c>
      <c r="AF55">
        <f t="shared" si="11"/>
        <v>2545768032.269999</v>
      </c>
      <c r="AG55" t="str">
        <f t="shared" si="12"/>
        <v>Active</v>
      </c>
      <c r="AH55">
        <f t="shared" si="13"/>
        <v>7098.24</v>
      </c>
    </row>
    <row r="56" spans="1:34" x14ac:dyDescent="0.35">
      <c r="A56" t="s">
        <v>204</v>
      </c>
      <c r="B56" t="s">
        <v>205</v>
      </c>
      <c r="C56">
        <v>46</v>
      </c>
      <c r="D56" t="s">
        <v>22</v>
      </c>
      <c r="E56" t="s">
        <v>39</v>
      </c>
      <c r="F56" t="s">
        <v>46</v>
      </c>
      <c r="G56">
        <v>32454</v>
      </c>
      <c r="H56">
        <v>568</v>
      </c>
      <c r="I56">
        <v>55416</v>
      </c>
      <c r="J56">
        <v>23.22</v>
      </c>
      <c r="K56">
        <v>24</v>
      </c>
      <c r="L56" t="s">
        <v>25</v>
      </c>
      <c r="M56">
        <v>32.229999999999997</v>
      </c>
      <c r="N56">
        <v>60386</v>
      </c>
      <c r="O56">
        <v>13312</v>
      </c>
      <c r="P56" t="s">
        <v>206</v>
      </c>
      <c r="Q56" t="s">
        <v>61</v>
      </c>
      <c r="R56" t="s">
        <v>28</v>
      </c>
      <c r="S56" t="s">
        <v>49</v>
      </c>
      <c r="T56">
        <v>2845.15</v>
      </c>
      <c r="U56">
        <f t="shared" si="0"/>
        <v>1946</v>
      </c>
      <c r="V56">
        <f t="shared" si="1"/>
        <v>684</v>
      </c>
      <c r="W56">
        <f t="shared" si="2"/>
        <v>634</v>
      </c>
      <c r="X56">
        <f t="shared" si="3"/>
        <v>0.35149999999999998</v>
      </c>
      <c r="Y56" s="1">
        <f t="shared" si="4"/>
        <v>100475090</v>
      </c>
      <c r="Z56">
        <f t="shared" si="5"/>
        <v>51631.598150051388</v>
      </c>
      <c r="AA56">
        <f t="shared" si="6"/>
        <v>99996</v>
      </c>
      <c r="AB56">
        <f t="shared" si="7"/>
        <v>5002</v>
      </c>
      <c r="AC56">
        <f t="shared" si="8"/>
        <v>2598117.6300000022</v>
      </c>
      <c r="AD56">
        <f t="shared" si="9"/>
        <v>1335.1066957862292</v>
      </c>
      <c r="AE56">
        <f t="shared" si="10"/>
        <v>0.35149999999999998</v>
      </c>
      <c r="AF56">
        <f t="shared" si="11"/>
        <v>2543169323.1199994</v>
      </c>
      <c r="AG56" t="str">
        <f t="shared" si="12"/>
        <v>Active</v>
      </c>
      <c r="AH56">
        <f t="shared" si="13"/>
        <v>34141.800000000003</v>
      </c>
    </row>
    <row r="57" spans="1:34" x14ac:dyDescent="0.35">
      <c r="A57" t="s">
        <v>207</v>
      </c>
      <c r="B57" t="s">
        <v>208</v>
      </c>
      <c r="C57">
        <v>52</v>
      </c>
      <c r="D57" t="s">
        <v>22</v>
      </c>
      <c r="E57" t="s">
        <v>39</v>
      </c>
      <c r="F57" t="s">
        <v>24</v>
      </c>
      <c r="G57">
        <v>176941</v>
      </c>
      <c r="H57">
        <v>315</v>
      </c>
      <c r="I57">
        <v>81676</v>
      </c>
      <c r="J57">
        <v>8.9700000000000006</v>
      </c>
      <c r="K57">
        <v>120</v>
      </c>
      <c r="L57" t="s">
        <v>86</v>
      </c>
      <c r="M57">
        <v>38.130000000000003</v>
      </c>
      <c r="N57">
        <v>45706</v>
      </c>
      <c r="O57">
        <v>231091</v>
      </c>
      <c r="P57" t="s">
        <v>209</v>
      </c>
      <c r="Q57" t="s">
        <v>42</v>
      </c>
      <c r="R57" t="s">
        <v>28</v>
      </c>
      <c r="S57" t="s">
        <v>49</v>
      </c>
      <c r="T57">
        <v>741.69</v>
      </c>
      <c r="U57">
        <f t="shared" si="0"/>
        <v>1945</v>
      </c>
      <c r="V57">
        <f t="shared" si="1"/>
        <v>684</v>
      </c>
      <c r="W57">
        <f t="shared" si="2"/>
        <v>633</v>
      </c>
      <c r="X57">
        <f t="shared" si="3"/>
        <v>0.35149999999999998</v>
      </c>
      <c r="Y57" s="1">
        <f t="shared" si="4"/>
        <v>100419674</v>
      </c>
      <c r="Z57">
        <f t="shared" si="5"/>
        <v>51629.652442159386</v>
      </c>
      <c r="AA57">
        <f t="shared" si="6"/>
        <v>99996</v>
      </c>
      <c r="AB57">
        <f t="shared" si="7"/>
        <v>5002</v>
      </c>
      <c r="AC57">
        <f t="shared" si="8"/>
        <v>2595272.4800000014</v>
      </c>
      <c r="AD57">
        <f t="shared" si="9"/>
        <v>1334.3303239074557</v>
      </c>
      <c r="AE57">
        <f t="shared" si="10"/>
        <v>0.35149999999999998</v>
      </c>
      <c r="AF57">
        <f t="shared" si="11"/>
        <v>2540571205.4899998</v>
      </c>
      <c r="AG57" t="str">
        <f t="shared" si="12"/>
        <v>Active</v>
      </c>
      <c r="AH57">
        <f t="shared" si="13"/>
        <v>8900.2800000000007</v>
      </c>
    </row>
    <row r="58" spans="1:34" x14ac:dyDescent="0.35">
      <c r="A58" t="s">
        <v>210</v>
      </c>
      <c r="B58" t="s">
        <v>211</v>
      </c>
      <c r="C58">
        <v>44</v>
      </c>
      <c r="D58" t="s">
        <v>22</v>
      </c>
      <c r="E58" t="s">
        <v>32</v>
      </c>
      <c r="F58" t="s">
        <v>59</v>
      </c>
      <c r="G58">
        <v>159903</v>
      </c>
      <c r="H58">
        <v>454</v>
      </c>
      <c r="I58">
        <v>29012</v>
      </c>
      <c r="J58">
        <v>14.43</v>
      </c>
      <c r="K58">
        <v>48</v>
      </c>
      <c r="L58" t="s">
        <v>25</v>
      </c>
      <c r="M58">
        <v>22.27</v>
      </c>
      <c r="N58">
        <v>1972</v>
      </c>
      <c r="O58">
        <v>119918</v>
      </c>
      <c r="P58" t="s">
        <v>212</v>
      </c>
      <c r="Q58" t="s">
        <v>27</v>
      </c>
      <c r="R58" t="s">
        <v>48</v>
      </c>
      <c r="S58" t="s">
        <v>49</v>
      </c>
      <c r="T58">
        <v>691.63</v>
      </c>
      <c r="U58">
        <f t="shared" si="0"/>
        <v>1944</v>
      </c>
      <c r="V58">
        <f t="shared" si="1"/>
        <v>683</v>
      </c>
      <c r="W58">
        <f t="shared" si="2"/>
        <v>633</v>
      </c>
      <c r="X58">
        <f t="shared" si="3"/>
        <v>0.35149999999999998</v>
      </c>
      <c r="Y58" s="1">
        <f t="shared" si="4"/>
        <v>100337998</v>
      </c>
      <c r="Z58">
        <f t="shared" si="5"/>
        <v>51614.19650205761</v>
      </c>
      <c r="AA58">
        <f t="shared" si="6"/>
        <v>99996</v>
      </c>
      <c r="AB58">
        <f t="shared" si="7"/>
        <v>5002</v>
      </c>
      <c r="AC58">
        <f t="shared" si="8"/>
        <v>2594530.7900000014</v>
      </c>
      <c r="AD58">
        <f t="shared" si="9"/>
        <v>1334.635180041153</v>
      </c>
      <c r="AE58">
        <f t="shared" si="10"/>
        <v>0.35149999999999998</v>
      </c>
      <c r="AF58">
        <f t="shared" si="11"/>
        <v>2537975933.0099998</v>
      </c>
      <c r="AG58" t="str">
        <f t="shared" si="12"/>
        <v>Active</v>
      </c>
      <c r="AH58">
        <f t="shared" si="13"/>
        <v>8299.56</v>
      </c>
    </row>
    <row r="59" spans="1:34" x14ac:dyDescent="0.35">
      <c r="A59" t="s">
        <v>213</v>
      </c>
      <c r="B59" t="s">
        <v>214</v>
      </c>
      <c r="C59">
        <v>32</v>
      </c>
      <c r="D59" t="s">
        <v>22</v>
      </c>
      <c r="E59" t="s">
        <v>23</v>
      </c>
      <c r="F59" t="s">
        <v>59</v>
      </c>
      <c r="G59">
        <v>191748</v>
      </c>
      <c r="H59">
        <v>821</v>
      </c>
      <c r="I59">
        <v>7322</v>
      </c>
      <c r="J59">
        <v>4.99</v>
      </c>
      <c r="K59">
        <v>360</v>
      </c>
      <c r="L59" t="s">
        <v>86</v>
      </c>
      <c r="M59">
        <v>41.3</v>
      </c>
      <c r="N59">
        <v>20846</v>
      </c>
      <c r="O59">
        <v>99749</v>
      </c>
      <c r="P59" t="s">
        <v>215</v>
      </c>
      <c r="Q59" t="s">
        <v>27</v>
      </c>
      <c r="R59" t="s">
        <v>28</v>
      </c>
      <c r="S59" t="s">
        <v>43</v>
      </c>
      <c r="T59">
        <v>21.35</v>
      </c>
      <c r="U59">
        <f t="shared" si="0"/>
        <v>1943</v>
      </c>
      <c r="V59">
        <f t="shared" si="1"/>
        <v>683</v>
      </c>
      <c r="W59">
        <f t="shared" si="2"/>
        <v>633</v>
      </c>
      <c r="X59">
        <f t="shared" si="3"/>
        <v>0.35149999999999998</v>
      </c>
      <c r="Y59" s="1">
        <f t="shared" si="4"/>
        <v>100308986</v>
      </c>
      <c r="Z59">
        <f t="shared" si="5"/>
        <v>51625.829130211016</v>
      </c>
      <c r="AA59">
        <f t="shared" si="6"/>
        <v>99996</v>
      </c>
      <c r="AB59">
        <f t="shared" si="7"/>
        <v>5002</v>
      </c>
      <c r="AC59">
        <f t="shared" si="8"/>
        <v>2593839.1600000015</v>
      </c>
      <c r="AD59">
        <f t="shared" si="9"/>
        <v>1334.9661142563054</v>
      </c>
      <c r="AE59">
        <f t="shared" si="10"/>
        <v>0.35149999999999998</v>
      </c>
      <c r="AF59">
        <f t="shared" si="11"/>
        <v>2535381402.2199998</v>
      </c>
      <c r="AG59" t="str">
        <f t="shared" si="12"/>
        <v>Active</v>
      </c>
      <c r="AH59">
        <f t="shared" si="13"/>
        <v>256.20000000000005</v>
      </c>
    </row>
    <row r="60" spans="1:34" x14ac:dyDescent="0.35">
      <c r="A60" t="s">
        <v>216</v>
      </c>
      <c r="B60" t="s">
        <v>217</v>
      </c>
      <c r="C60">
        <v>44</v>
      </c>
      <c r="D60" t="s">
        <v>38</v>
      </c>
      <c r="E60" t="s">
        <v>23</v>
      </c>
      <c r="F60" t="s">
        <v>59</v>
      </c>
      <c r="G60">
        <v>28962</v>
      </c>
      <c r="H60">
        <v>750</v>
      </c>
      <c r="I60">
        <v>37813</v>
      </c>
      <c r="J60">
        <v>18.010000000000002</v>
      </c>
      <c r="K60">
        <v>36</v>
      </c>
      <c r="L60" t="s">
        <v>86</v>
      </c>
      <c r="M60">
        <v>8.83</v>
      </c>
      <c r="N60">
        <v>72411</v>
      </c>
      <c r="O60">
        <v>189146</v>
      </c>
      <c r="P60" t="s">
        <v>218</v>
      </c>
      <c r="Q60" t="s">
        <v>61</v>
      </c>
      <c r="R60" t="s">
        <v>28</v>
      </c>
      <c r="S60" t="s">
        <v>29</v>
      </c>
      <c r="T60">
        <v>1239.53</v>
      </c>
      <c r="U60">
        <f t="shared" si="0"/>
        <v>1942</v>
      </c>
      <c r="V60">
        <f t="shared" si="1"/>
        <v>683</v>
      </c>
      <c r="W60">
        <f t="shared" si="2"/>
        <v>633</v>
      </c>
      <c r="X60">
        <f t="shared" si="3"/>
        <v>0.35149999999999998</v>
      </c>
      <c r="Y60" s="1">
        <f t="shared" si="4"/>
        <v>100301664</v>
      </c>
      <c r="Z60">
        <f t="shared" si="5"/>
        <v>51648.642636457262</v>
      </c>
      <c r="AA60">
        <f t="shared" si="6"/>
        <v>99996</v>
      </c>
      <c r="AB60">
        <f t="shared" si="7"/>
        <v>5002</v>
      </c>
      <c r="AC60">
        <f t="shared" si="8"/>
        <v>2593817.8100000015</v>
      </c>
      <c r="AD60">
        <f t="shared" si="9"/>
        <v>1335.6425386199801</v>
      </c>
      <c r="AE60">
        <f t="shared" si="10"/>
        <v>0.35149999999999998</v>
      </c>
      <c r="AF60">
        <f t="shared" si="11"/>
        <v>2532787563.0599999</v>
      </c>
      <c r="AG60" t="str">
        <f t="shared" si="12"/>
        <v>Active</v>
      </c>
      <c r="AH60">
        <f t="shared" si="13"/>
        <v>14874.36</v>
      </c>
    </row>
    <row r="61" spans="1:34" x14ac:dyDescent="0.35">
      <c r="A61" t="s">
        <v>219</v>
      </c>
      <c r="B61" t="s">
        <v>220</v>
      </c>
      <c r="C61">
        <v>42</v>
      </c>
      <c r="D61" t="s">
        <v>22</v>
      </c>
      <c r="E61" t="s">
        <v>23</v>
      </c>
      <c r="F61" t="s">
        <v>59</v>
      </c>
      <c r="G61">
        <v>32498</v>
      </c>
      <c r="H61">
        <v>661</v>
      </c>
      <c r="I61">
        <v>30179</v>
      </c>
      <c r="J61">
        <v>13.26</v>
      </c>
      <c r="K61">
        <v>180</v>
      </c>
      <c r="L61" t="s">
        <v>25</v>
      </c>
      <c r="M61">
        <v>25.79</v>
      </c>
      <c r="N61">
        <v>17051</v>
      </c>
      <c r="O61">
        <v>235273</v>
      </c>
      <c r="P61" t="s">
        <v>221</v>
      </c>
      <c r="Q61" t="s">
        <v>27</v>
      </c>
      <c r="R61" t="s">
        <v>48</v>
      </c>
      <c r="S61" t="s">
        <v>43</v>
      </c>
      <c r="T61">
        <v>189.89</v>
      </c>
      <c r="U61">
        <f t="shared" si="0"/>
        <v>1941</v>
      </c>
      <c r="V61">
        <f t="shared" si="1"/>
        <v>683</v>
      </c>
      <c r="W61">
        <f t="shared" si="2"/>
        <v>632</v>
      </c>
      <c r="X61">
        <f t="shared" si="3"/>
        <v>0.35149999999999998</v>
      </c>
      <c r="Y61" s="1">
        <f t="shared" si="4"/>
        <v>100263851</v>
      </c>
      <c r="Z61">
        <f t="shared" si="5"/>
        <v>51655.770736733641</v>
      </c>
      <c r="AA61">
        <f t="shared" si="6"/>
        <v>99996</v>
      </c>
      <c r="AB61">
        <f t="shared" si="7"/>
        <v>5002</v>
      </c>
      <c r="AC61">
        <f t="shared" si="8"/>
        <v>2592578.2800000012</v>
      </c>
      <c r="AD61">
        <f t="shared" si="9"/>
        <v>1335.6920556414225</v>
      </c>
      <c r="AE61">
        <f t="shared" si="10"/>
        <v>0.35149999999999998</v>
      </c>
      <c r="AF61">
        <f t="shared" si="11"/>
        <v>2530193745.25</v>
      </c>
      <c r="AG61" t="str">
        <f t="shared" si="12"/>
        <v>Active</v>
      </c>
      <c r="AH61">
        <f t="shared" si="13"/>
        <v>2278.6799999999998</v>
      </c>
    </row>
    <row r="62" spans="1:34" x14ac:dyDescent="0.35">
      <c r="A62" t="s">
        <v>222</v>
      </c>
      <c r="B62" t="s">
        <v>223</v>
      </c>
      <c r="C62">
        <v>52</v>
      </c>
      <c r="D62" t="s">
        <v>22</v>
      </c>
      <c r="E62" t="s">
        <v>39</v>
      </c>
      <c r="F62" t="s">
        <v>24</v>
      </c>
      <c r="G62">
        <v>101785</v>
      </c>
      <c r="H62">
        <v>712</v>
      </c>
      <c r="I62">
        <v>23245</v>
      </c>
      <c r="J62">
        <v>23.7</v>
      </c>
      <c r="K62">
        <v>120</v>
      </c>
      <c r="L62" t="s">
        <v>86</v>
      </c>
      <c r="M62">
        <v>38.42</v>
      </c>
      <c r="N62">
        <v>2150</v>
      </c>
      <c r="O62">
        <v>149365</v>
      </c>
      <c r="P62" t="s">
        <v>224</v>
      </c>
      <c r="Q62" t="s">
        <v>42</v>
      </c>
      <c r="R62" t="s">
        <v>48</v>
      </c>
      <c r="S62" t="s">
        <v>68</v>
      </c>
      <c r="T62">
        <v>239.62</v>
      </c>
      <c r="U62">
        <f t="shared" si="0"/>
        <v>1940</v>
      </c>
      <c r="V62">
        <f t="shared" si="1"/>
        <v>683</v>
      </c>
      <c r="W62">
        <f t="shared" si="2"/>
        <v>632</v>
      </c>
      <c r="X62">
        <f t="shared" si="3"/>
        <v>0.35149999999999998</v>
      </c>
      <c r="Y62" s="1">
        <f t="shared" si="4"/>
        <v>100233672</v>
      </c>
      <c r="Z62">
        <f t="shared" si="5"/>
        <v>51666.841237113404</v>
      </c>
      <c r="AA62">
        <f t="shared" si="6"/>
        <v>99996</v>
      </c>
      <c r="AB62">
        <f t="shared" si="7"/>
        <v>5002</v>
      </c>
      <c r="AC62">
        <f t="shared" si="8"/>
        <v>2592388.3900000011</v>
      </c>
      <c r="AD62">
        <f t="shared" si="9"/>
        <v>1336.2826752577325</v>
      </c>
      <c r="AE62">
        <f t="shared" si="10"/>
        <v>0.35149999999999998</v>
      </c>
      <c r="AF62">
        <f t="shared" si="11"/>
        <v>2527601166.9700003</v>
      </c>
      <c r="AG62" t="str">
        <f t="shared" si="12"/>
        <v>Active</v>
      </c>
      <c r="AH62">
        <f t="shared" si="13"/>
        <v>2875.44</v>
      </c>
    </row>
    <row r="63" spans="1:34" x14ac:dyDescent="0.35">
      <c r="A63" t="s">
        <v>225</v>
      </c>
      <c r="B63" t="s">
        <v>226</v>
      </c>
      <c r="C63">
        <v>45</v>
      </c>
      <c r="D63" t="s">
        <v>22</v>
      </c>
      <c r="E63" t="s">
        <v>32</v>
      </c>
      <c r="F63" t="s">
        <v>59</v>
      </c>
      <c r="G63">
        <v>141094</v>
      </c>
      <c r="H63">
        <v>348</v>
      </c>
      <c r="I63">
        <v>94593</v>
      </c>
      <c r="J63">
        <v>15.46</v>
      </c>
      <c r="K63">
        <v>180</v>
      </c>
      <c r="L63" t="s">
        <v>33</v>
      </c>
      <c r="M63">
        <v>51</v>
      </c>
      <c r="N63">
        <v>57096</v>
      </c>
      <c r="O63">
        <v>243080</v>
      </c>
      <c r="P63" t="s">
        <v>227</v>
      </c>
      <c r="Q63" t="s">
        <v>61</v>
      </c>
      <c r="R63" t="s">
        <v>28</v>
      </c>
      <c r="S63" t="s">
        <v>49</v>
      </c>
      <c r="T63">
        <v>606.76</v>
      </c>
      <c r="U63">
        <f t="shared" si="0"/>
        <v>1939</v>
      </c>
      <c r="V63">
        <f t="shared" si="1"/>
        <v>682</v>
      </c>
      <c r="W63">
        <f t="shared" si="2"/>
        <v>632</v>
      </c>
      <c r="X63">
        <f t="shared" si="3"/>
        <v>0.35149999999999998</v>
      </c>
      <c r="Y63" s="1">
        <f t="shared" si="4"/>
        <v>100210427</v>
      </c>
      <c r="Z63">
        <f t="shared" si="5"/>
        <v>51681.499226405365</v>
      </c>
      <c r="AA63">
        <f t="shared" si="6"/>
        <v>99996</v>
      </c>
      <c r="AB63">
        <f t="shared" si="7"/>
        <v>5002</v>
      </c>
      <c r="AC63">
        <f t="shared" si="8"/>
        <v>2592148.7700000014</v>
      </c>
      <c r="AD63">
        <f t="shared" si="9"/>
        <v>1336.84825683342</v>
      </c>
      <c r="AE63">
        <f t="shared" si="10"/>
        <v>0.35149999999999998</v>
      </c>
      <c r="AF63">
        <f t="shared" si="11"/>
        <v>2525008778.5800004</v>
      </c>
      <c r="AG63" t="str">
        <f t="shared" si="12"/>
        <v>Active</v>
      </c>
      <c r="AH63">
        <f t="shared" si="13"/>
        <v>7281.12</v>
      </c>
    </row>
    <row r="64" spans="1:34" x14ac:dyDescent="0.35">
      <c r="A64" t="s">
        <v>228</v>
      </c>
      <c r="B64" t="s">
        <v>229</v>
      </c>
      <c r="C64">
        <v>49</v>
      </c>
      <c r="D64" t="s">
        <v>22</v>
      </c>
      <c r="E64" t="s">
        <v>32</v>
      </c>
      <c r="F64" t="s">
        <v>46</v>
      </c>
      <c r="G64">
        <v>161876</v>
      </c>
      <c r="H64">
        <v>627</v>
      </c>
      <c r="I64">
        <v>53107</v>
      </c>
      <c r="J64">
        <v>11.67</v>
      </c>
      <c r="K64">
        <v>48</v>
      </c>
      <c r="L64" t="s">
        <v>33</v>
      </c>
      <c r="M64">
        <v>54.22</v>
      </c>
      <c r="N64">
        <v>13715</v>
      </c>
      <c r="O64">
        <v>75576</v>
      </c>
      <c r="P64" t="s">
        <v>230</v>
      </c>
      <c r="Q64" t="s">
        <v>42</v>
      </c>
      <c r="R64" t="s">
        <v>28</v>
      </c>
      <c r="S64" t="s">
        <v>35</v>
      </c>
      <c r="T64">
        <v>1235.51</v>
      </c>
      <c r="U64">
        <f t="shared" si="0"/>
        <v>1938</v>
      </c>
      <c r="V64">
        <f t="shared" si="1"/>
        <v>682</v>
      </c>
      <c r="W64">
        <f t="shared" si="2"/>
        <v>631</v>
      </c>
      <c r="X64">
        <f t="shared" si="3"/>
        <v>0.35149999999999998</v>
      </c>
      <c r="Y64" s="1">
        <f t="shared" si="4"/>
        <v>100115834</v>
      </c>
      <c r="Z64">
        <f t="shared" si="5"/>
        <v>51659.357069143443</v>
      </c>
      <c r="AA64">
        <f t="shared" si="6"/>
        <v>99996</v>
      </c>
      <c r="AB64">
        <f t="shared" si="7"/>
        <v>5002</v>
      </c>
      <c r="AC64">
        <f t="shared" si="8"/>
        <v>2591542.0100000012</v>
      </c>
      <c r="AD64">
        <f t="shared" si="9"/>
        <v>1337.2249793601657</v>
      </c>
      <c r="AE64">
        <f t="shared" si="10"/>
        <v>0.35149999999999998</v>
      </c>
      <c r="AF64">
        <f t="shared" si="11"/>
        <v>2522416629.8100004</v>
      </c>
      <c r="AG64" t="str">
        <f t="shared" si="12"/>
        <v>Active</v>
      </c>
      <c r="AH64">
        <f t="shared" si="13"/>
        <v>14826.119999999999</v>
      </c>
    </row>
    <row r="65" spans="1:34" x14ac:dyDescent="0.35">
      <c r="A65" t="s">
        <v>231</v>
      </c>
      <c r="B65" t="s">
        <v>232</v>
      </c>
      <c r="C65">
        <v>46</v>
      </c>
      <c r="D65" t="s">
        <v>22</v>
      </c>
      <c r="E65" t="s">
        <v>23</v>
      </c>
      <c r="F65" t="s">
        <v>46</v>
      </c>
      <c r="G65">
        <v>42599</v>
      </c>
      <c r="H65">
        <v>595</v>
      </c>
      <c r="I65">
        <v>38221</v>
      </c>
      <c r="J65">
        <v>11.91</v>
      </c>
      <c r="K65">
        <v>120</v>
      </c>
      <c r="L65" t="s">
        <v>52</v>
      </c>
      <c r="M65">
        <v>35.24</v>
      </c>
      <c r="N65">
        <v>54991</v>
      </c>
      <c r="O65">
        <v>191824</v>
      </c>
      <c r="P65" t="s">
        <v>233</v>
      </c>
      <c r="Q65" t="s">
        <v>42</v>
      </c>
      <c r="R65" t="s">
        <v>48</v>
      </c>
      <c r="S65" t="s">
        <v>29</v>
      </c>
      <c r="T65">
        <v>356.44</v>
      </c>
      <c r="U65">
        <f t="shared" si="0"/>
        <v>1937</v>
      </c>
      <c r="V65">
        <f t="shared" si="1"/>
        <v>681</v>
      </c>
      <c r="W65">
        <f t="shared" si="2"/>
        <v>631</v>
      </c>
      <c r="X65">
        <f t="shared" si="3"/>
        <v>0.35149999999999998</v>
      </c>
      <c r="Y65" s="1">
        <f t="shared" si="4"/>
        <v>100062727</v>
      </c>
      <c r="Z65">
        <f t="shared" si="5"/>
        <v>51658.609705730509</v>
      </c>
      <c r="AA65">
        <f t="shared" si="6"/>
        <v>99996</v>
      </c>
      <c r="AB65">
        <f t="shared" si="7"/>
        <v>5002</v>
      </c>
      <c r="AC65">
        <f t="shared" si="8"/>
        <v>2590306.5000000009</v>
      </c>
      <c r="AD65">
        <f t="shared" si="9"/>
        <v>1337.2774909654108</v>
      </c>
      <c r="AE65">
        <f t="shared" si="10"/>
        <v>0.35149999999999998</v>
      </c>
      <c r="AF65">
        <f t="shared" si="11"/>
        <v>2519825087.8000002</v>
      </c>
      <c r="AG65" t="str">
        <f t="shared" si="12"/>
        <v>Active</v>
      </c>
      <c r="AH65">
        <f t="shared" si="13"/>
        <v>4277.28</v>
      </c>
    </row>
    <row r="66" spans="1:34" x14ac:dyDescent="0.35">
      <c r="A66" t="s">
        <v>234</v>
      </c>
      <c r="B66" t="s">
        <v>235</v>
      </c>
      <c r="C66">
        <v>23</v>
      </c>
      <c r="D66" t="s">
        <v>38</v>
      </c>
      <c r="E66" t="s">
        <v>32</v>
      </c>
      <c r="F66" t="s">
        <v>24</v>
      </c>
      <c r="G66">
        <v>174621</v>
      </c>
      <c r="H66">
        <v>355</v>
      </c>
      <c r="I66">
        <v>32642</v>
      </c>
      <c r="J66">
        <v>6.77</v>
      </c>
      <c r="K66">
        <v>36</v>
      </c>
      <c r="L66" t="s">
        <v>86</v>
      </c>
      <c r="M66">
        <v>48.07</v>
      </c>
      <c r="N66">
        <v>41216</v>
      </c>
      <c r="O66">
        <v>83527</v>
      </c>
      <c r="P66" t="s">
        <v>236</v>
      </c>
      <c r="Q66" t="s">
        <v>42</v>
      </c>
      <c r="R66" t="s">
        <v>28</v>
      </c>
      <c r="S66" t="s">
        <v>43</v>
      </c>
      <c r="T66">
        <v>968.11</v>
      </c>
      <c r="U66">
        <f t="shared" ref="U66:U129" si="14">COUNTA(A66:A2065)</f>
        <v>1936</v>
      </c>
      <c r="V66">
        <f t="shared" ref="V66:V129" si="15">COUNTIF(Q66:Q2065,"APPROVED")</f>
        <v>680</v>
      </c>
      <c r="W66">
        <f t="shared" ref="W66:W129" si="16">COUNTIF(Q66:Q2066,"Rejected")</f>
        <v>631</v>
      </c>
      <c r="X66">
        <f t="shared" ref="X66:X129" si="17">703/2000</f>
        <v>0.35149999999999998</v>
      </c>
      <c r="Y66" s="1">
        <f t="shared" ref="Y66:Y129" si="18">SUM(I66:I2065)</f>
        <v>100024506</v>
      </c>
      <c r="Z66">
        <f t="shared" ref="Z66:Z129" si="19">AVERAGE(I66:I20065)</f>
        <v>51665.550619834714</v>
      </c>
      <c r="AA66">
        <f t="shared" ref="AA66:AA129" si="20">MAX(I66:I2065)</f>
        <v>99996</v>
      </c>
      <c r="AB66">
        <f t="shared" ref="AB66:AB129" si="21">MIN(I66:I2065)</f>
        <v>5002</v>
      </c>
      <c r="AC66">
        <f t="shared" ref="AC66:AC129" si="22">SUM(T66:T2065)</f>
        <v>2589950.060000001</v>
      </c>
      <c r="AD66">
        <f t="shared" ref="AD66:AD129" si="23">AVERAGE(T66:T2065)</f>
        <v>1337.7841219008269</v>
      </c>
      <c r="AE66">
        <f t="shared" ref="AE66:AE129" si="24">703/2000</f>
        <v>0.35149999999999998</v>
      </c>
      <c r="AF66">
        <f t="shared" ref="AF66:AF129" si="25">SUM(AC66:AC2065)</f>
        <v>2517234781.2999997</v>
      </c>
      <c r="AG66" t="str">
        <f t="shared" ref="AG66:AG129" si="26">IF(AH66=0,"Bad", IF(AH65&lt;I65, "Active", IF(AH65=I65, "Good", "Over Paid")))</f>
        <v>Active</v>
      </c>
      <c r="AH66">
        <f t="shared" ref="AH66:AH129" si="27">T66*12</f>
        <v>11617.32</v>
      </c>
    </row>
    <row r="67" spans="1:34" x14ac:dyDescent="0.35">
      <c r="A67" t="s">
        <v>237</v>
      </c>
      <c r="B67" t="s">
        <v>238</v>
      </c>
      <c r="C67">
        <v>59</v>
      </c>
      <c r="D67" t="s">
        <v>22</v>
      </c>
      <c r="E67" t="s">
        <v>23</v>
      </c>
      <c r="F67" t="s">
        <v>59</v>
      </c>
      <c r="G67">
        <v>98191</v>
      </c>
      <c r="H67">
        <v>687</v>
      </c>
      <c r="I67">
        <v>78695</v>
      </c>
      <c r="J67">
        <v>22.29</v>
      </c>
      <c r="K67">
        <v>60</v>
      </c>
      <c r="L67" t="s">
        <v>86</v>
      </c>
      <c r="M67">
        <v>54.28</v>
      </c>
      <c r="N67">
        <v>74258</v>
      </c>
      <c r="O67">
        <v>249729</v>
      </c>
      <c r="P67" t="s">
        <v>239</v>
      </c>
      <c r="Q67" t="s">
        <v>27</v>
      </c>
      <c r="R67" t="s">
        <v>48</v>
      </c>
      <c r="S67" t="s">
        <v>35</v>
      </c>
      <c r="T67">
        <v>1603.94</v>
      </c>
      <c r="U67">
        <f t="shared" si="14"/>
        <v>1935</v>
      </c>
      <c r="V67">
        <f t="shared" si="15"/>
        <v>679</v>
      </c>
      <c r="W67">
        <f t="shared" si="16"/>
        <v>631</v>
      </c>
      <c r="X67">
        <f t="shared" si="17"/>
        <v>0.35149999999999998</v>
      </c>
      <c r="Y67" s="1">
        <f t="shared" si="18"/>
        <v>99991864</v>
      </c>
      <c r="Z67">
        <f t="shared" si="19"/>
        <v>51675.381912144701</v>
      </c>
      <c r="AA67">
        <f t="shared" si="20"/>
        <v>99996</v>
      </c>
      <c r="AB67">
        <f t="shared" si="21"/>
        <v>5002</v>
      </c>
      <c r="AC67">
        <f t="shared" si="22"/>
        <v>2588981.9500000007</v>
      </c>
      <c r="AD67">
        <f t="shared" si="23"/>
        <v>1337.9751679586566</v>
      </c>
      <c r="AE67">
        <f t="shared" si="24"/>
        <v>0.35149999999999998</v>
      </c>
      <c r="AF67">
        <f t="shared" si="25"/>
        <v>2514644831.2399998</v>
      </c>
      <c r="AG67" t="str">
        <f t="shared" si="26"/>
        <v>Active</v>
      </c>
      <c r="AH67">
        <f t="shared" si="27"/>
        <v>19247.28</v>
      </c>
    </row>
    <row r="68" spans="1:34" x14ac:dyDescent="0.35">
      <c r="A68" t="s">
        <v>240</v>
      </c>
      <c r="B68" t="s">
        <v>241</v>
      </c>
      <c r="C68">
        <v>24</v>
      </c>
      <c r="D68" t="s">
        <v>38</v>
      </c>
      <c r="E68" t="s">
        <v>23</v>
      </c>
      <c r="F68" t="s">
        <v>46</v>
      </c>
      <c r="G68">
        <v>83740</v>
      </c>
      <c r="H68">
        <v>640</v>
      </c>
      <c r="I68">
        <v>97063</v>
      </c>
      <c r="J68">
        <v>6.4</v>
      </c>
      <c r="K68">
        <v>48</v>
      </c>
      <c r="L68" t="s">
        <v>52</v>
      </c>
      <c r="M68">
        <v>11.03</v>
      </c>
      <c r="N68">
        <v>70156</v>
      </c>
      <c r="O68">
        <v>46298</v>
      </c>
      <c r="P68" t="s">
        <v>242</v>
      </c>
      <c r="Q68" t="s">
        <v>61</v>
      </c>
      <c r="R68" t="s">
        <v>28</v>
      </c>
      <c r="S68" t="s">
        <v>29</v>
      </c>
      <c r="T68">
        <v>2151.56</v>
      </c>
      <c r="U68">
        <f t="shared" si="14"/>
        <v>1934</v>
      </c>
      <c r="V68">
        <f t="shared" si="15"/>
        <v>679</v>
      </c>
      <c r="W68">
        <f t="shared" si="16"/>
        <v>631</v>
      </c>
      <c r="X68">
        <f t="shared" si="17"/>
        <v>0.35149999999999998</v>
      </c>
      <c r="Y68" s="1">
        <f t="shared" si="18"/>
        <v>99913169</v>
      </c>
      <c r="Z68">
        <f t="shared" si="19"/>
        <v>51661.41106514995</v>
      </c>
      <c r="AA68">
        <f t="shared" si="20"/>
        <v>99996</v>
      </c>
      <c r="AB68">
        <f t="shared" si="21"/>
        <v>5002</v>
      </c>
      <c r="AC68">
        <f t="shared" si="22"/>
        <v>2587378.0100000007</v>
      </c>
      <c r="AD68">
        <f t="shared" si="23"/>
        <v>1337.8376473629787</v>
      </c>
      <c r="AE68">
        <f t="shared" si="24"/>
        <v>0.35149999999999998</v>
      </c>
      <c r="AF68">
        <f t="shared" si="25"/>
        <v>2512055849.2899995</v>
      </c>
      <c r="AG68" t="str">
        <f t="shared" si="26"/>
        <v>Active</v>
      </c>
      <c r="AH68">
        <f t="shared" si="27"/>
        <v>25818.720000000001</v>
      </c>
    </row>
    <row r="69" spans="1:34" x14ac:dyDescent="0.35">
      <c r="A69" t="s">
        <v>243</v>
      </c>
      <c r="B69" t="s">
        <v>244</v>
      </c>
      <c r="C69">
        <v>51</v>
      </c>
      <c r="D69" t="s">
        <v>38</v>
      </c>
      <c r="E69" t="s">
        <v>23</v>
      </c>
      <c r="F69" t="s">
        <v>59</v>
      </c>
      <c r="G69">
        <v>103529</v>
      </c>
      <c r="H69">
        <v>619</v>
      </c>
      <c r="I69">
        <v>22121</v>
      </c>
      <c r="J69">
        <v>20.79</v>
      </c>
      <c r="K69">
        <v>36</v>
      </c>
      <c r="L69" t="s">
        <v>86</v>
      </c>
      <c r="M69">
        <v>59.51</v>
      </c>
      <c r="N69">
        <v>11240</v>
      </c>
      <c r="O69">
        <v>93545</v>
      </c>
      <c r="P69" t="s">
        <v>245</v>
      </c>
      <c r="Q69" t="s">
        <v>27</v>
      </c>
      <c r="R69" t="s">
        <v>48</v>
      </c>
      <c r="S69" t="s">
        <v>49</v>
      </c>
      <c r="T69">
        <v>742.22</v>
      </c>
      <c r="U69">
        <f t="shared" si="14"/>
        <v>1933</v>
      </c>
      <c r="V69">
        <f t="shared" si="15"/>
        <v>679</v>
      </c>
      <c r="W69">
        <f t="shared" si="16"/>
        <v>630</v>
      </c>
      <c r="X69">
        <f t="shared" si="17"/>
        <v>0.35149999999999998</v>
      </c>
      <c r="Y69" s="1">
        <f t="shared" si="18"/>
        <v>99816106</v>
      </c>
      <c r="Z69">
        <f t="shared" si="19"/>
        <v>51637.923435075012</v>
      </c>
      <c r="AA69">
        <f t="shared" si="20"/>
        <v>99996</v>
      </c>
      <c r="AB69">
        <f t="shared" si="21"/>
        <v>5002</v>
      </c>
      <c r="AC69">
        <f t="shared" si="22"/>
        <v>2585226.4500000011</v>
      </c>
      <c r="AD69">
        <f t="shared" si="23"/>
        <v>1337.4166839110196</v>
      </c>
      <c r="AE69">
        <f t="shared" si="24"/>
        <v>0.35149999999999998</v>
      </c>
      <c r="AF69">
        <f t="shared" si="25"/>
        <v>2509468471.2799997</v>
      </c>
      <c r="AG69" t="str">
        <f t="shared" si="26"/>
        <v>Active</v>
      </c>
      <c r="AH69">
        <f t="shared" si="27"/>
        <v>8906.64</v>
      </c>
    </row>
    <row r="70" spans="1:34" x14ac:dyDescent="0.35">
      <c r="A70" t="s">
        <v>246</v>
      </c>
      <c r="B70" t="s">
        <v>247</v>
      </c>
      <c r="C70">
        <v>49</v>
      </c>
      <c r="D70" t="s">
        <v>22</v>
      </c>
      <c r="E70" t="s">
        <v>39</v>
      </c>
      <c r="F70" t="s">
        <v>59</v>
      </c>
      <c r="G70">
        <v>31289</v>
      </c>
      <c r="H70">
        <v>543</v>
      </c>
      <c r="I70">
        <v>70650</v>
      </c>
      <c r="J70">
        <v>4.07</v>
      </c>
      <c r="K70">
        <v>360</v>
      </c>
      <c r="L70" t="s">
        <v>25</v>
      </c>
      <c r="M70">
        <v>44</v>
      </c>
      <c r="N70">
        <v>36914</v>
      </c>
      <c r="O70">
        <v>9933</v>
      </c>
      <c r="P70" t="s">
        <v>248</v>
      </c>
      <c r="Q70" t="s">
        <v>61</v>
      </c>
      <c r="R70" t="s">
        <v>28</v>
      </c>
      <c r="S70" t="s">
        <v>29</v>
      </c>
      <c r="T70">
        <v>204.24</v>
      </c>
      <c r="U70">
        <f t="shared" si="14"/>
        <v>1932</v>
      </c>
      <c r="V70">
        <f t="shared" si="15"/>
        <v>679</v>
      </c>
      <c r="W70">
        <f t="shared" si="16"/>
        <v>630</v>
      </c>
      <c r="X70">
        <f t="shared" si="17"/>
        <v>0.35149999999999998</v>
      </c>
      <c r="Y70" s="1">
        <f t="shared" si="18"/>
        <v>99793985</v>
      </c>
      <c r="Z70">
        <f t="shared" si="19"/>
        <v>51653.201345755697</v>
      </c>
      <c r="AA70">
        <f t="shared" si="20"/>
        <v>99996</v>
      </c>
      <c r="AB70">
        <f t="shared" si="21"/>
        <v>5002</v>
      </c>
      <c r="AC70">
        <f t="shared" si="22"/>
        <v>2584484.2300000009</v>
      </c>
      <c r="AD70">
        <f t="shared" si="23"/>
        <v>1337.7247567287789</v>
      </c>
      <c r="AE70">
        <f t="shared" si="24"/>
        <v>0.35149999999999998</v>
      </c>
      <c r="AF70">
        <f t="shared" si="25"/>
        <v>2506883244.8299994</v>
      </c>
      <c r="AG70" t="str">
        <f t="shared" si="26"/>
        <v>Active</v>
      </c>
      <c r="AH70">
        <f t="shared" si="27"/>
        <v>2450.88</v>
      </c>
    </row>
    <row r="71" spans="1:34" x14ac:dyDescent="0.35">
      <c r="A71" t="s">
        <v>249</v>
      </c>
      <c r="B71" t="s">
        <v>250</v>
      </c>
      <c r="C71">
        <v>43</v>
      </c>
      <c r="D71" t="s">
        <v>22</v>
      </c>
      <c r="E71" t="s">
        <v>32</v>
      </c>
      <c r="F71" t="s">
        <v>46</v>
      </c>
      <c r="G71">
        <v>197614</v>
      </c>
      <c r="H71">
        <v>704</v>
      </c>
      <c r="I71">
        <v>70492</v>
      </c>
      <c r="J71">
        <v>7.82</v>
      </c>
      <c r="K71">
        <v>12</v>
      </c>
      <c r="L71" t="s">
        <v>33</v>
      </c>
      <c r="M71">
        <v>33.32</v>
      </c>
      <c r="N71">
        <v>68655</v>
      </c>
      <c r="O71">
        <v>80059</v>
      </c>
      <c r="P71" t="s">
        <v>251</v>
      </c>
      <c r="Q71" t="s">
        <v>27</v>
      </c>
      <c r="R71" t="s">
        <v>28</v>
      </c>
      <c r="S71" t="s">
        <v>29</v>
      </c>
      <c r="T71">
        <v>6333.71</v>
      </c>
      <c r="U71">
        <f t="shared" si="14"/>
        <v>1931</v>
      </c>
      <c r="V71">
        <f t="shared" si="15"/>
        <v>679</v>
      </c>
      <c r="W71">
        <f t="shared" si="16"/>
        <v>629</v>
      </c>
      <c r="X71">
        <f t="shared" si="17"/>
        <v>0.35149999999999998</v>
      </c>
      <c r="Y71" s="1">
        <f t="shared" si="18"/>
        <v>99723335</v>
      </c>
      <c r="Z71">
        <f t="shared" si="19"/>
        <v>51643.363542206112</v>
      </c>
      <c r="AA71">
        <f t="shared" si="20"/>
        <v>99996</v>
      </c>
      <c r="AB71">
        <f t="shared" si="21"/>
        <v>5002</v>
      </c>
      <c r="AC71">
        <f t="shared" si="22"/>
        <v>2584279.9900000012</v>
      </c>
      <c r="AD71">
        <f t="shared" si="23"/>
        <v>1338.3117503884005</v>
      </c>
      <c r="AE71">
        <f t="shared" si="24"/>
        <v>0.35149999999999998</v>
      </c>
      <c r="AF71">
        <f t="shared" si="25"/>
        <v>2504298760.5999999</v>
      </c>
      <c r="AG71" t="str">
        <f t="shared" si="26"/>
        <v>Active</v>
      </c>
      <c r="AH71">
        <f t="shared" si="27"/>
        <v>76004.52</v>
      </c>
    </row>
    <row r="72" spans="1:34" x14ac:dyDescent="0.35">
      <c r="A72" t="s">
        <v>252</v>
      </c>
      <c r="B72" t="s">
        <v>253</v>
      </c>
      <c r="C72">
        <v>30</v>
      </c>
      <c r="D72" t="s">
        <v>38</v>
      </c>
      <c r="E72" t="s">
        <v>32</v>
      </c>
      <c r="F72" t="s">
        <v>24</v>
      </c>
      <c r="G72">
        <v>71125</v>
      </c>
      <c r="H72">
        <v>428</v>
      </c>
      <c r="I72">
        <v>77038</v>
      </c>
      <c r="J72">
        <v>8.61</v>
      </c>
      <c r="K72">
        <v>12</v>
      </c>
      <c r="L72" t="s">
        <v>52</v>
      </c>
      <c r="M72">
        <v>18.05</v>
      </c>
      <c r="N72">
        <v>68604</v>
      </c>
      <c r="O72">
        <v>177200</v>
      </c>
      <c r="P72" t="s">
        <v>254</v>
      </c>
      <c r="Q72" t="s">
        <v>42</v>
      </c>
      <c r="R72" t="s">
        <v>28</v>
      </c>
      <c r="S72" t="s">
        <v>68</v>
      </c>
      <c r="T72">
        <v>6972.58</v>
      </c>
      <c r="U72">
        <f t="shared" si="14"/>
        <v>1930</v>
      </c>
      <c r="V72">
        <f t="shared" si="15"/>
        <v>679</v>
      </c>
      <c r="W72">
        <f t="shared" si="16"/>
        <v>629</v>
      </c>
      <c r="X72">
        <f t="shared" si="17"/>
        <v>0.35149999999999998</v>
      </c>
      <c r="Y72" s="1">
        <f t="shared" si="18"/>
        <v>99652843</v>
      </c>
      <c r="Z72">
        <f t="shared" si="19"/>
        <v>51633.597409326423</v>
      </c>
      <c r="AA72">
        <f t="shared" si="20"/>
        <v>99996</v>
      </c>
      <c r="AB72">
        <f t="shared" si="21"/>
        <v>5002</v>
      </c>
      <c r="AC72">
        <f t="shared" si="22"/>
        <v>2577946.2800000007</v>
      </c>
      <c r="AD72">
        <f t="shared" si="23"/>
        <v>1335.7234611398967</v>
      </c>
      <c r="AE72">
        <f t="shared" si="24"/>
        <v>0.35149999999999998</v>
      </c>
      <c r="AF72">
        <f t="shared" si="25"/>
        <v>2501714480.6100006</v>
      </c>
      <c r="AG72" t="str">
        <f t="shared" si="26"/>
        <v>Over Paid</v>
      </c>
      <c r="AH72">
        <f t="shared" si="27"/>
        <v>83670.959999999992</v>
      </c>
    </row>
    <row r="73" spans="1:34" x14ac:dyDescent="0.35">
      <c r="A73" t="s">
        <v>255</v>
      </c>
      <c r="B73" t="s">
        <v>256</v>
      </c>
      <c r="C73">
        <v>34</v>
      </c>
      <c r="D73" t="s">
        <v>22</v>
      </c>
      <c r="E73" t="s">
        <v>23</v>
      </c>
      <c r="F73" t="s">
        <v>59</v>
      </c>
      <c r="G73">
        <v>153475</v>
      </c>
      <c r="H73">
        <v>803</v>
      </c>
      <c r="I73">
        <v>38542</v>
      </c>
      <c r="J73">
        <v>10.4</v>
      </c>
      <c r="K73">
        <v>24</v>
      </c>
      <c r="L73" t="s">
        <v>25</v>
      </c>
      <c r="M73">
        <v>41.15</v>
      </c>
      <c r="N73">
        <v>19608</v>
      </c>
      <c r="O73">
        <v>196516</v>
      </c>
      <c r="P73" t="s">
        <v>257</v>
      </c>
      <c r="Q73" t="s">
        <v>42</v>
      </c>
      <c r="R73" t="s">
        <v>48</v>
      </c>
      <c r="S73" t="s">
        <v>68</v>
      </c>
      <c r="T73">
        <v>1772.93</v>
      </c>
      <c r="U73">
        <f t="shared" si="14"/>
        <v>1929</v>
      </c>
      <c r="V73">
        <f t="shared" si="15"/>
        <v>678</v>
      </c>
      <c r="W73">
        <f t="shared" si="16"/>
        <v>629</v>
      </c>
      <c r="X73">
        <f t="shared" si="17"/>
        <v>0.35149999999999998</v>
      </c>
      <c r="Y73" s="1">
        <f t="shared" si="18"/>
        <v>99575805</v>
      </c>
      <c r="Z73">
        <f t="shared" si="19"/>
        <v>51620.427682737172</v>
      </c>
      <c r="AA73">
        <f t="shared" si="20"/>
        <v>99996</v>
      </c>
      <c r="AB73">
        <f t="shared" si="21"/>
        <v>5002</v>
      </c>
      <c r="AC73">
        <f t="shared" si="22"/>
        <v>2570973.7000000011</v>
      </c>
      <c r="AD73">
        <f t="shared" si="23"/>
        <v>1332.8012960082951</v>
      </c>
      <c r="AE73">
        <f t="shared" si="24"/>
        <v>0.35149999999999998</v>
      </c>
      <c r="AF73">
        <f t="shared" si="25"/>
        <v>2499136534.3300004</v>
      </c>
      <c r="AG73" t="str">
        <f t="shared" si="26"/>
        <v>Over Paid</v>
      </c>
      <c r="AH73">
        <f t="shared" si="27"/>
        <v>21275.16</v>
      </c>
    </row>
    <row r="74" spans="1:34" x14ac:dyDescent="0.35">
      <c r="A74" t="s">
        <v>258</v>
      </c>
      <c r="B74" t="s">
        <v>259</v>
      </c>
      <c r="C74">
        <v>46</v>
      </c>
      <c r="D74" t="s">
        <v>38</v>
      </c>
      <c r="E74" t="s">
        <v>23</v>
      </c>
      <c r="F74" t="s">
        <v>46</v>
      </c>
      <c r="G74">
        <v>138734</v>
      </c>
      <c r="H74">
        <v>512</v>
      </c>
      <c r="I74">
        <v>39322</v>
      </c>
      <c r="J74">
        <v>20.72</v>
      </c>
      <c r="K74">
        <v>240</v>
      </c>
      <c r="L74" t="s">
        <v>33</v>
      </c>
      <c r="M74">
        <v>6.4</v>
      </c>
      <c r="N74">
        <v>39724</v>
      </c>
      <c r="O74">
        <v>158424</v>
      </c>
      <c r="P74" t="s">
        <v>260</v>
      </c>
      <c r="Q74" t="s">
        <v>27</v>
      </c>
      <c r="R74" t="s">
        <v>48</v>
      </c>
      <c r="S74" t="s">
        <v>29</v>
      </c>
      <c r="T74">
        <v>197.79</v>
      </c>
      <c r="U74">
        <f t="shared" si="14"/>
        <v>1928</v>
      </c>
      <c r="V74">
        <f t="shared" si="15"/>
        <v>677</v>
      </c>
      <c r="W74">
        <f t="shared" si="16"/>
        <v>629</v>
      </c>
      <c r="X74">
        <f t="shared" si="17"/>
        <v>0.35149999999999998</v>
      </c>
      <c r="Y74" s="1">
        <f t="shared" si="18"/>
        <v>99537263</v>
      </c>
      <c r="Z74">
        <f t="shared" si="19"/>
        <v>51627.21109958506</v>
      </c>
      <c r="AA74">
        <f t="shared" si="20"/>
        <v>99996</v>
      </c>
      <c r="AB74">
        <f t="shared" si="21"/>
        <v>5002</v>
      </c>
      <c r="AC74">
        <f t="shared" si="22"/>
        <v>2569200.7700000014</v>
      </c>
      <c r="AD74">
        <f t="shared" si="23"/>
        <v>1332.573013485478</v>
      </c>
      <c r="AE74">
        <f t="shared" si="24"/>
        <v>0.35149999999999998</v>
      </c>
      <c r="AF74">
        <f t="shared" si="25"/>
        <v>2496565560.6300001</v>
      </c>
      <c r="AG74" t="str">
        <f t="shared" si="26"/>
        <v>Active</v>
      </c>
      <c r="AH74">
        <f t="shared" si="27"/>
        <v>2373.48</v>
      </c>
    </row>
    <row r="75" spans="1:34" x14ac:dyDescent="0.35">
      <c r="A75" t="s">
        <v>261</v>
      </c>
      <c r="B75" t="s">
        <v>262</v>
      </c>
      <c r="C75">
        <v>30</v>
      </c>
      <c r="D75" t="s">
        <v>38</v>
      </c>
      <c r="E75" t="s">
        <v>39</v>
      </c>
      <c r="F75" t="s">
        <v>59</v>
      </c>
      <c r="G75">
        <v>65732</v>
      </c>
      <c r="H75">
        <v>639</v>
      </c>
      <c r="I75">
        <v>16631</v>
      </c>
      <c r="J75">
        <v>4.59</v>
      </c>
      <c r="K75">
        <v>24</v>
      </c>
      <c r="L75" t="s">
        <v>33</v>
      </c>
      <c r="M75">
        <v>11.99</v>
      </c>
      <c r="N75">
        <v>24385</v>
      </c>
      <c r="O75">
        <v>160124</v>
      </c>
      <c r="P75" t="s">
        <v>263</v>
      </c>
      <c r="Q75" t="s">
        <v>27</v>
      </c>
      <c r="R75" t="s">
        <v>28</v>
      </c>
      <c r="S75" t="s">
        <v>29</v>
      </c>
      <c r="T75">
        <v>724.77</v>
      </c>
      <c r="U75">
        <f t="shared" si="14"/>
        <v>1927</v>
      </c>
      <c r="V75">
        <f t="shared" si="15"/>
        <v>677</v>
      </c>
      <c r="W75">
        <f t="shared" si="16"/>
        <v>629</v>
      </c>
      <c r="X75">
        <f t="shared" si="17"/>
        <v>0.35149999999999998</v>
      </c>
      <c r="Y75" s="1">
        <f t="shared" si="18"/>
        <v>99497941</v>
      </c>
      <c r="Z75">
        <f t="shared" si="19"/>
        <v>51633.596782563567</v>
      </c>
      <c r="AA75">
        <f t="shared" si="20"/>
        <v>99996</v>
      </c>
      <c r="AB75">
        <f t="shared" si="21"/>
        <v>5002</v>
      </c>
      <c r="AC75">
        <f t="shared" si="22"/>
        <v>2569002.9800000014</v>
      </c>
      <c r="AD75">
        <f t="shared" si="23"/>
        <v>1333.1618993253769</v>
      </c>
      <c r="AE75">
        <f t="shared" si="24"/>
        <v>0.35149999999999998</v>
      </c>
      <c r="AF75">
        <f t="shared" si="25"/>
        <v>2493996359.8600006</v>
      </c>
      <c r="AG75" t="str">
        <f t="shared" si="26"/>
        <v>Active</v>
      </c>
      <c r="AH75">
        <f t="shared" si="27"/>
        <v>8697.24</v>
      </c>
    </row>
    <row r="76" spans="1:34" x14ac:dyDescent="0.35">
      <c r="A76" t="s">
        <v>264</v>
      </c>
      <c r="B76" t="s">
        <v>265</v>
      </c>
      <c r="C76">
        <v>43</v>
      </c>
      <c r="D76" t="s">
        <v>38</v>
      </c>
      <c r="E76" t="s">
        <v>23</v>
      </c>
      <c r="F76" t="s">
        <v>46</v>
      </c>
      <c r="G76">
        <v>149471</v>
      </c>
      <c r="H76">
        <v>501</v>
      </c>
      <c r="I76">
        <v>34056</v>
      </c>
      <c r="J76">
        <v>21.43</v>
      </c>
      <c r="K76">
        <v>180</v>
      </c>
      <c r="L76" t="s">
        <v>86</v>
      </c>
      <c r="M76">
        <v>30.61</v>
      </c>
      <c r="N76">
        <v>17516</v>
      </c>
      <c r="O76">
        <v>50194</v>
      </c>
      <c r="P76" t="s">
        <v>266</v>
      </c>
      <c r="Q76" t="s">
        <v>27</v>
      </c>
      <c r="R76" t="s">
        <v>28</v>
      </c>
      <c r="S76" t="s">
        <v>68</v>
      </c>
      <c r="T76">
        <v>229.75</v>
      </c>
      <c r="U76">
        <f t="shared" si="14"/>
        <v>1926</v>
      </c>
      <c r="V76">
        <f t="shared" si="15"/>
        <v>677</v>
      </c>
      <c r="W76">
        <f t="shared" si="16"/>
        <v>629</v>
      </c>
      <c r="X76">
        <f t="shared" si="17"/>
        <v>0.35149999999999998</v>
      </c>
      <c r="Y76" s="1">
        <f t="shared" si="18"/>
        <v>99481310</v>
      </c>
      <c r="Z76">
        <f t="shared" si="19"/>
        <v>51651.770508826587</v>
      </c>
      <c r="AA76">
        <f t="shared" si="20"/>
        <v>99996</v>
      </c>
      <c r="AB76">
        <f t="shared" si="21"/>
        <v>5002</v>
      </c>
      <c r="AC76">
        <f t="shared" si="22"/>
        <v>2568278.2100000014</v>
      </c>
      <c r="AD76">
        <f t="shared" si="23"/>
        <v>1333.4777829698864</v>
      </c>
      <c r="AE76">
        <f t="shared" si="24"/>
        <v>0.35149999999999998</v>
      </c>
      <c r="AF76">
        <f t="shared" si="25"/>
        <v>2491427356.8800006</v>
      </c>
      <c r="AG76" t="str">
        <f t="shared" si="26"/>
        <v>Active</v>
      </c>
      <c r="AH76">
        <f t="shared" si="27"/>
        <v>2757</v>
      </c>
    </row>
    <row r="77" spans="1:34" x14ac:dyDescent="0.35">
      <c r="A77" t="s">
        <v>267</v>
      </c>
      <c r="B77" t="s">
        <v>268</v>
      </c>
      <c r="C77">
        <v>21</v>
      </c>
      <c r="D77" t="s">
        <v>38</v>
      </c>
      <c r="E77" t="s">
        <v>39</v>
      </c>
      <c r="F77" t="s">
        <v>24</v>
      </c>
      <c r="G77">
        <v>187869</v>
      </c>
      <c r="H77">
        <v>629</v>
      </c>
      <c r="I77">
        <v>61703</v>
      </c>
      <c r="J77">
        <v>10.199999999999999</v>
      </c>
      <c r="K77">
        <v>12</v>
      </c>
      <c r="L77" t="s">
        <v>25</v>
      </c>
      <c r="M77">
        <v>33.51</v>
      </c>
      <c r="N77">
        <v>30511</v>
      </c>
      <c r="O77">
        <v>52618</v>
      </c>
      <c r="P77" t="s">
        <v>269</v>
      </c>
      <c r="Q77" t="s">
        <v>61</v>
      </c>
      <c r="R77" t="s">
        <v>48</v>
      </c>
      <c r="S77" t="s">
        <v>29</v>
      </c>
      <c r="T77">
        <v>5666.39</v>
      </c>
      <c r="U77">
        <f t="shared" si="14"/>
        <v>1925</v>
      </c>
      <c r="V77">
        <f t="shared" si="15"/>
        <v>677</v>
      </c>
      <c r="W77">
        <f t="shared" si="16"/>
        <v>629</v>
      </c>
      <c r="X77">
        <f t="shared" si="17"/>
        <v>0.35149999999999998</v>
      </c>
      <c r="Y77" s="1">
        <f t="shared" si="18"/>
        <v>99447254</v>
      </c>
      <c r="Z77">
        <f t="shared" si="19"/>
        <v>51660.911168831168</v>
      </c>
      <c r="AA77">
        <f t="shared" si="20"/>
        <v>99996</v>
      </c>
      <c r="AB77">
        <f t="shared" si="21"/>
        <v>5002</v>
      </c>
      <c r="AC77">
        <f t="shared" si="22"/>
        <v>2568048.4600000014</v>
      </c>
      <c r="AD77">
        <f t="shared" si="23"/>
        <v>1334.0511480519488</v>
      </c>
      <c r="AE77">
        <f t="shared" si="24"/>
        <v>0.35149999999999998</v>
      </c>
      <c r="AF77">
        <f t="shared" si="25"/>
        <v>2488859078.6699996</v>
      </c>
      <c r="AG77" t="str">
        <f t="shared" si="26"/>
        <v>Active</v>
      </c>
      <c r="AH77">
        <f t="shared" si="27"/>
        <v>67996.680000000008</v>
      </c>
    </row>
    <row r="78" spans="1:34" x14ac:dyDescent="0.35">
      <c r="A78" t="s">
        <v>270</v>
      </c>
      <c r="B78" t="s">
        <v>271</v>
      </c>
      <c r="C78">
        <v>50</v>
      </c>
      <c r="D78" t="s">
        <v>38</v>
      </c>
      <c r="E78" t="s">
        <v>32</v>
      </c>
      <c r="F78" t="s">
        <v>59</v>
      </c>
      <c r="G78">
        <v>67314</v>
      </c>
      <c r="H78">
        <v>732</v>
      </c>
      <c r="I78">
        <v>62942</v>
      </c>
      <c r="J78">
        <v>19.39</v>
      </c>
      <c r="K78">
        <v>24</v>
      </c>
      <c r="L78" t="s">
        <v>33</v>
      </c>
      <c r="M78">
        <v>19.489999999999998</v>
      </c>
      <c r="N78">
        <v>6576</v>
      </c>
      <c r="O78">
        <v>20855</v>
      </c>
      <c r="P78" t="s">
        <v>272</v>
      </c>
      <c r="Q78" t="s">
        <v>61</v>
      </c>
      <c r="R78" t="s">
        <v>48</v>
      </c>
      <c r="S78" t="s">
        <v>43</v>
      </c>
      <c r="T78">
        <v>3131.1</v>
      </c>
      <c r="U78">
        <f t="shared" si="14"/>
        <v>1924</v>
      </c>
      <c r="V78">
        <f t="shared" si="15"/>
        <v>677</v>
      </c>
      <c r="W78">
        <f t="shared" si="16"/>
        <v>628</v>
      </c>
      <c r="X78">
        <f t="shared" si="17"/>
        <v>0.35149999999999998</v>
      </c>
      <c r="Y78" s="1">
        <f t="shared" si="18"/>
        <v>99385551</v>
      </c>
      <c r="Z78">
        <f t="shared" si="19"/>
        <v>51655.691787941789</v>
      </c>
      <c r="AA78">
        <f t="shared" si="20"/>
        <v>99996</v>
      </c>
      <c r="AB78">
        <f t="shared" si="21"/>
        <v>5002</v>
      </c>
      <c r="AC78">
        <f t="shared" si="22"/>
        <v>2562382.0700000017</v>
      </c>
      <c r="AD78">
        <f t="shared" si="23"/>
        <v>1331.7994126819135</v>
      </c>
      <c r="AE78">
        <f t="shared" si="24"/>
        <v>0.35149999999999998</v>
      </c>
      <c r="AF78">
        <f t="shared" si="25"/>
        <v>2486291030.2099996</v>
      </c>
      <c r="AG78" t="str">
        <f t="shared" si="26"/>
        <v>Over Paid</v>
      </c>
      <c r="AH78">
        <f t="shared" si="27"/>
        <v>37573.199999999997</v>
      </c>
    </row>
    <row r="79" spans="1:34" x14ac:dyDescent="0.35">
      <c r="A79" t="s">
        <v>273</v>
      </c>
      <c r="B79" t="s">
        <v>274</v>
      </c>
      <c r="C79">
        <v>28</v>
      </c>
      <c r="D79" t="s">
        <v>22</v>
      </c>
      <c r="E79" t="s">
        <v>39</v>
      </c>
      <c r="F79" t="s">
        <v>24</v>
      </c>
      <c r="G79">
        <v>159117</v>
      </c>
      <c r="H79">
        <v>668</v>
      </c>
      <c r="I79">
        <v>91142</v>
      </c>
      <c r="J79">
        <v>21.16</v>
      </c>
      <c r="K79">
        <v>36</v>
      </c>
      <c r="L79" t="s">
        <v>52</v>
      </c>
      <c r="M79">
        <v>28.56</v>
      </c>
      <c r="N79">
        <v>28870</v>
      </c>
      <c r="O79">
        <v>1462</v>
      </c>
      <c r="P79" t="s">
        <v>275</v>
      </c>
      <c r="Q79" t="s">
        <v>61</v>
      </c>
      <c r="R79" t="s">
        <v>28</v>
      </c>
      <c r="S79" t="s">
        <v>35</v>
      </c>
      <c r="T79">
        <v>3067.43</v>
      </c>
      <c r="U79">
        <f t="shared" si="14"/>
        <v>1923</v>
      </c>
      <c r="V79">
        <f t="shared" si="15"/>
        <v>677</v>
      </c>
      <c r="W79">
        <f t="shared" si="16"/>
        <v>627</v>
      </c>
      <c r="X79">
        <f t="shared" si="17"/>
        <v>0.35149999999999998</v>
      </c>
      <c r="Y79" s="1">
        <f t="shared" si="18"/>
        <v>99322609</v>
      </c>
      <c r="Z79">
        <f t="shared" si="19"/>
        <v>51649.822672906914</v>
      </c>
      <c r="AA79">
        <f t="shared" si="20"/>
        <v>99996</v>
      </c>
      <c r="AB79">
        <f t="shared" si="21"/>
        <v>5002</v>
      </c>
      <c r="AC79">
        <f t="shared" si="22"/>
        <v>2559250.9700000016</v>
      </c>
      <c r="AD79">
        <f t="shared" si="23"/>
        <v>1330.8637389495589</v>
      </c>
      <c r="AE79">
        <f t="shared" si="24"/>
        <v>0.35149999999999998</v>
      </c>
      <c r="AF79">
        <f t="shared" si="25"/>
        <v>2483728648.1399989</v>
      </c>
      <c r="AG79" t="str">
        <f t="shared" si="26"/>
        <v>Active</v>
      </c>
      <c r="AH79">
        <f t="shared" si="27"/>
        <v>36809.159999999996</v>
      </c>
    </row>
    <row r="80" spans="1:34" x14ac:dyDescent="0.35">
      <c r="A80" t="s">
        <v>276</v>
      </c>
      <c r="B80" t="s">
        <v>277</v>
      </c>
      <c r="C80">
        <v>63</v>
      </c>
      <c r="D80" t="s">
        <v>22</v>
      </c>
      <c r="E80" t="s">
        <v>23</v>
      </c>
      <c r="F80" t="s">
        <v>46</v>
      </c>
      <c r="G80">
        <v>109522</v>
      </c>
      <c r="H80">
        <v>442</v>
      </c>
      <c r="I80">
        <v>49755</v>
      </c>
      <c r="J80">
        <v>23.06</v>
      </c>
      <c r="K80">
        <v>24</v>
      </c>
      <c r="L80" t="s">
        <v>40</v>
      </c>
      <c r="M80">
        <v>12.56</v>
      </c>
      <c r="N80">
        <v>5481</v>
      </c>
      <c r="O80">
        <v>4660</v>
      </c>
      <c r="P80" t="s">
        <v>278</v>
      </c>
      <c r="Q80" t="s">
        <v>61</v>
      </c>
      <c r="R80" t="s">
        <v>48</v>
      </c>
      <c r="S80" t="s">
        <v>49</v>
      </c>
      <c r="T80">
        <v>2551.19</v>
      </c>
      <c r="U80">
        <f t="shared" si="14"/>
        <v>1922</v>
      </c>
      <c r="V80">
        <f t="shared" si="15"/>
        <v>677</v>
      </c>
      <c r="W80">
        <f t="shared" si="16"/>
        <v>626</v>
      </c>
      <c r="X80">
        <f t="shared" si="17"/>
        <v>0.35149999999999998</v>
      </c>
      <c r="Y80" s="1">
        <f t="shared" si="18"/>
        <v>99231467</v>
      </c>
      <c r="Z80">
        <f t="shared" si="19"/>
        <v>51629.275234131113</v>
      </c>
      <c r="AA80">
        <f t="shared" si="20"/>
        <v>99996</v>
      </c>
      <c r="AB80">
        <f t="shared" si="21"/>
        <v>5002</v>
      </c>
      <c r="AC80">
        <f t="shared" si="22"/>
        <v>2556183.5400000014</v>
      </c>
      <c r="AD80">
        <f t="shared" si="23"/>
        <v>1329.9602185223732</v>
      </c>
      <c r="AE80">
        <f t="shared" si="24"/>
        <v>0.35149999999999998</v>
      </c>
      <c r="AF80">
        <f t="shared" si="25"/>
        <v>2481169397.1699991</v>
      </c>
      <c r="AG80" t="str">
        <f t="shared" si="26"/>
        <v>Active</v>
      </c>
      <c r="AH80">
        <f t="shared" si="27"/>
        <v>30614.28</v>
      </c>
    </row>
    <row r="81" spans="1:34" x14ac:dyDescent="0.35">
      <c r="A81" t="s">
        <v>279</v>
      </c>
      <c r="B81" t="s">
        <v>280</v>
      </c>
      <c r="C81">
        <v>31</v>
      </c>
      <c r="D81" t="s">
        <v>22</v>
      </c>
      <c r="E81" t="s">
        <v>32</v>
      </c>
      <c r="F81" t="s">
        <v>46</v>
      </c>
      <c r="G81">
        <v>193055</v>
      </c>
      <c r="H81">
        <v>779</v>
      </c>
      <c r="I81">
        <v>37508</v>
      </c>
      <c r="J81">
        <v>6.41</v>
      </c>
      <c r="K81">
        <v>12</v>
      </c>
      <c r="L81" t="s">
        <v>33</v>
      </c>
      <c r="M81">
        <v>24.54</v>
      </c>
      <c r="N81">
        <v>30122</v>
      </c>
      <c r="O81">
        <v>9499</v>
      </c>
      <c r="P81" t="s">
        <v>281</v>
      </c>
      <c r="Q81" t="s">
        <v>61</v>
      </c>
      <c r="R81" t="s">
        <v>48</v>
      </c>
      <c r="S81" t="s">
        <v>29</v>
      </c>
      <c r="T81">
        <v>3326.02</v>
      </c>
      <c r="U81">
        <f t="shared" si="14"/>
        <v>1921</v>
      </c>
      <c r="V81">
        <f t="shared" si="15"/>
        <v>677</v>
      </c>
      <c r="W81">
        <f t="shared" si="16"/>
        <v>625</v>
      </c>
      <c r="X81">
        <f t="shared" si="17"/>
        <v>0.35149999999999998</v>
      </c>
      <c r="Y81" s="1">
        <f t="shared" si="18"/>
        <v>99181712</v>
      </c>
      <c r="Z81">
        <f t="shared" si="19"/>
        <v>51630.250910983865</v>
      </c>
      <c r="AA81">
        <f t="shared" si="20"/>
        <v>99996</v>
      </c>
      <c r="AB81">
        <f t="shared" si="21"/>
        <v>5002</v>
      </c>
      <c r="AC81">
        <f t="shared" si="22"/>
        <v>2553632.3500000015</v>
      </c>
      <c r="AD81">
        <f t="shared" si="23"/>
        <v>1329.3244924518488</v>
      </c>
      <c r="AE81">
        <f t="shared" si="24"/>
        <v>0.35149999999999998</v>
      </c>
      <c r="AF81">
        <f t="shared" si="25"/>
        <v>2478613213.6299996</v>
      </c>
      <c r="AG81" t="str">
        <f t="shared" si="26"/>
        <v>Active</v>
      </c>
      <c r="AH81">
        <f t="shared" si="27"/>
        <v>39912.239999999998</v>
      </c>
    </row>
    <row r="82" spans="1:34" x14ac:dyDescent="0.35">
      <c r="A82" t="s">
        <v>282</v>
      </c>
      <c r="B82" t="s">
        <v>283</v>
      </c>
      <c r="C82">
        <v>55</v>
      </c>
      <c r="D82" t="s">
        <v>22</v>
      </c>
      <c r="E82" t="s">
        <v>39</v>
      </c>
      <c r="F82" t="s">
        <v>46</v>
      </c>
      <c r="G82">
        <v>148900</v>
      </c>
      <c r="H82">
        <v>717</v>
      </c>
      <c r="I82">
        <v>37897</v>
      </c>
      <c r="J82">
        <v>8.61</v>
      </c>
      <c r="K82">
        <v>180</v>
      </c>
      <c r="L82" t="s">
        <v>86</v>
      </c>
      <c r="M82">
        <v>44.44</v>
      </c>
      <c r="N82">
        <v>37134</v>
      </c>
      <c r="O82">
        <v>123561</v>
      </c>
      <c r="P82" t="s">
        <v>284</v>
      </c>
      <c r="Q82" t="s">
        <v>42</v>
      </c>
      <c r="R82" t="s">
        <v>48</v>
      </c>
      <c r="S82" t="s">
        <v>29</v>
      </c>
      <c r="T82">
        <v>228.67</v>
      </c>
      <c r="U82">
        <f t="shared" si="14"/>
        <v>1920</v>
      </c>
      <c r="V82">
        <f t="shared" si="15"/>
        <v>677</v>
      </c>
      <c r="W82">
        <f t="shared" si="16"/>
        <v>624</v>
      </c>
      <c r="X82">
        <f t="shared" si="17"/>
        <v>0.35149999999999998</v>
      </c>
      <c r="Y82" s="1">
        <f t="shared" si="18"/>
        <v>99144204</v>
      </c>
      <c r="Z82">
        <f t="shared" si="19"/>
        <v>51637.606249999997</v>
      </c>
      <c r="AA82">
        <f t="shared" si="20"/>
        <v>99996</v>
      </c>
      <c r="AB82">
        <f t="shared" si="21"/>
        <v>5002</v>
      </c>
      <c r="AC82">
        <f t="shared" si="22"/>
        <v>2550306.3300000015</v>
      </c>
      <c r="AD82">
        <f t="shared" si="23"/>
        <v>1328.2845468750008</v>
      </c>
      <c r="AE82">
        <f t="shared" si="24"/>
        <v>0.35149999999999998</v>
      </c>
      <c r="AF82">
        <f t="shared" si="25"/>
        <v>2476059581.2799997</v>
      </c>
      <c r="AG82" t="str">
        <f t="shared" si="26"/>
        <v>Over Paid</v>
      </c>
      <c r="AH82">
        <f t="shared" si="27"/>
        <v>2744.04</v>
      </c>
    </row>
    <row r="83" spans="1:34" x14ac:dyDescent="0.35">
      <c r="A83" t="s">
        <v>285</v>
      </c>
      <c r="B83" t="s">
        <v>286</v>
      </c>
      <c r="C83">
        <v>30</v>
      </c>
      <c r="D83" t="s">
        <v>22</v>
      </c>
      <c r="E83" t="s">
        <v>39</v>
      </c>
      <c r="F83" t="s">
        <v>24</v>
      </c>
      <c r="G83">
        <v>186919</v>
      </c>
      <c r="H83">
        <v>685</v>
      </c>
      <c r="I83">
        <v>73905</v>
      </c>
      <c r="J83">
        <v>21.68</v>
      </c>
      <c r="K83">
        <v>48</v>
      </c>
      <c r="L83" t="s">
        <v>86</v>
      </c>
      <c r="M83">
        <v>18.43</v>
      </c>
      <c r="N83">
        <v>49614</v>
      </c>
      <c r="O83">
        <v>136993</v>
      </c>
      <c r="P83" t="s">
        <v>287</v>
      </c>
      <c r="Q83" t="s">
        <v>42</v>
      </c>
      <c r="R83" t="s">
        <v>48</v>
      </c>
      <c r="S83" t="s">
        <v>29</v>
      </c>
      <c r="T83">
        <v>1873.49</v>
      </c>
      <c r="U83">
        <f t="shared" si="14"/>
        <v>1919</v>
      </c>
      <c r="V83">
        <f t="shared" si="15"/>
        <v>676</v>
      </c>
      <c r="W83">
        <f t="shared" si="16"/>
        <v>624</v>
      </c>
      <c r="X83">
        <f t="shared" si="17"/>
        <v>0.35149999999999998</v>
      </c>
      <c r="Y83" s="1">
        <f t="shared" si="18"/>
        <v>99106307</v>
      </c>
      <c r="Z83">
        <f t="shared" si="19"/>
        <v>51644.766545075559</v>
      </c>
      <c r="AA83">
        <f t="shared" si="20"/>
        <v>99996</v>
      </c>
      <c r="AB83">
        <f t="shared" si="21"/>
        <v>5002</v>
      </c>
      <c r="AC83">
        <f t="shared" si="22"/>
        <v>2550077.6600000011</v>
      </c>
      <c r="AD83">
        <f t="shared" si="23"/>
        <v>1328.8575612298077</v>
      </c>
      <c r="AE83">
        <f t="shared" si="24"/>
        <v>0.35149999999999998</v>
      </c>
      <c r="AF83">
        <f t="shared" si="25"/>
        <v>2473509274.9500003</v>
      </c>
      <c r="AG83" t="str">
        <f t="shared" si="26"/>
        <v>Active</v>
      </c>
      <c r="AH83">
        <f t="shared" si="27"/>
        <v>22481.88</v>
      </c>
    </row>
    <row r="84" spans="1:34" x14ac:dyDescent="0.35">
      <c r="A84" t="s">
        <v>288</v>
      </c>
      <c r="B84" t="s">
        <v>289</v>
      </c>
      <c r="C84">
        <v>53</v>
      </c>
      <c r="D84" t="s">
        <v>38</v>
      </c>
      <c r="E84" t="s">
        <v>23</v>
      </c>
      <c r="F84" t="s">
        <v>46</v>
      </c>
      <c r="G84">
        <v>195338</v>
      </c>
      <c r="H84">
        <v>513</v>
      </c>
      <c r="I84">
        <v>69785</v>
      </c>
      <c r="J84">
        <v>23.76</v>
      </c>
      <c r="K84">
        <v>120</v>
      </c>
      <c r="L84" t="s">
        <v>52</v>
      </c>
      <c r="M84">
        <v>22.27</v>
      </c>
      <c r="N84">
        <v>75857</v>
      </c>
      <c r="O84">
        <v>86604</v>
      </c>
      <c r="P84" t="s">
        <v>290</v>
      </c>
      <c r="Q84" t="s">
        <v>61</v>
      </c>
      <c r="R84" t="s">
        <v>28</v>
      </c>
      <c r="S84" t="s">
        <v>29</v>
      </c>
      <c r="T84">
        <v>719.72</v>
      </c>
      <c r="U84">
        <f t="shared" si="14"/>
        <v>1918</v>
      </c>
      <c r="V84">
        <f t="shared" si="15"/>
        <v>675</v>
      </c>
      <c r="W84">
        <f t="shared" si="16"/>
        <v>624</v>
      </c>
      <c r="X84">
        <f t="shared" si="17"/>
        <v>0.35149999999999998</v>
      </c>
      <c r="Y84" s="1">
        <f t="shared" si="18"/>
        <v>99032402</v>
      </c>
      <c r="Z84">
        <f t="shared" si="19"/>
        <v>51633.160583941608</v>
      </c>
      <c r="AA84">
        <f t="shared" si="20"/>
        <v>99996</v>
      </c>
      <c r="AB84">
        <f t="shared" si="21"/>
        <v>5002</v>
      </c>
      <c r="AC84">
        <f t="shared" si="22"/>
        <v>2548204.1700000018</v>
      </c>
      <c r="AD84">
        <f t="shared" si="23"/>
        <v>1328.5736027111584</v>
      </c>
      <c r="AE84">
        <f t="shared" si="24"/>
        <v>0.35149999999999998</v>
      </c>
      <c r="AF84">
        <f t="shared" si="25"/>
        <v>2470959197.2900004</v>
      </c>
      <c r="AG84" t="str">
        <f t="shared" si="26"/>
        <v>Active</v>
      </c>
      <c r="AH84">
        <f t="shared" si="27"/>
        <v>8636.64</v>
      </c>
    </row>
    <row r="85" spans="1:34" x14ac:dyDescent="0.35">
      <c r="A85" t="s">
        <v>291</v>
      </c>
      <c r="B85" t="s">
        <v>292</v>
      </c>
      <c r="C85">
        <v>35</v>
      </c>
      <c r="D85" t="s">
        <v>38</v>
      </c>
      <c r="E85" t="s">
        <v>23</v>
      </c>
      <c r="F85" t="s">
        <v>24</v>
      </c>
      <c r="G85">
        <v>27254</v>
      </c>
      <c r="H85">
        <v>810</v>
      </c>
      <c r="I85">
        <v>55676</v>
      </c>
      <c r="J85">
        <v>7.67</v>
      </c>
      <c r="K85">
        <v>360</v>
      </c>
      <c r="L85" t="s">
        <v>52</v>
      </c>
      <c r="M85">
        <v>56.05</v>
      </c>
      <c r="N85">
        <v>44</v>
      </c>
      <c r="O85">
        <v>48290</v>
      </c>
      <c r="P85" t="s">
        <v>293</v>
      </c>
      <c r="Q85" t="s">
        <v>61</v>
      </c>
      <c r="R85" t="s">
        <v>28</v>
      </c>
      <c r="S85" t="s">
        <v>43</v>
      </c>
      <c r="T85">
        <v>166.52</v>
      </c>
      <c r="U85">
        <f t="shared" si="14"/>
        <v>1917</v>
      </c>
      <c r="V85">
        <f t="shared" si="15"/>
        <v>675</v>
      </c>
      <c r="W85">
        <f t="shared" si="16"/>
        <v>623</v>
      </c>
      <c r="X85">
        <f t="shared" si="17"/>
        <v>0.35149999999999998</v>
      </c>
      <c r="Y85" s="1">
        <f t="shared" si="18"/>
        <v>98962617</v>
      </c>
      <c r="Z85">
        <f t="shared" si="19"/>
        <v>51623.691705790297</v>
      </c>
      <c r="AA85">
        <f t="shared" si="20"/>
        <v>99996</v>
      </c>
      <c r="AB85">
        <f t="shared" si="21"/>
        <v>5002</v>
      </c>
      <c r="AC85">
        <f t="shared" si="22"/>
        <v>2547484.4500000016</v>
      </c>
      <c r="AD85">
        <f t="shared" si="23"/>
        <v>1328.8912102243096</v>
      </c>
      <c r="AE85">
        <f t="shared" si="24"/>
        <v>0.35149999999999998</v>
      </c>
      <c r="AF85">
        <f t="shared" si="25"/>
        <v>2468410993.1200004</v>
      </c>
      <c r="AG85" t="str">
        <f t="shared" si="26"/>
        <v>Active</v>
      </c>
      <c r="AH85">
        <f t="shared" si="27"/>
        <v>1998.2400000000002</v>
      </c>
    </row>
    <row r="86" spans="1:34" x14ac:dyDescent="0.35">
      <c r="A86" t="s">
        <v>294</v>
      </c>
      <c r="B86" t="s">
        <v>295</v>
      </c>
      <c r="C86">
        <v>22</v>
      </c>
      <c r="D86" t="s">
        <v>38</v>
      </c>
      <c r="E86" t="s">
        <v>39</v>
      </c>
      <c r="F86" t="s">
        <v>46</v>
      </c>
      <c r="G86">
        <v>139604</v>
      </c>
      <c r="H86">
        <v>453</v>
      </c>
      <c r="I86">
        <v>31819</v>
      </c>
      <c r="J86">
        <v>6.35</v>
      </c>
      <c r="K86">
        <v>120</v>
      </c>
      <c r="L86" t="s">
        <v>25</v>
      </c>
      <c r="M86">
        <v>19.45</v>
      </c>
      <c r="N86">
        <v>71827</v>
      </c>
      <c r="O86">
        <v>139370</v>
      </c>
      <c r="P86" t="s">
        <v>296</v>
      </c>
      <c r="Q86" t="s">
        <v>61</v>
      </c>
      <c r="R86" t="s">
        <v>28</v>
      </c>
      <c r="S86" t="s">
        <v>49</v>
      </c>
      <c r="T86">
        <v>282</v>
      </c>
      <c r="U86">
        <f t="shared" si="14"/>
        <v>1916</v>
      </c>
      <c r="V86">
        <f t="shared" si="15"/>
        <v>675</v>
      </c>
      <c r="W86">
        <f t="shared" si="16"/>
        <v>622</v>
      </c>
      <c r="X86">
        <f t="shared" si="17"/>
        <v>0.35149999999999998</v>
      </c>
      <c r="Y86" s="1">
        <f t="shared" si="18"/>
        <v>98906941</v>
      </c>
      <c r="Z86">
        <f t="shared" si="19"/>
        <v>51621.576722338206</v>
      </c>
      <c r="AA86">
        <f t="shared" si="20"/>
        <v>99996</v>
      </c>
      <c r="AB86">
        <f t="shared" si="21"/>
        <v>5002</v>
      </c>
      <c r="AC86">
        <f t="shared" si="22"/>
        <v>2547317.9300000016</v>
      </c>
      <c r="AD86">
        <f t="shared" si="23"/>
        <v>1329.4978757828819</v>
      </c>
      <c r="AE86">
        <f t="shared" si="24"/>
        <v>0.35149999999999998</v>
      </c>
      <c r="AF86">
        <f t="shared" si="25"/>
        <v>2465863508.6700006</v>
      </c>
      <c r="AG86" t="str">
        <f t="shared" si="26"/>
        <v>Active</v>
      </c>
      <c r="AH86">
        <f t="shared" si="27"/>
        <v>3384</v>
      </c>
    </row>
    <row r="87" spans="1:34" x14ac:dyDescent="0.35">
      <c r="A87" t="s">
        <v>297</v>
      </c>
      <c r="B87" t="s">
        <v>298</v>
      </c>
      <c r="C87">
        <v>28</v>
      </c>
      <c r="D87" t="s">
        <v>22</v>
      </c>
      <c r="E87" t="s">
        <v>32</v>
      </c>
      <c r="F87" t="s">
        <v>46</v>
      </c>
      <c r="G87">
        <v>125539</v>
      </c>
      <c r="H87">
        <v>650</v>
      </c>
      <c r="I87">
        <v>81220</v>
      </c>
      <c r="J87">
        <v>4.59</v>
      </c>
      <c r="K87">
        <v>36</v>
      </c>
      <c r="L87" t="s">
        <v>40</v>
      </c>
      <c r="M87">
        <v>48.62</v>
      </c>
      <c r="N87">
        <v>14292</v>
      </c>
      <c r="O87">
        <v>101682</v>
      </c>
      <c r="P87" t="s">
        <v>299</v>
      </c>
      <c r="Q87" t="s">
        <v>27</v>
      </c>
      <c r="R87" t="s">
        <v>28</v>
      </c>
      <c r="S87" t="s">
        <v>43</v>
      </c>
      <c r="T87">
        <v>2359.67</v>
      </c>
      <c r="U87">
        <f t="shared" si="14"/>
        <v>1915</v>
      </c>
      <c r="V87">
        <f t="shared" si="15"/>
        <v>675</v>
      </c>
      <c r="W87">
        <f t="shared" si="16"/>
        <v>621</v>
      </c>
      <c r="X87">
        <f t="shared" si="17"/>
        <v>0.35149999999999998</v>
      </c>
      <c r="Y87" s="1">
        <f t="shared" si="18"/>
        <v>98875122</v>
      </c>
      <c r="Z87">
        <f t="shared" si="19"/>
        <v>51631.917493472582</v>
      </c>
      <c r="AA87">
        <f t="shared" si="20"/>
        <v>99996</v>
      </c>
      <c r="AB87">
        <f t="shared" si="21"/>
        <v>5002</v>
      </c>
      <c r="AC87">
        <f t="shared" si="22"/>
        <v>2547035.9300000016</v>
      </c>
      <c r="AD87">
        <f t="shared" si="23"/>
        <v>1330.0448720626639</v>
      </c>
      <c r="AE87">
        <f t="shared" si="24"/>
        <v>0.35149999999999998</v>
      </c>
      <c r="AF87">
        <f t="shared" si="25"/>
        <v>2463316190.7400007</v>
      </c>
      <c r="AG87" t="str">
        <f t="shared" si="26"/>
        <v>Active</v>
      </c>
      <c r="AH87">
        <f t="shared" si="27"/>
        <v>28316.04</v>
      </c>
    </row>
    <row r="88" spans="1:34" x14ac:dyDescent="0.35">
      <c r="A88" t="s">
        <v>300</v>
      </c>
      <c r="B88" t="s">
        <v>301</v>
      </c>
      <c r="C88">
        <v>65</v>
      </c>
      <c r="D88" t="s">
        <v>38</v>
      </c>
      <c r="E88" t="s">
        <v>23</v>
      </c>
      <c r="F88" t="s">
        <v>24</v>
      </c>
      <c r="G88">
        <v>42266</v>
      </c>
      <c r="H88">
        <v>595</v>
      </c>
      <c r="I88">
        <v>75960</v>
      </c>
      <c r="J88">
        <v>6</v>
      </c>
      <c r="K88">
        <v>48</v>
      </c>
      <c r="L88" t="s">
        <v>33</v>
      </c>
      <c r="M88">
        <v>47.09</v>
      </c>
      <c r="N88">
        <v>53714</v>
      </c>
      <c r="O88">
        <v>151568</v>
      </c>
      <c r="P88" t="s">
        <v>302</v>
      </c>
      <c r="Q88" t="s">
        <v>61</v>
      </c>
      <c r="R88" t="s">
        <v>48</v>
      </c>
      <c r="S88" t="s">
        <v>43</v>
      </c>
      <c r="T88">
        <v>1677.45</v>
      </c>
      <c r="U88">
        <f t="shared" si="14"/>
        <v>1914</v>
      </c>
      <c r="V88">
        <f t="shared" si="15"/>
        <v>675</v>
      </c>
      <c r="W88">
        <f t="shared" si="16"/>
        <v>621</v>
      </c>
      <c r="X88">
        <f t="shared" si="17"/>
        <v>0.35149999999999998</v>
      </c>
      <c r="Y88" s="1">
        <f t="shared" si="18"/>
        <v>98793902</v>
      </c>
      <c r="Z88">
        <f t="shared" si="19"/>
        <v>51616.458725182863</v>
      </c>
      <c r="AA88">
        <f t="shared" si="20"/>
        <v>99996</v>
      </c>
      <c r="AB88">
        <f t="shared" si="21"/>
        <v>5002</v>
      </c>
      <c r="AC88">
        <f t="shared" si="22"/>
        <v>2544676.2600000016</v>
      </c>
      <c r="AD88">
        <f t="shared" si="23"/>
        <v>1329.5069278996873</v>
      </c>
      <c r="AE88">
        <f t="shared" si="24"/>
        <v>0.35149999999999998</v>
      </c>
      <c r="AF88">
        <f t="shared" si="25"/>
        <v>2460769154.8100004</v>
      </c>
      <c r="AG88" t="str">
        <f t="shared" si="26"/>
        <v>Active</v>
      </c>
      <c r="AH88">
        <f t="shared" si="27"/>
        <v>20129.400000000001</v>
      </c>
    </row>
    <row r="89" spans="1:34" x14ac:dyDescent="0.35">
      <c r="A89" t="s">
        <v>303</v>
      </c>
      <c r="B89" t="s">
        <v>304</v>
      </c>
      <c r="C89">
        <v>21</v>
      </c>
      <c r="D89" t="s">
        <v>38</v>
      </c>
      <c r="E89" t="s">
        <v>32</v>
      </c>
      <c r="F89" t="s">
        <v>46</v>
      </c>
      <c r="G89">
        <v>125337</v>
      </c>
      <c r="H89">
        <v>437</v>
      </c>
      <c r="I89">
        <v>79869</v>
      </c>
      <c r="J89">
        <v>23.46</v>
      </c>
      <c r="K89">
        <v>60</v>
      </c>
      <c r="L89" t="s">
        <v>40</v>
      </c>
      <c r="M89">
        <v>19.87</v>
      </c>
      <c r="N89">
        <v>19188</v>
      </c>
      <c r="O89">
        <v>218338</v>
      </c>
      <c r="P89" t="s">
        <v>93</v>
      </c>
      <c r="Q89" t="s">
        <v>61</v>
      </c>
      <c r="R89" t="s">
        <v>48</v>
      </c>
      <c r="S89" t="s">
        <v>35</v>
      </c>
      <c r="T89">
        <v>1643.44</v>
      </c>
      <c r="U89">
        <f t="shared" si="14"/>
        <v>1913</v>
      </c>
      <c r="V89">
        <f t="shared" si="15"/>
        <v>675</v>
      </c>
      <c r="W89">
        <f t="shared" si="16"/>
        <v>620</v>
      </c>
      <c r="X89">
        <f t="shared" si="17"/>
        <v>0.35149999999999998</v>
      </c>
      <c r="Y89" s="1">
        <f t="shared" si="18"/>
        <v>98717942</v>
      </c>
      <c r="Z89">
        <f t="shared" si="19"/>
        <v>51603.733403031889</v>
      </c>
      <c r="AA89">
        <f t="shared" si="20"/>
        <v>99996</v>
      </c>
      <c r="AB89">
        <f t="shared" si="21"/>
        <v>5002</v>
      </c>
      <c r="AC89">
        <f t="shared" si="22"/>
        <v>2542998.8100000015</v>
      </c>
      <c r="AD89">
        <f t="shared" si="23"/>
        <v>1329.3250444328287</v>
      </c>
      <c r="AE89">
        <f t="shared" si="24"/>
        <v>0.35149999999999998</v>
      </c>
      <c r="AF89">
        <f t="shared" si="25"/>
        <v>2458224478.5500007</v>
      </c>
      <c r="AG89" t="str">
        <f t="shared" si="26"/>
        <v>Active</v>
      </c>
      <c r="AH89">
        <f t="shared" si="27"/>
        <v>19721.28</v>
      </c>
    </row>
    <row r="90" spans="1:34" x14ac:dyDescent="0.35">
      <c r="A90" t="s">
        <v>305</v>
      </c>
      <c r="B90" t="s">
        <v>306</v>
      </c>
      <c r="C90">
        <v>21</v>
      </c>
      <c r="D90" t="s">
        <v>22</v>
      </c>
      <c r="E90" t="s">
        <v>32</v>
      </c>
      <c r="F90" t="s">
        <v>24</v>
      </c>
      <c r="G90">
        <v>37167</v>
      </c>
      <c r="H90">
        <v>623</v>
      </c>
      <c r="I90">
        <v>55156</v>
      </c>
      <c r="J90">
        <v>12.99</v>
      </c>
      <c r="K90">
        <v>120</v>
      </c>
      <c r="L90" t="s">
        <v>52</v>
      </c>
      <c r="M90">
        <v>18.88</v>
      </c>
      <c r="N90">
        <v>33683</v>
      </c>
      <c r="O90">
        <v>222262</v>
      </c>
      <c r="P90" t="s">
        <v>307</v>
      </c>
      <c r="Q90" t="s">
        <v>61</v>
      </c>
      <c r="R90" t="s">
        <v>28</v>
      </c>
      <c r="S90" t="s">
        <v>29</v>
      </c>
      <c r="T90">
        <v>519.34</v>
      </c>
      <c r="U90">
        <f t="shared" si="14"/>
        <v>1912</v>
      </c>
      <c r="V90">
        <f t="shared" si="15"/>
        <v>675</v>
      </c>
      <c r="W90">
        <f t="shared" si="16"/>
        <v>619</v>
      </c>
      <c r="X90">
        <f t="shared" si="17"/>
        <v>0.35149999999999998</v>
      </c>
      <c r="Y90" s="1">
        <f t="shared" si="18"/>
        <v>98638073</v>
      </c>
      <c r="Z90">
        <f t="shared" si="19"/>
        <v>51588.950313807531</v>
      </c>
      <c r="AA90">
        <f t="shared" si="20"/>
        <v>99996</v>
      </c>
      <c r="AB90">
        <f t="shared" si="21"/>
        <v>5002</v>
      </c>
      <c r="AC90">
        <f t="shared" si="22"/>
        <v>2541355.3700000015</v>
      </c>
      <c r="AD90">
        <f t="shared" si="23"/>
        <v>1329.1607583682016</v>
      </c>
      <c r="AE90">
        <f t="shared" si="24"/>
        <v>0.35149999999999998</v>
      </c>
      <c r="AF90">
        <f t="shared" si="25"/>
        <v>2455681479.7400007</v>
      </c>
      <c r="AG90" t="str">
        <f t="shared" si="26"/>
        <v>Active</v>
      </c>
      <c r="AH90">
        <f t="shared" si="27"/>
        <v>6232.08</v>
      </c>
    </row>
    <row r="91" spans="1:34" x14ac:dyDescent="0.35">
      <c r="A91" t="s">
        <v>308</v>
      </c>
      <c r="B91" t="s">
        <v>309</v>
      </c>
      <c r="C91">
        <v>47</v>
      </c>
      <c r="D91" t="s">
        <v>22</v>
      </c>
      <c r="E91" t="s">
        <v>23</v>
      </c>
      <c r="F91" t="s">
        <v>24</v>
      </c>
      <c r="G91">
        <v>105285</v>
      </c>
      <c r="H91">
        <v>333</v>
      </c>
      <c r="I91">
        <v>68887</v>
      </c>
      <c r="J91">
        <v>8.09</v>
      </c>
      <c r="K91">
        <v>180</v>
      </c>
      <c r="L91" t="s">
        <v>33</v>
      </c>
      <c r="M91">
        <v>22.52</v>
      </c>
      <c r="N91">
        <v>21156</v>
      </c>
      <c r="O91">
        <v>124965</v>
      </c>
      <c r="P91" t="s">
        <v>310</v>
      </c>
      <c r="Q91" t="s">
        <v>42</v>
      </c>
      <c r="R91" t="s">
        <v>48</v>
      </c>
      <c r="S91" t="s">
        <v>68</v>
      </c>
      <c r="T91">
        <v>413.67</v>
      </c>
      <c r="U91">
        <f t="shared" si="14"/>
        <v>1911</v>
      </c>
      <c r="V91">
        <f t="shared" si="15"/>
        <v>675</v>
      </c>
      <c r="W91">
        <f t="shared" si="16"/>
        <v>618</v>
      </c>
      <c r="X91">
        <f t="shared" si="17"/>
        <v>0.35149999999999998</v>
      </c>
      <c r="Y91" s="1">
        <f t="shared" si="18"/>
        <v>98582917</v>
      </c>
      <c r="Z91">
        <f t="shared" si="19"/>
        <v>51587.083725798009</v>
      </c>
      <c r="AA91">
        <f t="shared" si="20"/>
        <v>99996</v>
      </c>
      <c r="AB91">
        <f t="shared" si="21"/>
        <v>5002</v>
      </c>
      <c r="AC91">
        <f t="shared" si="22"/>
        <v>2540836.0300000017</v>
      </c>
      <c r="AD91">
        <f t="shared" si="23"/>
        <v>1329.5845264259558</v>
      </c>
      <c r="AE91">
        <f t="shared" si="24"/>
        <v>0.35149999999999998</v>
      </c>
      <c r="AF91">
        <f t="shared" si="25"/>
        <v>2453140124.3700004</v>
      </c>
      <c r="AG91" t="str">
        <f t="shared" si="26"/>
        <v>Active</v>
      </c>
      <c r="AH91">
        <f t="shared" si="27"/>
        <v>4964.04</v>
      </c>
    </row>
    <row r="92" spans="1:34" x14ac:dyDescent="0.35">
      <c r="A92" t="s">
        <v>311</v>
      </c>
      <c r="B92" t="s">
        <v>312</v>
      </c>
      <c r="C92">
        <v>43</v>
      </c>
      <c r="D92" t="s">
        <v>22</v>
      </c>
      <c r="E92" t="s">
        <v>23</v>
      </c>
      <c r="F92" t="s">
        <v>46</v>
      </c>
      <c r="G92">
        <v>112625</v>
      </c>
      <c r="H92">
        <v>663</v>
      </c>
      <c r="I92">
        <v>37679</v>
      </c>
      <c r="J92">
        <v>18.13</v>
      </c>
      <c r="K92">
        <v>60</v>
      </c>
      <c r="L92" t="s">
        <v>33</v>
      </c>
      <c r="M92">
        <v>34.32</v>
      </c>
      <c r="N92">
        <v>58140</v>
      </c>
      <c r="O92">
        <v>243693</v>
      </c>
      <c r="P92" t="s">
        <v>313</v>
      </c>
      <c r="Q92" t="s">
        <v>61</v>
      </c>
      <c r="R92" t="s">
        <v>48</v>
      </c>
      <c r="S92" t="s">
        <v>68</v>
      </c>
      <c r="T92">
        <v>741.84</v>
      </c>
      <c r="U92">
        <f t="shared" si="14"/>
        <v>1910</v>
      </c>
      <c r="V92">
        <f t="shared" si="15"/>
        <v>674</v>
      </c>
      <c r="W92">
        <f t="shared" si="16"/>
        <v>618</v>
      </c>
      <c r="X92">
        <f t="shared" si="17"/>
        <v>0.35149999999999998</v>
      </c>
      <c r="Y92" s="1">
        <f t="shared" si="18"/>
        <v>98514030</v>
      </c>
      <c r="Z92">
        <f t="shared" si="19"/>
        <v>51578.02617801047</v>
      </c>
      <c r="AA92">
        <f t="shared" si="20"/>
        <v>99996</v>
      </c>
      <c r="AB92">
        <f t="shared" si="21"/>
        <v>5002</v>
      </c>
      <c r="AC92">
        <f t="shared" si="22"/>
        <v>2540422.3600000013</v>
      </c>
      <c r="AD92">
        <f t="shared" si="23"/>
        <v>1330.0640628272258</v>
      </c>
      <c r="AE92">
        <f t="shared" si="24"/>
        <v>0.35149999999999998</v>
      </c>
      <c r="AF92">
        <f t="shared" si="25"/>
        <v>2450599288.3400006</v>
      </c>
      <c r="AG92" t="str">
        <f t="shared" si="26"/>
        <v>Active</v>
      </c>
      <c r="AH92">
        <f t="shared" si="27"/>
        <v>8902.08</v>
      </c>
    </row>
    <row r="93" spans="1:34" x14ac:dyDescent="0.35">
      <c r="A93" t="s">
        <v>314</v>
      </c>
      <c r="B93" t="s">
        <v>315</v>
      </c>
      <c r="C93">
        <v>30</v>
      </c>
      <c r="D93" t="s">
        <v>38</v>
      </c>
      <c r="E93" t="s">
        <v>32</v>
      </c>
      <c r="F93" t="s">
        <v>46</v>
      </c>
      <c r="G93">
        <v>161419</v>
      </c>
      <c r="H93">
        <v>350</v>
      </c>
      <c r="I93">
        <v>31034</v>
      </c>
      <c r="J93">
        <v>22.9</v>
      </c>
      <c r="K93">
        <v>60</v>
      </c>
      <c r="L93" t="s">
        <v>52</v>
      </c>
      <c r="M93">
        <v>50.86</v>
      </c>
      <c r="N93">
        <v>22902</v>
      </c>
      <c r="O93">
        <v>112614</v>
      </c>
      <c r="P93" t="s">
        <v>316</v>
      </c>
      <c r="Q93" t="s">
        <v>27</v>
      </c>
      <c r="R93" t="s">
        <v>48</v>
      </c>
      <c r="S93" t="s">
        <v>43</v>
      </c>
      <c r="T93">
        <v>635.67999999999995</v>
      </c>
      <c r="U93">
        <f t="shared" si="14"/>
        <v>1909</v>
      </c>
      <c r="V93">
        <f t="shared" si="15"/>
        <v>674</v>
      </c>
      <c r="W93">
        <f t="shared" si="16"/>
        <v>617</v>
      </c>
      <c r="X93">
        <f t="shared" si="17"/>
        <v>0.35149999999999998</v>
      </c>
      <c r="Y93" s="1">
        <f t="shared" si="18"/>
        <v>98476351</v>
      </c>
      <c r="Z93">
        <f t="shared" si="19"/>
        <v>51585.306966998425</v>
      </c>
      <c r="AA93">
        <f t="shared" si="20"/>
        <v>99996</v>
      </c>
      <c r="AB93">
        <f t="shared" si="21"/>
        <v>5002</v>
      </c>
      <c r="AC93">
        <f t="shared" si="22"/>
        <v>2539680.5200000014</v>
      </c>
      <c r="AD93">
        <f t="shared" si="23"/>
        <v>1330.3721948664229</v>
      </c>
      <c r="AE93">
        <f t="shared" si="24"/>
        <v>0.35149999999999998</v>
      </c>
      <c r="AF93">
        <f t="shared" si="25"/>
        <v>2448058865.9800005</v>
      </c>
      <c r="AG93" t="str">
        <f t="shared" si="26"/>
        <v>Active</v>
      </c>
      <c r="AH93">
        <f t="shared" si="27"/>
        <v>7628.16</v>
      </c>
    </row>
    <row r="94" spans="1:34" x14ac:dyDescent="0.35">
      <c r="A94" t="s">
        <v>317</v>
      </c>
      <c r="B94" t="s">
        <v>318</v>
      </c>
      <c r="C94">
        <v>64</v>
      </c>
      <c r="D94" t="s">
        <v>22</v>
      </c>
      <c r="E94" t="s">
        <v>23</v>
      </c>
      <c r="F94" t="s">
        <v>24</v>
      </c>
      <c r="G94">
        <v>161617</v>
      </c>
      <c r="H94">
        <v>451</v>
      </c>
      <c r="I94">
        <v>13940</v>
      </c>
      <c r="J94">
        <v>6.54</v>
      </c>
      <c r="K94">
        <v>24</v>
      </c>
      <c r="L94" t="s">
        <v>40</v>
      </c>
      <c r="M94">
        <v>8.82</v>
      </c>
      <c r="N94">
        <v>63763</v>
      </c>
      <c r="O94">
        <v>140649</v>
      </c>
      <c r="P94" t="s">
        <v>319</v>
      </c>
      <c r="Q94" t="s">
        <v>61</v>
      </c>
      <c r="R94" t="s">
        <v>48</v>
      </c>
      <c r="S94" t="s">
        <v>68</v>
      </c>
      <c r="T94">
        <v>618.82000000000005</v>
      </c>
      <c r="U94">
        <f t="shared" si="14"/>
        <v>1908</v>
      </c>
      <c r="V94">
        <f t="shared" si="15"/>
        <v>674</v>
      </c>
      <c r="W94">
        <f t="shared" si="16"/>
        <v>617</v>
      </c>
      <c r="X94">
        <f t="shared" si="17"/>
        <v>0.35149999999999998</v>
      </c>
      <c r="Y94" s="1">
        <f t="shared" si="18"/>
        <v>98445317</v>
      </c>
      <c r="Z94">
        <f t="shared" si="19"/>
        <v>51596.078092243188</v>
      </c>
      <c r="AA94">
        <f t="shared" si="20"/>
        <v>99996</v>
      </c>
      <c r="AB94">
        <f t="shared" si="21"/>
        <v>5002</v>
      </c>
      <c r="AC94">
        <f t="shared" si="22"/>
        <v>2539044.8400000017</v>
      </c>
      <c r="AD94">
        <f t="shared" si="23"/>
        <v>1330.736289308177</v>
      </c>
      <c r="AE94">
        <f t="shared" si="24"/>
        <v>0.35149999999999998</v>
      </c>
      <c r="AF94">
        <f t="shared" si="25"/>
        <v>2445519185.460001</v>
      </c>
      <c r="AG94" t="str">
        <f t="shared" si="26"/>
        <v>Active</v>
      </c>
      <c r="AH94">
        <f t="shared" si="27"/>
        <v>7425.84</v>
      </c>
    </row>
    <row r="95" spans="1:34" x14ac:dyDescent="0.35">
      <c r="A95" t="s">
        <v>320</v>
      </c>
      <c r="B95" t="s">
        <v>321</v>
      </c>
      <c r="C95">
        <v>56</v>
      </c>
      <c r="D95" t="s">
        <v>22</v>
      </c>
      <c r="E95" t="s">
        <v>23</v>
      </c>
      <c r="F95" t="s">
        <v>59</v>
      </c>
      <c r="G95">
        <v>43365</v>
      </c>
      <c r="H95">
        <v>770</v>
      </c>
      <c r="I95">
        <v>56647</v>
      </c>
      <c r="J95">
        <v>23.92</v>
      </c>
      <c r="K95">
        <v>24</v>
      </c>
      <c r="L95" t="s">
        <v>52</v>
      </c>
      <c r="M95">
        <v>24.98</v>
      </c>
      <c r="N95">
        <v>38072</v>
      </c>
      <c r="O95">
        <v>120510</v>
      </c>
      <c r="P95" t="s">
        <v>322</v>
      </c>
      <c r="Q95" t="s">
        <v>27</v>
      </c>
      <c r="R95" t="s">
        <v>28</v>
      </c>
      <c r="S95" t="s">
        <v>35</v>
      </c>
      <c r="T95">
        <v>2924.87</v>
      </c>
      <c r="U95">
        <f t="shared" si="14"/>
        <v>1907</v>
      </c>
      <c r="V95">
        <f t="shared" si="15"/>
        <v>674</v>
      </c>
      <c r="W95">
        <f t="shared" si="16"/>
        <v>616</v>
      </c>
      <c r="X95">
        <f t="shared" si="17"/>
        <v>0.35149999999999998</v>
      </c>
      <c r="Y95" s="1">
        <f t="shared" si="18"/>
        <v>98431377</v>
      </c>
      <c r="Z95">
        <f t="shared" si="19"/>
        <v>51615.824331410593</v>
      </c>
      <c r="AA95">
        <f t="shared" si="20"/>
        <v>99996</v>
      </c>
      <c r="AB95">
        <f t="shared" si="21"/>
        <v>5002</v>
      </c>
      <c r="AC95">
        <f t="shared" si="22"/>
        <v>2538426.0200000019</v>
      </c>
      <c r="AD95">
        <f t="shared" si="23"/>
        <v>1331.1096067121143</v>
      </c>
      <c r="AE95">
        <f t="shared" si="24"/>
        <v>0.35149999999999998</v>
      </c>
      <c r="AF95">
        <f t="shared" si="25"/>
        <v>2442980140.6200008</v>
      </c>
      <c r="AG95" t="str">
        <f t="shared" si="26"/>
        <v>Active</v>
      </c>
      <c r="AH95">
        <f t="shared" si="27"/>
        <v>35098.44</v>
      </c>
    </row>
    <row r="96" spans="1:34" x14ac:dyDescent="0.35">
      <c r="A96" t="s">
        <v>323</v>
      </c>
      <c r="B96" t="s">
        <v>324</v>
      </c>
      <c r="C96">
        <v>62</v>
      </c>
      <c r="D96" t="s">
        <v>22</v>
      </c>
      <c r="E96" t="s">
        <v>32</v>
      </c>
      <c r="F96" t="s">
        <v>24</v>
      </c>
      <c r="G96">
        <v>127165</v>
      </c>
      <c r="H96">
        <v>575</v>
      </c>
      <c r="I96">
        <v>51925</v>
      </c>
      <c r="J96">
        <v>4.25</v>
      </c>
      <c r="K96">
        <v>120</v>
      </c>
      <c r="L96" t="s">
        <v>25</v>
      </c>
      <c r="M96">
        <v>56.43</v>
      </c>
      <c r="N96">
        <v>49750</v>
      </c>
      <c r="O96">
        <v>120613</v>
      </c>
      <c r="P96" t="s">
        <v>325</v>
      </c>
      <c r="Q96" t="s">
        <v>42</v>
      </c>
      <c r="R96" t="s">
        <v>48</v>
      </c>
      <c r="S96" t="s">
        <v>68</v>
      </c>
      <c r="T96">
        <v>451.1</v>
      </c>
      <c r="U96">
        <f t="shared" si="14"/>
        <v>1906</v>
      </c>
      <c r="V96">
        <f t="shared" si="15"/>
        <v>674</v>
      </c>
      <c r="W96">
        <f t="shared" si="16"/>
        <v>616</v>
      </c>
      <c r="X96">
        <f t="shared" si="17"/>
        <v>0.35149999999999998</v>
      </c>
      <c r="Y96" s="1">
        <f t="shared" si="18"/>
        <v>98374730</v>
      </c>
      <c r="Z96">
        <f t="shared" si="19"/>
        <v>51613.184679958031</v>
      </c>
      <c r="AA96">
        <f t="shared" si="20"/>
        <v>99996</v>
      </c>
      <c r="AB96">
        <f t="shared" si="21"/>
        <v>5002</v>
      </c>
      <c r="AC96">
        <f t="shared" si="22"/>
        <v>2535501.1500000018</v>
      </c>
      <c r="AD96">
        <f t="shared" si="23"/>
        <v>1330.2734260230859</v>
      </c>
      <c r="AE96">
        <f t="shared" si="24"/>
        <v>0.35149999999999998</v>
      </c>
      <c r="AF96">
        <f t="shared" si="25"/>
        <v>2440441714.6000004</v>
      </c>
      <c r="AG96" t="str">
        <f t="shared" si="26"/>
        <v>Active</v>
      </c>
      <c r="AH96">
        <f t="shared" si="27"/>
        <v>5413.2000000000007</v>
      </c>
    </row>
    <row r="97" spans="1:34" x14ac:dyDescent="0.35">
      <c r="A97" t="s">
        <v>326</v>
      </c>
      <c r="B97" t="s">
        <v>327</v>
      </c>
      <c r="C97">
        <v>26</v>
      </c>
      <c r="D97" t="s">
        <v>22</v>
      </c>
      <c r="E97" t="s">
        <v>23</v>
      </c>
      <c r="F97" t="s">
        <v>24</v>
      </c>
      <c r="G97">
        <v>37625</v>
      </c>
      <c r="H97">
        <v>372</v>
      </c>
      <c r="I97">
        <v>68023</v>
      </c>
      <c r="J97">
        <v>12.33</v>
      </c>
      <c r="K97">
        <v>360</v>
      </c>
      <c r="L97" t="s">
        <v>40</v>
      </c>
      <c r="M97">
        <v>38.83</v>
      </c>
      <c r="N97">
        <v>72202</v>
      </c>
      <c r="O97">
        <v>8897</v>
      </c>
      <c r="P97" t="s">
        <v>328</v>
      </c>
      <c r="Q97" t="s">
        <v>27</v>
      </c>
      <c r="R97" t="s">
        <v>28</v>
      </c>
      <c r="S97" t="s">
        <v>49</v>
      </c>
      <c r="T97">
        <v>212.25</v>
      </c>
      <c r="U97">
        <f t="shared" si="14"/>
        <v>1905</v>
      </c>
      <c r="V97">
        <f t="shared" si="15"/>
        <v>673</v>
      </c>
      <c r="W97">
        <f t="shared" si="16"/>
        <v>616</v>
      </c>
      <c r="X97">
        <f t="shared" si="17"/>
        <v>0.35149999999999998</v>
      </c>
      <c r="Y97" s="1">
        <f t="shared" si="18"/>
        <v>98322805</v>
      </c>
      <c r="Z97">
        <f t="shared" si="19"/>
        <v>51613.02099737533</v>
      </c>
      <c r="AA97">
        <f t="shared" si="20"/>
        <v>99996</v>
      </c>
      <c r="AB97">
        <f t="shared" si="21"/>
        <v>5002</v>
      </c>
      <c r="AC97">
        <f t="shared" si="22"/>
        <v>2535050.0500000012</v>
      </c>
      <c r="AD97">
        <f t="shared" si="23"/>
        <v>1330.7349343832027</v>
      </c>
      <c r="AE97">
        <f t="shared" si="24"/>
        <v>0.35149999999999998</v>
      </c>
      <c r="AF97">
        <f t="shared" si="25"/>
        <v>2437906213.4500008</v>
      </c>
      <c r="AG97" t="str">
        <f t="shared" si="26"/>
        <v>Active</v>
      </c>
      <c r="AH97">
        <f t="shared" si="27"/>
        <v>2547</v>
      </c>
    </row>
    <row r="98" spans="1:34" x14ac:dyDescent="0.35">
      <c r="A98" t="s">
        <v>329</v>
      </c>
      <c r="B98" t="s">
        <v>330</v>
      </c>
      <c r="C98">
        <v>61</v>
      </c>
      <c r="D98" t="s">
        <v>22</v>
      </c>
      <c r="E98" t="s">
        <v>32</v>
      </c>
      <c r="F98" t="s">
        <v>24</v>
      </c>
      <c r="G98">
        <v>51575</v>
      </c>
      <c r="H98">
        <v>397</v>
      </c>
      <c r="I98">
        <v>22481</v>
      </c>
      <c r="J98">
        <v>15.64</v>
      </c>
      <c r="K98">
        <v>240</v>
      </c>
      <c r="L98" t="s">
        <v>86</v>
      </c>
      <c r="M98">
        <v>22.72</v>
      </c>
      <c r="N98">
        <v>21303</v>
      </c>
      <c r="O98">
        <v>150979</v>
      </c>
      <c r="P98" t="s">
        <v>331</v>
      </c>
      <c r="Q98" t="s">
        <v>61</v>
      </c>
      <c r="R98" t="s">
        <v>28</v>
      </c>
      <c r="S98" t="s">
        <v>29</v>
      </c>
      <c r="T98">
        <v>108.32</v>
      </c>
      <c r="U98">
        <f t="shared" si="14"/>
        <v>1904</v>
      </c>
      <c r="V98">
        <f t="shared" si="15"/>
        <v>673</v>
      </c>
      <c r="W98">
        <f t="shared" si="16"/>
        <v>616</v>
      </c>
      <c r="X98">
        <f t="shared" si="17"/>
        <v>0.35149999999999998</v>
      </c>
      <c r="Y98" s="1">
        <f t="shared" si="18"/>
        <v>98254782</v>
      </c>
      <c r="Z98">
        <f t="shared" si="19"/>
        <v>51604.402310924372</v>
      </c>
      <c r="AA98">
        <f t="shared" si="20"/>
        <v>99996</v>
      </c>
      <c r="AB98">
        <f t="shared" si="21"/>
        <v>5002</v>
      </c>
      <c r="AC98">
        <f t="shared" si="22"/>
        <v>2534837.8000000012</v>
      </c>
      <c r="AD98">
        <f t="shared" si="23"/>
        <v>1331.3223739495804</v>
      </c>
      <c r="AE98">
        <f t="shared" si="24"/>
        <v>0.35149999999999998</v>
      </c>
      <c r="AF98">
        <f t="shared" si="25"/>
        <v>2435371163.4000001</v>
      </c>
      <c r="AG98" t="str">
        <f t="shared" si="26"/>
        <v>Active</v>
      </c>
      <c r="AH98">
        <f t="shared" si="27"/>
        <v>1299.8399999999999</v>
      </c>
    </row>
    <row r="99" spans="1:34" x14ac:dyDescent="0.35">
      <c r="A99" t="s">
        <v>332</v>
      </c>
      <c r="B99" t="s">
        <v>333</v>
      </c>
      <c r="C99">
        <v>45</v>
      </c>
      <c r="D99" t="s">
        <v>22</v>
      </c>
      <c r="E99" t="s">
        <v>23</v>
      </c>
      <c r="F99" t="s">
        <v>24</v>
      </c>
      <c r="G99">
        <v>83877</v>
      </c>
      <c r="H99">
        <v>695</v>
      </c>
      <c r="I99">
        <v>31378</v>
      </c>
      <c r="J99">
        <v>7.83</v>
      </c>
      <c r="K99">
        <v>36</v>
      </c>
      <c r="L99" t="s">
        <v>40</v>
      </c>
      <c r="M99">
        <v>6.89</v>
      </c>
      <c r="N99">
        <v>17785</v>
      </c>
      <c r="O99">
        <v>215513</v>
      </c>
      <c r="P99" t="s">
        <v>334</v>
      </c>
      <c r="Q99" t="s">
        <v>61</v>
      </c>
      <c r="R99" t="s">
        <v>48</v>
      </c>
      <c r="S99" t="s">
        <v>49</v>
      </c>
      <c r="T99">
        <v>939.86</v>
      </c>
      <c r="U99">
        <f t="shared" si="14"/>
        <v>1903</v>
      </c>
      <c r="V99">
        <f t="shared" si="15"/>
        <v>673</v>
      </c>
      <c r="W99">
        <f t="shared" si="16"/>
        <v>615</v>
      </c>
      <c r="X99">
        <f t="shared" si="17"/>
        <v>0.35149999999999998</v>
      </c>
      <c r="Y99" s="1">
        <f t="shared" si="18"/>
        <v>98232301</v>
      </c>
      <c r="Z99">
        <f t="shared" si="19"/>
        <v>51619.70625328429</v>
      </c>
      <c r="AA99">
        <f t="shared" si="20"/>
        <v>99996</v>
      </c>
      <c r="AB99">
        <f t="shared" si="21"/>
        <v>5002</v>
      </c>
      <c r="AC99">
        <f t="shared" si="22"/>
        <v>2534729.4800000014</v>
      </c>
      <c r="AD99">
        <f t="shared" si="23"/>
        <v>1331.965044666317</v>
      </c>
      <c r="AE99">
        <f t="shared" si="24"/>
        <v>0.35149999999999998</v>
      </c>
      <c r="AF99">
        <f t="shared" si="25"/>
        <v>2432836325.6000004</v>
      </c>
      <c r="AG99" t="str">
        <f t="shared" si="26"/>
        <v>Active</v>
      </c>
      <c r="AH99">
        <f t="shared" si="27"/>
        <v>11278.32</v>
      </c>
    </row>
    <row r="100" spans="1:34" x14ac:dyDescent="0.35">
      <c r="A100" t="s">
        <v>335</v>
      </c>
      <c r="B100" t="s">
        <v>336</v>
      </c>
      <c r="C100">
        <v>53</v>
      </c>
      <c r="D100" t="s">
        <v>38</v>
      </c>
      <c r="E100" t="s">
        <v>39</v>
      </c>
      <c r="F100" t="s">
        <v>59</v>
      </c>
      <c r="G100">
        <v>79495</v>
      </c>
      <c r="H100">
        <v>483</v>
      </c>
      <c r="I100">
        <v>22554</v>
      </c>
      <c r="J100">
        <v>16.57</v>
      </c>
      <c r="K100">
        <v>36</v>
      </c>
      <c r="L100" t="s">
        <v>52</v>
      </c>
      <c r="M100">
        <v>47.48</v>
      </c>
      <c r="N100">
        <v>25680</v>
      </c>
      <c r="O100">
        <v>208917</v>
      </c>
      <c r="P100" t="s">
        <v>337</v>
      </c>
      <c r="Q100" t="s">
        <v>42</v>
      </c>
      <c r="R100" t="s">
        <v>48</v>
      </c>
      <c r="S100" t="s">
        <v>43</v>
      </c>
      <c r="T100">
        <v>730.31</v>
      </c>
      <c r="U100">
        <f t="shared" si="14"/>
        <v>1902</v>
      </c>
      <c r="V100">
        <f t="shared" si="15"/>
        <v>673</v>
      </c>
      <c r="W100">
        <f t="shared" si="16"/>
        <v>614</v>
      </c>
      <c r="X100">
        <f t="shared" si="17"/>
        <v>0.35149999999999998</v>
      </c>
      <c r="Y100" s="1">
        <f t="shared" si="18"/>
        <v>98200923</v>
      </c>
      <c r="Z100">
        <f t="shared" si="19"/>
        <v>51630.348580441641</v>
      </c>
      <c r="AA100">
        <f t="shared" si="20"/>
        <v>99996</v>
      </c>
      <c r="AB100">
        <f t="shared" si="21"/>
        <v>5002</v>
      </c>
      <c r="AC100">
        <f t="shared" si="22"/>
        <v>2533789.620000001</v>
      </c>
      <c r="AD100">
        <f t="shared" si="23"/>
        <v>1332.1711987381709</v>
      </c>
      <c r="AE100">
        <f t="shared" si="24"/>
        <v>0.35149999999999998</v>
      </c>
      <c r="AF100">
        <f t="shared" si="25"/>
        <v>2430301596.1199999</v>
      </c>
      <c r="AG100" t="str">
        <f t="shared" si="26"/>
        <v>Active</v>
      </c>
      <c r="AH100">
        <f t="shared" si="27"/>
        <v>8763.7199999999993</v>
      </c>
    </row>
    <row r="101" spans="1:34" x14ac:dyDescent="0.35">
      <c r="A101" t="s">
        <v>338</v>
      </c>
      <c r="B101" t="s">
        <v>339</v>
      </c>
      <c r="C101">
        <v>26</v>
      </c>
      <c r="D101" t="s">
        <v>22</v>
      </c>
      <c r="E101" t="s">
        <v>32</v>
      </c>
      <c r="F101" t="s">
        <v>46</v>
      </c>
      <c r="G101">
        <v>130165</v>
      </c>
      <c r="H101">
        <v>314</v>
      </c>
      <c r="I101">
        <v>5002</v>
      </c>
      <c r="J101">
        <v>12.93</v>
      </c>
      <c r="K101">
        <v>24</v>
      </c>
      <c r="L101" t="s">
        <v>40</v>
      </c>
      <c r="M101">
        <v>29.76</v>
      </c>
      <c r="N101">
        <v>7283</v>
      </c>
      <c r="O101">
        <v>225613</v>
      </c>
      <c r="P101" t="s">
        <v>340</v>
      </c>
      <c r="Q101" t="s">
        <v>42</v>
      </c>
      <c r="R101" t="s">
        <v>28</v>
      </c>
      <c r="S101" t="s">
        <v>49</v>
      </c>
      <c r="T101">
        <v>235.36</v>
      </c>
      <c r="U101">
        <f t="shared" si="14"/>
        <v>1901</v>
      </c>
      <c r="V101">
        <f t="shared" si="15"/>
        <v>672</v>
      </c>
      <c r="W101">
        <f t="shared" si="16"/>
        <v>614</v>
      </c>
      <c r="X101">
        <f t="shared" si="17"/>
        <v>0.35149999999999998</v>
      </c>
      <c r="Y101" s="1">
        <f t="shared" si="18"/>
        <v>98178369</v>
      </c>
      <c r="Z101">
        <f t="shared" si="19"/>
        <v>51645.643871646505</v>
      </c>
      <c r="AA101">
        <f t="shared" si="20"/>
        <v>99996</v>
      </c>
      <c r="AB101">
        <f t="shared" si="21"/>
        <v>5002</v>
      </c>
      <c r="AC101">
        <f t="shared" si="22"/>
        <v>2533059.3100000015</v>
      </c>
      <c r="AD101">
        <f t="shared" si="23"/>
        <v>1332.4878011572864</v>
      </c>
      <c r="AE101">
        <f t="shared" si="24"/>
        <v>0.35149999999999998</v>
      </c>
      <c r="AF101">
        <f t="shared" si="25"/>
        <v>2427767806.5</v>
      </c>
      <c r="AG101" t="str">
        <f t="shared" si="26"/>
        <v>Active</v>
      </c>
      <c r="AH101">
        <f t="shared" si="27"/>
        <v>2824.32</v>
      </c>
    </row>
    <row r="102" spans="1:34" x14ac:dyDescent="0.35">
      <c r="A102" t="s">
        <v>341</v>
      </c>
      <c r="B102" t="s">
        <v>342</v>
      </c>
      <c r="C102">
        <v>41</v>
      </c>
      <c r="D102" t="s">
        <v>38</v>
      </c>
      <c r="E102" t="s">
        <v>39</v>
      </c>
      <c r="F102" t="s">
        <v>46</v>
      </c>
      <c r="G102">
        <v>180286</v>
      </c>
      <c r="H102">
        <v>501</v>
      </c>
      <c r="I102">
        <v>86487</v>
      </c>
      <c r="J102">
        <v>22.57</v>
      </c>
      <c r="K102">
        <v>24</v>
      </c>
      <c r="L102" t="s">
        <v>52</v>
      </c>
      <c r="M102">
        <v>54.07</v>
      </c>
      <c r="N102">
        <v>14102</v>
      </c>
      <c r="O102">
        <v>84673</v>
      </c>
      <c r="P102" t="s">
        <v>343</v>
      </c>
      <c r="Q102" t="s">
        <v>61</v>
      </c>
      <c r="R102" t="s">
        <v>48</v>
      </c>
      <c r="S102" t="s">
        <v>49</v>
      </c>
      <c r="T102">
        <v>4416.96</v>
      </c>
      <c r="U102">
        <f t="shared" si="14"/>
        <v>1900</v>
      </c>
      <c r="V102">
        <f t="shared" si="15"/>
        <v>671</v>
      </c>
      <c r="W102">
        <f t="shared" si="16"/>
        <v>614</v>
      </c>
      <c r="X102">
        <f t="shared" si="17"/>
        <v>0.35149999999999998</v>
      </c>
      <c r="Y102" s="1">
        <f t="shared" si="18"/>
        <v>98173367</v>
      </c>
      <c r="Z102">
        <f t="shared" si="19"/>
        <v>51670.193157894733</v>
      </c>
      <c r="AA102">
        <f t="shared" si="20"/>
        <v>99996</v>
      </c>
      <c r="AB102">
        <f t="shared" si="21"/>
        <v>5091</v>
      </c>
      <c r="AC102">
        <f t="shared" si="22"/>
        <v>2532823.9500000016</v>
      </c>
      <c r="AD102">
        <f t="shared" si="23"/>
        <v>1333.0652368421061</v>
      </c>
      <c r="AE102">
        <f t="shared" si="24"/>
        <v>0.35149999999999998</v>
      </c>
      <c r="AF102">
        <f t="shared" si="25"/>
        <v>2425234747.1900001</v>
      </c>
      <c r="AG102" t="str">
        <f t="shared" si="26"/>
        <v>Active</v>
      </c>
      <c r="AH102">
        <f t="shared" si="27"/>
        <v>53003.520000000004</v>
      </c>
    </row>
    <row r="103" spans="1:34" x14ac:dyDescent="0.35">
      <c r="A103" t="s">
        <v>344</v>
      </c>
      <c r="B103" t="s">
        <v>345</v>
      </c>
      <c r="C103">
        <v>48</v>
      </c>
      <c r="D103" t="s">
        <v>22</v>
      </c>
      <c r="E103" t="s">
        <v>39</v>
      </c>
      <c r="F103" t="s">
        <v>24</v>
      </c>
      <c r="G103">
        <v>74565</v>
      </c>
      <c r="H103">
        <v>442</v>
      </c>
      <c r="I103">
        <v>32858</v>
      </c>
      <c r="J103">
        <v>22.57</v>
      </c>
      <c r="K103">
        <v>24</v>
      </c>
      <c r="L103" t="s">
        <v>86</v>
      </c>
      <c r="M103">
        <v>18.440000000000001</v>
      </c>
      <c r="N103">
        <v>67546</v>
      </c>
      <c r="O103">
        <v>81210</v>
      </c>
      <c r="P103" t="s">
        <v>346</v>
      </c>
      <c r="Q103" t="s">
        <v>27</v>
      </c>
      <c r="R103" t="s">
        <v>48</v>
      </c>
      <c r="S103" t="s">
        <v>29</v>
      </c>
      <c r="T103">
        <v>1678.09</v>
      </c>
      <c r="U103">
        <f t="shared" si="14"/>
        <v>1899</v>
      </c>
      <c r="V103">
        <f t="shared" si="15"/>
        <v>671</v>
      </c>
      <c r="W103">
        <f t="shared" si="16"/>
        <v>613</v>
      </c>
      <c r="X103">
        <f t="shared" si="17"/>
        <v>0.35149999999999998</v>
      </c>
      <c r="Y103" s="1">
        <f t="shared" si="18"/>
        <v>98086880</v>
      </c>
      <c r="Z103">
        <f t="shared" si="19"/>
        <v>51651.8588730911</v>
      </c>
      <c r="AA103">
        <f t="shared" si="20"/>
        <v>99996</v>
      </c>
      <c r="AB103">
        <f t="shared" si="21"/>
        <v>5091</v>
      </c>
      <c r="AC103">
        <f t="shared" si="22"/>
        <v>2528406.9900000007</v>
      </c>
      <c r="AD103">
        <f t="shared" si="23"/>
        <v>1331.4412796208535</v>
      </c>
      <c r="AE103">
        <f t="shared" si="24"/>
        <v>0.35149999999999998</v>
      </c>
      <c r="AF103">
        <f t="shared" si="25"/>
        <v>2422701923.2400002</v>
      </c>
      <c r="AG103" t="str">
        <f t="shared" si="26"/>
        <v>Active</v>
      </c>
      <c r="AH103">
        <f t="shared" si="27"/>
        <v>20137.079999999998</v>
      </c>
    </row>
    <row r="104" spans="1:34" x14ac:dyDescent="0.35">
      <c r="A104" t="s">
        <v>347</v>
      </c>
      <c r="B104" t="s">
        <v>348</v>
      </c>
      <c r="C104">
        <v>44</v>
      </c>
      <c r="D104" t="s">
        <v>22</v>
      </c>
      <c r="E104" t="s">
        <v>23</v>
      </c>
      <c r="F104" t="s">
        <v>46</v>
      </c>
      <c r="G104">
        <v>28809</v>
      </c>
      <c r="H104">
        <v>496</v>
      </c>
      <c r="I104">
        <v>39736</v>
      </c>
      <c r="J104">
        <v>12.66</v>
      </c>
      <c r="K104">
        <v>240</v>
      </c>
      <c r="L104" t="s">
        <v>33</v>
      </c>
      <c r="M104">
        <v>34.049999999999997</v>
      </c>
      <c r="N104">
        <v>10587</v>
      </c>
      <c r="O104">
        <v>5924</v>
      </c>
      <c r="P104" t="s">
        <v>349</v>
      </c>
      <c r="Q104" t="s">
        <v>61</v>
      </c>
      <c r="R104" t="s">
        <v>48</v>
      </c>
      <c r="S104" t="s">
        <v>49</v>
      </c>
      <c r="T104">
        <v>186.53</v>
      </c>
      <c r="U104">
        <f t="shared" si="14"/>
        <v>1898</v>
      </c>
      <c r="V104">
        <f t="shared" si="15"/>
        <v>671</v>
      </c>
      <c r="W104">
        <f t="shared" si="16"/>
        <v>613</v>
      </c>
      <c r="X104">
        <f t="shared" si="17"/>
        <v>0.35149999999999998</v>
      </c>
      <c r="Y104" s="1">
        <f t="shared" si="18"/>
        <v>98054022</v>
      </c>
      <c r="Z104">
        <f t="shared" si="19"/>
        <v>51661.760800842996</v>
      </c>
      <c r="AA104">
        <f t="shared" si="20"/>
        <v>99996</v>
      </c>
      <c r="AB104">
        <f t="shared" si="21"/>
        <v>5091</v>
      </c>
      <c r="AC104">
        <f t="shared" si="22"/>
        <v>2526728.9000000008</v>
      </c>
      <c r="AD104">
        <f t="shared" si="23"/>
        <v>1331.2586406743944</v>
      </c>
      <c r="AE104">
        <f t="shared" si="24"/>
        <v>0.35149999999999998</v>
      </c>
      <c r="AF104">
        <f t="shared" si="25"/>
        <v>2420173516.2499995</v>
      </c>
      <c r="AG104" t="str">
        <f t="shared" si="26"/>
        <v>Active</v>
      </c>
      <c r="AH104">
        <f t="shared" si="27"/>
        <v>2238.36</v>
      </c>
    </row>
    <row r="105" spans="1:34" x14ac:dyDescent="0.35">
      <c r="A105" t="s">
        <v>350</v>
      </c>
      <c r="B105" t="s">
        <v>351</v>
      </c>
      <c r="C105">
        <v>61</v>
      </c>
      <c r="D105" t="s">
        <v>22</v>
      </c>
      <c r="E105" t="s">
        <v>39</v>
      </c>
      <c r="F105" t="s">
        <v>59</v>
      </c>
      <c r="G105">
        <v>121040</v>
      </c>
      <c r="H105">
        <v>369</v>
      </c>
      <c r="I105">
        <v>73093</v>
      </c>
      <c r="J105">
        <v>20.66</v>
      </c>
      <c r="K105">
        <v>180</v>
      </c>
      <c r="L105" t="s">
        <v>52</v>
      </c>
      <c r="M105">
        <v>39.200000000000003</v>
      </c>
      <c r="N105">
        <v>60595</v>
      </c>
      <c r="O105">
        <v>195313</v>
      </c>
      <c r="P105" t="s">
        <v>352</v>
      </c>
      <c r="Q105" t="s">
        <v>42</v>
      </c>
      <c r="R105" t="s">
        <v>28</v>
      </c>
      <c r="S105" t="s">
        <v>35</v>
      </c>
      <c r="T105">
        <v>489.97</v>
      </c>
      <c r="U105">
        <f t="shared" si="14"/>
        <v>1897</v>
      </c>
      <c r="V105">
        <f t="shared" si="15"/>
        <v>671</v>
      </c>
      <c r="W105">
        <f t="shared" si="16"/>
        <v>612</v>
      </c>
      <c r="X105">
        <f t="shared" si="17"/>
        <v>0.35149999999999998</v>
      </c>
      <c r="Y105" s="1">
        <f t="shared" si="18"/>
        <v>98014286</v>
      </c>
      <c r="Z105">
        <f t="shared" si="19"/>
        <v>51668.047443331576</v>
      </c>
      <c r="AA105">
        <f t="shared" si="20"/>
        <v>99996</v>
      </c>
      <c r="AB105">
        <f t="shared" si="21"/>
        <v>5091</v>
      </c>
      <c r="AC105">
        <f t="shared" si="22"/>
        <v>2526542.370000001</v>
      </c>
      <c r="AD105">
        <f t="shared" si="23"/>
        <v>1331.8620822351086</v>
      </c>
      <c r="AE105">
        <f t="shared" si="24"/>
        <v>0.35149999999999998</v>
      </c>
      <c r="AF105">
        <f t="shared" si="25"/>
        <v>2417646787.3499999</v>
      </c>
      <c r="AG105" t="str">
        <f t="shared" si="26"/>
        <v>Active</v>
      </c>
      <c r="AH105">
        <f t="shared" si="27"/>
        <v>5879.64</v>
      </c>
    </row>
    <row r="106" spans="1:34" x14ac:dyDescent="0.35">
      <c r="A106" t="s">
        <v>353</v>
      </c>
      <c r="B106" t="s">
        <v>354</v>
      </c>
      <c r="C106">
        <v>38</v>
      </c>
      <c r="D106" t="s">
        <v>38</v>
      </c>
      <c r="E106" t="s">
        <v>23</v>
      </c>
      <c r="F106" t="s">
        <v>59</v>
      </c>
      <c r="G106">
        <v>128730</v>
      </c>
      <c r="H106">
        <v>569</v>
      </c>
      <c r="I106">
        <v>18682</v>
      </c>
      <c r="J106">
        <v>20.53</v>
      </c>
      <c r="K106">
        <v>60</v>
      </c>
      <c r="L106" t="s">
        <v>33</v>
      </c>
      <c r="M106">
        <v>28.9</v>
      </c>
      <c r="N106">
        <v>34334</v>
      </c>
      <c r="O106">
        <v>64006</v>
      </c>
      <c r="P106" t="s">
        <v>355</v>
      </c>
      <c r="Q106" t="s">
        <v>42</v>
      </c>
      <c r="R106" t="s">
        <v>28</v>
      </c>
      <c r="S106" t="s">
        <v>43</v>
      </c>
      <c r="T106">
        <v>375.29</v>
      </c>
      <c r="U106">
        <f t="shared" si="14"/>
        <v>1896</v>
      </c>
      <c r="V106">
        <f t="shared" si="15"/>
        <v>670</v>
      </c>
      <c r="W106">
        <f t="shared" si="16"/>
        <v>612</v>
      </c>
      <c r="X106">
        <f t="shared" si="17"/>
        <v>0.35149999999999998</v>
      </c>
      <c r="Y106" s="1">
        <f t="shared" si="18"/>
        <v>97941193</v>
      </c>
      <c r="Z106">
        <f t="shared" si="19"/>
        <v>51656.747362869195</v>
      </c>
      <c r="AA106">
        <f t="shared" si="20"/>
        <v>99996</v>
      </c>
      <c r="AB106">
        <f t="shared" si="21"/>
        <v>5091</v>
      </c>
      <c r="AC106">
        <f t="shared" si="22"/>
        <v>2526052.4000000008</v>
      </c>
      <c r="AD106">
        <f t="shared" si="23"/>
        <v>1332.3061181434603</v>
      </c>
      <c r="AE106">
        <f t="shared" si="24"/>
        <v>0.35149999999999998</v>
      </c>
      <c r="AF106">
        <f t="shared" si="25"/>
        <v>2415120244.98</v>
      </c>
      <c r="AG106" t="str">
        <f t="shared" si="26"/>
        <v>Active</v>
      </c>
      <c r="AH106">
        <f t="shared" si="27"/>
        <v>4503.4800000000005</v>
      </c>
    </row>
    <row r="107" spans="1:34" x14ac:dyDescent="0.35">
      <c r="A107" t="s">
        <v>356</v>
      </c>
      <c r="B107" t="s">
        <v>357</v>
      </c>
      <c r="C107">
        <v>43</v>
      </c>
      <c r="D107" t="s">
        <v>22</v>
      </c>
      <c r="E107" t="s">
        <v>23</v>
      </c>
      <c r="F107" t="s">
        <v>24</v>
      </c>
      <c r="G107">
        <v>110740</v>
      </c>
      <c r="H107">
        <v>579</v>
      </c>
      <c r="I107">
        <v>53084</v>
      </c>
      <c r="J107">
        <v>16.63</v>
      </c>
      <c r="K107">
        <v>240</v>
      </c>
      <c r="L107" t="s">
        <v>25</v>
      </c>
      <c r="M107">
        <v>34.229999999999997</v>
      </c>
      <c r="N107">
        <v>75083</v>
      </c>
      <c r="O107">
        <v>135092</v>
      </c>
      <c r="P107" t="s">
        <v>358</v>
      </c>
      <c r="Q107" t="s">
        <v>61</v>
      </c>
      <c r="R107" t="s">
        <v>28</v>
      </c>
      <c r="S107" t="s">
        <v>35</v>
      </c>
      <c r="T107">
        <v>257.97000000000003</v>
      </c>
      <c r="U107">
        <f t="shared" si="14"/>
        <v>1895</v>
      </c>
      <c r="V107">
        <f t="shared" si="15"/>
        <v>669</v>
      </c>
      <c r="W107">
        <f t="shared" si="16"/>
        <v>612</v>
      </c>
      <c r="X107">
        <f t="shared" si="17"/>
        <v>0.35149999999999998</v>
      </c>
      <c r="Y107" s="1">
        <f t="shared" si="18"/>
        <v>97922511</v>
      </c>
      <c r="Z107">
        <f t="shared" si="19"/>
        <v>51674.148284960422</v>
      </c>
      <c r="AA107">
        <f t="shared" si="20"/>
        <v>99996</v>
      </c>
      <c r="AB107">
        <f t="shared" si="21"/>
        <v>5091</v>
      </c>
      <c r="AC107">
        <f t="shared" si="22"/>
        <v>2525677.1100000013</v>
      </c>
      <c r="AD107">
        <f t="shared" si="23"/>
        <v>1332.8111398416893</v>
      </c>
      <c r="AE107">
        <f t="shared" si="24"/>
        <v>0.35149999999999998</v>
      </c>
      <c r="AF107">
        <f t="shared" si="25"/>
        <v>2412594192.5799994</v>
      </c>
      <c r="AG107" t="str">
        <f t="shared" si="26"/>
        <v>Active</v>
      </c>
      <c r="AH107">
        <f t="shared" si="27"/>
        <v>3095.6400000000003</v>
      </c>
    </row>
    <row r="108" spans="1:34" x14ac:dyDescent="0.35">
      <c r="A108" t="s">
        <v>359</v>
      </c>
      <c r="B108" t="s">
        <v>360</v>
      </c>
      <c r="C108">
        <v>63</v>
      </c>
      <c r="D108" t="s">
        <v>38</v>
      </c>
      <c r="E108" t="s">
        <v>32</v>
      </c>
      <c r="F108" t="s">
        <v>24</v>
      </c>
      <c r="G108">
        <v>172564</v>
      </c>
      <c r="H108">
        <v>652</v>
      </c>
      <c r="I108">
        <v>52367</v>
      </c>
      <c r="J108">
        <v>23.61</v>
      </c>
      <c r="K108">
        <v>24</v>
      </c>
      <c r="L108" t="s">
        <v>25</v>
      </c>
      <c r="M108">
        <v>12.46</v>
      </c>
      <c r="N108">
        <v>36402</v>
      </c>
      <c r="O108">
        <v>34965</v>
      </c>
      <c r="P108" t="s">
        <v>361</v>
      </c>
      <c r="Q108" t="s">
        <v>61</v>
      </c>
      <c r="R108" t="s">
        <v>48</v>
      </c>
      <c r="S108" t="s">
        <v>29</v>
      </c>
      <c r="T108">
        <v>2697.12</v>
      </c>
      <c r="U108">
        <f t="shared" si="14"/>
        <v>1894</v>
      </c>
      <c r="V108">
        <f t="shared" si="15"/>
        <v>669</v>
      </c>
      <c r="W108">
        <f t="shared" si="16"/>
        <v>611</v>
      </c>
      <c r="X108">
        <f t="shared" si="17"/>
        <v>0.35149999999999998</v>
      </c>
      <c r="Y108" s="1">
        <f t="shared" si="18"/>
        <v>97869427</v>
      </c>
      <c r="Z108">
        <f t="shared" si="19"/>
        <v>51673.403907074971</v>
      </c>
      <c r="AA108">
        <f t="shared" si="20"/>
        <v>99996</v>
      </c>
      <c r="AB108">
        <f t="shared" si="21"/>
        <v>5091</v>
      </c>
      <c r="AC108">
        <f t="shared" si="22"/>
        <v>2525419.1400000011</v>
      </c>
      <c r="AD108">
        <f t="shared" si="23"/>
        <v>1333.3786378035909</v>
      </c>
      <c r="AE108">
        <f t="shared" si="24"/>
        <v>0.35149999999999998</v>
      </c>
      <c r="AF108">
        <f t="shared" si="25"/>
        <v>2410068515.4699993</v>
      </c>
      <c r="AG108" t="str">
        <f t="shared" si="26"/>
        <v>Active</v>
      </c>
      <c r="AH108">
        <f t="shared" si="27"/>
        <v>32365.439999999999</v>
      </c>
    </row>
    <row r="109" spans="1:34" x14ac:dyDescent="0.35">
      <c r="A109" t="s">
        <v>362</v>
      </c>
      <c r="B109" t="s">
        <v>363</v>
      </c>
      <c r="C109">
        <v>47</v>
      </c>
      <c r="D109" t="s">
        <v>38</v>
      </c>
      <c r="E109" t="s">
        <v>23</v>
      </c>
      <c r="F109" t="s">
        <v>24</v>
      </c>
      <c r="G109">
        <v>189611</v>
      </c>
      <c r="H109">
        <v>438</v>
      </c>
      <c r="I109">
        <v>86626</v>
      </c>
      <c r="J109">
        <v>12.77</v>
      </c>
      <c r="K109">
        <v>60</v>
      </c>
      <c r="L109" t="s">
        <v>52</v>
      </c>
      <c r="M109">
        <v>30.25</v>
      </c>
      <c r="N109">
        <v>55694</v>
      </c>
      <c r="O109">
        <v>185803</v>
      </c>
      <c r="P109" t="s">
        <v>364</v>
      </c>
      <c r="Q109" t="s">
        <v>61</v>
      </c>
      <c r="R109" t="s">
        <v>48</v>
      </c>
      <c r="S109" t="s">
        <v>29</v>
      </c>
      <c r="T109">
        <v>1628.14</v>
      </c>
      <c r="U109">
        <f t="shared" si="14"/>
        <v>1893</v>
      </c>
      <c r="V109">
        <f t="shared" si="15"/>
        <v>669</v>
      </c>
      <c r="W109">
        <f t="shared" si="16"/>
        <v>610</v>
      </c>
      <c r="X109">
        <f t="shared" si="17"/>
        <v>0.35149999999999998</v>
      </c>
      <c r="Y109" s="1">
        <f t="shared" si="18"/>
        <v>97817060</v>
      </c>
      <c r="Z109">
        <f t="shared" si="19"/>
        <v>51673.037506603272</v>
      </c>
      <c r="AA109">
        <f t="shared" si="20"/>
        <v>99996</v>
      </c>
      <c r="AB109">
        <f t="shared" si="21"/>
        <v>5091</v>
      </c>
      <c r="AC109">
        <f t="shared" si="22"/>
        <v>2522722.0200000009</v>
      </c>
      <c r="AD109">
        <f t="shared" si="23"/>
        <v>1332.6582250396202</v>
      </c>
      <c r="AE109">
        <f t="shared" si="24"/>
        <v>0.35149999999999998</v>
      </c>
      <c r="AF109">
        <f t="shared" si="25"/>
        <v>2407543096.3299999</v>
      </c>
      <c r="AG109" t="str">
        <f t="shared" si="26"/>
        <v>Active</v>
      </c>
      <c r="AH109">
        <f t="shared" si="27"/>
        <v>19537.68</v>
      </c>
    </row>
    <row r="110" spans="1:34" x14ac:dyDescent="0.35">
      <c r="A110" t="s">
        <v>365</v>
      </c>
      <c r="B110" t="s">
        <v>366</v>
      </c>
      <c r="C110">
        <v>25</v>
      </c>
      <c r="D110" t="s">
        <v>22</v>
      </c>
      <c r="E110" t="s">
        <v>39</v>
      </c>
      <c r="F110" t="s">
        <v>46</v>
      </c>
      <c r="G110">
        <v>122799</v>
      </c>
      <c r="H110">
        <v>551</v>
      </c>
      <c r="I110">
        <v>75196</v>
      </c>
      <c r="J110">
        <v>6.45</v>
      </c>
      <c r="K110">
        <v>180</v>
      </c>
      <c r="L110" t="s">
        <v>25</v>
      </c>
      <c r="M110">
        <v>17.46</v>
      </c>
      <c r="N110">
        <v>22471</v>
      </c>
      <c r="O110">
        <v>210978</v>
      </c>
      <c r="P110" t="s">
        <v>367</v>
      </c>
      <c r="Q110" t="s">
        <v>27</v>
      </c>
      <c r="R110" t="s">
        <v>48</v>
      </c>
      <c r="S110" t="s">
        <v>49</v>
      </c>
      <c r="T110">
        <v>444.7</v>
      </c>
      <c r="U110">
        <f t="shared" si="14"/>
        <v>1892</v>
      </c>
      <c r="V110">
        <f t="shared" si="15"/>
        <v>669</v>
      </c>
      <c r="W110">
        <f t="shared" si="16"/>
        <v>609</v>
      </c>
      <c r="X110">
        <f t="shared" si="17"/>
        <v>0.35149999999999998</v>
      </c>
      <c r="Y110" s="1">
        <f t="shared" si="18"/>
        <v>97730434</v>
      </c>
      <c r="Z110">
        <f t="shared" si="19"/>
        <v>51654.563424947148</v>
      </c>
      <c r="AA110">
        <f t="shared" si="20"/>
        <v>99996</v>
      </c>
      <c r="AB110">
        <f t="shared" si="21"/>
        <v>5091</v>
      </c>
      <c r="AC110">
        <f t="shared" si="22"/>
        <v>2521093.8800000004</v>
      </c>
      <c r="AD110">
        <f t="shared" si="23"/>
        <v>1332.5020507399579</v>
      </c>
      <c r="AE110">
        <f t="shared" si="24"/>
        <v>0.35149999999999998</v>
      </c>
      <c r="AF110">
        <f t="shared" si="25"/>
        <v>2405020374.3099995</v>
      </c>
      <c r="AG110" t="str">
        <f t="shared" si="26"/>
        <v>Active</v>
      </c>
      <c r="AH110">
        <f t="shared" si="27"/>
        <v>5336.4</v>
      </c>
    </row>
    <row r="111" spans="1:34" x14ac:dyDescent="0.35">
      <c r="A111" t="s">
        <v>368</v>
      </c>
      <c r="B111" t="s">
        <v>369</v>
      </c>
      <c r="C111">
        <v>57</v>
      </c>
      <c r="D111" t="s">
        <v>38</v>
      </c>
      <c r="E111" t="s">
        <v>32</v>
      </c>
      <c r="F111" t="s">
        <v>24</v>
      </c>
      <c r="G111">
        <v>128359</v>
      </c>
      <c r="H111">
        <v>522</v>
      </c>
      <c r="I111">
        <v>57152</v>
      </c>
      <c r="J111">
        <v>18.739999999999998</v>
      </c>
      <c r="K111">
        <v>24</v>
      </c>
      <c r="L111" t="s">
        <v>40</v>
      </c>
      <c r="M111">
        <v>12.29</v>
      </c>
      <c r="N111">
        <v>3214</v>
      </c>
      <c r="O111">
        <v>47686</v>
      </c>
      <c r="P111" t="s">
        <v>370</v>
      </c>
      <c r="Q111" t="s">
        <v>27</v>
      </c>
      <c r="R111" t="s">
        <v>48</v>
      </c>
      <c r="S111" t="s">
        <v>35</v>
      </c>
      <c r="T111">
        <v>2827.6</v>
      </c>
      <c r="U111">
        <f t="shared" si="14"/>
        <v>1891</v>
      </c>
      <c r="V111">
        <f t="shared" si="15"/>
        <v>669</v>
      </c>
      <c r="W111">
        <f t="shared" si="16"/>
        <v>609</v>
      </c>
      <c r="X111">
        <f t="shared" si="17"/>
        <v>0.35149999999999998</v>
      </c>
      <c r="Y111" s="1">
        <f t="shared" si="18"/>
        <v>97655238</v>
      </c>
      <c r="Z111">
        <f t="shared" si="19"/>
        <v>51642.114225277634</v>
      </c>
      <c r="AA111">
        <f t="shared" si="20"/>
        <v>99996</v>
      </c>
      <c r="AB111">
        <f t="shared" si="21"/>
        <v>5091</v>
      </c>
      <c r="AC111">
        <f t="shared" si="22"/>
        <v>2520649.1800000002</v>
      </c>
      <c r="AD111">
        <f t="shared" si="23"/>
        <v>1332.9715388683237</v>
      </c>
      <c r="AE111">
        <f t="shared" si="24"/>
        <v>0.35149999999999998</v>
      </c>
      <c r="AF111">
        <f t="shared" si="25"/>
        <v>2402499280.4299998</v>
      </c>
      <c r="AG111" t="str">
        <f t="shared" si="26"/>
        <v>Active</v>
      </c>
      <c r="AH111">
        <f t="shared" si="27"/>
        <v>33931.199999999997</v>
      </c>
    </row>
    <row r="112" spans="1:34" x14ac:dyDescent="0.35">
      <c r="A112" t="s">
        <v>371</v>
      </c>
      <c r="B112" t="s">
        <v>372</v>
      </c>
      <c r="C112">
        <v>29</v>
      </c>
      <c r="D112" t="s">
        <v>22</v>
      </c>
      <c r="E112" t="s">
        <v>39</v>
      </c>
      <c r="F112" t="s">
        <v>59</v>
      </c>
      <c r="G112">
        <v>62864</v>
      </c>
      <c r="H112">
        <v>516</v>
      </c>
      <c r="I112">
        <v>12653</v>
      </c>
      <c r="J112">
        <v>15.85</v>
      </c>
      <c r="K112">
        <v>12</v>
      </c>
      <c r="L112" t="s">
        <v>40</v>
      </c>
      <c r="M112">
        <v>39.409999999999997</v>
      </c>
      <c r="N112">
        <v>72706</v>
      </c>
      <c r="O112">
        <v>172819</v>
      </c>
      <c r="P112" t="s">
        <v>373</v>
      </c>
      <c r="Q112" t="s">
        <v>42</v>
      </c>
      <c r="R112" t="s">
        <v>48</v>
      </c>
      <c r="S112" t="s">
        <v>49</v>
      </c>
      <c r="T112">
        <v>1221.54</v>
      </c>
      <c r="U112">
        <f t="shared" si="14"/>
        <v>1890</v>
      </c>
      <c r="V112">
        <f t="shared" si="15"/>
        <v>669</v>
      </c>
      <c r="W112">
        <f t="shared" si="16"/>
        <v>609</v>
      </c>
      <c r="X112">
        <f t="shared" si="17"/>
        <v>0.35149999999999998</v>
      </c>
      <c r="Y112" s="1">
        <f t="shared" si="18"/>
        <v>97598086</v>
      </c>
      <c r="Z112">
        <f t="shared" si="19"/>
        <v>51639.198941798939</v>
      </c>
      <c r="AA112">
        <f t="shared" si="20"/>
        <v>99996</v>
      </c>
      <c r="AB112">
        <f t="shared" si="21"/>
        <v>5091</v>
      </c>
      <c r="AC112">
        <f t="shared" si="22"/>
        <v>2517821.5799999996</v>
      </c>
      <c r="AD112">
        <f t="shared" si="23"/>
        <v>1332.1807301587301</v>
      </c>
      <c r="AE112">
        <f t="shared" si="24"/>
        <v>0.35149999999999998</v>
      </c>
      <c r="AF112">
        <f t="shared" si="25"/>
        <v>2399978631.249999</v>
      </c>
      <c r="AG112" t="str">
        <f t="shared" si="26"/>
        <v>Active</v>
      </c>
      <c r="AH112">
        <f t="shared" si="27"/>
        <v>14658.48</v>
      </c>
    </row>
    <row r="113" spans="1:34" x14ac:dyDescent="0.35">
      <c r="A113" t="s">
        <v>374</v>
      </c>
      <c r="B113" t="s">
        <v>375</v>
      </c>
      <c r="C113">
        <v>29</v>
      </c>
      <c r="D113" t="s">
        <v>38</v>
      </c>
      <c r="E113" t="s">
        <v>23</v>
      </c>
      <c r="F113" t="s">
        <v>46</v>
      </c>
      <c r="G113">
        <v>84981</v>
      </c>
      <c r="H113">
        <v>345</v>
      </c>
      <c r="I113">
        <v>21894</v>
      </c>
      <c r="J113">
        <v>9.19</v>
      </c>
      <c r="K113">
        <v>12</v>
      </c>
      <c r="L113" t="s">
        <v>33</v>
      </c>
      <c r="M113">
        <v>21.15</v>
      </c>
      <c r="N113">
        <v>9827</v>
      </c>
      <c r="O113">
        <v>43914</v>
      </c>
      <c r="P113" t="s">
        <v>376</v>
      </c>
      <c r="Q113" t="s">
        <v>42</v>
      </c>
      <c r="R113" t="s">
        <v>48</v>
      </c>
      <c r="S113" t="s">
        <v>29</v>
      </c>
      <c r="T113">
        <v>1992.17</v>
      </c>
      <c r="U113">
        <f t="shared" si="14"/>
        <v>1889</v>
      </c>
      <c r="V113">
        <f t="shared" si="15"/>
        <v>668</v>
      </c>
      <c r="W113">
        <f t="shared" si="16"/>
        <v>609</v>
      </c>
      <c r="X113">
        <f t="shared" si="17"/>
        <v>0.35149999999999998</v>
      </c>
      <c r="Y113" s="1">
        <f t="shared" si="18"/>
        <v>97585433</v>
      </c>
      <c r="Z113">
        <f t="shared" si="19"/>
        <v>51659.837480148228</v>
      </c>
      <c r="AA113">
        <f t="shared" si="20"/>
        <v>99996</v>
      </c>
      <c r="AB113">
        <f t="shared" si="21"/>
        <v>5091</v>
      </c>
      <c r="AC113">
        <f t="shared" si="22"/>
        <v>2516600.04</v>
      </c>
      <c r="AD113">
        <f t="shared" si="23"/>
        <v>1332.2393012175755</v>
      </c>
      <c r="AE113">
        <f t="shared" si="24"/>
        <v>0.35149999999999998</v>
      </c>
      <c r="AF113">
        <f t="shared" si="25"/>
        <v>2397460809.6699996</v>
      </c>
      <c r="AG113" t="str">
        <f t="shared" si="26"/>
        <v>Over Paid</v>
      </c>
      <c r="AH113">
        <f t="shared" si="27"/>
        <v>23906.04</v>
      </c>
    </row>
    <row r="114" spans="1:34" x14ac:dyDescent="0.35">
      <c r="A114" t="s">
        <v>377</v>
      </c>
      <c r="B114" t="s">
        <v>378</v>
      </c>
      <c r="C114">
        <v>58</v>
      </c>
      <c r="D114" t="s">
        <v>22</v>
      </c>
      <c r="E114" t="s">
        <v>23</v>
      </c>
      <c r="F114" t="s">
        <v>46</v>
      </c>
      <c r="G114">
        <v>42054</v>
      </c>
      <c r="H114">
        <v>595</v>
      </c>
      <c r="I114">
        <v>94396</v>
      </c>
      <c r="J114">
        <v>8.27</v>
      </c>
      <c r="K114">
        <v>180</v>
      </c>
      <c r="L114" t="s">
        <v>40</v>
      </c>
      <c r="M114">
        <v>11.85</v>
      </c>
      <c r="N114">
        <v>57965</v>
      </c>
      <c r="O114">
        <v>249226</v>
      </c>
      <c r="P114" t="s">
        <v>379</v>
      </c>
      <c r="Q114" t="s">
        <v>27</v>
      </c>
      <c r="R114" t="s">
        <v>48</v>
      </c>
      <c r="S114" t="s">
        <v>49</v>
      </c>
      <c r="T114">
        <v>567.79</v>
      </c>
      <c r="U114">
        <f t="shared" si="14"/>
        <v>1888</v>
      </c>
      <c r="V114">
        <f t="shared" si="15"/>
        <v>667</v>
      </c>
      <c r="W114">
        <f t="shared" si="16"/>
        <v>609</v>
      </c>
      <c r="X114">
        <f t="shared" si="17"/>
        <v>0.35149999999999998</v>
      </c>
      <c r="Y114" s="1">
        <f t="shared" si="18"/>
        <v>97563539</v>
      </c>
      <c r="Z114">
        <f t="shared" si="19"/>
        <v>51675.603283898308</v>
      </c>
      <c r="AA114">
        <f t="shared" si="20"/>
        <v>99996</v>
      </c>
      <c r="AB114">
        <f t="shared" si="21"/>
        <v>5091</v>
      </c>
      <c r="AC114">
        <f t="shared" si="22"/>
        <v>2514607.8700000006</v>
      </c>
      <c r="AD114">
        <f t="shared" si="23"/>
        <v>1331.8897616525426</v>
      </c>
      <c r="AE114">
        <f t="shared" si="24"/>
        <v>0.35149999999999998</v>
      </c>
      <c r="AF114">
        <f t="shared" si="25"/>
        <v>2394944209.6299992</v>
      </c>
      <c r="AG114" t="str">
        <f t="shared" si="26"/>
        <v>Over Paid</v>
      </c>
      <c r="AH114">
        <f t="shared" si="27"/>
        <v>6813.48</v>
      </c>
    </row>
    <row r="115" spans="1:34" x14ac:dyDescent="0.35">
      <c r="A115" t="s">
        <v>380</v>
      </c>
      <c r="B115" t="s">
        <v>381</v>
      </c>
      <c r="C115">
        <v>33</v>
      </c>
      <c r="D115" t="s">
        <v>22</v>
      </c>
      <c r="E115" t="s">
        <v>32</v>
      </c>
      <c r="F115" t="s">
        <v>24</v>
      </c>
      <c r="G115">
        <v>160492</v>
      </c>
      <c r="H115">
        <v>319</v>
      </c>
      <c r="I115">
        <v>70975</v>
      </c>
      <c r="J115">
        <v>10.83</v>
      </c>
      <c r="K115">
        <v>180</v>
      </c>
      <c r="L115" t="s">
        <v>33</v>
      </c>
      <c r="M115">
        <v>36</v>
      </c>
      <c r="N115">
        <v>10791</v>
      </c>
      <c r="O115">
        <v>248352</v>
      </c>
      <c r="P115" t="s">
        <v>382</v>
      </c>
      <c r="Q115" t="s">
        <v>27</v>
      </c>
      <c r="R115" t="s">
        <v>28</v>
      </c>
      <c r="S115" t="s">
        <v>35</v>
      </c>
      <c r="T115">
        <v>437.01</v>
      </c>
      <c r="U115">
        <f t="shared" si="14"/>
        <v>1887</v>
      </c>
      <c r="V115">
        <f t="shared" si="15"/>
        <v>667</v>
      </c>
      <c r="W115">
        <f t="shared" si="16"/>
        <v>609</v>
      </c>
      <c r="X115">
        <f t="shared" si="17"/>
        <v>0.35149999999999998</v>
      </c>
      <c r="Y115" s="1">
        <f t="shared" si="18"/>
        <v>97469143</v>
      </c>
      <c r="Z115">
        <f t="shared" si="19"/>
        <v>51652.963963963964</v>
      </c>
      <c r="AA115">
        <f t="shared" si="20"/>
        <v>99996</v>
      </c>
      <c r="AB115">
        <f t="shared" si="21"/>
        <v>5091</v>
      </c>
      <c r="AC115">
        <f t="shared" si="22"/>
        <v>2514040.0800000005</v>
      </c>
      <c r="AD115">
        <f t="shared" si="23"/>
        <v>1332.294689984102</v>
      </c>
      <c r="AE115">
        <f t="shared" si="24"/>
        <v>0.35149999999999998</v>
      </c>
      <c r="AF115">
        <f t="shared" si="25"/>
        <v>2392429601.7599988</v>
      </c>
      <c r="AG115" t="str">
        <f t="shared" si="26"/>
        <v>Active</v>
      </c>
      <c r="AH115">
        <f t="shared" si="27"/>
        <v>5244.12</v>
      </c>
    </row>
    <row r="116" spans="1:34" x14ac:dyDescent="0.35">
      <c r="A116" t="s">
        <v>383</v>
      </c>
      <c r="B116" t="s">
        <v>384</v>
      </c>
      <c r="C116">
        <v>26</v>
      </c>
      <c r="D116" t="s">
        <v>38</v>
      </c>
      <c r="E116" t="s">
        <v>23</v>
      </c>
      <c r="F116" t="s">
        <v>24</v>
      </c>
      <c r="G116">
        <v>70549</v>
      </c>
      <c r="H116">
        <v>502</v>
      </c>
      <c r="I116">
        <v>98631</v>
      </c>
      <c r="J116">
        <v>10.97</v>
      </c>
      <c r="K116">
        <v>240</v>
      </c>
      <c r="L116" t="s">
        <v>25</v>
      </c>
      <c r="M116">
        <v>31.51</v>
      </c>
      <c r="N116">
        <v>72417</v>
      </c>
      <c r="O116">
        <v>179484</v>
      </c>
      <c r="P116" t="s">
        <v>385</v>
      </c>
      <c r="Q116" t="s">
        <v>27</v>
      </c>
      <c r="R116" t="s">
        <v>28</v>
      </c>
      <c r="S116" t="s">
        <v>68</v>
      </c>
      <c r="T116">
        <v>456.05</v>
      </c>
      <c r="U116">
        <f t="shared" si="14"/>
        <v>1886</v>
      </c>
      <c r="V116">
        <f t="shared" si="15"/>
        <v>667</v>
      </c>
      <c r="W116">
        <f t="shared" si="16"/>
        <v>609</v>
      </c>
      <c r="X116">
        <f t="shared" si="17"/>
        <v>0.35149999999999998</v>
      </c>
      <c r="Y116" s="1">
        <f t="shared" si="18"/>
        <v>97398168</v>
      </c>
      <c r="Z116">
        <f t="shared" si="19"/>
        <v>51642.71898197243</v>
      </c>
      <c r="AA116">
        <f t="shared" si="20"/>
        <v>99996</v>
      </c>
      <c r="AB116">
        <f t="shared" si="21"/>
        <v>5091</v>
      </c>
      <c r="AC116">
        <f t="shared" si="22"/>
        <v>2513603.0700000003</v>
      </c>
      <c r="AD116">
        <f t="shared" si="23"/>
        <v>1332.7693902439025</v>
      </c>
      <c r="AE116">
        <f t="shared" si="24"/>
        <v>0.35149999999999998</v>
      </c>
      <c r="AF116">
        <f t="shared" si="25"/>
        <v>2389915561.6799989</v>
      </c>
      <c r="AG116" t="str">
        <f t="shared" si="26"/>
        <v>Active</v>
      </c>
      <c r="AH116">
        <f t="shared" si="27"/>
        <v>5472.6</v>
      </c>
    </row>
    <row r="117" spans="1:34" x14ac:dyDescent="0.35">
      <c r="A117" t="s">
        <v>386</v>
      </c>
      <c r="B117" t="s">
        <v>387</v>
      </c>
      <c r="C117">
        <v>50</v>
      </c>
      <c r="D117" t="s">
        <v>38</v>
      </c>
      <c r="E117" t="s">
        <v>32</v>
      </c>
      <c r="F117" t="s">
        <v>24</v>
      </c>
      <c r="G117">
        <v>106550</v>
      </c>
      <c r="H117">
        <v>567</v>
      </c>
      <c r="I117">
        <v>35059</v>
      </c>
      <c r="J117">
        <v>18.399999999999999</v>
      </c>
      <c r="K117">
        <v>36</v>
      </c>
      <c r="L117" t="s">
        <v>25</v>
      </c>
      <c r="M117">
        <v>8.91</v>
      </c>
      <c r="N117">
        <v>72456</v>
      </c>
      <c r="O117">
        <v>91486</v>
      </c>
      <c r="P117" t="s">
        <v>388</v>
      </c>
      <c r="Q117" t="s">
        <v>42</v>
      </c>
      <c r="R117" t="s">
        <v>48</v>
      </c>
      <c r="S117" t="s">
        <v>29</v>
      </c>
      <c r="T117">
        <v>1153.05</v>
      </c>
      <c r="U117">
        <f t="shared" si="14"/>
        <v>1885</v>
      </c>
      <c r="V117">
        <f t="shared" si="15"/>
        <v>667</v>
      </c>
      <c r="W117">
        <f t="shared" si="16"/>
        <v>609</v>
      </c>
      <c r="X117">
        <f t="shared" si="17"/>
        <v>0.35149999999999998</v>
      </c>
      <c r="Y117" s="1">
        <f t="shared" si="18"/>
        <v>97299537</v>
      </c>
      <c r="Z117">
        <f t="shared" si="19"/>
        <v>51617.791511936339</v>
      </c>
      <c r="AA117">
        <f t="shared" si="20"/>
        <v>99996</v>
      </c>
      <c r="AB117">
        <f t="shared" si="21"/>
        <v>5091</v>
      </c>
      <c r="AC117">
        <f t="shared" si="22"/>
        <v>2513147.0200000005</v>
      </c>
      <c r="AD117">
        <f t="shared" si="23"/>
        <v>1333.2344933687004</v>
      </c>
      <c r="AE117">
        <f t="shared" si="24"/>
        <v>0.35149999999999998</v>
      </c>
      <c r="AF117">
        <f t="shared" si="25"/>
        <v>2387401958.6099982</v>
      </c>
      <c r="AG117" t="str">
        <f t="shared" si="26"/>
        <v>Active</v>
      </c>
      <c r="AH117">
        <f t="shared" si="27"/>
        <v>13836.599999999999</v>
      </c>
    </row>
    <row r="118" spans="1:34" x14ac:dyDescent="0.35">
      <c r="A118" t="s">
        <v>389</v>
      </c>
      <c r="B118" t="s">
        <v>390</v>
      </c>
      <c r="C118">
        <v>36</v>
      </c>
      <c r="D118" t="s">
        <v>38</v>
      </c>
      <c r="E118" t="s">
        <v>32</v>
      </c>
      <c r="F118" t="s">
        <v>24</v>
      </c>
      <c r="G118">
        <v>189687</v>
      </c>
      <c r="H118">
        <v>781</v>
      </c>
      <c r="I118">
        <v>83395</v>
      </c>
      <c r="J118">
        <v>19.55</v>
      </c>
      <c r="K118">
        <v>36</v>
      </c>
      <c r="L118" t="s">
        <v>25</v>
      </c>
      <c r="M118">
        <v>47.73</v>
      </c>
      <c r="N118">
        <v>16398</v>
      </c>
      <c r="O118">
        <v>115086</v>
      </c>
      <c r="P118" t="s">
        <v>391</v>
      </c>
      <c r="Q118" t="s">
        <v>61</v>
      </c>
      <c r="R118" t="s">
        <v>28</v>
      </c>
      <c r="S118" t="s">
        <v>68</v>
      </c>
      <c r="T118">
        <v>2769.41</v>
      </c>
      <c r="U118">
        <f t="shared" si="14"/>
        <v>1884</v>
      </c>
      <c r="V118">
        <f t="shared" si="15"/>
        <v>666</v>
      </c>
      <c r="W118">
        <f t="shared" si="16"/>
        <v>609</v>
      </c>
      <c r="X118">
        <f t="shared" si="17"/>
        <v>0.35149999999999998</v>
      </c>
      <c r="Y118" s="1">
        <f t="shared" si="18"/>
        <v>97264478</v>
      </c>
      <c r="Z118">
        <f t="shared" si="19"/>
        <v>51626.580679405517</v>
      </c>
      <c r="AA118">
        <f t="shared" si="20"/>
        <v>99996</v>
      </c>
      <c r="AB118">
        <f t="shared" si="21"/>
        <v>5091</v>
      </c>
      <c r="AC118">
        <f t="shared" si="22"/>
        <v>2511993.9700000002</v>
      </c>
      <c r="AD118">
        <f t="shared" si="23"/>
        <v>1333.3301326963908</v>
      </c>
      <c r="AE118">
        <f t="shared" si="24"/>
        <v>0.35149999999999998</v>
      </c>
      <c r="AF118">
        <f t="shared" si="25"/>
        <v>2384888811.5899982</v>
      </c>
      <c r="AG118" t="str">
        <f t="shared" si="26"/>
        <v>Active</v>
      </c>
      <c r="AH118">
        <f t="shared" si="27"/>
        <v>33232.92</v>
      </c>
    </row>
    <row r="119" spans="1:34" x14ac:dyDescent="0.35">
      <c r="A119" t="s">
        <v>392</v>
      </c>
      <c r="B119" t="s">
        <v>393</v>
      </c>
      <c r="C119">
        <v>40</v>
      </c>
      <c r="D119" t="s">
        <v>22</v>
      </c>
      <c r="E119" t="s">
        <v>23</v>
      </c>
      <c r="F119" t="s">
        <v>46</v>
      </c>
      <c r="G119">
        <v>120771</v>
      </c>
      <c r="H119">
        <v>483</v>
      </c>
      <c r="I119">
        <v>81397</v>
      </c>
      <c r="J119">
        <v>23.04</v>
      </c>
      <c r="K119">
        <v>240</v>
      </c>
      <c r="L119" t="s">
        <v>33</v>
      </c>
      <c r="M119">
        <v>39.619999999999997</v>
      </c>
      <c r="N119">
        <v>36691</v>
      </c>
      <c r="O119">
        <v>27383</v>
      </c>
      <c r="P119" t="s">
        <v>394</v>
      </c>
      <c r="Q119" t="s">
        <v>27</v>
      </c>
      <c r="R119" t="s">
        <v>28</v>
      </c>
      <c r="S119" t="s">
        <v>29</v>
      </c>
      <c r="T119">
        <v>417.3</v>
      </c>
      <c r="U119">
        <f t="shared" si="14"/>
        <v>1883</v>
      </c>
      <c r="V119">
        <f t="shared" si="15"/>
        <v>666</v>
      </c>
      <c r="W119">
        <f t="shared" si="16"/>
        <v>608</v>
      </c>
      <c r="X119">
        <f t="shared" si="17"/>
        <v>0.35149999999999998</v>
      </c>
      <c r="Y119" s="1">
        <f t="shared" si="18"/>
        <v>97181083</v>
      </c>
      <c r="Z119">
        <f t="shared" si="19"/>
        <v>51609.709506107276</v>
      </c>
      <c r="AA119">
        <f t="shared" si="20"/>
        <v>99996</v>
      </c>
      <c r="AB119">
        <f t="shared" si="21"/>
        <v>5091</v>
      </c>
      <c r="AC119">
        <f t="shared" si="22"/>
        <v>2509224.5600000005</v>
      </c>
      <c r="AD119">
        <f t="shared" si="23"/>
        <v>1332.5674774296338</v>
      </c>
      <c r="AE119">
        <f t="shared" si="24"/>
        <v>0.35149999999999998</v>
      </c>
      <c r="AF119">
        <f t="shared" si="25"/>
        <v>2382376817.619998</v>
      </c>
      <c r="AG119" t="str">
        <f t="shared" si="26"/>
        <v>Active</v>
      </c>
      <c r="AH119">
        <f t="shared" si="27"/>
        <v>5007.6000000000004</v>
      </c>
    </row>
    <row r="120" spans="1:34" x14ac:dyDescent="0.35">
      <c r="A120" t="s">
        <v>395</v>
      </c>
      <c r="B120" t="s">
        <v>396</v>
      </c>
      <c r="C120">
        <v>42</v>
      </c>
      <c r="D120" t="s">
        <v>38</v>
      </c>
      <c r="E120" t="s">
        <v>32</v>
      </c>
      <c r="F120" t="s">
        <v>46</v>
      </c>
      <c r="G120">
        <v>63791</v>
      </c>
      <c r="H120">
        <v>808</v>
      </c>
      <c r="I120">
        <v>73591</v>
      </c>
      <c r="J120">
        <v>7.8</v>
      </c>
      <c r="K120">
        <v>180</v>
      </c>
      <c r="L120" t="s">
        <v>40</v>
      </c>
      <c r="M120">
        <v>47.4</v>
      </c>
      <c r="N120">
        <v>54290</v>
      </c>
      <c r="O120">
        <v>135199</v>
      </c>
      <c r="P120" t="s">
        <v>397</v>
      </c>
      <c r="Q120" t="s">
        <v>27</v>
      </c>
      <c r="R120" t="s">
        <v>48</v>
      </c>
      <c r="S120" t="s">
        <v>43</v>
      </c>
      <c r="T120">
        <v>440.73</v>
      </c>
      <c r="U120">
        <f t="shared" si="14"/>
        <v>1882</v>
      </c>
      <c r="V120">
        <f t="shared" si="15"/>
        <v>666</v>
      </c>
      <c r="W120">
        <f t="shared" si="16"/>
        <v>608</v>
      </c>
      <c r="X120">
        <f t="shared" si="17"/>
        <v>0.35149999999999998</v>
      </c>
      <c r="Y120" s="1">
        <f t="shared" si="18"/>
        <v>97099686</v>
      </c>
      <c r="Z120">
        <f t="shared" si="19"/>
        <v>51593.882040382574</v>
      </c>
      <c r="AA120">
        <f t="shared" si="20"/>
        <v>99996</v>
      </c>
      <c r="AB120">
        <f t="shared" si="21"/>
        <v>5091</v>
      </c>
      <c r="AC120">
        <f t="shared" si="22"/>
        <v>2508807.2600000002</v>
      </c>
      <c r="AD120">
        <f t="shared" si="23"/>
        <v>1333.053804463337</v>
      </c>
      <c r="AE120">
        <f t="shared" si="24"/>
        <v>0.35149999999999998</v>
      </c>
      <c r="AF120">
        <f t="shared" si="25"/>
        <v>2379867593.059998</v>
      </c>
      <c r="AG120" t="str">
        <f t="shared" si="26"/>
        <v>Active</v>
      </c>
      <c r="AH120">
        <f t="shared" si="27"/>
        <v>5288.76</v>
      </c>
    </row>
    <row r="121" spans="1:34" x14ac:dyDescent="0.35">
      <c r="A121" t="s">
        <v>398</v>
      </c>
      <c r="B121" t="s">
        <v>399</v>
      </c>
      <c r="C121">
        <v>27</v>
      </c>
      <c r="D121" t="s">
        <v>22</v>
      </c>
      <c r="E121" t="s">
        <v>23</v>
      </c>
      <c r="F121" t="s">
        <v>24</v>
      </c>
      <c r="G121">
        <v>75941</v>
      </c>
      <c r="H121">
        <v>804</v>
      </c>
      <c r="I121">
        <v>55126</v>
      </c>
      <c r="J121">
        <v>23.74</v>
      </c>
      <c r="K121">
        <v>24</v>
      </c>
      <c r="L121" t="s">
        <v>33</v>
      </c>
      <c r="M121">
        <v>25.68</v>
      </c>
      <c r="N121">
        <v>10849</v>
      </c>
      <c r="O121">
        <v>60718</v>
      </c>
      <c r="P121" t="s">
        <v>400</v>
      </c>
      <c r="Q121" t="s">
        <v>61</v>
      </c>
      <c r="R121" t="s">
        <v>48</v>
      </c>
      <c r="S121" t="s">
        <v>43</v>
      </c>
      <c r="T121">
        <v>2842.2</v>
      </c>
      <c r="U121">
        <f t="shared" si="14"/>
        <v>1881</v>
      </c>
      <c r="V121">
        <f t="shared" si="15"/>
        <v>666</v>
      </c>
      <c r="W121">
        <f t="shared" si="16"/>
        <v>608</v>
      </c>
      <c r="X121">
        <f t="shared" si="17"/>
        <v>0.35149999999999998</v>
      </c>
      <c r="Y121" s="1">
        <f t="shared" si="18"/>
        <v>97026095</v>
      </c>
      <c r="Z121">
        <f t="shared" si="19"/>
        <v>51582.187666135032</v>
      </c>
      <c r="AA121">
        <f t="shared" si="20"/>
        <v>99996</v>
      </c>
      <c r="AB121">
        <f t="shared" si="21"/>
        <v>5091</v>
      </c>
      <c r="AC121">
        <f t="shared" si="22"/>
        <v>2508366.5300000003</v>
      </c>
      <c r="AD121">
        <f t="shared" si="23"/>
        <v>1333.5281924508242</v>
      </c>
      <c r="AE121">
        <f t="shared" si="24"/>
        <v>0.35149999999999998</v>
      </c>
      <c r="AF121">
        <f t="shared" si="25"/>
        <v>2377358785.7999973</v>
      </c>
      <c r="AG121" t="str">
        <f t="shared" si="26"/>
        <v>Active</v>
      </c>
      <c r="AH121">
        <f t="shared" si="27"/>
        <v>34106.399999999994</v>
      </c>
    </row>
    <row r="122" spans="1:34" x14ac:dyDescent="0.35">
      <c r="A122" t="s">
        <v>401</v>
      </c>
      <c r="B122" t="s">
        <v>402</v>
      </c>
      <c r="C122">
        <v>37</v>
      </c>
      <c r="D122" t="s">
        <v>38</v>
      </c>
      <c r="E122" t="s">
        <v>23</v>
      </c>
      <c r="F122" t="s">
        <v>46</v>
      </c>
      <c r="G122">
        <v>111451</v>
      </c>
      <c r="H122">
        <v>563</v>
      </c>
      <c r="I122">
        <v>67101</v>
      </c>
      <c r="J122">
        <v>8.1300000000000008</v>
      </c>
      <c r="K122">
        <v>60</v>
      </c>
      <c r="L122" t="s">
        <v>40</v>
      </c>
      <c r="M122">
        <v>19.22</v>
      </c>
      <c r="N122">
        <v>1033</v>
      </c>
      <c r="O122">
        <v>12768</v>
      </c>
      <c r="P122" t="s">
        <v>403</v>
      </c>
      <c r="Q122" t="s">
        <v>42</v>
      </c>
      <c r="R122" t="s">
        <v>48</v>
      </c>
      <c r="S122" t="s">
        <v>43</v>
      </c>
      <c r="T122">
        <v>1209.27</v>
      </c>
      <c r="U122">
        <f t="shared" si="14"/>
        <v>1880</v>
      </c>
      <c r="V122">
        <f t="shared" si="15"/>
        <v>666</v>
      </c>
      <c r="W122">
        <f t="shared" si="16"/>
        <v>607</v>
      </c>
      <c r="X122">
        <f t="shared" si="17"/>
        <v>0.35149999999999998</v>
      </c>
      <c r="Y122" s="1">
        <f t="shared" si="18"/>
        <v>96970969</v>
      </c>
      <c r="Z122">
        <f t="shared" si="19"/>
        <v>51580.302659574467</v>
      </c>
      <c r="AA122">
        <f t="shared" si="20"/>
        <v>99996</v>
      </c>
      <c r="AB122">
        <f t="shared" si="21"/>
        <v>5091</v>
      </c>
      <c r="AC122">
        <f t="shared" si="22"/>
        <v>2505524.3300000005</v>
      </c>
      <c r="AD122">
        <f t="shared" si="23"/>
        <v>1332.7257074468089</v>
      </c>
      <c r="AE122">
        <f t="shared" si="24"/>
        <v>0.35149999999999998</v>
      </c>
      <c r="AF122">
        <f t="shared" si="25"/>
        <v>2374850419.2699971</v>
      </c>
      <c r="AG122" t="str">
        <f t="shared" si="26"/>
        <v>Active</v>
      </c>
      <c r="AH122">
        <f t="shared" si="27"/>
        <v>14511.24</v>
      </c>
    </row>
    <row r="123" spans="1:34" x14ac:dyDescent="0.35">
      <c r="A123" t="s">
        <v>404</v>
      </c>
      <c r="B123" t="s">
        <v>405</v>
      </c>
      <c r="C123">
        <v>57</v>
      </c>
      <c r="D123" t="s">
        <v>38</v>
      </c>
      <c r="E123" t="s">
        <v>23</v>
      </c>
      <c r="F123" t="s">
        <v>46</v>
      </c>
      <c r="G123">
        <v>101651</v>
      </c>
      <c r="H123">
        <v>582</v>
      </c>
      <c r="I123">
        <v>43586</v>
      </c>
      <c r="J123">
        <v>8.17</v>
      </c>
      <c r="K123">
        <v>120</v>
      </c>
      <c r="L123" t="s">
        <v>25</v>
      </c>
      <c r="M123">
        <v>10.31</v>
      </c>
      <c r="N123">
        <v>51854</v>
      </c>
      <c r="O123">
        <v>78487</v>
      </c>
      <c r="P123" t="s">
        <v>406</v>
      </c>
      <c r="Q123" t="s">
        <v>42</v>
      </c>
      <c r="R123" t="s">
        <v>28</v>
      </c>
      <c r="S123" t="s">
        <v>68</v>
      </c>
      <c r="T123">
        <v>392.89</v>
      </c>
      <c r="U123">
        <f t="shared" si="14"/>
        <v>1879</v>
      </c>
      <c r="V123">
        <f t="shared" si="15"/>
        <v>665</v>
      </c>
      <c r="W123">
        <f t="shared" si="16"/>
        <v>607</v>
      </c>
      <c r="X123">
        <f t="shared" si="17"/>
        <v>0.35149999999999998</v>
      </c>
      <c r="Y123" s="1">
        <f t="shared" si="18"/>
        <v>96903868</v>
      </c>
      <c r="Z123">
        <f t="shared" si="19"/>
        <v>51572.042575838212</v>
      </c>
      <c r="AA123">
        <f t="shared" si="20"/>
        <v>99996</v>
      </c>
      <c r="AB123">
        <f t="shared" si="21"/>
        <v>5091</v>
      </c>
      <c r="AC123">
        <f t="shared" si="22"/>
        <v>2504315.0600000005</v>
      </c>
      <c r="AD123">
        <f t="shared" si="23"/>
        <v>1332.791410324641</v>
      </c>
      <c r="AE123">
        <f t="shared" si="24"/>
        <v>0.35149999999999998</v>
      </c>
      <c r="AF123">
        <f t="shared" si="25"/>
        <v>2372344894.9399967</v>
      </c>
      <c r="AG123" t="str">
        <f t="shared" si="26"/>
        <v>Active</v>
      </c>
      <c r="AH123">
        <f t="shared" si="27"/>
        <v>4714.68</v>
      </c>
    </row>
    <row r="124" spans="1:34" x14ac:dyDescent="0.35">
      <c r="A124" t="s">
        <v>407</v>
      </c>
      <c r="B124" t="s">
        <v>408</v>
      </c>
      <c r="C124">
        <v>26</v>
      </c>
      <c r="D124" t="s">
        <v>22</v>
      </c>
      <c r="E124" t="s">
        <v>23</v>
      </c>
      <c r="F124" t="s">
        <v>46</v>
      </c>
      <c r="G124">
        <v>64277</v>
      </c>
      <c r="H124">
        <v>597</v>
      </c>
      <c r="I124">
        <v>39598</v>
      </c>
      <c r="J124">
        <v>17.510000000000002</v>
      </c>
      <c r="K124">
        <v>120</v>
      </c>
      <c r="L124" t="s">
        <v>52</v>
      </c>
      <c r="M124">
        <v>16.71</v>
      </c>
      <c r="N124">
        <v>19626</v>
      </c>
      <c r="O124">
        <v>360</v>
      </c>
      <c r="P124" t="s">
        <v>409</v>
      </c>
      <c r="Q124" t="s">
        <v>61</v>
      </c>
      <c r="R124" t="s">
        <v>48</v>
      </c>
      <c r="S124" t="s">
        <v>35</v>
      </c>
      <c r="T124">
        <v>387.76</v>
      </c>
      <c r="U124">
        <f t="shared" si="14"/>
        <v>1878</v>
      </c>
      <c r="V124">
        <f t="shared" si="15"/>
        <v>664</v>
      </c>
      <c r="W124">
        <f t="shared" si="16"/>
        <v>607</v>
      </c>
      <c r="X124">
        <f t="shared" si="17"/>
        <v>0.35149999999999998</v>
      </c>
      <c r="Y124" s="1">
        <f t="shared" si="18"/>
        <v>96860282</v>
      </c>
      <c r="Z124">
        <f t="shared" si="19"/>
        <v>51576.294994675183</v>
      </c>
      <c r="AA124">
        <f t="shared" si="20"/>
        <v>99996</v>
      </c>
      <c r="AB124">
        <f t="shared" si="21"/>
        <v>5091</v>
      </c>
      <c r="AC124">
        <f t="shared" si="22"/>
        <v>2503922.1700000009</v>
      </c>
      <c r="AD124">
        <f t="shared" si="23"/>
        <v>1333.2918903088396</v>
      </c>
      <c r="AE124">
        <f t="shared" si="24"/>
        <v>0.35149999999999998</v>
      </c>
      <c r="AF124">
        <f t="shared" si="25"/>
        <v>2369840579.8799963</v>
      </c>
      <c r="AG124" t="str">
        <f t="shared" si="26"/>
        <v>Active</v>
      </c>
      <c r="AH124">
        <f t="shared" si="27"/>
        <v>4653.12</v>
      </c>
    </row>
    <row r="125" spans="1:34" x14ac:dyDescent="0.35">
      <c r="A125" t="s">
        <v>410</v>
      </c>
      <c r="B125" t="s">
        <v>411</v>
      </c>
      <c r="C125">
        <v>34</v>
      </c>
      <c r="D125" t="s">
        <v>22</v>
      </c>
      <c r="E125" t="s">
        <v>39</v>
      </c>
      <c r="F125" t="s">
        <v>24</v>
      </c>
      <c r="G125">
        <v>94925</v>
      </c>
      <c r="H125">
        <v>590</v>
      </c>
      <c r="I125">
        <v>34954</v>
      </c>
      <c r="J125">
        <v>12.81</v>
      </c>
      <c r="K125">
        <v>60</v>
      </c>
      <c r="L125" t="s">
        <v>33</v>
      </c>
      <c r="M125">
        <v>58.92</v>
      </c>
      <c r="N125">
        <v>52075</v>
      </c>
      <c r="O125">
        <v>116180</v>
      </c>
      <c r="P125" t="s">
        <v>412</v>
      </c>
      <c r="Q125" t="s">
        <v>42</v>
      </c>
      <c r="R125" t="s">
        <v>48</v>
      </c>
      <c r="S125" t="s">
        <v>49</v>
      </c>
      <c r="T125">
        <v>657.19</v>
      </c>
      <c r="U125">
        <f t="shared" si="14"/>
        <v>1877</v>
      </c>
      <c r="V125">
        <f t="shared" si="15"/>
        <v>664</v>
      </c>
      <c r="W125">
        <f t="shared" si="16"/>
        <v>606</v>
      </c>
      <c r="X125">
        <f t="shared" si="17"/>
        <v>0.35149999999999998</v>
      </c>
      <c r="Y125" s="1">
        <f t="shared" si="18"/>
        <v>96820684</v>
      </c>
      <c r="Z125">
        <f t="shared" si="19"/>
        <v>51582.676611614275</v>
      </c>
      <c r="AA125">
        <f t="shared" si="20"/>
        <v>99996</v>
      </c>
      <c r="AB125">
        <f t="shared" si="21"/>
        <v>5091</v>
      </c>
      <c r="AC125">
        <f t="shared" si="22"/>
        <v>2503534.4100000011</v>
      </c>
      <c r="AD125">
        <f t="shared" si="23"/>
        <v>1333.795636654236</v>
      </c>
      <c r="AE125">
        <f t="shared" si="24"/>
        <v>0.35149999999999998</v>
      </c>
      <c r="AF125">
        <f t="shared" si="25"/>
        <v>2367336657.7099967</v>
      </c>
      <c r="AG125" t="str">
        <f t="shared" si="26"/>
        <v>Active</v>
      </c>
      <c r="AH125">
        <f t="shared" si="27"/>
        <v>7886.2800000000007</v>
      </c>
    </row>
    <row r="126" spans="1:34" x14ac:dyDescent="0.35">
      <c r="A126" t="s">
        <v>413</v>
      </c>
      <c r="B126" t="s">
        <v>414</v>
      </c>
      <c r="C126">
        <v>41</v>
      </c>
      <c r="D126" t="s">
        <v>38</v>
      </c>
      <c r="E126" t="s">
        <v>39</v>
      </c>
      <c r="F126" t="s">
        <v>46</v>
      </c>
      <c r="G126">
        <v>28771</v>
      </c>
      <c r="H126">
        <v>705</v>
      </c>
      <c r="I126">
        <v>36339</v>
      </c>
      <c r="J126">
        <v>5.04</v>
      </c>
      <c r="K126">
        <v>240</v>
      </c>
      <c r="L126" t="s">
        <v>33</v>
      </c>
      <c r="M126">
        <v>13.67</v>
      </c>
      <c r="N126">
        <v>57594</v>
      </c>
      <c r="O126">
        <v>124772</v>
      </c>
      <c r="P126" t="s">
        <v>415</v>
      </c>
      <c r="Q126" t="s">
        <v>42</v>
      </c>
      <c r="R126" t="s">
        <v>28</v>
      </c>
      <c r="S126" t="s">
        <v>29</v>
      </c>
      <c r="T126">
        <v>159.04</v>
      </c>
      <c r="U126">
        <f t="shared" si="14"/>
        <v>1876</v>
      </c>
      <c r="V126">
        <f t="shared" si="15"/>
        <v>663</v>
      </c>
      <c r="W126">
        <f t="shared" si="16"/>
        <v>606</v>
      </c>
      <c r="X126">
        <f t="shared" si="17"/>
        <v>0.35149999999999998</v>
      </c>
      <c r="Y126" s="1">
        <f t="shared" si="18"/>
        <v>96785730</v>
      </c>
      <c r="Z126">
        <f t="shared" si="19"/>
        <v>51591.540511727078</v>
      </c>
      <c r="AA126">
        <f t="shared" si="20"/>
        <v>99996</v>
      </c>
      <c r="AB126">
        <f t="shared" si="21"/>
        <v>5091</v>
      </c>
      <c r="AC126">
        <f t="shared" si="22"/>
        <v>2502877.2200000007</v>
      </c>
      <c r="AD126">
        <f t="shared" si="23"/>
        <v>1334.1563006396591</v>
      </c>
      <c r="AE126">
        <f t="shared" si="24"/>
        <v>0.35149999999999998</v>
      </c>
      <c r="AF126">
        <f t="shared" si="25"/>
        <v>2364833123.2999964</v>
      </c>
      <c r="AG126" t="str">
        <f t="shared" si="26"/>
        <v>Active</v>
      </c>
      <c r="AH126">
        <f t="shared" si="27"/>
        <v>1908.48</v>
      </c>
    </row>
    <row r="127" spans="1:34" x14ac:dyDescent="0.35">
      <c r="A127" t="s">
        <v>416</v>
      </c>
      <c r="B127" t="s">
        <v>417</v>
      </c>
      <c r="C127">
        <v>41</v>
      </c>
      <c r="D127" t="s">
        <v>22</v>
      </c>
      <c r="E127" t="s">
        <v>39</v>
      </c>
      <c r="F127" t="s">
        <v>46</v>
      </c>
      <c r="G127">
        <v>162561</v>
      </c>
      <c r="H127">
        <v>815</v>
      </c>
      <c r="I127">
        <v>90261</v>
      </c>
      <c r="J127">
        <v>10.99</v>
      </c>
      <c r="K127">
        <v>120</v>
      </c>
      <c r="L127" t="s">
        <v>86</v>
      </c>
      <c r="M127">
        <v>53.57</v>
      </c>
      <c r="N127">
        <v>59348</v>
      </c>
      <c r="O127">
        <v>17313</v>
      </c>
      <c r="P127" t="s">
        <v>418</v>
      </c>
      <c r="Q127" t="s">
        <v>27</v>
      </c>
      <c r="R127" t="s">
        <v>28</v>
      </c>
      <c r="S127" t="s">
        <v>49</v>
      </c>
      <c r="T127">
        <v>834.84</v>
      </c>
      <c r="U127">
        <f t="shared" si="14"/>
        <v>1875</v>
      </c>
      <c r="V127">
        <f t="shared" si="15"/>
        <v>662</v>
      </c>
      <c r="W127">
        <f t="shared" si="16"/>
        <v>606</v>
      </c>
      <c r="X127">
        <f t="shared" si="17"/>
        <v>0.35149999999999998</v>
      </c>
      <c r="Y127" s="1">
        <f t="shared" si="18"/>
        <v>96749391</v>
      </c>
      <c r="Z127">
        <f t="shared" si="19"/>
        <v>51599.675199999998</v>
      </c>
      <c r="AA127">
        <f t="shared" si="20"/>
        <v>99996</v>
      </c>
      <c r="AB127">
        <f t="shared" si="21"/>
        <v>5091</v>
      </c>
      <c r="AC127">
        <f t="shared" si="22"/>
        <v>2502718.1800000011</v>
      </c>
      <c r="AD127">
        <f t="shared" si="23"/>
        <v>1334.7830293333338</v>
      </c>
      <c r="AE127">
        <f t="shared" si="24"/>
        <v>0.35149999999999998</v>
      </c>
      <c r="AF127">
        <f t="shared" si="25"/>
        <v>2362330246.0799966</v>
      </c>
      <c r="AG127" t="str">
        <f t="shared" si="26"/>
        <v>Active</v>
      </c>
      <c r="AH127">
        <f t="shared" si="27"/>
        <v>10018.08</v>
      </c>
    </row>
    <row r="128" spans="1:34" x14ac:dyDescent="0.35">
      <c r="A128" t="s">
        <v>419</v>
      </c>
      <c r="B128" t="s">
        <v>420</v>
      </c>
      <c r="C128">
        <v>55</v>
      </c>
      <c r="D128" t="s">
        <v>38</v>
      </c>
      <c r="E128" t="s">
        <v>32</v>
      </c>
      <c r="F128" t="s">
        <v>59</v>
      </c>
      <c r="G128">
        <v>120819</v>
      </c>
      <c r="H128">
        <v>307</v>
      </c>
      <c r="I128">
        <v>44913</v>
      </c>
      <c r="J128">
        <v>4.6100000000000003</v>
      </c>
      <c r="K128">
        <v>24</v>
      </c>
      <c r="L128" t="s">
        <v>33</v>
      </c>
      <c r="M128">
        <v>41.37</v>
      </c>
      <c r="N128">
        <v>44459</v>
      </c>
      <c r="O128">
        <v>110635</v>
      </c>
      <c r="P128" t="s">
        <v>421</v>
      </c>
      <c r="Q128" t="s">
        <v>61</v>
      </c>
      <c r="R128" t="s">
        <v>48</v>
      </c>
      <c r="S128" t="s">
        <v>29</v>
      </c>
      <c r="T128">
        <v>1957.65</v>
      </c>
      <c r="U128">
        <f t="shared" si="14"/>
        <v>1874</v>
      </c>
      <c r="V128">
        <f t="shared" si="15"/>
        <v>662</v>
      </c>
      <c r="W128">
        <f t="shared" si="16"/>
        <v>606</v>
      </c>
      <c r="X128">
        <f t="shared" si="17"/>
        <v>0.35149999999999998</v>
      </c>
      <c r="Y128" s="1">
        <f t="shared" si="18"/>
        <v>96659130</v>
      </c>
      <c r="Z128">
        <f t="shared" si="19"/>
        <v>51579.044823906086</v>
      </c>
      <c r="AA128">
        <f t="shared" si="20"/>
        <v>99996</v>
      </c>
      <c r="AB128">
        <f t="shared" si="21"/>
        <v>5091</v>
      </c>
      <c r="AC128">
        <f t="shared" si="22"/>
        <v>2501883.3400000008</v>
      </c>
      <c r="AD128">
        <f t="shared" si="23"/>
        <v>1335.0498078975459</v>
      </c>
      <c r="AE128">
        <f t="shared" si="24"/>
        <v>0.35149999999999998</v>
      </c>
      <c r="AF128">
        <f t="shared" si="25"/>
        <v>2359827527.8999963</v>
      </c>
      <c r="AG128" t="str">
        <f t="shared" si="26"/>
        <v>Active</v>
      </c>
      <c r="AH128">
        <f t="shared" si="27"/>
        <v>23491.800000000003</v>
      </c>
    </row>
    <row r="129" spans="1:34" x14ac:dyDescent="0.35">
      <c r="A129" t="s">
        <v>422</v>
      </c>
      <c r="B129" t="s">
        <v>423</v>
      </c>
      <c r="C129">
        <v>54</v>
      </c>
      <c r="D129" t="s">
        <v>22</v>
      </c>
      <c r="E129" t="s">
        <v>32</v>
      </c>
      <c r="F129" t="s">
        <v>46</v>
      </c>
      <c r="G129">
        <v>88177</v>
      </c>
      <c r="H129">
        <v>743</v>
      </c>
      <c r="I129">
        <v>20739</v>
      </c>
      <c r="J129">
        <v>13.19</v>
      </c>
      <c r="K129">
        <v>120</v>
      </c>
      <c r="L129" t="s">
        <v>52</v>
      </c>
      <c r="M129">
        <v>34.47</v>
      </c>
      <c r="N129">
        <v>11730</v>
      </c>
      <c r="O129">
        <v>13183</v>
      </c>
      <c r="P129" t="s">
        <v>424</v>
      </c>
      <c r="Q129" t="s">
        <v>42</v>
      </c>
      <c r="R129" t="s">
        <v>48</v>
      </c>
      <c r="S129" t="s">
        <v>43</v>
      </c>
      <c r="T129">
        <v>195.62</v>
      </c>
      <c r="U129">
        <f t="shared" si="14"/>
        <v>1873</v>
      </c>
      <c r="V129">
        <f t="shared" si="15"/>
        <v>662</v>
      </c>
      <c r="W129">
        <f t="shared" si="16"/>
        <v>605</v>
      </c>
      <c r="X129">
        <f t="shared" si="17"/>
        <v>0.35149999999999998</v>
      </c>
      <c r="Y129" s="1">
        <f t="shared" si="18"/>
        <v>96614217</v>
      </c>
      <c r="Z129">
        <f t="shared" si="19"/>
        <v>51582.603844100377</v>
      </c>
      <c r="AA129">
        <f t="shared" si="20"/>
        <v>99996</v>
      </c>
      <c r="AB129">
        <f t="shared" si="21"/>
        <v>5091</v>
      </c>
      <c r="AC129">
        <f t="shared" si="22"/>
        <v>2499925.6900000013</v>
      </c>
      <c r="AD129">
        <f t="shared" si="23"/>
        <v>1334.7173998932201</v>
      </c>
      <c r="AE129">
        <f t="shared" si="24"/>
        <v>0.35149999999999998</v>
      </c>
      <c r="AF129">
        <f t="shared" si="25"/>
        <v>2357325644.5599966</v>
      </c>
      <c r="AG129" t="str">
        <f t="shared" si="26"/>
        <v>Active</v>
      </c>
      <c r="AH129">
        <f t="shared" si="27"/>
        <v>2347.44</v>
      </c>
    </row>
    <row r="130" spans="1:34" x14ac:dyDescent="0.35">
      <c r="A130" t="s">
        <v>425</v>
      </c>
      <c r="B130" t="s">
        <v>426</v>
      </c>
      <c r="C130">
        <v>48</v>
      </c>
      <c r="D130" t="s">
        <v>22</v>
      </c>
      <c r="E130" t="s">
        <v>39</v>
      </c>
      <c r="F130" t="s">
        <v>24</v>
      </c>
      <c r="G130">
        <v>45756</v>
      </c>
      <c r="H130">
        <v>780</v>
      </c>
      <c r="I130">
        <v>49214</v>
      </c>
      <c r="J130">
        <v>10.55</v>
      </c>
      <c r="K130">
        <v>60</v>
      </c>
      <c r="L130" t="s">
        <v>52</v>
      </c>
      <c r="M130">
        <v>55.94</v>
      </c>
      <c r="N130">
        <v>22539</v>
      </c>
      <c r="O130">
        <v>189649</v>
      </c>
      <c r="P130" t="s">
        <v>427</v>
      </c>
      <c r="Q130" t="s">
        <v>61</v>
      </c>
      <c r="R130" t="s">
        <v>48</v>
      </c>
      <c r="S130" t="s">
        <v>49</v>
      </c>
      <c r="T130">
        <v>906.77</v>
      </c>
      <c r="U130">
        <f t="shared" ref="U130:U193" si="28">COUNTA(A130:A2129)</f>
        <v>1872</v>
      </c>
      <c r="V130">
        <f t="shared" ref="V130:V193" si="29">COUNTIF(Q130:Q2129,"APPROVED")</f>
        <v>661</v>
      </c>
      <c r="W130">
        <f t="shared" ref="W130:W193" si="30">COUNTIF(Q130:Q2130,"Rejected")</f>
        <v>605</v>
      </c>
      <c r="X130">
        <f t="shared" ref="X130:X193" si="31">703/2000</f>
        <v>0.35149999999999998</v>
      </c>
      <c r="Y130" s="1">
        <f t="shared" ref="Y130:Y193" si="32">SUM(I130:I2129)</f>
        <v>96593478</v>
      </c>
      <c r="Z130">
        <f t="shared" ref="Z130:Z193" si="33">AVERAGE(I130:I20129)</f>
        <v>51599.080128205125</v>
      </c>
      <c r="AA130">
        <f t="shared" ref="AA130:AA193" si="34">MAX(I130:I2129)</f>
        <v>99996</v>
      </c>
      <c r="AB130">
        <f t="shared" ref="AB130:AB193" si="35">MIN(I130:I2129)</f>
        <v>5091</v>
      </c>
      <c r="AC130">
        <f t="shared" ref="AC130:AC193" si="36">SUM(T130:T2129)</f>
        <v>2499730.0700000012</v>
      </c>
      <c r="AD130">
        <f t="shared" ref="AD130:AD193" si="37">AVERAGE(T130:T2129)</f>
        <v>1335.3258920940177</v>
      </c>
      <c r="AE130">
        <f t="shared" ref="AE130:AE193" si="38">703/2000</f>
        <v>0.35149999999999998</v>
      </c>
      <c r="AF130">
        <f t="shared" ref="AF130:AF193" si="39">SUM(AC130:AC2129)</f>
        <v>2354825718.8699965</v>
      </c>
      <c r="AG130" t="str">
        <f t="shared" ref="AG130:AG193" si="40">IF(AH130=0,"Bad", IF(AH129&lt;I129, "Active", IF(AH129=I129, "Good", "Over Paid")))</f>
        <v>Active</v>
      </c>
      <c r="AH130">
        <f t="shared" ref="AH130:AH193" si="41">T130*12</f>
        <v>10881.24</v>
      </c>
    </row>
    <row r="131" spans="1:34" x14ac:dyDescent="0.35">
      <c r="A131" t="s">
        <v>428</v>
      </c>
      <c r="B131" t="s">
        <v>429</v>
      </c>
      <c r="C131">
        <v>23</v>
      </c>
      <c r="D131" t="s">
        <v>38</v>
      </c>
      <c r="E131" t="s">
        <v>32</v>
      </c>
      <c r="F131" t="s">
        <v>46</v>
      </c>
      <c r="G131">
        <v>172736</v>
      </c>
      <c r="H131">
        <v>425</v>
      </c>
      <c r="I131">
        <v>64345</v>
      </c>
      <c r="J131">
        <v>23.39</v>
      </c>
      <c r="K131">
        <v>240</v>
      </c>
      <c r="L131" t="s">
        <v>40</v>
      </c>
      <c r="M131">
        <v>26.05</v>
      </c>
      <c r="N131">
        <v>24792</v>
      </c>
      <c r="O131">
        <v>7750</v>
      </c>
      <c r="P131" t="s">
        <v>430</v>
      </c>
      <c r="Q131" t="s">
        <v>61</v>
      </c>
      <c r="R131" t="s">
        <v>48</v>
      </c>
      <c r="S131" t="s">
        <v>68</v>
      </c>
      <c r="T131">
        <v>330.81</v>
      </c>
      <c r="U131">
        <f t="shared" si="28"/>
        <v>1871</v>
      </c>
      <c r="V131">
        <f t="shared" si="29"/>
        <v>661</v>
      </c>
      <c r="W131">
        <f t="shared" si="30"/>
        <v>604</v>
      </c>
      <c r="X131">
        <f t="shared" si="31"/>
        <v>0.35149999999999998</v>
      </c>
      <c r="Y131" s="1">
        <f t="shared" si="32"/>
        <v>96544264</v>
      </c>
      <c r="Z131">
        <f t="shared" si="33"/>
        <v>51600.354890432922</v>
      </c>
      <c r="AA131">
        <f t="shared" si="34"/>
        <v>99996</v>
      </c>
      <c r="AB131">
        <f t="shared" si="35"/>
        <v>5091</v>
      </c>
      <c r="AC131">
        <f t="shared" si="36"/>
        <v>2498823.3000000012</v>
      </c>
      <c r="AD131">
        <f t="shared" si="37"/>
        <v>1335.5549438802786</v>
      </c>
      <c r="AE131">
        <f t="shared" si="38"/>
        <v>0.35149999999999998</v>
      </c>
      <c r="AF131">
        <f t="shared" si="39"/>
        <v>2352325988.7999959</v>
      </c>
      <c r="AG131" t="str">
        <f t="shared" si="40"/>
        <v>Active</v>
      </c>
      <c r="AH131">
        <f t="shared" si="41"/>
        <v>3969.7200000000003</v>
      </c>
    </row>
    <row r="132" spans="1:34" x14ac:dyDescent="0.35">
      <c r="A132" t="s">
        <v>431</v>
      </c>
      <c r="B132" t="s">
        <v>432</v>
      </c>
      <c r="C132">
        <v>43</v>
      </c>
      <c r="D132" t="s">
        <v>38</v>
      </c>
      <c r="E132" t="s">
        <v>39</v>
      </c>
      <c r="F132" t="s">
        <v>24</v>
      </c>
      <c r="G132">
        <v>88650</v>
      </c>
      <c r="H132">
        <v>597</v>
      </c>
      <c r="I132">
        <v>79970</v>
      </c>
      <c r="J132">
        <v>9.9600000000000009</v>
      </c>
      <c r="K132">
        <v>360</v>
      </c>
      <c r="L132" t="s">
        <v>86</v>
      </c>
      <c r="M132">
        <v>36.549999999999997</v>
      </c>
      <c r="N132">
        <v>65904</v>
      </c>
      <c r="O132">
        <v>1514</v>
      </c>
      <c r="P132" t="s">
        <v>433</v>
      </c>
      <c r="Q132" t="s">
        <v>42</v>
      </c>
      <c r="R132" t="s">
        <v>28</v>
      </c>
      <c r="S132" t="s">
        <v>49</v>
      </c>
      <c r="T132">
        <v>244.26</v>
      </c>
      <c r="U132">
        <f t="shared" si="28"/>
        <v>1870</v>
      </c>
      <c r="V132">
        <f t="shared" si="29"/>
        <v>661</v>
      </c>
      <c r="W132">
        <f t="shared" si="30"/>
        <v>603</v>
      </c>
      <c r="X132">
        <f t="shared" si="31"/>
        <v>0.35149999999999998</v>
      </c>
      <c r="Y132" s="1">
        <f t="shared" si="32"/>
        <v>96479919</v>
      </c>
      <c r="Z132">
        <f t="shared" si="33"/>
        <v>51593.539572192516</v>
      </c>
      <c r="AA132">
        <f t="shared" si="34"/>
        <v>99996</v>
      </c>
      <c r="AB132">
        <f t="shared" si="35"/>
        <v>5091</v>
      </c>
      <c r="AC132">
        <f t="shared" si="36"/>
        <v>2498492.4900000012</v>
      </c>
      <c r="AD132">
        <f t="shared" si="37"/>
        <v>1336.0922406417119</v>
      </c>
      <c r="AE132">
        <f t="shared" si="38"/>
        <v>0.35149999999999998</v>
      </c>
      <c r="AF132">
        <f t="shared" si="39"/>
        <v>2349827165.4999962</v>
      </c>
      <c r="AG132" t="str">
        <f t="shared" si="40"/>
        <v>Active</v>
      </c>
      <c r="AH132">
        <f t="shared" si="41"/>
        <v>2931.12</v>
      </c>
    </row>
    <row r="133" spans="1:34" x14ac:dyDescent="0.35">
      <c r="A133" t="s">
        <v>434</v>
      </c>
      <c r="B133" t="s">
        <v>435</v>
      </c>
      <c r="C133">
        <v>57</v>
      </c>
      <c r="D133" t="s">
        <v>22</v>
      </c>
      <c r="E133" t="s">
        <v>39</v>
      </c>
      <c r="F133" t="s">
        <v>59</v>
      </c>
      <c r="G133">
        <v>173917</v>
      </c>
      <c r="H133">
        <v>777</v>
      </c>
      <c r="I133">
        <v>54769</v>
      </c>
      <c r="J133">
        <v>18.73</v>
      </c>
      <c r="K133">
        <v>360</v>
      </c>
      <c r="L133" t="s">
        <v>40</v>
      </c>
      <c r="M133">
        <v>9.8800000000000008</v>
      </c>
      <c r="N133">
        <v>60571</v>
      </c>
      <c r="O133">
        <v>3178</v>
      </c>
      <c r="P133" t="s">
        <v>436</v>
      </c>
      <c r="Q133" t="s">
        <v>42</v>
      </c>
      <c r="R133" t="s">
        <v>28</v>
      </c>
      <c r="S133" t="s">
        <v>49</v>
      </c>
      <c r="T133">
        <v>180.63</v>
      </c>
      <c r="U133">
        <f t="shared" si="28"/>
        <v>1869</v>
      </c>
      <c r="V133">
        <f t="shared" si="29"/>
        <v>660</v>
      </c>
      <c r="W133">
        <f t="shared" si="30"/>
        <v>603</v>
      </c>
      <c r="X133">
        <f t="shared" si="31"/>
        <v>0.35149999999999998</v>
      </c>
      <c r="Y133" s="1">
        <f t="shared" si="32"/>
        <v>96399949</v>
      </c>
      <c r="Z133">
        <f t="shared" si="33"/>
        <v>51578.356875334401</v>
      </c>
      <c r="AA133">
        <f t="shared" si="34"/>
        <v>99996</v>
      </c>
      <c r="AB133">
        <f t="shared" si="35"/>
        <v>5091</v>
      </c>
      <c r="AC133">
        <f t="shared" si="36"/>
        <v>2498248.2300000014</v>
      </c>
      <c r="AD133">
        <f t="shared" si="37"/>
        <v>1336.6764205457471</v>
      </c>
      <c r="AE133">
        <f t="shared" si="38"/>
        <v>0.35149999999999998</v>
      </c>
      <c r="AF133">
        <f t="shared" si="39"/>
        <v>2347328673.0099964</v>
      </c>
      <c r="AG133" t="str">
        <f t="shared" si="40"/>
        <v>Active</v>
      </c>
      <c r="AH133">
        <f t="shared" si="41"/>
        <v>2167.56</v>
      </c>
    </row>
    <row r="134" spans="1:34" x14ac:dyDescent="0.35">
      <c r="A134" t="s">
        <v>437</v>
      </c>
      <c r="B134" t="s">
        <v>438</v>
      </c>
      <c r="C134">
        <v>32</v>
      </c>
      <c r="D134" t="s">
        <v>22</v>
      </c>
      <c r="E134" t="s">
        <v>23</v>
      </c>
      <c r="F134" t="s">
        <v>24</v>
      </c>
      <c r="G134">
        <v>176269</v>
      </c>
      <c r="H134">
        <v>647</v>
      </c>
      <c r="I134">
        <v>52835</v>
      </c>
      <c r="J134">
        <v>23.39</v>
      </c>
      <c r="K134">
        <v>60</v>
      </c>
      <c r="L134" t="s">
        <v>52</v>
      </c>
      <c r="M134">
        <v>44.76</v>
      </c>
      <c r="N134">
        <v>76666</v>
      </c>
      <c r="O134">
        <v>162135</v>
      </c>
      <c r="P134" t="s">
        <v>430</v>
      </c>
      <c r="Q134" t="s">
        <v>61</v>
      </c>
      <c r="R134" t="s">
        <v>28</v>
      </c>
      <c r="S134" t="s">
        <v>43</v>
      </c>
      <c r="T134">
        <v>1086.55</v>
      </c>
      <c r="U134">
        <f t="shared" si="28"/>
        <v>1868</v>
      </c>
      <c r="V134">
        <f t="shared" si="29"/>
        <v>659</v>
      </c>
      <c r="W134">
        <f t="shared" si="30"/>
        <v>603</v>
      </c>
      <c r="X134">
        <f t="shared" si="31"/>
        <v>0.35149999999999998</v>
      </c>
      <c r="Y134" s="1">
        <f t="shared" si="32"/>
        <v>96345180</v>
      </c>
      <c r="Z134">
        <f t="shared" si="33"/>
        <v>51576.64882226981</v>
      </c>
      <c r="AA134">
        <f t="shared" si="34"/>
        <v>99996</v>
      </c>
      <c r="AB134">
        <f t="shared" si="35"/>
        <v>5091</v>
      </c>
      <c r="AC134">
        <f t="shared" si="36"/>
        <v>2498067.6000000015</v>
      </c>
      <c r="AD134">
        <f t="shared" si="37"/>
        <v>1337.2952890792299</v>
      </c>
      <c r="AE134">
        <f t="shared" si="38"/>
        <v>0.35149999999999998</v>
      </c>
      <c r="AF134">
        <f t="shared" si="39"/>
        <v>2344830424.7799964</v>
      </c>
      <c r="AG134" t="str">
        <f t="shared" si="40"/>
        <v>Active</v>
      </c>
      <c r="AH134">
        <f t="shared" si="41"/>
        <v>13038.599999999999</v>
      </c>
    </row>
    <row r="135" spans="1:34" x14ac:dyDescent="0.35">
      <c r="A135" t="s">
        <v>439</v>
      </c>
      <c r="B135" t="s">
        <v>440</v>
      </c>
      <c r="C135">
        <v>60</v>
      </c>
      <c r="D135" t="s">
        <v>22</v>
      </c>
      <c r="E135" t="s">
        <v>39</v>
      </c>
      <c r="F135" t="s">
        <v>24</v>
      </c>
      <c r="G135">
        <v>175034</v>
      </c>
      <c r="H135">
        <v>597</v>
      </c>
      <c r="I135">
        <v>12337</v>
      </c>
      <c r="J135">
        <v>17.61</v>
      </c>
      <c r="K135">
        <v>360</v>
      </c>
      <c r="L135" t="s">
        <v>25</v>
      </c>
      <c r="M135">
        <v>11.38</v>
      </c>
      <c r="N135">
        <v>4207</v>
      </c>
      <c r="O135">
        <v>171324</v>
      </c>
      <c r="P135" t="s">
        <v>236</v>
      </c>
      <c r="Q135" t="s">
        <v>27</v>
      </c>
      <c r="R135" t="s">
        <v>28</v>
      </c>
      <c r="S135" t="s">
        <v>35</v>
      </c>
      <c r="T135">
        <v>40.299999999999997</v>
      </c>
      <c r="U135">
        <f t="shared" si="28"/>
        <v>1867</v>
      </c>
      <c r="V135">
        <f t="shared" si="29"/>
        <v>659</v>
      </c>
      <c r="W135">
        <f t="shared" si="30"/>
        <v>602</v>
      </c>
      <c r="X135">
        <f t="shared" si="31"/>
        <v>0.35149999999999998</v>
      </c>
      <c r="Y135" s="1">
        <f t="shared" si="32"/>
        <v>96292345</v>
      </c>
      <c r="Z135">
        <f t="shared" si="33"/>
        <v>51575.974825923942</v>
      </c>
      <c r="AA135">
        <f t="shared" si="34"/>
        <v>99996</v>
      </c>
      <c r="AB135">
        <f t="shared" si="35"/>
        <v>5091</v>
      </c>
      <c r="AC135">
        <f t="shared" si="36"/>
        <v>2496981.0500000017</v>
      </c>
      <c r="AD135">
        <f t="shared" si="37"/>
        <v>1337.4295929298348</v>
      </c>
      <c r="AE135">
        <f t="shared" si="38"/>
        <v>0.35149999999999998</v>
      </c>
      <c r="AF135">
        <f t="shared" si="39"/>
        <v>2342332357.1799965</v>
      </c>
      <c r="AG135" t="str">
        <f t="shared" si="40"/>
        <v>Active</v>
      </c>
      <c r="AH135">
        <f t="shared" si="41"/>
        <v>483.59999999999997</v>
      </c>
    </row>
    <row r="136" spans="1:34" x14ac:dyDescent="0.35">
      <c r="A136" t="s">
        <v>441</v>
      </c>
      <c r="B136" t="s">
        <v>442</v>
      </c>
      <c r="C136">
        <v>52</v>
      </c>
      <c r="D136" t="s">
        <v>22</v>
      </c>
      <c r="E136" t="s">
        <v>32</v>
      </c>
      <c r="F136" t="s">
        <v>24</v>
      </c>
      <c r="G136">
        <v>183765</v>
      </c>
      <c r="H136">
        <v>439</v>
      </c>
      <c r="I136">
        <v>83534</v>
      </c>
      <c r="J136">
        <v>4.21</v>
      </c>
      <c r="K136">
        <v>360</v>
      </c>
      <c r="L136" t="s">
        <v>86</v>
      </c>
      <c r="M136">
        <v>17.95</v>
      </c>
      <c r="N136">
        <v>74324</v>
      </c>
      <c r="O136">
        <v>198657</v>
      </c>
      <c r="P136" t="s">
        <v>443</v>
      </c>
      <c r="Q136" t="s">
        <v>27</v>
      </c>
      <c r="R136" t="s">
        <v>28</v>
      </c>
      <c r="S136" t="s">
        <v>49</v>
      </c>
      <c r="T136">
        <v>241.81</v>
      </c>
      <c r="U136">
        <f t="shared" si="28"/>
        <v>1866</v>
      </c>
      <c r="V136">
        <f t="shared" si="29"/>
        <v>659</v>
      </c>
      <c r="W136">
        <f t="shared" si="30"/>
        <v>602</v>
      </c>
      <c r="X136">
        <f t="shared" si="31"/>
        <v>0.35149999999999998</v>
      </c>
      <c r="Y136" s="1">
        <f t="shared" si="32"/>
        <v>96280008</v>
      </c>
      <c r="Z136">
        <f t="shared" si="33"/>
        <v>51597.003215434081</v>
      </c>
      <c r="AA136">
        <f t="shared" si="34"/>
        <v>99996</v>
      </c>
      <c r="AB136">
        <f t="shared" si="35"/>
        <v>5091</v>
      </c>
      <c r="AC136">
        <f t="shared" si="36"/>
        <v>2496940.7500000014</v>
      </c>
      <c r="AD136">
        <f t="shared" si="37"/>
        <v>1338.1247320471605</v>
      </c>
      <c r="AE136">
        <f t="shared" si="38"/>
        <v>0.35149999999999998</v>
      </c>
      <c r="AF136">
        <f t="shared" si="39"/>
        <v>2339835376.1299958</v>
      </c>
      <c r="AG136" t="str">
        <f t="shared" si="40"/>
        <v>Active</v>
      </c>
      <c r="AH136">
        <f t="shared" si="41"/>
        <v>2901.7200000000003</v>
      </c>
    </row>
    <row r="137" spans="1:34" x14ac:dyDescent="0.35">
      <c r="A137" t="s">
        <v>444</v>
      </c>
      <c r="B137" t="s">
        <v>445</v>
      </c>
      <c r="C137">
        <v>41</v>
      </c>
      <c r="D137" t="s">
        <v>22</v>
      </c>
      <c r="E137" t="s">
        <v>23</v>
      </c>
      <c r="F137" t="s">
        <v>59</v>
      </c>
      <c r="G137">
        <v>151499</v>
      </c>
      <c r="H137">
        <v>704</v>
      </c>
      <c r="I137">
        <v>54485</v>
      </c>
      <c r="J137">
        <v>9.42</v>
      </c>
      <c r="K137">
        <v>60</v>
      </c>
      <c r="L137" t="s">
        <v>40</v>
      </c>
      <c r="M137">
        <v>39.869999999999997</v>
      </c>
      <c r="N137">
        <v>16880</v>
      </c>
      <c r="O137">
        <v>60482</v>
      </c>
      <c r="P137" t="s">
        <v>446</v>
      </c>
      <c r="Q137" t="s">
        <v>27</v>
      </c>
      <c r="R137" t="s">
        <v>48</v>
      </c>
      <c r="S137" t="s">
        <v>35</v>
      </c>
      <c r="T137">
        <v>993.62</v>
      </c>
      <c r="U137">
        <f t="shared" si="28"/>
        <v>1865</v>
      </c>
      <c r="V137">
        <f t="shared" si="29"/>
        <v>659</v>
      </c>
      <c r="W137">
        <f t="shared" si="30"/>
        <v>602</v>
      </c>
      <c r="X137">
        <f t="shared" si="31"/>
        <v>0.35149999999999998</v>
      </c>
      <c r="Y137" s="1">
        <f t="shared" si="32"/>
        <v>96196474</v>
      </c>
      <c r="Z137">
        <f t="shared" si="33"/>
        <v>51579.878820375336</v>
      </c>
      <c r="AA137">
        <f t="shared" si="34"/>
        <v>99996</v>
      </c>
      <c r="AB137">
        <f t="shared" si="35"/>
        <v>5091</v>
      </c>
      <c r="AC137">
        <f t="shared" si="36"/>
        <v>2496698.9400000013</v>
      </c>
      <c r="AD137">
        <f t="shared" si="37"/>
        <v>1338.712568364612</v>
      </c>
      <c r="AE137">
        <f t="shared" si="38"/>
        <v>0.35149999999999998</v>
      </c>
      <c r="AF137">
        <f t="shared" si="39"/>
        <v>2337338435.3799958</v>
      </c>
      <c r="AG137" t="str">
        <f t="shared" si="40"/>
        <v>Active</v>
      </c>
      <c r="AH137">
        <f t="shared" si="41"/>
        <v>11923.44</v>
      </c>
    </row>
    <row r="138" spans="1:34" x14ac:dyDescent="0.35">
      <c r="A138" t="s">
        <v>447</v>
      </c>
      <c r="B138" t="s">
        <v>448</v>
      </c>
      <c r="C138">
        <v>28</v>
      </c>
      <c r="D138" t="s">
        <v>22</v>
      </c>
      <c r="E138" t="s">
        <v>39</v>
      </c>
      <c r="F138" t="s">
        <v>46</v>
      </c>
      <c r="G138">
        <v>41727</v>
      </c>
      <c r="H138">
        <v>380</v>
      </c>
      <c r="I138">
        <v>25278</v>
      </c>
      <c r="J138">
        <v>3.63</v>
      </c>
      <c r="K138">
        <v>180</v>
      </c>
      <c r="L138" t="s">
        <v>33</v>
      </c>
      <c r="M138">
        <v>50.13</v>
      </c>
      <c r="N138">
        <v>50300</v>
      </c>
      <c r="O138">
        <v>218494</v>
      </c>
      <c r="P138" t="s">
        <v>449</v>
      </c>
      <c r="Q138" t="s">
        <v>27</v>
      </c>
      <c r="R138" t="s">
        <v>48</v>
      </c>
      <c r="S138" t="s">
        <v>49</v>
      </c>
      <c r="T138">
        <v>145.53</v>
      </c>
      <c r="U138">
        <f t="shared" si="28"/>
        <v>1864</v>
      </c>
      <c r="V138">
        <f t="shared" si="29"/>
        <v>659</v>
      </c>
      <c r="W138">
        <f t="shared" si="30"/>
        <v>602</v>
      </c>
      <c r="X138">
        <f t="shared" si="31"/>
        <v>0.35149999999999998</v>
      </c>
      <c r="Y138" s="1">
        <f t="shared" si="32"/>
        <v>96141989</v>
      </c>
      <c r="Z138">
        <f t="shared" si="33"/>
        <v>51578.320278969957</v>
      </c>
      <c r="AA138">
        <f t="shared" si="34"/>
        <v>99996</v>
      </c>
      <c r="AB138">
        <f t="shared" si="35"/>
        <v>5091</v>
      </c>
      <c r="AC138">
        <f t="shared" si="36"/>
        <v>2495705.3200000017</v>
      </c>
      <c r="AD138">
        <f t="shared" si="37"/>
        <v>1338.897703862662</v>
      </c>
      <c r="AE138">
        <f t="shared" si="38"/>
        <v>0.35149999999999998</v>
      </c>
      <c r="AF138">
        <f t="shared" si="39"/>
        <v>2334841736.4399958</v>
      </c>
      <c r="AG138" t="str">
        <f t="shared" si="40"/>
        <v>Active</v>
      </c>
      <c r="AH138">
        <f t="shared" si="41"/>
        <v>1746.3600000000001</v>
      </c>
    </row>
    <row r="139" spans="1:34" x14ac:dyDescent="0.35">
      <c r="A139" t="s">
        <v>450</v>
      </c>
      <c r="B139" t="s">
        <v>451</v>
      </c>
      <c r="C139">
        <v>64</v>
      </c>
      <c r="D139" t="s">
        <v>38</v>
      </c>
      <c r="E139" t="s">
        <v>32</v>
      </c>
      <c r="F139" t="s">
        <v>46</v>
      </c>
      <c r="G139">
        <v>127829</v>
      </c>
      <c r="H139">
        <v>561</v>
      </c>
      <c r="I139">
        <v>92672</v>
      </c>
      <c r="J139">
        <v>3.85</v>
      </c>
      <c r="K139">
        <v>60</v>
      </c>
      <c r="L139" t="s">
        <v>40</v>
      </c>
      <c r="M139">
        <v>58.12</v>
      </c>
      <c r="N139">
        <v>50263</v>
      </c>
      <c r="O139">
        <v>33634</v>
      </c>
      <c r="P139" t="s">
        <v>284</v>
      </c>
      <c r="Q139" t="s">
        <v>61</v>
      </c>
      <c r="R139" t="s">
        <v>28</v>
      </c>
      <c r="S139" t="s">
        <v>49</v>
      </c>
      <c r="T139">
        <v>1604</v>
      </c>
      <c r="U139">
        <f t="shared" si="28"/>
        <v>1863</v>
      </c>
      <c r="V139">
        <f t="shared" si="29"/>
        <v>659</v>
      </c>
      <c r="W139">
        <f t="shared" si="30"/>
        <v>602</v>
      </c>
      <c r="X139">
        <f t="shared" si="31"/>
        <v>0.35149999999999998</v>
      </c>
      <c r="Y139" s="1">
        <f t="shared" si="32"/>
        <v>96116711</v>
      </c>
      <c r="Z139">
        <f t="shared" si="33"/>
        <v>51592.437466451956</v>
      </c>
      <c r="AA139">
        <f t="shared" si="34"/>
        <v>99996</v>
      </c>
      <c r="AB139">
        <f t="shared" si="35"/>
        <v>5091</v>
      </c>
      <c r="AC139">
        <f t="shared" si="36"/>
        <v>2495559.7900000014</v>
      </c>
      <c r="AD139">
        <f t="shared" si="37"/>
        <v>1339.5382662372524</v>
      </c>
      <c r="AE139">
        <f t="shared" si="38"/>
        <v>0.35149999999999998</v>
      </c>
      <c r="AF139">
        <f t="shared" si="39"/>
        <v>2332346031.1199961</v>
      </c>
      <c r="AG139" t="str">
        <f t="shared" si="40"/>
        <v>Active</v>
      </c>
      <c r="AH139">
        <f t="shared" si="41"/>
        <v>19248</v>
      </c>
    </row>
    <row r="140" spans="1:34" x14ac:dyDescent="0.35">
      <c r="A140" t="s">
        <v>452</v>
      </c>
      <c r="B140" t="s">
        <v>453</v>
      </c>
      <c r="C140">
        <v>62</v>
      </c>
      <c r="D140" t="s">
        <v>38</v>
      </c>
      <c r="E140" t="s">
        <v>23</v>
      </c>
      <c r="F140" t="s">
        <v>24</v>
      </c>
      <c r="G140">
        <v>145071</v>
      </c>
      <c r="H140">
        <v>836</v>
      </c>
      <c r="I140">
        <v>59608</v>
      </c>
      <c r="J140">
        <v>5.71</v>
      </c>
      <c r="K140">
        <v>240</v>
      </c>
      <c r="L140" t="s">
        <v>86</v>
      </c>
      <c r="M140">
        <v>19.93</v>
      </c>
      <c r="N140">
        <v>44786</v>
      </c>
      <c r="O140">
        <v>163497</v>
      </c>
      <c r="P140" t="s">
        <v>454</v>
      </c>
      <c r="Q140" t="s">
        <v>61</v>
      </c>
      <c r="R140" t="s">
        <v>28</v>
      </c>
      <c r="S140" t="s">
        <v>68</v>
      </c>
      <c r="T140">
        <v>262.55</v>
      </c>
      <c r="U140">
        <f t="shared" si="28"/>
        <v>1862</v>
      </c>
      <c r="V140">
        <f t="shared" si="29"/>
        <v>659</v>
      </c>
      <c r="W140">
        <f t="shared" si="30"/>
        <v>601</v>
      </c>
      <c r="X140">
        <f t="shared" si="31"/>
        <v>0.35149999999999998</v>
      </c>
      <c r="Y140" s="1">
        <f t="shared" si="32"/>
        <v>96024039</v>
      </c>
      <c r="Z140">
        <f t="shared" si="33"/>
        <v>51570.375402792699</v>
      </c>
      <c r="AA140">
        <f t="shared" si="34"/>
        <v>99996</v>
      </c>
      <c r="AB140">
        <f t="shared" si="35"/>
        <v>5091</v>
      </c>
      <c r="AC140">
        <f t="shared" si="36"/>
        <v>2493955.790000001</v>
      </c>
      <c r="AD140">
        <f t="shared" si="37"/>
        <v>1339.396235230935</v>
      </c>
      <c r="AE140">
        <f t="shared" si="38"/>
        <v>0.35149999999999998</v>
      </c>
      <c r="AF140">
        <f t="shared" si="39"/>
        <v>2329850471.3299956</v>
      </c>
      <c r="AG140" t="str">
        <f t="shared" si="40"/>
        <v>Active</v>
      </c>
      <c r="AH140">
        <f t="shared" si="41"/>
        <v>3150.6000000000004</v>
      </c>
    </row>
    <row r="141" spans="1:34" x14ac:dyDescent="0.35">
      <c r="A141" t="s">
        <v>455</v>
      </c>
      <c r="B141" t="s">
        <v>456</v>
      </c>
      <c r="C141">
        <v>64</v>
      </c>
      <c r="D141" t="s">
        <v>22</v>
      </c>
      <c r="E141" t="s">
        <v>23</v>
      </c>
      <c r="F141" t="s">
        <v>24</v>
      </c>
      <c r="G141">
        <v>176399</v>
      </c>
      <c r="H141">
        <v>727</v>
      </c>
      <c r="I141">
        <v>27269</v>
      </c>
      <c r="J141">
        <v>23.19</v>
      </c>
      <c r="K141">
        <v>36</v>
      </c>
      <c r="L141" t="s">
        <v>52</v>
      </c>
      <c r="M141">
        <v>21.3</v>
      </c>
      <c r="N141">
        <v>47603</v>
      </c>
      <c r="O141">
        <v>129774</v>
      </c>
      <c r="P141" t="s">
        <v>266</v>
      </c>
      <c r="Q141" t="s">
        <v>42</v>
      </c>
      <c r="R141" t="s">
        <v>28</v>
      </c>
      <c r="S141" t="s">
        <v>43</v>
      </c>
      <c r="T141">
        <v>933.13</v>
      </c>
      <c r="U141">
        <f t="shared" si="28"/>
        <v>1861</v>
      </c>
      <c r="V141">
        <f t="shared" si="29"/>
        <v>659</v>
      </c>
      <c r="W141">
        <f t="shared" si="30"/>
        <v>600</v>
      </c>
      <c r="X141">
        <f t="shared" si="31"/>
        <v>0.35149999999999998</v>
      </c>
      <c r="Y141" s="1">
        <f t="shared" si="32"/>
        <v>95964431</v>
      </c>
      <c r="Z141">
        <f t="shared" si="33"/>
        <v>51566.056421278881</v>
      </c>
      <c r="AA141">
        <f t="shared" si="34"/>
        <v>99996</v>
      </c>
      <c r="AB141">
        <f t="shared" si="35"/>
        <v>5091</v>
      </c>
      <c r="AC141">
        <f t="shared" si="36"/>
        <v>2493693.2400000007</v>
      </c>
      <c r="AD141">
        <f t="shared" si="37"/>
        <v>1339.9748737238049</v>
      </c>
      <c r="AE141">
        <f t="shared" si="38"/>
        <v>0.35149999999999998</v>
      </c>
      <c r="AF141">
        <f t="shared" si="39"/>
        <v>2327356515.5399961</v>
      </c>
      <c r="AG141" t="str">
        <f t="shared" si="40"/>
        <v>Active</v>
      </c>
      <c r="AH141">
        <f t="shared" si="41"/>
        <v>11197.56</v>
      </c>
    </row>
    <row r="142" spans="1:34" x14ac:dyDescent="0.35">
      <c r="A142" t="s">
        <v>457</v>
      </c>
      <c r="B142" t="s">
        <v>458</v>
      </c>
      <c r="C142">
        <v>34</v>
      </c>
      <c r="D142" t="s">
        <v>22</v>
      </c>
      <c r="E142" t="s">
        <v>32</v>
      </c>
      <c r="F142" t="s">
        <v>46</v>
      </c>
      <c r="G142">
        <v>168775</v>
      </c>
      <c r="H142">
        <v>489</v>
      </c>
      <c r="I142">
        <v>84208</v>
      </c>
      <c r="J142">
        <v>7.58</v>
      </c>
      <c r="K142">
        <v>48</v>
      </c>
      <c r="L142" t="s">
        <v>52</v>
      </c>
      <c r="M142">
        <v>14.17</v>
      </c>
      <c r="N142">
        <v>64514</v>
      </c>
      <c r="O142">
        <v>207258</v>
      </c>
      <c r="P142" t="s">
        <v>459</v>
      </c>
      <c r="Q142" t="s">
        <v>27</v>
      </c>
      <c r="R142" t="s">
        <v>28</v>
      </c>
      <c r="S142" t="s">
        <v>68</v>
      </c>
      <c r="T142">
        <v>1887.31</v>
      </c>
      <c r="U142">
        <f t="shared" si="28"/>
        <v>1860</v>
      </c>
      <c r="V142">
        <f t="shared" si="29"/>
        <v>658</v>
      </c>
      <c r="W142">
        <f t="shared" si="30"/>
        <v>600</v>
      </c>
      <c r="X142">
        <f t="shared" si="31"/>
        <v>0.35149999999999998</v>
      </c>
      <c r="Y142" s="1">
        <f t="shared" si="32"/>
        <v>95937162</v>
      </c>
      <c r="Z142">
        <f t="shared" si="33"/>
        <v>51579.119354838709</v>
      </c>
      <c r="AA142">
        <f t="shared" si="34"/>
        <v>99996</v>
      </c>
      <c r="AB142">
        <f t="shared" si="35"/>
        <v>5091</v>
      </c>
      <c r="AC142">
        <f t="shared" si="36"/>
        <v>2492760.1100000008</v>
      </c>
      <c r="AD142">
        <f t="shared" si="37"/>
        <v>1340.1936075268823</v>
      </c>
      <c r="AE142">
        <f t="shared" si="38"/>
        <v>0.35149999999999998</v>
      </c>
      <c r="AF142">
        <f t="shared" si="39"/>
        <v>2324862822.2999964</v>
      </c>
      <c r="AG142" t="str">
        <f t="shared" si="40"/>
        <v>Active</v>
      </c>
      <c r="AH142">
        <f t="shared" si="41"/>
        <v>22647.72</v>
      </c>
    </row>
    <row r="143" spans="1:34" x14ac:dyDescent="0.35">
      <c r="A143" t="s">
        <v>460</v>
      </c>
      <c r="B143" t="s">
        <v>461</v>
      </c>
      <c r="C143">
        <v>50</v>
      </c>
      <c r="D143" t="s">
        <v>38</v>
      </c>
      <c r="E143" t="s">
        <v>23</v>
      </c>
      <c r="F143" t="s">
        <v>46</v>
      </c>
      <c r="G143">
        <v>167950</v>
      </c>
      <c r="H143">
        <v>741</v>
      </c>
      <c r="I143">
        <v>6779</v>
      </c>
      <c r="J143">
        <v>8.92</v>
      </c>
      <c r="K143">
        <v>12</v>
      </c>
      <c r="L143" t="s">
        <v>25</v>
      </c>
      <c r="M143">
        <v>41.13</v>
      </c>
      <c r="N143">
        <v>5378</v>
      </c>
      <c r="O143">
        <v>117367</v>
      </c>
      <c r="P143" t="s">
        <v>462</v>
      </c>
      <c r="Q143" t="s">
        <v>27</v>
      </c>
      <c r="R143" t="s">
        <v>28</v>
      </c>
      <c r="S143" t="s">
        <v>68</v>
      </c>
      <c r="T143">
        <v>615.30999999999995</v>
      </c>
      <c r="U143">
        <f t="shared" si="28"/>
        <v>1859</v>
      </c>
      <c r="V143">
        <f t="shared" si="29"/>
        <v>658</v>
      </c>
      <c r="W143">
        <f t="shared" si="30"/>
        <v>600</v>
      </c>
      <c r="X143">
        <f t="shared" si="31"/>
        <v>0.35149999999999998</v>
      </c>
      <c r="Y143" s="1">
        <f t="shared" si="32"/>
        <v>95852954</v>
      </c>
      <c r="Z143">
        <f t="shared" si="33"/>
        <v>51561.56750941366</v>
      </c>
      <c r="AA143">
        <f t="shared" si="34"/>
        <v>99996</v>
      </c>
      <c r="AB143">
        <f t="shared" si="35"/>
        <v>5091</v>
      </c>
      <c r="AC143">
        <f t="shared" si="36"/>
        <v>2490872.8000000007</v>
      </c>
      <c r="AD143">
        <f t="shared" si="37"/>
        <v>1339.8993006993012</v>
      </c>
      <c r="AE143">
        <f t="shared" si="38"/>
        <v>0.35149999999999998</v>
      </c>
      <c r="AF143">
        <f t="shared" si="39"/>
        <v>2322370062.1899967</v>
      </c>
      <c r="AG143" t="str">
        <f t="shared" si="40"/>
        <v>Active</v>
      </c>
      <c r="AH143">
        <f t="shared" si="41"/>
        <v>7383.7199999999993</v>
      </c>
    </row>
    <row r="144" spans="1:34" x14ac:dyDescent="0.35">
      <c r="A144" t="s">
        <v>463</v>
      </c>
      <c r="B144" t="s">
        <v>464</v>
      </c>
      <c r="C144">
        <v>53</v>
      </c>
      <c r="D144" t="s">
        <v>38</v>
      </c>
      <c r="E144" t="s">
        <v>32</v>
      </c>
      <c r="F144" t="s">
        <v>24</v>
      </c>
      <c r="G144">
        <v>84647</v>
      </c>
      <c r="H144">
        <v>308</v>
      </c>
      <c r="I144">
        <v>83498</v>
      </c>
      <c r="J144">
        <v>18.96</v>
      </c>
      <c r="K144">
        <v>360</v>
      </c>
      <c r="L144" t="s">
        <v>86</v>
      </c>
      <c r="M144">
        <v>10.37</v>
      </c>
      <c r="N144">
        <v>65300</v>
      </c>
      <c r="O144">
        <v>247892</v>
      </c>
      <c r="P144" t="s">
        <v>465</v>
      </c>
      <c r="Q144" t="s">
        <v>42</v>
      </c>
      <c r="R144" t="s">
        <v>48</v>
      </c>
      <c r="S144" t="s">
        <v>68</v>
      </c>
      <c r="T144">
        <v>275.91000000000003</v>
      </c>
      <c r="U144">
        <f t="shared" si="28"/>
        <v>1858</v>
      </c>
      <c r="V144">
        <f t="shared" si="29"/>
        <v>658</v>
      </c>
      <c r="W144">
        <f t="shared" si="30"/>
        <v>600</v>
      </c>
      <c r="X144">
        <f t="shared" si="31"/>
        <v>0.35149999999999998</v>
      </c>
      <c r="Y144" s="1">
        <f t="shared" si="32"/>
        <v>95846175</v>
      </c>
      <c r="Z144">
        <f t="shared" si="33"/>
        <v>51585.670075349837</v>
      </c>
      <c r="AA144">
        <f t="shared" si="34"/>
        <v>99996</v>
      </c>
      <c r="AB144">
        <f t="shared" si="35"/>
        <v>5091</v>
      </c>
      <c r="AC144">
        <f t="shared" si="36"/>
        <v>2490257.4900000012</v>
      </c>
      <c r="AD144">
        <f t="shared" si="37"/>
        <v>1340.2892841765345</v>
      </c>
      <c r="AE144">
        <f t="shared" si="38"/>
        <v>0.35149999999999998</v>
      </c>
      <c r="AF144">
        <f t="shared" si="39"/>
        <v>2319879189.389998</v>
      </c>
      <c r="AG144" t="str">
        <f t="shared" si="40"/>
        <v>Over Paid</v>
      </c>
      <c r="AH144">
        <f t="shared" si="41"/>
        <v>3310.92</v>
      </c>
    </row>
    <row r="145" spans="1:34" x14ac:dyDescent="0.35">
      <c r="A145" t="s">
        <v>466</v>
      </c>
      <c r="B145" t="s">
        <v>467</v>
      </c>
      <c r="C145">
        <v>22</v>
      </c>
      <c r="D145" t="s">
        <v>38</v>
      </c>
      <c r="E145" t="s">
        <v>32</v>
      </c>
      <c r="F145" t="s">
        <v>59</v>
      </c>
      <c r="G145">
        <v>105151</v>
      </c>
      <c r="H145">
        <v>386</v>
      </c>
      <c r="I145">
        <v>22544</v>
      </c>
      <c r="J145">
        <v>16.170000000000002</v>
      </c>
      <c r="K145">
        <v>12</v>
      </c>
      <c r="L145" t="s">
        <v>52</v>
      </c>
      <c r="M145">
        <v>56.63</v>
      </c>
      <c r="N145">
        <v>35922</v>
      </c>
      <c r="O145">
        <v>117918</v>
      </c>
      <c r="P145" t="s">
        <v>468</v>
      </c>
      <c r="Q145" t="s">
        <v>61</v>
      </c>
      <c r="R145" t="s">
        <v>28</v>
      </c>
      <c r="S145" t="s">
        <v>49</v>
      </c>
      <c r="T145">
        <v>2182.4499999999998</v>
      </c>
      <c r="U145">
        <f t="shared" si="28"/>
        <v>1857</v>
      </c>
      <c r="V145">
        <f t="shared" si="29"/>
        <v>657</v>
      </c>
      <c r="W145">
        <f t="shared" si="30"/>
        <v>600</v>
      </c>
      <c r="X145">
        <f t="shared" si="31"/>
        <v>0.35149999999999998</v>
      </c>
      <c r="Y145" s="1">
        <f t="shared" si="32"/>
        <v>95762677</v>
      </c>
      <c r="Z145">
        <f t="shared" si="33"/>
        <v>51568.485191168555</v>
      </c>
      <c r="AA145">
        <f t="shared" si="34"/>
        <v>99996</v>
      </c>
      <c r="AB145">
        <f t="shared" si="35"/>
        <v>5091</v>
      </c>
      <c r="AC145">
        <f t="shared" si="36"/>
        <v>2489981.580000001</v>
      </c>
      <c r="AD145">
        <f t="shared" si="37"/>
        <v>1340.8624555735062</v>
      </c>
      <c r="AE145">
        <f t="shared" si="38"/>
        <v>0.35149999999999998</v>
      </c>
      <c r="AF145">
        <f t="shared" si="39"/>
        <v>2317388931.8999977</v>
      </c>
      <c r="AG145" t="str">
        <f t="shared" si="40"/>
        <v>Active</v>
      </c>
      <c r="AH145">
        <f t="shared" si="41"/>
        <v>26189.399999999998</v>
      </c>
    </row>
    <row r="146" spans="1:34" x14ac:dyDescent="0.35">
      <c r="A146" t="s">
        <v>469</v>
      </c>
      <c r="B146" t="s">
        <v>470</v>
      </c>
      <c r="C146">
        <v>59</v>
      </c>
      <c r="D146" t="s">
        <v>22</v>
      </c>
      <c r="E146" t="s">
        <v>32</v>
      </c>
      <c r="F146" t="s">
        <v>46</v>
      </c>
      <c r="G146">
        <v>64497</v>
      </c>
      <c r="H146">
        <v>725</v>
      </c>
      <c r="I146">
        <v>66469</v>
      </c>
      <c r="J146">
        <v>7.39</v>
      </c>
      <c r="K146">
        <v>12</v>
      </c>
      <c r="L146" t="s">
        <v>86</v>
      </c>
      <c r="M146">
        <v>20.100000000000001</v>
      </c>
      <c r="N146">
        <v>70940</v>
      </c>
      <c r="O146">
        <v>62806</v>
      </c>
      <c r="P146" t="s">
        <v>471</v>
      </c>
      <c r="Q146" t="s">
        <v>42</v>
      </c>
      <c r="R146" t="s">
        <v>48</v>
      </c>
      <c r="S146" t="s">
        <v>35</v>
      </c>
      <c r="T146">
        <v>5948.42</v>
      </c>
      <c r="U146">
        <f t="shared" si="28"/>
        <v>1856</v>
      </c>
      <c r="V146">
        <f t="shared" si="29"/>
        <v>657</v>
      </c>
      <c r="W146">
        <f t="shared" si="30"/>
        <v>599</v>
      </c>
      <c r="X146">
        <f t="shared" si="31"/>
        <v>0.35149999999999998</v>
      </c>
      <c r="Y146" s="1">
        <f t="shared" si="32"/>
        <v>95740133</v>
      </c>
      <c r="Z146">
        <f t="shared" si="33"/>
        <v>51584.123383620688</v>
      </c>
      <c r="AA146">
        <f t="shared" si="34"/>
        <v>99996</v>
      </c>
      <c r="AB146">
        <f t="shared" si="35"/>
        <v>5091</v>
      </c>
      <c r="AC146">
        <f t="shared" si="36"/>
        <v>2487799.1300000008</v>
      </c>
      <c r="AD146">
        <f t="shared" si="37"/>
        <v>1340.4090140086212</v>
      </c>
      <c r="AE146">
        <f t="shared" si="38"/>
        <v>0.35149999999999998</v>
      </c>
      <c r="AF146">
        <f t="shared" si="39"/>
        <v>2314898950.3199978</v>
      </c>
      <c r="AG146" t="str">
        <f t="shared" si="40"/>
        <v>Over Paid</v>
      </c>
      <c r="AH146">
        <f t="shared" si="41"/>
        <v>71381.040000000008</v>
      </c>
    </row>
    <row r="147" spans="1:34" x14ac:dyDescent="0.35">
      <c r="A147" t="s">
        <v>472</v>
      </c>
      <c r="B147" t="s">
        <v>473</v>
      </c>
      <c r="C147">
        <v>56</v>
      </c>
      <c r="D147" t="s">
        <v>22</v>
      </c>
      <c r="E147" t="s">
        <v>39</v>
      </c>
      <c r="F147" t="s">
        <v>59</v>
      </c>
      <c r="G147">
        <v>127701</v>
      </c>
      <c r="H147">
        <v>790</v>
      </c>
      <c r="I147">
        <v>13816</v>
      </c>
      <c r="J147">
        <v>23.19</v>
      </c>
      <c r="K147">
        <v>12</v>
      </c>
      <c r="L147" t="s">
        <v>86</v>
      </c>
      <c r="M147">
        <v>6.46</v>
      </c>
      <c r="N147">
        <v>222</v>
      </c>
      <c r="O147">
        <v>131253</v>
      </c>
      <c r="P147" t="s">
        <v>474</v>
      </c>
      <c r="Q147" t="s">
        <v>61</v>
      </c>
      <c r="R147" t="s">
        <v>28</v>
      </c>
      <c r="S147" t="s">
        <v>68</v>
      </c>
      <c r="T147">
        <v>1418.33</v>
      </c>
      <c r="U147">
        <f t="shared" si="28"/>
        <v>1855</v>
      </c>
      <c r="V147">
        <f t="shared" si="29"/>
        <v>656</v>
      </c>
      <c r="W147">
        <f t="shared" si="30"/>
        <v>599</v>
      </c>
      <c r="X147">
        <f t="shared" si="31"/>
        <v>0.35149999999999998</v>
      </c>
      <c r="Y147" s="1">
        <f t="shared" si="32"/>
        <v>95673664</v>
      </c>
      <c r="Z147">
        <f t="shared" si="33"/>
        <v>51576.099191374662</v>
      </c>
      <c r="AA147">
        <f t="shared" si="34"/>
        <v>99996</v>
      </c>
      <c r="AB147">
        <f t="shared" si="35"/>
        <v>5091</v>
      </c>
      <c r="AC147">
        <f t="shared" si="36"/>
        <v>2481850.7100000014</v>
      </c>
      <c r="AD147">
        <f t="shared" si="37"/>
        <v>1337.9249110512137</v>
      </c>
      <c r="AE147">
        <f t="shared" si="38"/>
        <v>0.35149999999999998</v>
      </c>
      <c r="AF147">
        <f t="shared" si="39"/>
        <v>2312411151.1899977</v>
      </c>
      <c r="AG147" t="str">
        <f t="shared" si="40"/>
        <v>Over Paid</v>
      </c>
      <c r="AH147">
        <f t="shared" si="41"/>
        <v>17019.96</v>
      </c>
    </row>
    <row r="148" spans="1:34" x14ac:dyDescent="0.35">
      <c r="A148" t="s">
        <v>475</v>
      </c>
      <c r="B148" t="s">
        <v>476</v>
      </c>
      <c r="C148">
        <v>54</v>
      </c>
      <c r="D148" t="s">
        <v>38</v>
      </c>
      <c r="E148" t="s">
        <v>32</v>
      </c>
      <c r="F148" t="s">
        <v>24</v>
      </c>
      <c r="G148">
        <v>151226</v>
      </c>
      <c r="H148">
        <v>705</v>
      </c>
      <c r="I148">
        <v>79819</v>
      </c>
      <c r="J148">
        <v>4.99</v>
      </c>
      <c r="K148">
        <v>180</v>
      </c>
      <c r="L148" t="s">
        <v>33</v>
      </c>
      <c r="M148">
        <v>31.84</v>
      </c>
      <c r="N148">
        <v>77745</v>
      </c>
      <c r="O148">
        <v>205987</v>
      </c>
      <c r="P148" t="s">
        <v>477</v>
      </c>
      <c r="Q148" t="s">
        <v>42</v>
      </c>
      <c r="R148" t="s">
        <v>48</v>
      </c>
      <c r="S148" t="s">
        <v>35</v>
      </c>
      <c r="T148">
        <v>465.57</v>
      </c>
      <c r="U148">
        <f t="shared" si="28"/>
        <v>1854</v>
      </c>
      <c r="V148">
        <f t="shared" si="29"/>
        <v>656</v>
      </c>
      <c r="W148">
        <f t="shared" si="30"/>
        <v>598</v>
      </c>
      <c r="X148">
        <f t="shared" si="31"/>
        <v>0.35149999999999998</v>
      </c>
      <c r="Y148" s="1">
        <f t="shared" si="32"/>
        <v>95659848</v>
      </c>
      <c r="Z148">
        <f t="shared" si="33"/>
        <v>51596.466019417472</v>
      </c>
      <c r="AA148">
        <f t="shared" si="34"/>
        <v>99996</v>
      </c>
      <c r="AB148">
        <f t="shared" si="35"/>
        <v>5091</v>
      </c>
      <c r="AC148">
        <f t="shared" si="36"/>
        <v>2480432.3800000013</v>
      </c>
      <c r="AD148">
        <f t="shared" si="37"/>
        <v>1337.8815426105725</v>
      </c>
      <c r="AE148">
        <f t="shared" si="38"/>
        <v>0.35149999999999998</v>
      </c>
      <c r="AF148">
        <f t="shared" si="39"/>
        <v>2309929300.4799981</v>
      </c>
      <c r="AG148" t="str">
        <f t="shared" si="40"/>
        <v>Over Paid</v>
      </c>
      <c r="AH148">
        <f t="shared" si="41"/>
        <v>5586.84</v>
      </c>
    </row>
    <row r="149" spans="1:34" x14ac:dyDescent="0.35">
      <c r="A149" t="s">
        <v>478</v>
      </c>
      <c r="B149" t="s">
        <v>479</v>
      </c>
      <c r="C149">
        <v>65</v>
      </c>
      <c r="D149" t="s">
        <v>38</v>
      </c>
      <c r="E149" t="s">
        <v>23</v>
      </c>
      <c r="F149" t="s">
        <v>24</v>
      </c>
      <c r="G149">
        <v>148357</v>
      </c>
      <c r="H149">
        <v>810</v>
      </c>
      <c r="I149">
        <v>35416</v>
      </c>
      <c r="J149">
        <v>23.48</v>
      </c>
      <c r="K149">
        <v>12</v>
      </c>
      <c r="L149" t="s">
        <v>86</v>
      </c>
      <c r="M149">
        <v>48.33</v>
      </c>
      <c r="N149">
        <v>40142</v>
      </c>
      <c r="O149">
        <v>117014</v>
      </c>
      <c r="P149" t="s">
        <v>480</v>
      </c>
      <c r="Q149" t="s">
        <v>42</v>
      </c>
      <c r="R149" t="s">
        <v>48</v>
      </c>
      <c r="S149" t="s">
        <v>43</v>
      </c>
      <c r="T149">
        <v>3644.31</v>
      </c>
      <c r="U149">
        <f t="shared" si="28"/>
        <v>1853</v>
      </c>
      <c r="V149">
        <f t="shared" si="29"/>
        <v>655</v>
      </c>
      <c r="W149">
        <f t="shared" si="30"/>
        <v>598</v>
      </c>
      <c r="X149">
        <f t="shared" si="31"/>
        <v>0.35149999999999998</v>
      </c>
      <c r="Y149" s="1">
        <f t="shared" si="32"/>
        <v>95580029</v>
      </c>
      <c r="Z149">
        <f t="shared" si="33"/>
        <v>51581.23529411765</v>
      </c>
      <c r="AA149">
        <f t="shared" si="34"/>
        <v>99996</v>
      </c>
      <c r="AB149">
        <f t="shared" si="35"/>
        <v>5091</v>
      </c>
      <c r="AC149">
        <f t="shared" si="36"/>
        <v>2479966.8100000015</v>
      </c>
      <c r="AD149">
        <f t="shared" si="37"/>
        <v>1338.3522989746366</v>
      </c>
      <c r="AE149">
        <f t="shared" si="38"/>
        <v>0.35149999999999998</v>
      </c>
      <c r="AF149">
        <f t="shared" si="39"/>
        <v>2307448868.0999985</v>
      </c>
      <c r="AG149" t="str">
        <f t="shared" si="40"/>
        <v>Active</v>
      </c>
      <c r="AH149">
        <f t="shared" si="41"/>
        <v>43731.72</v>
      </c>
    </row>
    <row r="150" spans="1:34" x14ac:dyDescent="0.35">
      <c r="A150" t="s">
        <v>481</v>
      </c>
      <c r="B150" t="s">
        <v>482</v>
      </c>
      <c r="C150">
        <v>37</v>
      </c>
      <c r="D150" t="s">
        <v>38</v>
      </c>
      <c r="E150" t="s">
        <v>32</v>
      </c>
      <c r="F150" t="s">
        <v>46</v>
      </c>
      <c r="G150">
        <v>22799</v>
      </c>
      <c r="H150">
        <v>709</v>
      </c>
      <c r="I150">
        <v>29372</v>
      </c>
      <c r="J150">
        <v>6.31</v>
      </c>
      <c r="K150">
        <v>360</v>
      </c>
      <c r="L150" t="s">
        <v>40</v>
      </c>
      <c r="M150">
        <v>5.12</v>
      </c>
      <c r="N150">
        <v>7850</v>
      </c>
      <c r="O150">
        <v>64938</v>
      </c>
      <c r="P150" t="s">
        <v>483</v>
      </c>
      <c r="Q150" t="s">
        <v>61</v>
      </c>
      <c r="R150" t="s">
        <v>48</v>
      </c>
      <c r="S150" t="s">
        <v>49</v>
      </c>
      <c r="T150">
        <v>86.74</v>
      </c>
      <c r="U150">
        <f t="shared" si="28"/>
        <v>1852</v>
      </c>
      <c r="V150">
        <f t="shared" si="29"/>
        <v>654</v>
      </c>
      <c r="W150">
        <f t="shared" si="30"/>
        <v>598</v>
      </c>
      <c r="X150">
        <f t="shared" si="31"/>
        <v>0.35149999999999998</v>
      </c>
      <c r="Y150" s="1">
        <f t="shared" si="32"/>
        <v>95544613</v>
      </c>
      <c r="Z150">
        <f t="shared" si="33"/>
        <v>51589.963822894169</v>
      </c>
      <c r="AA150">
        <f t="shared" si="34"/>
        <v>99996</v>
      </c>
      <c r="AB150">
        <f t="shared" si="35"/>
        <v>5091</v>
      </c>
      <c r="AC150">
        <f t="shared" si="36"/>
        <v>2476322.5000000014</v>
      </c>
      <c r="AD150">
        <f t="shared" si="37"/>
        <v>1337.1071814254867</v>
      </c>
      <c r="AE150">
        <f t="shared" si="38"/>
        <v>0.35149999999999998</v>
      </c>
      <c r="AF150">
        <f t="shared" si="39"/>
        <v>2304968901.2899981</v>
      </c>
      <c r="AG150" t="str">
        <f t="shared" si="40"/>
        <v>Over Paid</v>
      </c>
      <c r="AH150">
        <f t="shared" si="41"/>
        <v>1040.8799999999999</v>
      </c>
    </row>
    <row r="151" spans="1:34" x14ac:dyDescent="0.35">
      <c r="A151" t="s">
        <v>484</v>
      </c>
      <c r="B151" t="s">
        <v>485</v>
      </c>
      <c r="C151">
        <v>27</v>
      </c>
      <c r="D151" t="s">
        <v>22</v>
      </c>
      <c r="E151" t="s">
        <v>23</v>
      </c>
      <c r="F151" t="s">
        <v>24</v>
      </c>
      <c r="G151">
        <v>42839</v>
      </c>
      <c r="H151">
        <v>343</v>
      </c>
      <c r="I151">
        <v>64104</v>
      </c>
      <c r="J151">
        <v>21.08</v>
      </c>
      <c r="K151">
        <v>12</v>
      </c>
      <c r="L151" t="s">
        <v>86</v>
      </c>
      <c r="M151">
        <v>17.32</v>
      </c>
      <c r="N151">
        <v>37150</v>
      </c>
      <c r="O151">
        <v>22721</v>
      </c>
      <c r="P151" t="s">
        <v>486</v>
      </c>
      <c r="Q151" t="s">
        <v>27</v>
      </c>
      <c r="R151" t="s">
        <v>48</v>
      </c>
      <c r="S151" t="s">
        <v>49</v>
      </c>
      <c r="T151">
        <v>6468.09</v>
      </c>
      <c r="U151">
        <f t="shared" si="28"/>
        <v>1851</v>
      </c>
      <c r="V151">
        <f t="shared" si="29"/>
        <v>654</v>
      </c>
      <c r="W151">
        <f t="shared" si="30"/>
        <v>597</v>
      </c>
      <c r="X151">
        <f t="shared" si="31"/>
        <v>0.35149999999999998</v>
      </c>
      <c r="Y151" s="1">
        <f t="shared" si="32"/>
        <v>95515241</v>
      </c>
      <c r="Z151">
        <f t="shared" si="33"/>
        <v>51601.967044840625</v>
      </c>
      <c r="AA151">
        <f t="shared" si="34"/>
        <v>99996</v>
      </c>
      <c r="AB151">
        <f t="shared" si="35"/>
        <v>5091</v>
      </c>
      <c r="AC151">
        <f t="shared" si="36"/>
        <v>2476235.7600000012</v>
      </c>
      <c r="AD151">
        <f t="shared" si="37"/>
        <v>1337.782690437602</v>
      </c>
      <c r="AE151">
        <f t="shared" si="38"/>
        <v>0.35149999999999998</v>
      </c>
      <c r="AF151">
        <f t="shared" si="39"/>
        <v>2302492578.7899985</v>
      </c>
      <c r="AG151" t="str">
        <f t="shared" si="40"/>
        <v>Active</v>
      </c>
      <c r="AH151">
        <f t="shared" si="41"/>
        <v>77617.08</v>
      </c>
    </row>
    <row r="152" spans="1:34" x14ac:dyDescent="0.35">
      <c r="A152" t="s">
        <v>487</v>
      </c>
      <c r="B152" t="s">
        <v>488</v>
      </c>
      <c r="C152">
        <v>34</v>
      </c>
      <c r="D152" t="s">
        <v>38</v>
      </c>
      <c r="E152" t="s">
        <v>23</v>
      </c>
      <c r="F152" t="s">
        <v>46</v>
      </c>
      <c r="G152">
        <v>101426</v>
      </c>
      <c r="H152">
        <v>574</v>
      </c>
      <c r="I152">
        <v>16827</v>
      </c>
      <c r="J152">
        <v>17.489999999999998</v>
      </c>
      <c r="K152">
        <v>36</v>
      </c>
      <c r="L152" t="s">
        <v>25</v>
      </c>
      <c r="M152">
        <v>35.42</v>
      </c>
      <c r="N152">
        <v>14554</v>
      </c>
      <c r="O152">
        <v>223427</v>
      </c>
      <c r="P152" t="s">
        <v>489</v>
      </c>
      <c r="Q152" t="s">
        <v>27</v>
      </c>
      <c r="R152" t="s">
        <v>28</v>
      </c>
      <c r="S152" t="s">
        <v>49</v>
      </c>
      <c r="T152">
        <v>549.16999999999996</v>
      </c>
      <c r="U152">
        <f t="shared" si="28"/>
        <v>1850</v>
      </c>
      <c r="V152">
        <f t="shared" si="29"/>
        <v>654</v>
      </c>
      <c r="W152">
        <f t="shared" si="30"/>
        <v>597</v>
      </c>
      <c r="X152">
        <f t="shared" si="31"/>
        <v>0.35149999999999998</v>
      </c>
      <c r="Y152" s="1">
        <f t="shared" si="32"/>
        <v>95451137</v>
      </c>
      <c r="Z152">
        <f t="shared" si="33"/>
        <v>51595.209189189191</v>
      </c>
      <c r="AA152">
        <f t="shared" si="34"/>
        <v>99996</v>
      </c>
      <c r="AB152">
        <f t="shared" si="35"/>
        <v>5091</v>
      </c>
      <c r="AC152">
        <f t="shared" si="36"/>
        <v>2469767.6700000013</v>
      </c>
      <c r="AD152">
        <f t="shared" si="37"/>
        <v>1335.009551351352</v>
      </c>
      <c r="AE152">
        <f t="shared" si="38"/>
        <v>0.35149999999999998</v>
      </c>
      <c r="AF152">
        <f t="shared" si="39"/>
        <v>2300016343.0299983</v>
      </c>
      <c r="AG152" t="str">
        <f t="shared" si="40"/>
        <v>Over Paid</v>
      </c>
      <c r="AH152">
        <f t="shared" si="41"/>
        <v>6590.0399999999991</v>
      </c>
    </row>
    <row r="153" spans="1:34" x14ac:dyDescent="0.35">
      <c r="A153" t="s">
        <v>490</v>
      </c>
      <c r="B153" t="s">
        <v>491</v>
      </c>
      <c r="C153">
        <v>50</v>
      </c>
      <c r="D153" t="s">
        <v>22</v>
      </c>
      <c r="E153" t="s">
        <v>39</v>
      </c>
      <c r="F153" t="s">
        <v>24</v>
      </c>
      <c r="G153">
        <v>193181</v>
      </c>
      <c r="H153">
        <v>843</v>
      </c>
      <c r="I153">
        <v>26524</v>
      </c>
      <c r="J153">
        <v>8.42</v>
      </c>
      <c r="K153">
        <v>48</v>
      </c>
      <c r="L153" t="s">
        <v>33</v>
      </c>
      <c r="M153">
        <v>23.18</v>
      </c>
      <c r="N153">
        <v>38506</v>
      </c>
      <c r="O153">
        <v>107290</v>
      </c>
      <c r="P153" t="s">
        <v>492</v>
      </c>
      <c r="Q153" t="s">
        <v>61</v>
      </c>
      <c r="R153" t="s">
        <v>28</v>
      </c>
      <c r="S153" t="s">
        <v>49</v>
      </c>
      <c r="T153">
        <v>599.11</v>
      </c>
      <c r="U153">
        <f t="shared" si="28"/>
        <v>1849</v>
      </c>
      <c r="V153">
        <f t="shared" si="29"/>
        <v>654</v>
      </c>
      <c r="W153">
        <f t="shared" si="30"/>
        <v>597</v>
      </c>
      <c r="X153">
        <f t="shared" si="31"/>
        <v>0.35149999999999998</v>
      </c>
      <c r="Y153" s="1">
        <f t="shared" si="32"/>
        <v>95434310</v>
      </c>
      <c r="Z153">
        <f t="shared" si="33"/>
        <v>51614.01297998918</v>
      </c>
      <c r="AA153">
        <f t="shared" si="34"/>
        <v>99996</v>
      </c>
      <c r="AB153">
        <f t="shared" si="35"/>
        <v>5091</v>
      </c>
      <c r="AC153">
        <f t="shared" si="36"/>
        <v>2469218.5000000014</v>
      </c>
      <c r="AD153">
        <f t="shared" si="37"/>
        <v>1335.4345592212014</v>
      </c>
      <c r="AE153">
        <f t="shared" si="38"/>
        <v>0.35149999999999998</v>
      </c>
      <c r="AF153">
        <f t="shared" si="39"/>
        <v>2297546575.3599982</v>
      </c>
      <c r="AG153" t="str">
        <f t="shared" si="40"/>
        <v>Active</v>
      </c>
      <c r="AH153">
        <f t="shared" si="41"/>
        <v>7189.32</v>
      </c>
    </row>
    <row r="154" spans="1:34" x14ac:dyDescent="0.35">
      <c r="A154" t="s">
        <v>493</v>
      </c>
      <c r="B154" t="s">
        <v>494</v>
      </c>
      <c r="C154">
        <v>35</v>
      </c>
      <c r="D154" t="s">
        <v>38</v>
      </c>
      <c r="E154" t="s">
        <v>23</v>
      </c>
      <c r="F154" t="s">
        <v>46</v>
      </c>
      <c r="G154">
        <v>192395</v>
      </c>
      <c r="H154">
        <v>782</v>
      </c>
      <c r="I154">
        <v>80726</v>
      </c>
      <c r="J154">
        <v>17.34</v>
      </c>
      <c r="K154">
        <v>240</v>
      </c>
      <c r="L154" t="s">
        <v>86</v>
      </c>
      <c r="M154">
        <v>52.2</v>
      </c>
      <c r="N154">
        <v>37334</v>
      </c>
      <c r="O154">
        <v>40514</v>
      </c>
      <c r="P154" t="s">
        <v>495</v>
      </c>
      <c r="Q154" t="s">
        <v>61</v>
      </c>
      <c r="R154" t="s">
        <v>48</v>
      </c>
      <c r="S154" t="s">
        <v>35</v>
      </c>
      <c r="T154">
        <v>394.68</v>
      </c>
      <c r="U154">
        <f t="shared" si="28"/>
        <v>1848</v>
      </c>
      <c r="V154">
        <f t="shared" si="29"/>
        <v>654</v>
      </c>
      <c r="W154">
        <f t="shared" si="30"/>
        <v>596</v>
      </c>
      <c r="X154">
        <f t="shared" si="31"/>
        <v>0.35149999999999998</v>
      </c>
      <c r="Y154" s="1">
        <f t="shared" si="32"/>
        <v>95407786</v>
      </c>
      <c r="Z154">
        <f t="shared" si="33"/>
        <v>51627.589826839823</v>
      </c>
      <c r="AA154">
        <f t="shared" si="34"/>
        <v>99996</v>
      </c>
      <c r="AB154">
        <f t="shared" si="35"/>
        <v>5091</v>
      </c>
      <c r="AC154">
        <f t="shared" si="36"/>
        <v>2468619.3900000015</v>
      </c>
      <c r="AD154">
        <f t="shared" si="37"/>
        <v>1335.8330032467541</v>
      </c>
      <c r="AE154">
        <f t="shared" si="38"/>
        <v>0.35149999999999998</v>
      </c>
      <c r="AF154">
        <f t="shared" si="39"/>
        <v>2295077356.8599977</v>
      </c>
      <c r="AG154" t="str">
        <f t="shared" si="40"/>
        <v>Active</v>
      </c>
      <c r="AH154">
        <f t="shared" si="41"/>
        <v>4736.16</v>
      </c>
    </row>
    <row r="155" spans="1:34" x14ac:dyDescent="0.35">
      <c r="A155" t="s">
        <v>496</v>
      </c>
      <c r="B155" t="s">
        <v>497</v>
      </c>
      <c r="C155">
        <v>24</v>
      </c>
      <c r="D155" t="s">
        <v>22</v>
      </c>
      <c r="E155" t="s">
        <v>39</v>
      </c>
      <c r="F155" t="s">
        <v>46</v>
      </c>
      <c r="G155">
        <v>190377</v>
      </c>
      <c r="H155">
        <v>555</v>
      </c>
      <c r="I155">
        <v>18996</v>
      </c>
      <c r="J155">
        <v>13.64</v>
      </c>
      <c r="K155">
        <v>12</v>
      </c>
      <c r="L155" t="s">
        <v>52</v>
      </c>
      <c r="M155">
        <v>45.34</v>
      </c>
      <c r="N155">
        <v>18722</v>
      </c>
      <c r="O155">
        <v>141503</v>
      </c>
      <c r="P155" t="s">
        <v>498</v>
      </c>
      <c r="Q155" t="s">
        <v>61</v>
      </c>
      <c r="R155" t="s">
        <v>28</v>
      </c>
      <c r="S155" t="s">
        <v>49</v>
      </c>
      <c r="T155">
        <v>1798.92</v>
      </c>
      <c r="U155">
        <f t="shared" si="28"/>
        <v>1847</v>
      </c>
      <c r="V155">
        <f t="shared" si="29"/>
        <v>654</v>
      </c>
      <c r="W155">
        <f t="shared" si="30"/>
        <v>595</v>
      </c>
      <c r="X155">
        <f t="shared" si="31"/>
        <v>0.35149999999999998</v>
      </c>
      <c r="Y155" s="1">
        <f t="shared" si="32"/>
        <v>95327060</v>
      </c>
      <c r="Z155">
        <f t="shared" si="33"/>
        <v>51611.835408770981</v>
      </c>
      <c r="AA155">
        <f t="shared" si="34"/>
        <v>99996</v>
      </c>
      <c r="AB155">
        <f t="shared" si="35"/>
        <v>5091</v>
      </c>
      <c r="AC155">
        <f t="shared" si="36"/>
        <v>2468224.7100000014</v>
      </c>
      <c r="AD155">
        <f t="shared" si="37"/>
        <v>1336.3425609095839</v>
      </c>
      <c r="AE155">
        <f t="shared" si="38"/>
        <v>0.35149999999999998</v>
      </c>
      <c r="AF155">
        <f t="shared" si="39"/>
        <v>2292608737.4699974</v>
      </c>
      <c r="AG155" t="str">
        <f t="shared" si="40"/>
        <v>Active</v>
      </c>
      <c r="AH155">
        <f t="shared" si="41"/>
        <v>21587.040000000001</v>
      </c>
    </row>
    <row r="156" spans="1:34" x14ac:dyDescent="0.35">
      <c r="A156" t="s">
        <v>499</v>
      </c>
      <c r="B156" t="s">
        <v>500</v>
      </c>
      <c r="C156">
        <v>27</v>
      </c>
      <c r="D156" t="s">
        <v>22</v>
      </c>
      <c r="E156" t="s">
        <v>32</v>
      </c>
      <c r="F156" t="s">
        <v>59</v>
      </c>
      <c r="G156">
        <v>27796</v>
      </c>
      <c r="H156">
        <v>741</v>
      </c>
      <c r="I156">
        <v>97167</v>
      </c>
      <c r="J156">
        <v>19.22</v>
      </c>
      <c r="K156">
        <v>240</v>
      </c>
      <c r="L156" t="s">
        <v>40</v>
      </c>
      <c r="M156">
        <v>42.71</v>
      </c>
      <c r="N156">
        <v>42767</v>
      </c>
      <c r="O156">
        <v>240994</v>
      </c>
      <c r="P156" t="s">
        <v>501</v>
      </c>
      <c r="Q156" t="s">
        <v>27</v>
      </c>
      <c r="R156" t="s">
        <v>48</v>
      </c>
      <c r="S156" t="s">
        <v>43</v>
      </c>
      <c r="T156">
        <v>482.68</v>
      </c>
      <c r="U156">
        <f t="shared" si="28"/>
        <v>1846</v>
      </c>
      <c r="V156">
        <f t="shared" si="29"/>
        <v>654</v>
      </c>
      <c r="W156">
        <f t="shared" si="30"/>
        <v>594</v>
      </c>
      <c r="X156">
        <f t="shared" si="31"/>
        <v>0.35149999999999998</v>
      </c>
      <c r="Y156" s="1">
        <f t="shared" si="32"/>
        <v>95308064</v>
      </c>
      <c r="Z156">
        <f t="shared" si="33"/>
        <v>51629.503791982665</v>
      </c>
      <c r="AA156">
        <f t="shared" si="34"/>
        <v>99996</v>
      </c>
      <c r="AB156">
        <f t="shared" si="35"/>
        <v>5091</v>
      </c>
      <c r="AC156">
        <f t="shared" si="36"/>
        <v>2466425.7900000019</v>
      </c>
      <c r="AD156">
        <f t="shared" si="37"/>
        <v>1336.091977248105</v>
      </c>
      <c r="AE156">
        <f t="shared" si="38"/>
        <v>0.35149999999999998</v>
      </c>
      <c r="AF156">
        <f t="shared" si="39"/>
        <v>2290140512.7599974</v>
      </c>
      <c r="AG156" t="str">
        <f t="shared" si="40"/>
        <v>Over Paid</v>
      </c>
      <c r="AH156">
        <f t="shared" si="41"/>
        <v>5792.16</v>
      </c>
    </row>
    <row r="157" spans="1:34" x14ac:dyDescent="0.35">
      <c r="A157" t="s">
        <v>502</v>
      </c>
      <c r="B157" t="s">
        <v>503</v>
      </c>
      <c r="C157">
        <v>24</v>
      </c>
      <c r="D157" t="s">
        <v>22</v>
      </c>
      <c r="E157" t="s">
        <v>39</v>
      </c>
      <c r="F157" t="s">
        <v>59</v>
      </c>
      <c r="G157">
        <v>124578</v>
      </c>
      <c r="H157">
        <v>587</v>
      </c>
      <c r="I157">
        <v>19902</v>
      </c>
      <c r="J157">
        <v>7.06</v>
      </c>
      <c r="K157">
        <v>36</v>
      </c>
      <c r="L157" t="s">
        <v>40</v>
      </c>
      <c r="M157">
        <v>39.61</v>
      </c>
      <c r="N157">
        <v>3195</v>
      </c>
      <c r="O157">
        <v>198971</v>
      </c>
      <c r="P157" t="s">
        <v>278</v>
      </c>
      <c r="Q157" t="s">
        <v>61</v>
      </c>
      <c r="R157" t="s">
        <v>48</v>
      </c>
      <c r="S157" t="s">
        <v>43</v>
      </c>
      <c r="T157">
        <v>591.86</v>
      </c>
      <c r="U157">
        <f t="shared" si="28"/>
        <v>1845</v>
      </c>
      <c r="V157">
        <f t="shared" si="29"/>
        <v>654</v>
      </c>
      <c r="W157">
        <f t="shared" si="30"/>
        <v>594</v>
      </c>
      <c r="X157">
        <f t="shared" si="31"/>
        <v>0.35149999999999998</v>
      </c>
      <c r="Y157" s="1">
        <f t="shared" si="32"/>
        <v>95210897</v>
      </c>
      <c r="Z157">
        <f t="shared" si="33"/>
        <v>51604.822222222225</v>
      </c>
      <c r="AA157">
        <f t="shared" si="34"/>
        <v>99996</v>
      </c>
      <c r="AB157">
        <f t="shared" si="35"/>
        <v>5091</v>
      </c>
      <c r="AC157">
        <f t="shared" si="36"/>
        <v>2465943.1100000017</v>
      </c>
      <c r="AD157">
        <f t="shared" si="37"/>
        <v>1336.5545311653125</v>
      </c>
      <c r="AE157">
        <f t="shared" si="38"/>
        <v>0.35149999999999998</v>
      </c>
      <c r="AF157">
        <f t="shared" si="39"/>
        <v>2287674086.9699979</v>
      </c>
      <c r="AG157" t="str">
        <f t="shared" si="40"/>
        <v>Active</v>
      </c>
      <c r="AH157">
        <f t="shared" si="41"/>
        <v>7102.32</v>
      </c>
    </row>
    <row r="158" spans="1:34" x14ac:dyDescent="0.35">
      <c r="A158" t="s">
        <v>504</v>
      </c>
      <c r="B158" t="s">
        <v>505</v>
      </c>
      <c r="C158">
        <v>65</v>
      </c>
      <c r="D158" t="s">
        <v>38</v>
      </c>
      <c r="E158" t="s">
        <v>23</v>
      </c>
      <c r="F158" t="s">
        <v>46</v>
      </c>
      <c r="G158">
        <v>186712</v>
      </c>
      <c r="H158">
        <v>699</v>
      </c>
      <c r="I158">
        <v>53665</v>
      </c>
      <c r="J158">
        <v>15.28</v>
      </c>
      <c r="K158">
        <v>120</v>
      </c>
      <c r="L158" t="s">
        <v>25</v>
      </c>
      <c r="M158">
        <v>51.44</v>
      </c>
      <c r="N158">
        <v>15051</v>
      </c>
      <c r="O158">
        <v>130759</v>
      </c>
      <c r="P158" t="s">
        <v>506</v>
      </c>
      <c r="Q158" t="s">
        <v>42</v>
      </c>
      <c r="R158" t="s">
        <v>48</v>
      </c>
      <c r="S158" t="s">
        <v>35</v>
      </c>
      <c r="T158">
        <v>515.54</v>
      </c>
      <c r="U158">
        <f t="shared" si="28"/>
        <v>1844</v>
      </c>
      <c r="V158">
        <f t="shared" si="29"/>
        <v>654</v>
      </c>
      <c r="W158">
        <f t="shared" si="30"/>
        <v>593</v>
      </c>
      <c r="X158">
        <f t="shared" si="31"/>
        <v>0.35149999999999998</v>
      </c>
      <c r="Y158" s="1">
        <f t="shared" si="32"/>
        <v>95190995</v>
      </c>
      <c r="Z158">
        <f t="shared" si="33"/>
        <v>51622.014642082431</v>
      </c>
      <c r="AA158">
        <f t="shared" si="34"/>
        <v>99996</v>
      </c>
      <c r="AB158">
        <f t="shared" si="35"/>
        <v>5091</v>
      </c>
      <c r="AC158">
        <f t="shared" si="36"/>
        <v>2465351.2500000019</v>
      </c>
      <c r="AD158">
        <f t="shared" si="37"/>
        <v>1336.9583785249467</v>
      </c>
      <c r="AE158">
        <f t="shared" si="38"/>
        <v>0.35149999999999998</v>
      </c>
      <c r="AF158">
        <f t="shared" si="39"/>
        <v>2285208143.8599977</v>
      </c>
      <c r="AG158" t="str">
        <f t="shared" si="40"/>
        <v>Active</v>
      </c>
      <c r="AH158">
        <f t="shared" si="41"/>
        <v>6186.48</v>
      </c>
    </row>
    <row r="159" spans="1:34" x14ac:dyDescent="0.35">
      <c r="A159" t="s">
        <v>507</v>
      </c>
      <c r="B159" t="s">
        <v>508</v>
      </c>
      <c r="C159">
        <v>54</v>
      </c>
      <c r="D159" t="s">
        <v>22</v>
      </c>
      <c r="E159" t="s">
        <v>39</v>
      </c>
      <c r="F159" t="s">
        <v>59</v>
      </c>
      <c r="G159">
        <v>119864</v>
      </c>
      <c r="H159">
        <v>786</v>
      </c>
      <c r="I159">
        <v>73583</v>
      </c>
      <c r="J159">
        <v>13.82</v>
      </c>
      <c r="K159">
        <v>180</v>
      </c>
      <c r="L159" t="s">
        <v>52</v>
      </c>
      <c r="M159">
        <v>19.04</v>
      </c>
      <c r="N159">
        <v>34328</v>
      </c>
      <c r="O159">
        <v>132082</v>
      </c>
      <c r="P159" t="s">
        <v>230</v>
      </c>
      <c r="Q159" t="s">
        <v>61</v>
      </c>
      <c r="R159" t="s">
        <v>48</v>
      </c>
      <c r="S159" t="s">
        <v>35</v>
      </c>
      <c r="T159">
        <v>465.29</v>
      </c>
      <c r="U159">
        <f t="shared" si="28"/>
        <v>1843</v>
      </c>
      <c r="V159">
        <f t="shared" si="29"/>
        <v>653</v>
      </c>
      <c r="W159">
        <f t="shared" si="30"/>
        <v>593</v>
      </c>
      <c r="X159">
        <f t="shared" si="31"/>
        <v>0.35149999999999998</v>
      </c>
      <c r="Y159" s="1">
        <f t="shared" si="32"/>
        <v>95137330</v>
      </c>
      <c r="Z159">
        <f t="shared" si="33"/>
        <v>51620.906131307653</v>
      </c>
      <c r="AA159">
        <f t="shared" si="34"/>
        <v>99996</v>
      </c>
      <c r="AB159">
        <f t="shared" si="35"/>
        <v>5091</v>
      </c>
      <c r="AC159">
        <f t="shared" si="36"/>
        <v>2464835.7100000018</v>
      </c>
      <c r="AD159">
        <f t="shared" si="37"/>
        <v>1337.4040748779175</v>
      </c>
      <c r="AE159">
        <f t="shared" si="38"/>
        <v>0.35149999999999998</v>
      </c>
      <c r="AF159">
        <f t="shared" si="39"/>
        <v>2282742792.6099982</v>
      </c>
      <c r="AG159" t="str">
        <f t="shared" si="40"/>
        <v>Active</v>
      </c>
      <c r="AH159">
        <f t="shared" si="41"/>
        <v>5583.4800000000005</v>
      </c>
    </row>
    <row r="160" spans="1:34" x14ac:dyDescent="0.35">
      <c r="A160" t="s">
        <v>509</v>
      </c>
      <c r="B160" t="s">
        <v>510</v>
      </c>
      <c r="C160">
        <v>59</v>
      </c>
      <c r="D160" t="s">
        <v>38</v>
      </c>
      <c r="E160" t="s">
        <v>23</v>
      </c>
      <c r="F160" t="s">
        <v>46</v>
      </c>
      <c r="G160">
        <v>117622</v>
      </c>
      <c r="H160">
        <v>404</v>
      </c>
      <c r="I160">
        <v>85590</v>
      </c>
      <c r="J160">
        <v>21.88</v>
      </c>
      <c r="K160">
        <v>36</v>
      </c>
      <c r="L160" t="s">
        <v>33</v>
      </c>
      <c r="M160">
        <v>37.799999999999997</v>
      </c>
      <c r="N160">
        <v>1538</v>
      </c>
      <c r="O160">
        <v>140256</v>
      </c>
      <c r="P160" t="s">
        <v>156</v>
      </c>
      <c r="Q160" t="s">
        <v>27</v>
      </c>
      <c r="R160" t="s">
        <v>28</v>
      </c>
      <c r="S160" t="s">
        <v>68</v>
      </c>
      <c r="T160">
        <v>2897.7</v>
      </c>
      <c r="U160">
        <f t="shared" si="28"/>
        <v>1842</v>
      </c>
      <c r="V160">
        <f t="shared" si="29"/>
        <v>653</v>
      </c>
      <c r="W160">
        <f t="shared" si="30"/>
        <v>592</v>
      </c>
      <c r="X160">
        <f t="shared" si="31"/>
        <v>0.35149999999999998</v>
      </c>
      <c r="Y160" s="1">
        <f t="shared" si="32"/>
        <v>95063747</v>
      </c>
      <c r="Z160">
        <f t="shared" si="33"/>
        <v>51608.983170466883</v>
      </c>
      <c r="AA160">
        <f t="shared" si="34"/>
        <v>99996</v>
      </c>
      <c r="AB160">
        <f t="shared" si="35"/>
        <v>5091</v>
      </c>
      <c r="AC160">
        <f t="shared" si="36"/>
        <v>2464370.4200000018</v>
      </c>
      <c r="AD160">
        <f t="shared" si="37"/>
        <v>1337.8775352877317</v>
      </c>
      <c r="AE160">
        <f t="shared" si="38"/>
        <v>0.35149999999999998</v>
      </c>
      <c r="AF160">
        <f t="shared" si="39"/>
        <v>2280277956.8999987</v>
      </c>
      <c r="AG160" t="str">
        <f t="shared" si="40"/>
        <v>Active</v>
      </c>
      <c r="AH160">
        <f t="shared" si="41"/>
        <v>34772.399999999994</v>
      </c>
    </row>
    <row r="161" spans="1:34" x14ac:dyDescent="0.35">
      <c r="A161" t="s">
        <v>511</v>
      </c>
      <c r="B161" t="s">
        <v>512</v>
      </c>
      <c r="C161">
        <v>62</v>
      </c>
      <c r="D161" t="s">
        <v>38</v>
      </c>
      <c r="E161" t="s">
        <v>23</v>
      </c>
      <c r="F161" t="s">
        <v>59</v>
      </c>
      <c r="G161">
        <v>33977</v>
      </c>
      <c r="H161">
        <v>302</v>
      </c>
      <c r="I161">
        <v>67815</v>
      </c>
      <c r="J161">
        <v>12.26</v>
      </c>
      <c r="K161">
        <v>48</v>
      </c>
      <c r="L161" t="s">
        <v>33</v>
      </c>
      <c r="M161">
        <v>58.44</v>
      </c>
      <c r="N161">
        <v>22933</v>
      </c>
      <c r="O161">
        <v>214162</v>
      </c>
      <c r="P161" t="s">
        <v>513</v>
      </c>
      <c r="Q161" t="s">
        <v>27</v>
      </c>
      <c r="R161" t="s">
        <v>48</v>
      </c>
      <c r="S161" t="s">
        <v>49</v>
      </c>
      <c r="T161">
        <v>1586.02</v>
      </c>
      <c r="U161">
        <f t="shared" si="28"/>
        <v>1841</v>
      </c>
      <c r="V161">
        <f t="shared" si="29"/>
        <v>653</v>
      </c>
      <c r="W161">
        <f t="shared" si="30"/>
        <v>592</v>
      </c>
      <c r="X161">
        <f t="shared" si="31"/>
        <v>0.35149999999999998</v>
      </c>
      <c r="Y161" s="1">
        <f t="shared" si="32"/>
        <v>94978157</v>
      </c>
      <c r="Z161">
        <f t="shared" si="33"/>
        <v>51590.525258011949</v>
      </c>
      <c r="AA161">
        <f t="shared" si="34"/>
        <v>99996</v>
      </c>
      <c r="AB161">
        <f t="shared" si="35"/>
        <v>5091</v>
      </c>
      <c r="AC161">
        <f t="shared" si="36"/>
        <v>2461472.7200000021</v>
      </c>
      <c r="AD161">
        <f t="shared" si="37"/>
        <v>1337.030266159697</v>
      </c>
      <c r="AE161">
        <f t="shared" si="38"/>
        <v>0.35149999999999998</v>
      </c>
      <c r="AF161">
        <f t="shared" si="39"/>
        <v>2277813586.4799986</v>
      </c>
      <c r="AG161" t="str">
        <f t="shared" si="40"/>
        <v>Active</v>
      </c>
      <c r="AH161">
        <f t="shared" si="41"/>
        <v>19032.239999999998</v>
      </c>
    </row>
    <row r="162" spans="1:34" x14ac:dyDescent="0.35">
      <c r="A162" t="s">
        <v>514</v>
      </c>
      <c r="B162" t="s">
        <v>515</v>
      </c>
      <c r="C162">
        <v>29</v>
      </c>
      <c r="D162" t="s">
        <v>22</v>
      </c>
      <c r="E162" t="s">
        <v>23</v>
      </c>
      <c r="F162" t="s">
        <v>59</v>
      </c>
      <c r="G162">
        <v>198503</v>
      </c>
      <c r="H162">
        <v>721</v>
      </c>
      <c r="I162">
        <v>63640</v>
      </c>
      <c r="J162">
        <v>4.8099999999999996</v>
      </c>
      <c r="K162">
        <v>240</v>
      </c>
      <c r="L162" t="s">
        <v>40</v>
      </c>
      <c r="M162">
        <v>13.86</v>
      </c>
      <c r="N162">
        <v>60867</v>
      </c>
      <c r="O162">
        <v>40544</v>
      </c>
      <c r="P162" t="s">
        <v>516</v>
      </c>
      <c r="Q162" t="s">
        <v>27</v>
      </c>
      <c r="R162" t="s">
        <v>28</v>
      </c>
      <c r="S162" t="s">
        <v>35</v>
      </c>
      <c r="T162">
        <v>277.92</v>
      </c>
      <c r="U162">
        <f t="shared" si="28"/>
        <v>1840</v>
      </c>
      <c r="V162">
        <f t="shared" si="29"/>
        <v>653</v>
      </c>
      <c r="W162">
        <f t="shared" si="30"/>
        <v>592</v>
      </c>
      <c r="X162">
        <f t="shared" si="31"/>
        <v>0.35149999999999998</v>
      </c>
      <c r="Y162" s="1">
        <f t="shared" si="32"/>
        <v>94910342</v>
      </c>
      <c r="Z162">
        <f t="shared" si="33"/>
        <v>51581.707608695651</v>
      </c>
      <c r="AA162">
        <f t="shared" si="34"/>
        <v>99996</v>
      </c>
      <c r="AB162">
        <f t="shared" si="35"/>
        <v>5091</v>
      </c>
      <c r="AC162">
        <f t="shared" si="36"/>
        <v>2459886.700000002</v>
      </c>
      <c r="AD162">
        <f t="shared" si="37"/>
        <v>1336.894945652175</v>
      </c>
      <c r="AE162">
        <f t="shared" si="38"/>
        <v>0.35149999999999998</v>
      </c>
      <c r="AF162">
        <f t="shared" si="39"/>
        <v>2275352113.7599993</v>
      </c>
      <c r="AG162" t="str">
        <f t="shared" si="40"/>
        <v>Active</v>
      </c>
      <c r="AH162">
        <f t="shared" si="41"/>
        <v>3335.04</v>
      </c>
    </row>
    <row r="163" spans="1:34" x14ac:dyDescent="0.35">
      <c r="A163" t="s">
        <v>517</v>
      </c>
      <c r="B163" t="s">
        <v>518</v>
      </c>
      <c r="C163">
        <v>51</v>
      </c>
      <c r="D163" t="s">
        <v>38</v>
      </c>
      <c r="E163" t="s">
        <v>23</v>
      </c>
      <c r="F163" t="s">
        <v>24</v>
      </c>
      <c r="G163">
        <v>194013</v>
      </c>
      <c r="H163">
        <v>408</v>
      </c>
      <c r="I163">
        <v>49525</v>
      </c>
      <c r="J163">
        <v>8.51</v>
      </c>
      <c r="K163">
        <v>48</v>
      </c>
      <c r="L163" t="s">
        <v>25</v>
      </c>
      <c r="M163">
        <v>27.81</v>
      </c>
      <c r="N163">
        <v>45243</v>
      </c>
      <c r="O163">
        <v>220029</v>
      </c>
      <c r="P163" t="s">
        <v>519</v>
      </c>
      <c r="Q163" t="s">
        <v>61</v>
      </c>
      <c r="R163" t="s">
        <v>48</v>
      </c>
      <c r="S163" t="s">
        <v>35</v>
      </c>
      <c r="T163">
        <v>1119.57</v>
      </c>
      <c r="U163">
        <f t="shared" si="28"/>
        <v>1839</v>
      </c>
      <c r="V163">
        <f t="shared" si="29"/>
        <v>653</v>
      </c>
      <c r="W163">
        <f t="shared" si="30"/>
        <v>592</v>
      </c>
      <c r="X163">
        <f t="shared" si="31"/>
        <v>0.35149999999999998</v>
      </c>
      <c r="Y163" s="1">
        <f t="shared" si="32"/>
        <v>94846702</v>
      </c>
      <c r="Z163">
        <f t="shared" si="33"/>
        <v>51575.150625339862</v>
      </c>
      <c r="AA163">
        <f t="shared" si="34"/>
        <v>99996</v>
      </c>
      <c r="AB163">
        <f t="shared" si="35"/>
        <v>5091</v>
      </c>
      <c r="AC163">
        <f t="shared" si="36"/>
        <v>2459608.7800000021</v>
      </c>
      <c r="AD163">
        <f t="shared" si="37"/>
        <v>1337.4707884719969</v>
      </c>
      <c r="AE163">
        <f t="shared" si="38"/>
        <v>0.35149999999999998</v>
      </c>
      <c r="AF163">
        <f t="shared" si="39"/>
        <v>2272892227.0599985</v>
      </c>
      <c r="AG163" t="str">
        <f t="shared" si="40"/>
        <v>Active</v>
      </c>
      <c r="AH163">
        <f t="shared" si="41"/>
        <v>13434.84</v>
      </c>
    </row>
    <row r="164" spans="1:34" x14ac:dyDescent="0.35">
      <c r="A164" t="s">
        <v>520</v>
      </c>
      <c r="B164" t="s">
        <v>521</v>
      </c>
      <c r="C164">
        <v>26</v>
      </c>
      <c r="D164" t="s">
        <v>38</v>
      </c>
      <c r="E164" t="s">
        <v>23</v>
      </c>
      <c r="F164" t="s">
        <v>59</v>
      </c>
      <c r="G164">
        <v>157715</v>
      </c>
      <c r="H164">
        <v>330</v>
      </c>
      <c r="I164">
        <v>85490</v>
      </c>
      <c r="J164">
        <v>8.14</v>
      </c>
      <c r="K164">
        <v>180</v>
      </c>
      <c r="L164" t="s">
        <v>52</v>
      </c>
      <c r="M164">
        <v>25.2</v>
      </c>
      <c r="N164">
        <v>70480</v>
      </c>
      <c r="O164">
        <v>50088</v>
      </c>
      <c r="P164" t="s">
        <v>197</v>
      </c>
      <c r="Q164" t="s">
        <v>27</v>
      </c>
      <c r="R164" t="s">
        <v>48</v>
      </c>
      <c r="S164" t="s">
        <v>49</v>
      </c>
      <c r="T164">
        <v>513.6</v>
      </c>
      <c r="U164">
        <f t="shared" si="28"/>
        <v>1838</v>
      </c>
      <c r="V164">
        <f t="shared" si="29"/>
        <v>653</v>
      </c>
      <c r="W164">
        <f t="shared" si="30"/>
        <v>591</v>
      </c>
      <c r="X164">
        <f t="shared" si="31"/>
        <v>0.35149999999999998</v>
      </c>
      <c r="Y164" s="1">
        <f t="shared" si="32"/>
        <v>94797177</v>
      </c>
      <c r="Z164">
        <f t="shared" si="33"/>
        <v>51576.266050054408</v>
      </c>
      <c r="AA164">
        <f t="shared" si="34"/>
        <v>99996</v>
      </c>
      <c r="AB164">
        <f t="shared" si="35"/>
        <v>5091</v>
      </c>
      <c r="AC164">
        <f t="shared" si="36"/>
        <v>2458489.2100000018</v>
      </c>
      <c r="AD164">
        <f t="shared" si="37"/>
        <v>1337.5893416757356</v>
      </c>
      <c r="AE164">
        <f t="shared" si="38"/>
        <v>0.35149999999999998</v>
      </c>
      <c r="AF164">
        <f t="shared" si="39"/>
        <v>2270432618.2799978</v>
      </c>
      <c r="AG164" t="str">
        <f t="shared" si="40"/>
        <v>Active</v>
      </c>
      <c r="AH164">
        <f t="shared" si="41"/>
        <v>6163.2000000000007</v>
      </c>
    </row>
    <row r="165" spans="1:34" x14ac:dyDescent="0.35">
      <c r="A165" t="s">
        <v>522</v>
      </c>
      <c r="B165" t="s">
        <v>523</v>
      </c>
      <c r="C165">
        <v>36</v>
      </c>
      <c r="D165" t="s">
        <v>38</v>
      </c>
      <c r="E165" t="s">
        <v>32</v>
      </c>
      <c r="F165" t="s">
        <v>24</v>
      </c>
      <c r="G165">
        <v>56104</v>
      </c>
      <c r="H165">
        <v>592</v>
      </c>
      <c r="I165">
        <v>76881</v>
      </c>
      <c r="J165">
        <v>8.15</v>
      </c>
      <c r="K165">
        <v>60</v>
      </c>
      <c r="L165" t="s">
        <v>25</v>
      </c>
      <c r="M165">
        <v>58.4</v>
      </c>
      <c r="N165">
        <v>24299</v>
      </c>
      <c r="O165">
        <v>133041</v>
      </c>
      <c r="P165" t="s">
        <v>391</v>
      </c>
      <c r="Q165" t="s">
        <v>27</v>
      </c>
      <c r="R165" t="s">
        <v>28</v>
      </c>
      <c r="S165" t="s">
        <v>68</v>
      </c>
      <c r="T165">
        <v>1385.78</v>
      </c>
      <c r="U165">
        <f t="shared" si="28"/>
        <v>1837</v>
      </c>
      <c r="V165">
        <f t="shared" si="29"/>
        <v>653</v>
      </c>
      <c r="W165">
        <f t="shared" si="30"/>
        <v>591</v>
      </c>
      <c r="X165">
        <f t="shared" si="31"/>
        <v>0.35149999999999998</v>
      </c>
      <c r="Y165" s="1">
        <f t="shared" si="32"/>
        <v>94711687</v>
      </c>
      <c r="Z165">
        <f t="shared" si="33"/>
        <v>51557.804572672838</v>
      </c>
      <c r="AA165">
        <f t="shared" si="34"/>
        <v>99996</v>
      </c>
      <c r="AB165">
        <f t="shared" si="35"/>
        <v>5091</v>
      </c>
      <c r="AC165">
        <f t="shared" si="36"/>
        <v>2457975.6100000017</v>
      </c>
      <c r="AD165">
        <f t="shared" si="37"/>
        <v>1338.0378933043014</v>
      </c>
      <c r="AE165">
        <f t="shared" si="38"/>
        <v>0.35149999999999998</v>
      </c>
      <c r="AF165">
        <f t="shared" si="39"/>
        <v>2267974129.0699983</v>
      </c>
      <c r="AG165" t="str">
        <f t="shared" si="40"/>
        <v>Active</v>
      </c>
      <c r="AH165">
        <f t="shared" si="41"/>
        <v>16629.36</v>
      </c>
    </row>
    <row r="166" spans="1:34" x14ac:dyDescent="0.35">
      <c r="A166" t="s">
        <v>524</v>
      </c>
      <c r="B166" t="s">
        <v>525</v>
      </c>
      <c r="C166">
        <v>61</v>
      </c>
      <c r="D166" t="s">
        <v>22</v>
      </c>
      <c r="E166" t="s">
        <v>23</v>
      </c>
      <c r="F166" t="s">
        <v>59</v>
      </c>
      <c r="G166">
        <v>143668</v>
      </c>
      <c r="H166">
        <v>611</v>
      </c>
      <c r="I166">
        <v>69873</v>
      </c>
      <c r="J166">
        <v>15.75</v>
      </c>
      <c r="K166">
        <v>180</v>
      </c>
      <c r="L166" t="s">
        <v>33</v>
      </c>
      <c r="M166">
        <v>27.33</v>
      </c>
      <c r="N166">
        <v>69899</v>
      </c>
      <c r="O166">
        <v>201551</v>
      </c>
      <c r="P166" t="s">
        <v>526</v>
      </c>
      <c r="Q166" t="s">
        <v>42</v>
      </c>
      <c r="R166" t="s">
        <v>28</v>
      </c>
      <c r="S166" t="s">
        <v>29</v>
      </c>
      <c r="T166">
        <v>449.32</v>
      </c>
      <c r="U166">
        <f t="shared" si="28"/>
        <v>1836</v>
      </c>
      <c r="V166">
        <f t="shared" si="29"/>
        <v>653</v>
      </c>
      <c r="W166">
        <f t="shared" si="30"/>
        <v>591</v>
      </c>
      <c r="X166">
        <f t="shared" si="31"/>
        <v>0.35149999999999998</v>
      </c>
      <c r="Y166" s="1">
        <f t="shared" si="32"/>
        <v>94634806</v>
      </c>
      <c r="Z166">
        <f t="shared" si="33"/>
        <v>51544.011982570803</v>
      </c>
      <c r="AA166">
        <f t="shared" si="34"/>
        <v>99996</v>
      </c>
      <c r="AB166">
        <f t="shared" si="35"/>
        <v>5091</v>
      </c>
      <c r="AC166">
        <f t="shared" si="36"/>
        <v>2456589.8300000019</v>
      </c>
      <c r="AD166">
        <f t="shared" si="37"/>
        <v>1338.0118899782146</v>
      </c>
      <c r="AE166">
        <f t="shared" si="38"/>
        <v>0.35149999999999998</v>
      </c>
      <c r="AF166">
        <f t="shared" si="39"/>
        <v>2265516153.4599986</v>
      </c>
      <c r="AG166" t="str">
        <f t="shared" si="40"/>
        <v>Active</v>
      </c>
      <c r="AH166">
        <f t="shared" si="41"/>
        <v>5391.84</v>
      </c>
    </row>
    <row r="167" spans="1:34" x14ac:dyDescent="0.35">
      <c r="A167" t="s">
        <v>527</v>
      </c>
      <c r="B167" t="s">
        <v>528</v>
      </c>
      <c r="C167">
        <v>55</v>
      </c>
      <c r="D167" t="s">
        <v>22</v>
      </c>
      <c r="E167" t="s">
        <v>23</v>
      </c>
      <c r="F167" t="s">
        <v>46</v>
      </c>
      <c r="G167">
        <v>185734</v>
      </c>
      <c r="H167">
        <v>671</v>
      </c>
      <c r="I167">
        <v>63946</v>
      </c>
      <c r="J167">
        <v>12.12</v>
      </c>
      <c r="K167">
        <v>240</v>
      </c>
      <c r="L167" t="s">
        <v>25</v>
      </c>
      <c r="M167">
        <v>7.29</v>
      </c>
      <c r="N167">
        <v>61197</v>
      </c>
      <c r="O167">
        <v>80859</v>
      </c>
      <c r="P167" t="s">
        <v>529</v>
      </c>
      <c r="Q167" t="s">
        <v>27</v>
      </c>
      <c r="R167" t="s">
        <v>48</v>
      </c>
      <c r="S167" t="s">
        <v>68</v>
      </c>
      <c r="T167">
        <v>298.73</v>
      </c>
      <c r="U167">
        <f t="shared" si="28"/>
        <v>1835</v>
      </c>
      <c r="V167">
        <f t="shared" si="29"/>
        <v>652</v>
      </c>
      <c r="W167">
        <f t="shared" si="30"/>
        <v>591</v>
      </c>
      <c r="X167">
        <f t="shared" si="31"/>
        <v>0.35149999999999998</v>
      </c>
      <c r="Y167" s="1">
        <f t="shared" si="32"/>
        <v>94564933</v>
      </c>
      <c r="Z167">
        <f t="shared" si="33"/>
        <v>51534.02343324251</v>
      </c>
      <c r="AA167">
        <f t="shared" si="34"/>
        <v>99996</v>
      </c>
      <c r="AB167">
        <f t="shared" si="35"/>
        <v>5091</v>
      </c>
      <c r="AC167">
        <f t="shared" si="36"/>
        <v>2456140.5100000021</v>
      </c>
      <c r="AD167">
        <f t="shared" si="37"/>
        <v>1338.496190735696</v>
      </c>
      <c r="AE167">
        <f t="shared" si="38"/>
        <v>0.35149999999999998</v>
      </c>
      <c r="AF167">
        <f t="shared" si="39"/>
        <v>2263059563.6299982</v>
      </c>
      <c r="AG167" t="str">
        <f t="shared" si="40"/>
        <v>Active</v>
      </c>
      <c r="AH167">
        <f t="shared" si="41"/>
        <v>3584.76</v>
      </c>
    </row>
    <row r="168" spans="1:34" x14ac:dyDescent="0.35">
      <c r="A168" t="s">
        <v>530</v>
      </c>
      <c r="B168" t="s">
        <v>531</v>
      </c>
      <c r="C168">
        <v>42</v>
      </c>
      <c r="D168" t="s">
        <v>22</v>
      </c>
      <c r="E168" t="s">
        <v>32</v>
      </c>
      <c r="F168" t="s">
        <v>24</v>
      </c>
      <c r="G168">
        <v>133534</v>
      </c>
      <c r="H168">
        <v>818</v>
      </c>
      <c r="I168">
        <v>24896</v>
      </c>
      <c r="J168">
        <v>21.47</v>
      </c>
      <c r="K168">
        <v>360</v>
      </c>
      <c r="L168" t="s">
        <v>52</v>
      </c>
      <c r="M168">
        <v>9.93</v>
      </c>
      <c r="N168">
        <v>23899</v>
      </c>
      <c r="O168">
        <v>76960</v>
      </c>
      <c r="P168" t="s">
        <v>532</v>
      </c>
      <c r="Q168" t="s">
        <v>61</v>
      </c>
      <c r="R168" t="s">
        <v>48</v>
      </c>
      <c r="S168" t="s">
        <v>49</v>
      </c>
      <c r="T168">
        <v>84</v>
      </c>
      <c r="U168">
        <f t="shared" si="28"/>
        <v>1834</v>
      </c>
      <c r="V168">
        <f t="shared" si="29"/>
        <v>652</v>
      </c>
      <c r="W168">
        <f t="shared" si="30"/>
        <v>591</v>
      </c>
      <c r="X168">
        <f t="shared" si="31"/>
        <v>0.35149999999999998</v>
      </c>
      <c r="Y168" s="1">
        <f t="shared" si="32"/>
        <v>94500987</v>
      </c>
      <c r="Z168">
        <f t="shared" si="33"/>
        <v>51527.255725190837</v>
      </c>
      <c r="AA168">
        <f t="shared" si="34"/>
        <v>99996</v>
      </c>
      <c r="AB168">
        <f t="shared" si="35"/>
        <v>5091</v>
      </c>
      <c r="AC168">
        <f t="shared" si="36"/>
        <v>2455841.7800000021</v>
      </c>
      <c r="AD168">
        <f t="shared" si="37"/>
        <v>1339.0631297709936</v>
      </c>
      <c r="AE168">
        <f t="shared" si="38"/>
        <v>0.35149999999999998</v>
      </c>
      <c r="AF168">
        <f t="shared" si="39"/>
        <v>2260603423.119998</v>
      </c>
      <c r="AG168" t="str">
        <f t="shared" si="40"/>
        <v>Active</v>
      </c>
      <c r="AH168">
        <f t="shared" si="41"/>
        <v>1008</v>
      </c>
    </row>
    <row r="169" spans="1:34" x14ac:dyDescent="0.35">
      <c r="A169" t="s">
        <v>533</v>
      </c>
      <c r="B169" t="s">
        <v>534</v>
      </c>
      <c r="C169">
        <v>39</v>
      </c>
      <c r="D169" t="s">
        <v>22</v>
      </c>
      <c r="E169" t="s">
        <v>39</v>
      </c>
      <c r="F169" t="s">
        <v>24</v>
      </c>
      <c r="G169">
        <v>134573</v>
      </c>
      <c r="H169">
        <v>579</v>
      </c>
      <c r="I169">
        <v>35278</v>
      </c>
      <c r="J169">
        <v>17.86</v>
      </c>
      <c r="K169">
        <v>48</v>
      </c>
      <c r="L169" t="s">
        <v>52</v>
      </c>
      <c r="M169">
        <v>22.4</v>
      </c>
      <c r="N169">
        <v>69196</v>
      </c>
      <c r="O169">
        <v>142</v>
      </c>
      <c r="P169" t="s">
        <v>535</v>
      </c>
      <c r="Q169" t="s">
        <v>61</v>
      </c>
      <c r="R169" t="s">
        <v>48</v>
      </c>
      <c r="S169" t="s">
        <v>35</v>
      </c>
      <c r="T169">
        <v>866.22</v>
      </c>
      <c r="U169">
        <f t="shared" si="28"/>
        <v>1833</v>
      </c>
      <c r="V169">
        <f t="shared" si="29"/>
        <v>652</v>
      </c>
      <c r="W169">
        <f t="shared" si="30"/>
        <v>590</v>
      </c>
      <c r="X169">
        <f t="shared" si="31"/>
        <v>0.35149999999999998</v>
      </c>
      <c r="Y169" s="1">
        <f t="shared" si="32"/>
        <v>94476091</v>
      </c>
      <c r="Z169">
        <f t="shared" si="33"/>
        <v>51541.784506273871</v>
      </c>
      <c r="AA169">
        <f t="shared" si="34"/>
        <v>99996</v>
      </c>
      <c r="AB169">
        <f t="shared" si="35"/>
        <v>5091</v>
      </c>
      <c r="AC169">
        <f t="shared" si="36"/>
        <v>2455757.7800000021</v>
      </c>
      <c r="AD169">
        <f t="shared" si="37"/>
        <v>1339.7478341516651</v>
      </c>
      <c r="AE169">
        <f t="shared" si="38"/>
        <v>0.35149999999999998</v>
      </c>
      <c r="AF169">
        <f t="shared" si="39"/>
        <v>2258147581.3399973</v>
      </c>
      <c r="AG169" t="str">
        <f t="shared" si="40"/>
        <v>Active</v>
      </c>
      <c r="AH169">
        <f t="shared" si="41"/>
        <v>10394.64</v>
      </c>
    </row>
    <row r="170" spans="1:34" x14ac:dyDescent="0.35">
      <c r="A170" t="s">
        <v>536</v>
      </c>
      <c r="B170" t="s">
        <v>537</v>
      </c>
      <c r="C170">
        <v>59</v>
      </c>
      <c r="D170" t="s">
        <v>22</v>
      </c>
      <c r="E170" t="s">
        <v>39</v>
      </c>
      <c r="F170" t="s">
        <v>46</v>
      </c>
      <c r="G170">
        <v>71272</v>
      </c>
      <c r="H170">
        <v>788</v>
      </c>
      <c r="I170">
        <v>6646</v>
      </c>
      <c r="J170">
        <v>15.14</v>
      </c>
      <c r="K170">
        <v>120</v>
      </c>
      <c r="L170" t="s">
        <v>40</v>
      </c>
      <c r="M170">
        <v>39.380000000000003</v>
      </c>
      <c r="N170">
        <v>26567</v>
      </c>
      <c r="O170">
        <v>181271</v>
      </c>
      <c r="P170" t="s">
        <v>538</v>
      </c>
      <c r="Q170" t="s">
        <v>27</v>
      </c>
      <c r="R170" t="s">
        <v>28</v>
      </c>
      <c r="S170" t="s">
        <v>29</v>
      </c>
      <c r="T170">
        <v>63.77</v>
      </c>
      <c r="U170">
        <f t="shared" si="28"/>
        <v>1832</v>
      </c>
      <c r="V170">
        <f t="shared" si="29"/>
        <v>652</v>
      </c>
      <c r="W170">
        <f t="shared" si="30"/>
        <v>589</v>
      </c>
      <c r="X170">
        <f t="shared" si="31"/>
        <v>0.35149999999999998</v>
      </c>
      <c r="Y170" s="1">
        <f t="shared" si="32"/>
        <v>94440813</v>
      </c>
      <c r="Z170">
        <f t="shared" si="33"/>
        <v>51550.662117903928</v>
      </c>
      <c r="AA170">
        <f t="shared" si="34"/>
        <v>99996</v>
      </c>
      <c r="AB170">
        <f t="shared" si="35"/>
        <v>5091</v>
      </c>
      <c r="AC170">
        <f t="shared" si="36"/>
        <v>2454891.5600000019</v>
      </c>
      <c r="AD170">
        <f t="shared" si="37"/>
        <v>1340.0063100436691</v>
      </c>
      <c r="AE170">
        <f t="shared" si="38"/>
        <v>0.35149999999999998</v>
      </c>
      <c r="AF170">
        <f t="shared" si="39"/>
        <v>2255691823.559998</v>
      </c>
      <c r="AG170" t="str">
        <f t="shared" si="40"/>
        <v>Active</v>
      </c>
      <c r="AH170">
        <f t="shared" si="41"/>
        <v>765.24</v>
      </c>
    </row>
    <row r="171" spans="1:34" x14ac:dyDescent="0.35">
      <c r="A171" t="s">
        <v>539</v>
      </c>
      <c r="B171" t="s">
        <v>540</v>
      </c>
      <c r="C171">
        <v>64</v>
      </c>
      <c r="D171" t="s">
        <v>38</v>
      </c>
      <c r="E171" t="s">
        <v>23</v>
      </c>
      <c r="F171" t="s">
        <v>46</v>
      </c>
      <c r="G171">
        <v>99115</v>
      </c>
      <c r="H171">
        <v>714</v>
      </c>
      <c r="I171">
        <v>7804</v>
      </c>
      <c r="J171">
        <v>12.28</v>
      </c>
      <c r="K171">
        <v>36</v>
      </c>
      <c r="L171" t="s">
        <v>52</v>
      </c>
      <c r="M171">
        <v>14.98</v>
      </c>
      <c r="N171">
        <v>22139</v>
      </c>
      <c r="O171">
        <v>221838</v>
      </c>
      <c r="P171" t="s">
        <v>541</v>
      </c>
      <c r="Q171" t="s">
        <v>61</v>
      </c>
      <c r="R171" t="s">
        <v>28</v>
      </c>
      <c r="S171" t="s">
        <v>35</v>
      </c>
      <c r="T171">
        <v>243.4</v>
      </c>
      <c r="U171">
        <f t="shared" si="28"/>
        <v>1831</v>
      </c>
      <c r="V171">
        <f t="shared" si="29"/>
        <v>652</v>
      </c>
      <c r="W171">
        <f t="shared" si="30"/>
        <v>589</v>
      </c>
      <c r="X171">
        <f t="shared" si="31"/>
        <v>0.35149999999999998</v>
      </c>
      <c r="Y171" s="1">
        <f t="shared" si="32"/>
        <v>94434167</v>
      </c>
      <c r="Z171">
        <f t="shared" si="33"/>
        <v>51575.186783178593</v>
      </c>
      <c r="AA171">
        <f t="shared" si="34"/>
        <v>99996</v>
      </c>
      <c r="AB171">
        <f t="shared" si="35"/>
        <v>5091</v>
      </c>
      <c r="AC171">
        <f t="shared" si="36"/>
        <v>2454827.7900000019</v>
      </c>
      <c r="AD171">
        <f t="shared" si="37"/>
        <v>1340.7033260513392</v>
      </c>
      <c r="AE171">
        <f t="shared" si="38"/>
        <v>0.35149999999999998</v>
      </c>
      <c r="AF171">
        <f t="shared" si="39"/>
        <v>2253236931.9999971</v>
      </c>
      <c r="AG171" t="str">
        <f t="shared" si="40"/>
        <v>Active</v>
      </c>
      <c r="AH171">
        <f t="shared" si="41"/>
        <v>2920.8</v>
      </c>
    </row>
    <row r="172" spans="1:34" x14ac:dyDescent="0.35">
      <c r="A172" t="s">
        <v>542</v>
      </c>
      <c r="B172" t="s">
        <v>543</v>
      </c>
      <c r="C172">
        <v>33</v>
      </c>
      <c r="D172" t="s">
        <v>22</v>
      </c>
      <c r="E172" t="s">
        <v>39</v>
      </c>
      <c r="F172" t="s">
        <v>24</v>
      </c>
      <c r="G172">
        <v>155533</v>
      </c>
      <c r="H172">
        <v>786</v>
      </c>
      <c r="I172">
        <v>5769</v>
      </c>
      <c r="J172">
        <v>5.65</v>
      </c>
      <c r="K172">
        <v>48</v>
      </c>
      <c r="L172" t="s">
        <v>25</v>
      </c>
      <c r="M172">
        <v>24.68</v>
      </c>
      <c r="N172">
        <v>70790</v>
      </c>
      <c r="O172">
        <v>208222</v>
      </c>
      <c r="P172" t="s">
        <v>544</v>
      </c>
      <c r="Q172" t="s">
        <v>61</v>
      </c>
      <c r="R172" t="s">
        <v>28</v>
      </c>
      <c r="S172" t="s">
        <v>43</v>
      </c>
      <c r="T172">
        <v>126.98</v>
      </c>
      <c r="U172">
        <f t="shared" si="28"/>
        <v>1830</v>
      </c>
      <c r="V172">
        <f t="shared" si="29"/>
        <v>652</v>
      </c>
      <c r="W172">
        <f t="shared" si="30"/>
        <v>588</v>
      </c>
      <c r="X172">
        <f t="shared" si="31"/>
        <v>0.35149999999999998</v>
      </c>
      <c r="Y172" s="1">
        <f t="shared" si="32"/>
        <v>94426363</v>
      </c>
      <c r="Z172">
        <f t="shared" si="33"/>
        <v>51599.105464480876</v>
      </c>
      <c r="AA172">
        <f t="shared" si="34"/>
        <v>99996</v>
      </c>
      <c r="AB172">
        <f t="shared" si="35"/>
        <v>5091</v>
      </c>
      <c r="AC172">
        <f t="shared" si="36"/>
        <v>2454584.390000002</v>
      </c>
      <c r="AD172">
        <f t="shared" si="37"/>
        <v>1341.3029453551924</v>
      </c>
      <c r="AE172">
        <f t="shared" si="38"/>
        <v>0.35149999999999998</v>
      </c>
      <c r="AF172">
        <f t="shared" si="39"/>
        <v>2250782104.2099972</v>
      </c>
      <c r="AG172" t="str">
        <f t="shared" si="40"/>
        <v>Active</v>
      </c>
      <c r="AH172">
        <f t="shared" si="41"/>
        <v>1523.76</v>
      </c>
    </row>
    <row r="173" spans="1:34" x14ac:dyDescent="0.35">
      <c r="A173" t="s">
        <v>545</v>
      </c>
      <c r="B173" t="s">
        <v>546</v>
      </c>
      <c r="C173">
        <v>61</v>
      </c>
      <c r="D173" t="s">
        <v>38</v>
      </c>
      <c r="E173" t="s">
        <v>23</v>
      </c>
      <c r="F173" t="s">
        <v>59</v>
      </c>
      <c r="G173">
        <v>70920</v>
      </c>
      <c r="H173">
        <v>612</v>
      </c>
      <c r="I173">
        <v>44926</v>
      </c>
      <c r="J173">
        <v>15.77</v>
      </c>
      <c r="K173">
        <v>180</v>
      </c>
      <c r="L173" t="s">
        <v>52</v>
      </c>
      <c r="M173">
        <v>38.5</v>
      </c>
      <c r="N173">
        <v>76485</v>
      </c>
      <c r="O173">
        <v>230235</v>
      </c>
      <c r="P173" t="s">
        <v>547</v>
      </c>
      <c r="Q173" t="s">
        <v>61</v>
      </c>
      <c r="R173" t="s">
        <v>28</v>
      </c>
      <c r="S173" t="s">
        <v>68</v>
      </c>
      <c r="T173">
        <v>288.95</v>
      </c>
      <c r="U173">
        <f t="shared" si="28"/>
        <v>1829</v>
      </c>
      <c r="V173">
        <f t="shared" si="29"/>
        <v>652</v>
      </c>
      <c r="W173">
        <f t="shared" si="30"/>
        <v>587</v>
      </c>
      <c r="X173">
        <f t="shared" si="31"/>
        <v>0.35149999999999998</v>
      </c>
      <c r="Y173" s="1">
        <f t="shared" si="32"/>
        <v>94420594</v>
      </c>
      <c r="Z173">
        <f t="shared" si="33"/>
        <v>51624.16293056315</v>
      </c>
      <c r="AA173">
        <f t="shared" si="34"/>
        <v>99996</v>
      </c>
      <c r="AB173">
        <f t="shared" si="35"/>
        <v>5091</v>
      </c>
      <c r="AC173">
        <f t="shared" si="36"/>
        <v>2454457.410000002</v>
      </c>
      <c r="AD173">
        <f t="shared" si="37"/>
        <v>1341.9668726079835</v>
      </c>
      <c r="AE173">
        <f t="shared" si="38"/>
        <v>0.35149999999999998</v>
      </c>
      <c r="AF173">
        <f t="shared" si="39"/>
        <v>2248327519.8199964</v>
      </c>
      <c r="AG173" t="str">
        <f t="shared" si="40"/>
        <v>Active</v>
      </c>
      <c r="AH173">
        <f t="shared" si="41"/>
        <v>3467.3999999999996</v>
      </c>
    </row>
    <row r="174" spans="1:34" x14ac:dyDescent="0.35">
      <c r="A174" t="s">
        <v>548</v>
      </c>
      <c r="B174" t="s">
        <v>549</v>
      </c>
      <c r="C174">
        <v>34</v>
      </c>
      <c r="D174" t="s">
        <v>22</v>
      </c>
      <c r="E174" t="s">
        <v>39</v>
      </c>
      <c r="F174" t="s">
        <v>46</v>
      </c>
      <c r="G174">
        <v>31428</v>
      </c>
      <c r="H174">
        <v>741</v>
      </c>
      <c r="I174">
        <v>7459</v>
      </c>
      <c r="J174">
        <v>12.64</v>
      </c>
      <c r="K174">
        <v>360</v>
      </c>
      <c r="L174" t="s">
        <v>25</v>
      </c>
      <c r="M174">
        <v>43.86</v>
      </c>
      <c r="N174">
        <v>79072</v>
      </c>
      <c r="O174">
        <v>33116</v>
      </c>
      <c r="P174" t="s">
        <v>550</v>
      </c>
      <c r="Q174" t="s">
        <v>27</v>
      </c>
      <c r="R174" t="s">
        <v>28</v>
      </c>
      <c r="S174" t="s">
        <v>35</v>
      </c>
      <c r="T174">
        <v>23.34</v>
      </c>
      <c r="U174">
        <f t="shared" si="28"/>
        <v>1828</v>
      </c>
      <c r="V174">
        <f t="shared" si="29"/>
        <v>652</v>
      </c>
      <c r="W174">
        <f t="shared" si="30"/>
        <v>586</v>
      </c>
      <c r="X174">
        <f t="shared" si="31"/>
        <v>0.35149999999999998</v>
      </c>
      <c r="Y174" s="1">
        <f t="shared" si="32"/>
        <v>94375668</v>
      </c>
      <c r="Z174">
        <f t="shared" si="33"/>
        <v>51627.827133479215</v>
      </c>
      <c r="AA174">
        <f t="shared" si="34"/>
        <v>99996</v>
      </c>
      <c r="AB174">
        <f t="shared" si="35"/>
        <v>5091</v>
      </c>
      <c r="AC174">
        <f t="shared" si="36"/>
        <v>2454168.4600000023</v>
      </c>
      <c r="AD174">
        <f t="shared" si="37"/>
        <v>1342.5429212253841</v>
      </c>
      <c r="AE174">
        <f t="shared" si="38"/>
        <v>0.35149999999999998</v>
      </c>
      <c r="AF174">
        <f t="shared" si="39"/>
        <v>2245873062.4099965</v>
      </c>
      <c r="AG174" t="str">
        <f t="shared" si="40"/>
        <v>Active</v>
      </c>
      <c r="AH174">
        <f t="shared" si="41"/>
        <v>280.08</v>
      </c>
    </row>
    <row r="175" spans="1:34" x14ac:dyDescent="0.35">
      <c r="A175" t="s">
        <v>551</v>
      </c>
      <c r="B175" t="s">
        <v>552</v>
      </c>
      <c r="C175">
        <v>33</v>
      </c>
      <c r="D175" t="s">
        <v>38</v>
      </c>
      <c r="E175" t="s">
        <v>39</v>
      </c>
      <c r="F175" t="s">
        <v>46</v>
      </c>
      <c r="G175">
        <v>76330</v>
      </c>
      <c r="H175">
        <v>839</v>
      </c>
      <c r="I175">
        <v>94767</v>
      </c>
      <c r="J175">
        <v>21.99</v>
      </c>
      <c r="K175">
        <v>360</v>
      </c>
      <c r="L175" t="s">
        <v>40</v>
      </c>
      <c r="M175">
        <v>23.06</v>
      </c>
      <c r="N175">
        <v>51390</v>
      </c>
      <c r="O175">
        <v>73291</v>
      </c>
      <c r="P175" t="s">
        <v>553</v>
      </c>
      <c r="Q175" t="s">
        <v>27</v>
      </c>
      <c r="R175" t="s">
        <v>28</v>
      </c>
      <c r="S175" t="s">
        <v>49</v>
      </c>
      <c r="T175">
        <v>321.13</v>
      </c>
      <c r="U175">
        <f t="shared" si="28"/>
        <v>1827</v>
      </c>
      <c r="V175">
        <f t="shared" si="29"/>
        <v>652</v>
      </c>
      <c r="W175">
        <f t="shared" si="30"/>
        <v>586</v>
      </c>
      <c r="X175">
        <f t="shared" si="31"/>
        <v>0.35149999999999998</v>
      </c>
      <c r="Y175" s="1">
        <f t="shared" si="32"/>
        <v>94368209</v>
      </c>
      <c r="Z175">
        <f t="shared" si="33"/>
        <v>51652.002736726878</v>
      </c>
      <c r="AA175">
        <f t="shared" si="34"/>
        <v>99996</v>
      </c>
      <c r="AB175">
        <f t="shared" si="35"/>
        <v>5091</v>
      </c>
      <c r="AC175">
        <f t="shared" si="36"/>
        <v>2454145.120000002</v>
      </c>
      <c r="AD175">
        <f t="shared" si="37"/>
        <v>1343.264980842913</v>
      </c>
      <c r="AE175">
        <f t="shared" si="38"/>
        <v>0.35149999999999998</v>
      </c>
      <c r="AF175">
        <f t="shared" si="39"/>
        <v>2243418893.949996</v>
      </c>
      <c r="AG175" t="str">
        <f t="shared" si="40"/>
        <v>Active</v>
      </c>
      <c r="AH175">
        <f t="shared" si="41"/>
        <v>3853.56</v>
      </c>
    </row>
    <row r="176" spans="1:34" x14ac:dyDescent="0.35">
      <c r="A176" t="s">
        <v>554</v>
      </c>
      <c r="B176" t="s">
        <v>555</v>
      </c>
      <c r="C176">
        <v>24</v>
      </c>
      <c r="D176" t="s">
        <v>38</v>
      </c>
      <c r="E176" t="s">
        <v>32</v>
      </c>
      <c r="F176" t="s">
        <v>59</v>
      </c>
      <c r="G176">
        <v>151205</v>
      </c>
      <c r="H176">
        <v>496</v>
      </c>
      <c r="I176">
        <v>67717</v>
      </c>
      <c r="J176">
        <v>17.420000000000002</v>
      </c>
      <c r="K176">
        <v>180</v>
      </c>
      <c r="L176" t="s">
        <v>40</v>
      </c>
      <c r="M176">
        <v>45.93</v>
      </c>
      <c r="N176">
        <v>73068</v>
      </c>
      <c r="O176">
        <v>236286</v>
      </c>
      <c r="P176" t="s">
        <v>556</v>
      </c>
      <c r="Q176" t="s">
        <v>61</v>
      </c>
      <c r="R176" t="s">
        <v>28</v>
      </c>
      <c r="S176" t="s">
        <v>35</v>
      </c>
      <c r="T176">
        <v>441.74</v>
      </c>
      <c r="U176">
        <f t="shared" si="28"/>
        <v>1826</v>
      </c>
      <c r="V176">
        <f t="shared" si="29"/>
        <v>652</v>
      </c>
      <c r="W176">
        <f t="shared" si="30"/>
        <v>586</v>
      </c>
      <c r="X176">
        <f t="shared" si="31"/>
        <v>0.35149999999999998</v>
      </c>
      <c r="Y176" s="1">
        <f t="shared" si="32"/>
        <v>94273442</v>
      </c>
      <c r="Z176">
        <f t="shared" si="33"/>
        <v>51628.391018619935</v>
      </c>
      <c r="AA176">
        <f t="shared" si="34"/>
        <v>99996</v>
      </c>
      <c r="AB176">
        <f t="shared" si="35"/>
        <v>5091</v>
      </c>
      <c r="AC176">
        <f t="shared" si="36"/>
        <v>2453823.9900000021</v>
      </c>
      <c r="AD176">
        <f t="shared" si="37"/>
        <v>1343.8247480832431</v>
      </c>
      <c r="AE176">
        <f t="shared" si="38"/>
        <v>0.35149999999999998</v>
      </c>
      <c r="AF176">
        <f t="shared" si="39"/>
        <v>2240964748.8299956</v>
      </c>
      <c r="AG176" t="str">
        <f t="shared" si="40"/>
        <v>Active</v>
      </c>
      <c r="AH176">
        <f t="shared" si="41"/>
        <v>5300.88</v>
      </c>
    </row>
    <row r="177" spans="1:34" x14ac:dyDescent="0.35">
      <c r="A177" t="s">
        <v>557</v>
      </c>
      <c r="B177" t="s">
        <v>558</v>
      </c>
      <c r="C177">
        <v>22</v>
      </c>
      <c r="D177" t="s">
        <v>22</v>
      </c>
      <c r="E177" t="s">
        <v>39</v>
      </c>
      <c r="F177" t="s">
        <v>59</v>
      </c>
      <c r="G177">
        <v>92158</v>
      </c>
      <c r="H177">
        <v>647</v>
      </c>
      <c r="I177">
        <v>89134</v>
      </c>
      <c r="J177">
        <v>15.64</v>
      </c>
      <c r="K177">
        <v>48</v>
      </c>
      <c r="L177" t="s">
        <v>52</v>
      </c>
      <c r="M177">
        <v>51.53</v>
      </c>
      <c r="N177">
        <v>47103</v>
      </c>
      <c r="O177">
        <v>226733</v>
      </c>
      <c r="P177" t="s">
        <v>559</v>
      </c>
      <c r="Q177" t="s">
        <v>27</v>
      </c>
      <c r="R177" t="s">
        <v>28</v>
      </c>
      <c r="S177" t="s">
        <v>68</v>
      </c>
      <c r="T177">
        <v>2147.39</v>
      </c>
      <c r="U177">
        <f t="shared" si="28"/>
        <v>1825</v>
      </c>
      <c r="V177">
        <f t="shared" si="29"/>
        <v>652</v>
      </c>
      <c r="W177">
        <f t="shared" si="30"/>
        <v>585</v>
      </c>
      <c r="X177">
        <f t="shared" si="31"/>
        <v>0.35149999999999998</v>
      </c>
      <c r="Y177" s="1">
        <f t="shared" si="32"/>
        <v>94205725</v>
      </c>
      <c r="Z177">
        <f t="shared" si="33"/>
        <v>51619.575342465752</v>
      </c>
      <c r="AA177">
        <f t="shared" si="34"/>
        <v>99996</v>
      </c>
      <c r="AB177">
        <f t="shared" si="35"/>
        <v>5091</v>
      </c>
      <c r="AC177">
        <f t="shared" si="36"/>
        <v>2453382.2500000023</v>
      </c>
      <c r="AD177">
        <f t="shared" si="37"/>
        <v>1344.3190410958916</v>
      </c>
      <c r="AE177">
        <f t="shared" si="38"/>
        <v>0.35149999999999998</v>
      </c>
      <c r="AF177">
        <f t="shared" si="39"/>
        <v>2238510924.8399959</v>
      </c>
      <c r="AG177" t="str">
        <f t="shared" si="40"/>
        <v>Active</v>
      </c>
      <c r="AH177">
        <f t="shared" si="41"/>
        <v>25768.68</v>
      </c>
    </row>
    <row r="178" spans="1:34" x14ac:dyDescent="0.35">
      <c r="A178" t="s">
        <v>560</v>
      </c>
      <c r="B178" t="s">
        <v>561</v>
      </c>
      <c r="C178">
        <v>51</v>
      </c>
      <c r="D178" t="s">
        <v>22</v>
      </c>
      <c r="E178" t="s">
        <v>32</v>
      </c>
      <c r="F178" t="s">
        <v>59</v>
      </c>
      <c r="G178">
        <v>32279</v>
      </c>
      <c r="H178">
        <v>481</v>
      </c>
      <c r="I178">
        <v>52803</v>
      </c>
      <c r="J178">
        <v>4.42</v>
      </c>
      <c r="K178">
        <v>60</v>
      </c>
      <c r="L178" t="s">
        <v>52</v>
      </c>
      <c r="M178">
        <v>22.62</v>
      </c>
      <c r="N178">
        <v>12016</v>
      </c>
      <c r="O178">
        <v>123947</v>
      </c>
      <c r="P178" t="s">
        <v>562</v>
      </c>
      <c r="Q178" t="s">
        <v>61</v>
      </c>
      <c r="R178" t="s">
        <v>48</v>
      </c>
      <c r="S178" t="s">
        <v>49</v>
      </c>
      <c r="T178">
        <v>918.95</v>
      </c>
      <c r="U178">
        <f t="shared" si="28"/>
        <v>1824</v>
      </c>
      <c r="V178">
        <f t="shared" si="29"/>
        <v>652</v>
      </c>
      <c r="W178">
        <f t="shared" si="30"/>
        <v>585</v>
      </c>
      <c r="X178">
        <f t="shared" si="31"/>
        <v>0.35149999999999998</v>
      </c>
      <c r="Y178" s="1">
        <f t="shared" si="32"/>
        <v>94116591</v>
      </c>
      <c r="Z178">
        <f t="shared" si="33"/>
        <v>51599.008223684214</v>
      </c>
      <c r="AA178">
        <f t="shared" si="34"/>
        <v>99996</v>
      </c>
      <c r="AB178">
        <f t="shared" si="35"/>
        <v>5091</v>
      </c>
      <c r="AC178">
        <f t="shared" si="36"/>
        <v>2451234.8600000017</v>
      </c>
      <c r="AD178">
        <f t="shared" si="37"/>
        <v>1343.8787609649132</v>
      </c>
      <c r="AE178">
        <f t="shared" si="38"/>
        <v>0.35149999999999998</v>
      </c>
      <c r="AF178">
        <f t="shared" si="39"/>
        <v>2236057542.5899959</v>
      </c>
      <c r="AG178" t="str">
        <f t="shared" si="40"/>
        <v>Active</v>
      </c>
      <c r="AH178">
        <f t="shared" si="41"/>
        <v>11027.400000000001</v>
      </c>
    </row>
    <row r="179" spans="1:34" x14ac:dyDescent="0.35">
      <c r="A179" t="s">
        <v>563</v>
      </c>
      <c r="B179" t="s">
        <v>564</v>
      </c>
      <c r="C179">
        <v>47</v>
      </c>
      <c r="D179" t="s">
        <v>22</v>
      </c>
      <c r="E179" t="s">
        <v>23</v>
      </c>
      <c r="F179" t="s">
        <v>24</v>
      </c>
      <c r="G179">
        <v>185642</v>
      </c>
      <c r="H179">
        <v>638</v>
      </c>
      <c r="I179">
        <v>51423</v>
      </c>
      <c r="J179">
        <v>5.19</v>
      </c>
      <c r="K179">
        <v>360</v>
      </c>
      <c r="L179" t="s">
        <v>25</v>
      </c>
      <c r="M179">
        <v>8.93</v>
      </c>
      <c r="N179">
        <v>54102</v>
      </c>
      <c r="O179">
        <v>6870</v>
      </c>
      <c r="P179" t="s">
        <v>565</v>
      </c>
      <c r="Q179" t="s">
        <v>27</v>
      </c>
      <c r="R179" t="s">
        <v>28</v>
      </c>
      <c r="S179" t="s">
        <v>68</v>
      </c>
      <c r="T179">
        <v>150.26</v>
      </c>
      <c r="U179">
        <f t="shared" si="28"/>
        <v>1823</v>
      </c>
      <c r="V179">
        <f t="shared" si="29"/>
        <v>652</v>
      </c>
      <c r="W179">
        <f t="shared" si="30"/>
        <v>584</v>
      </c>
      <c r="X179">
        <f t="shared" si="31"/>
        <v>0.35149999999999998</v>
      </c>
      <c r="Y179" s="1">
        <f t="shared" si="32"/>
        <v>94063788</v>
      </c>
      <c r="Z179">
        <f t="shared" si="33"/>
        <v>51598.347778387273</v>
      </c>
      <c r="AA179">
        <f t="shared" si="34"/>
        <v>99996</v>
      </c>
      <c r="AB179">
        <f t="shared" si="35"/>
        <v>5091</v>
      </c>
      <c r="AC179">
        <f t="shared" si="36"/>
        <v>2450315.910000002</v>
      </c>
      <c r="AD179">
        <f t="shared" si="37"/>
        <v>1344.1118540866714</v>
      </c>
      <c r="AE179">
        <f t="shared" si="38"/>
        <v>0.35149999999999998</v>
      </c>
      <c r="AF179">
        <f t="shared" si="39"/>
        <v>2233606307.7299957</v>
      </c>
      <c r="AG179" t="str">
        <f t="shared" si="40"/>
        <v>Active</v>
      </c>
      <c r="AH179">
        <f t="shared" si="41"/>
        <v>1803.12</v>
      </c>
    </row>
    <row r="180" spans="1:34" x14ac:dyDescent="0.35">
      <c r="A180" t="s">
        <v>566</v>
      </c>
      <c r="B180" t="s">
        <v>567</v>
      </c>
      <c r="C180">
        <v>28</v>
      </c>
      <c r="D180" t="s">
        <v>22</v>
      </c>
      <c r="E180" t="s">
        <v>32</v>
      </c>
      <c r="F180" t="s">
        <v>59</v>
      </c>
      <c r="G180">
        <v>161992</v>
      </c>
      <c r="H180">
        <v>821</v>
      </c>
      <c r="I180">
        <v>33852</v>
      </c>
      <c r="J180">
        <v>7.2</v>
      </c>
      <c r="K180">
        <v>60</v>
      </c>
      <c r="L180" t="s">
        <v>33</v>
      </c>
      <c r="M180">
        <v>29.46</v>
      </c>
      <c r="N180">
        <v>52142</v>
      </c>
      <c r="O180">
        <v>153056</v>
      </c>
      <c r="P180" t="s">
        <v>209</v>
      </c>
      <c r="Q180" t="s">
        <v>61</v>
      </c>
      <c r="R180" t="s">
        <v>28</v>
      </c>
      <c r="S180" t="s">
        <v>29</v>
      </c>
      <c r="T180">
        <v>604.82000000000005</v>
      </c>
      <c r="U180">
        <f t="shared" si="28"/>
        <v>1822</v>
      </c>
      <c r="V180">
        <f t="shared" si="29"/>
        <v>652</v>
      </c>
      <c r="W180">
        <f t="shared" si="30"/>
        <v>584</v>
      </c>
      <c r="X180">
        <f t="shared" si="31"/>
        <v>0.35149999999999998</v>
      </c>
      <c r="Y180" s="1">
        <f t="shared" si="32"/>
        <v>94012365</v>
      </c>
      <c r="Z180">
        <f t="shared" si="33"/>
        <v>51598.444017563117</v>
      </c>
      <c r="AA180">
        <f t="shared" si="34"/>
        <v>99996</v>
      </c>
      <c r="AB180">
        <f t="shared" si="35"/>
        <v>5091</v>
      </c>
      <c r="AC180">
        <f t="shared" si="36"/>
        <v>2450165.6500000022</v>
      </c>
      <c r="AD180">
        <f t="shared" si="37"/>
        <v>1344.7670965971472</v>
      </c>
      <c r="AE180">
        <f t="shared" si="38"/>
        <v>0.35149999999999998</v>
      </c>
      <c r="AF180">
        <f t="shared" si="39"/>
        <v>2231155991.8199954</v>
      </c>
      <c r="AG180" t="str">
        <f t="shared" si="40"/>
        <v>Active</v>
      </c>
      <c r="AH180">
        <f t="shared" si="41"/>
        <v>7257.84</v>
      </c>
    </row>
    <row r="181" spans="1:34" x14ac:dyDescent="0.35">
      <c r="A181" t="s">
        <v>568</v>
      </c>
      <c r="B181" t="s">
        <v>569</v>
      </c>
      <c r="C181">
        <v>22</v>
      </c>
      <c r="D181" t="s">
        <v>22</v>
      </c>
      <c r="E181" t="s">
        <v>32</v>
      </c>
      <c r="F181" t="s">
        <v>59</v>
      </c>
      <c r="G181">
        <v>80413</v>
      </c>
      <c r="H181">
        <v>445</v>
      </c>
      <c r="I181">
        <v>31599</v>
      </c>
      <c r="J181">
        <v>13.75</v>
      </c>
      <c r="K181">
        <v>120</v>
      </c>
      <c r="L181" t="s">
        <v>86</v>
      </c>
      <c r="M181">
        <v>47.94</v>
      </c>
      <c r="N181">
        <v>69125</v>
      </c>
      <c r="O181">
        <v>43987</v>
      </c>
      <c r="P181" t="s">
        <v>570</v>
      </c>
      <c r="Q181" t="s">
        <v>42</v>
      </c>
      <c r="R181" t="s">
        <v>48</v>
      </c>
      <c r="S181" t="s">
        <v>68</v>
      </c>
      <c r="T181">
        <v>299.52999999999997</v>
      </c>
      <c r="U181">
        <f t="shared" si="28"/>
        <v>1821</v>
      </c>
      <c r="V181">
        <f t="shared" si="29"/>
        <v>652</v>
      </c>
      <c r="W181">
        <f t="shared" si="30"/>
        <v>583</v>
      </c>
      <c r="X181">
        <f t="shared" si="31"/>
        <v>0.35149999999999998</v>
      </c>
      <c r="Y181" s="1">
        <f t="shared" si="32"/>
        <v>93978513</v>
      </c>
      <c r="Z181">
        <f t="shared" si="33"/>
        <v>51608.189456342669</v>
      </c>
      <c r="AA181">
        <f t="shared" si="34"/>
        <v>99996</v>
      </c>
      <c r="AB181">
        <f t="shared" si="35"/>
        <v>5091</v>
      </c>
      <c r="AC181">
        <f t="shared" si="36"/>
        <v>2449560.8300000015</v>
      </c>
      <c r="AD181">
        <f t="shared" si="37"/>
        <v>1345.1734376716099</v>
      </c>
      <c r="AE181">
        <f t="shared" si="38"/>
        <v>0.35149999999999998</v>
      </c>
      <c r="AF181">
        <f t="shared" si="39"/>
        <v>2228705826.1699958</v>
      </c>
      <c r="AG181" t="str">
        <f t="shared" si="40"/>
        <v>Active</v>
      </c>
      <c r="AH181">
        <f t="shared" si="41"/>
        <v>3594.3599999999997</v>
      </c>
    </row>
    <row r="182" spans="1:34" x14ac:dyDescent="0.35">
      <c r="A182" t="s">
        <v>571</v>
      </c>
      <c r="B182" t="s">
        <v>572</v>
      </c>
      <c r="C182">
        <v>33</v>
      </c>
      <c r="D182" t="s">
        <v>38</v>
      </c>
      <c r="E182" t="s">
        <v>23</v>
      </c>
      <c r="F182" t="s">
        <v>46</v>
      </c>
      <c r="G182">
        <v>186475</v>
      </c>
      <c r="H182">
        <v>335</v>
      </c>
      <c r="I182">
        <v>51531</v>
      </c>
      <c r="J182">
        <v>21.67</v>
      </c>
      <c r="K182">
        <v>36</v>
      </c>
      <c r="L182" t="s">
        <v>40</v>
      </c>
      <c r="M182">
        <v>17.27</v>
      </c>
      <c r="N182">
        <v>3542</v>
      </c>
      <c r="O182">
        <v>39057</v>
      </c>
      <c r="P182" t="s">
        <v>573</v>
      </c>
      <c r="Q182" t="s">
        <v>42</v>
      </c>
      <c r="R182" t="s">
        <v>48</v>
      </c>
      <c r="S182" t="s">
        <v>49</v>
      </c>
      <c r="T182">
        <v>1741.6</v>
      </c>
      <c r="U182">
        <f t="shared" si="28"/>
        <v>1820</v>
      </c>
      <c r="V182">
        <f t="shared" si="29"/>
        <v>651</v>
      </c>
      <c r="W182">
        <f t="shared" si="30"/>
        <v>583</v>
      </c>
      <c r="X182">
        <f t="shared" si="31"/>
        <v>0.35149999999999998</v>
      </c>
      <c r="Y182" s="1">
        <f t="shared" si="32"/>
        <v>93946914</v>
      </c>
      <c r="Z182">
        <f t="shared" si="33"/>
        <v>51619.183516483514</v>
      </c>
      <c r="AA182">
        <f t="shared" si="34"/>
        <v>99996</v>
      </c>
      <c r="AB182">
        <f t="shared" si="35"/>
        <v>5091</v>
      </c>
      <c r="AC182">
        <f t="shared" si="36"/>
        <v>2449261.3000000017</v>
      </c>
      <c r="AD182">
        <f t="shared" si="37"/>
        <v>1345.7479670329681</v>
      </c>
      <c r="AE182">
        <f t="shared" si="38"/>
        <v>0.35149999999999998</v>
      </c>
      <c r="AF182">
        <f t="shared" si="39"/>
        <v>2226256265.3399963</v>
      </c>
      <c r="AG182" t="str">
        <f t="shared" si="40"/>
        <v>Active</v>
      </c>
      <c r="AH182">
        <f t="shared" si="41"/>
        <v>20899.199999999997</v>
      </c>
    </row>
    <row r="183" spans="1:34" x14ac:dyDescent="0.35">
      <c r="A183" t="s">
        <v>574</v>
      </c>
      <c r="B183" t="s">
        <v>575</v>
      </c>
      <c r="C183">
        <v>39</v>
      </c>
      <c r="D183" t="s">
        <v>38</v>
      </c>
      <c r="E183" t="s">
        <v>32</v>
      </c>
      <c r="F183" t="s">
        <v>59</v>
      </c>
      <c r="G183">
        <v>118855</v>
      </c>
      <c r="H183">
        <v>462</v>
      </c>
      <c r="I183">
        <v>53489</v>
      </c>
      <c r="J183">
        <v>18.670000000000002</v>
      </c>
      <c r="K183">
        <v>180</v>
      </c>
      <c r="L183" t="s">
        <v>52</v>
      </c>
      <c r="M183">
        <v>9.65</v>
      </c>
      <c r="N183">
        <v>38351</v>
      </c>
      <c r="O183">
        <v>41888</v>
      </c>
      <c r="P183" t="s">
        <v>576</v>
      </c>
      <c r="Q183" t="s">
        <v>42</v>
      </c>
      <c r="R183" t="s">
        <v>28</v>
      </c>
      <c r="S183" t="s">
        <v>35</v>
      </c>
      <c r="T183">
        <v>352.64</v>
      </c>
      <c r="U183">
        <f t="shared" si="28"/>
        <v>1819</v>
      </c>
      <c r="V183">
        <f t="shared" si="29"/>
        <v>650</v>
      </c>
      <c r="W183">
        <f t="shared" si="30"/>
        <v>583</v>
      </c>
      <c r="X183">
        <f t="shared" si="31"/>
        <v>0.35149999999999998</v>
      </c>
      <c r="Y183" s="1">
        <f t="shared" si="32"/>
        <v>93895383</v>
      </c>
      <c r="Z183">
        <f t="shared" si="33"/>
        <v>51619.231995601978</v>
      </c>
      <c r="AA183">
        <f t="shared" si="34"/>
        <v>99996</v>
      </c>
      <c r="AB183">
        <f t="shared" si="35"/>
        <v>5091</v>
      </c>
      <c r="AC183">
        <f t="shared" si="36"/>
        <v>2447519.700000002</v>
      </c>
      <c r="AD183">
        <f t="shared" si="37"/>
        <v>1345.5303463441462</v>
      </c>
      <c r="AE183">
        <f t="shared" si="38"/>
        <v>0.35149999999999998</v>
      </c>
      <c r="AF183">
        <f t="shared" si="39"/>
        <v>2223807004.0399961</v>
      </c>
      <c r="AG183" t="str">
        <f t="shared" si="40"/>
        <v>Active</v>
      </c>
      <c r="AH183">
        <f t="shared" si="41"/>
        <v>4231.68</v>
      </c>
    </row>
    <row r="184" spans="1:34" x14ac:dyDescent="0.35">
      <c r="A184" t="s">
        <v>577</v>
      </c>
      <c r="B184" t="s">
        <v>578</v>
      </c>
      <c r="C184">
        <v>58</v>
      </c>
      <c r="D184" t="s">
        <v>38</v>
      </c>
      <c r="E184" t="s">
        <v>39</v>
      </c>
      <c r="F184" t="s">
        <v>46</v>
      </c>
      <c r="G184">
        <v>195823</v>
      </c>
      <c r="H184">
        <v>663</v>
      </c>
      <c r="I184">
        <v>40282</v>
      </c>
      <c r="J184">
        <v>16.11</v>
      </c>
      <c r="K184">
        <v>24</v>
      </c>
      <c r="L184" t="s">
        <v>52</v>
      </c>
      <c r="M184">
        <v>37.130000000000003</v>
      </c>
      <c r="N184">
        <v>73988</v>
      </c>
      <c r="O184">
        <v>247560</v>
      </c>
      <c r="P184" t="s">
        <v>579</v>
      </c>
      <c r="Q184" t="s">
        <v>27</v>
      </c>
      <c r="R184" t="s">
        <v>48</v>
      </c>
      <c r="S184" t="s">
        <v>68</v>
      </c>
      <c r="T184">
        <v>1948.81</v>
      </c>
      <c r="U184">
        <f t="shared" si="28"/>
        <v>1818</v>
      </c>
      <c r="V184">
        <f t="shared" si="29"/>
        <v>649</v>
      </c>
      <c r="W184">
        <f t="shared" si="30"/>
        <v>583</v>
      </c>
      <c r="X184">
        <f t="shared" si="31"/>
        <v>0.35149999999999998</v>
      </c>
      <c r="Y184" s="1">
        <f t="shared" si="32"/>
        <v>93841894</v>
      </c>
      <c r="Z184">
        <f t="shared" si="33"/>
        <v>51618.203520352035</v>
      </c>
      <c r="AA184">
        <f t="shared" si="34"/>
        <v>99996</v>
      </c>
      <c r="AB184">
        <f t="shared" si="35"/>
        <v>5091</v>
      </c>
      <c r="AC184">
        <f t="shared" si="36"/>
        <v>2447167.0600000019</v>
      </c>
      <c r="AD184">
        <f t="shared" si="37"/>
        <v>1346.076490649066</v>
      </c>
      <c r="AE184">
        <f t="shared" si="38"/>
        <v>0.35149999999999998</v>
      </c>
      <c r="AF184">
        <f t="shared" si="39"/>
        <v>2221359484.3399968</v>
      </c>
      <c r="AG184" t="str">
        <f t="shared" si="40"/>
        <v>Active</v>
      </c>
      <c r="AH184">
        <f t="shared" si="41"/>
        <v>23385.72</v>
      </c>
    </row>
    <row r="185" spans="1:34" x14ac:dyDescent="0.35">
      <c r="A185" t="s">
        <v>580</v>
      </c>
      <c r="B185" t="s">
        <v>581</v>
      </c>
      <c r="C185">
        <v>60</v>
      </c>
      <c r="D185" t="s">
        <v>38</v>
      </c>
      <c r="E185" t="s">
        <v>23</v>
      </c>
      <c r="F185" t="s">
        <v>24</v>
      </c>
      <c r="G185">
        <v>155851</v>
      </c>
      <c r="H185">
        <v>363</v>
      </c>
      <c r="I185">
        <v>64696</v>
      </c>
      <c r="J185">
        <v>3.71</v>
      </c>
      <c r="K185">
        <v>36</v>
      </c>
      <c r="L185" t="s">
        <v>33</v>
      </c>
      <c r="M185">
        <v>31.59</v>
      </c>
      <c r="N185">
        <v>16517</v>
      </c>
      <c r="O185">
        <v>138597</v>
      </c>
      <c r="P185" t="s">
        <v>582</v>
      </c>
      <c r="Q185" t="s">
        <v>27</v>
      </c>
      <c r="R185" t="s">
        <v>28</v>
      </c>
      <c r="S185" t="s">
        <v>68</v>
      </c>
      <c r="T185">
        <v>1863.78</v>
      </c>
      <c r="U185">
        <f t="shared" si="28"/>
        <v>1817</v>
      </c>
      <c r="V185">
        <f t="shared" si="29"/>
        <v>649</v>
      </c>
      <c r="W185">
        <f t="shared" si="30"/>
        <v>583</v>
      </c>
      <c r="X185">
        <f t="shared" si="31"/>
        <v>0.35149999999999998</v>
      </c>
      <c r="Y185" s="1">
        <f t="shared" si="32"/>
        <v>93801612</v>
      </c>
      <c r="Z185">
        <f t="shared" si="33"/>
        <v>51624.442487616951</v>
      </c>
      <c r="AA185">
        <f t="shared" si="34"/>
        <v>99996</v>
      </c>
      <c r="AB185">
        <f t="shared" si="35"/>
        <v>5091</v>
      </c>
      <c r="AC185">
        <f t="shared" si="36"/>
        <v>2445218.2500000019</v>
      </c>
      <c r="AD185">
        <f t="shared" si="37"/>
        <v>1345.744771601542</v>
      </c>
      <c r="AE185">
        <f t="shared" si="38"/>
        <v>0.35149999999999998</v>
      </c>
      <c r="AF185">
        <f t="shared" si="39"/>
        <v>2218912317.2799969</v>
      </c>
      <c r="AG185" t="str">
        <f t="shared" si="40"/>
        <v>Active</v>
      </c>
      <c r="AH185">
        <f t="shared" si="41"/>
        <v>22365.360000000001</v>
      </c>
    </row>
    <row r="186" spans="1:34" x14ac:dyDescent="0.35">
      <c r="A186" t="s">
        <v>583</v>
      </c>
      <c r="B186" t="s">
        <v>584</v>
      </c>
      <c r="C186">
        <v>40</v>
      </c>
      <c r="D186" t="s">
        <v>38</v>
      </c>
      <c r="E186" t="s">
        <v>32</v>
      </c>
      <c r="F186" t="s">
        <v>59</v>
      </c>
      <c r="G186">
        <v>163632</v>
      </c>
      <c r="H186">
        <v>472</v>
      </c>
      <c r="I186">
        <v>49340</v>
      </c>
      <c r="J186">
        <v>18.940000000000001</v>
      </c>
      <c r="K186">
        <v>24</v>
      </c>
      <c r="L186" t="s">
        <v>25</v>
      </c>
      <c r="M186">
        <v>52.56</v>
      </c>
      <c r="N186">
        <v>45455</v>
      </c>
      <c r="O186">
        <v>173288</v>
      </c>
      <c r="P186" t="s">
        <v>585</v>
      </c>
      <c r="Q186" t="s">
        <v>61</v>
      </c>
      <c r="R186" t="s">
        <v>28</v>
      </c>
      <c r="S186" t="s">
        <v>49</v>
      </c>
      <c r="T186">
        <v>2445.21</v>
      </c>
      <c r="U186">
        <f t="shared" si="28"/>
        <v>1816</v>
      </c>
      <c r="V186">
        <f t="shared" si="29"/>
        <v>649</v>
      </c>
      <c r="W186">
        <f t="shared" si="30"/>
        <v>583</v>
      </c>
      <c r="X186">
        <f t="shared" si="31"/>
        <v>0.35149999999999998</v>
      </c>
      <c r="Y186" s="1">
        <f t="shared" si="32"/>
        <v>93736916</v>
      </c>
      <c r="Z186">
        <f t="shared" si="33"/>
        <v>51617.244493392071</v>
      </c>
      <c r="AA186">
        <f t="shared" si="34"/>
        <v>99996</v>
      </c>
      <c r="AB186">
        <f t="shared" si="35"/>
        <v>5091</v>
      </c>
      <c r="AC186">
        <f t="shared" si="36"/>
        <v>2443354.4700000016</v>
      </c>
      <c r="AD186">
        <f t="shared" si="37"/>
        <v>1345.4595099118951</v>
      </c>
      <c r="AE186">
        <f t="shared" si="38"/>
        <v>0.35149999999999998</v>
      </c>
      <c r="AF186">
        <f t="shared" si="39"/>
        <v>2216467099.0299964</v>
      </c>
      <c r="AG186" t="str">
        <f t="shared" si="40"/>
        <v>Active</v>
      </c>
      <c r="AH186">
        <f t="shared" si="41"/>
        <v>29342.52</v>
      </c>
    </row>
    <row r="187" spans="1:34" x14ac:dyDescent="0.35">
      <c r="A187" t="s">
        <v>586</v>
      </c>
      <c r="B187" t="s">
        <v>587</v>
      </c>
      <c r="C187">
        <v>51</v>
      </c>
      <c r="D187" t="s">
        <v>38</v>
      </c>
      <c r="E187" t="s">
        <v>39</v>
      </c>
      <c r="F187" t="s">
        <v>24</v>
      </c>
      <c r="G187">
        <v>179416</v>
      </c>
      <c r="H187">
        <v>432</v>
      </c>
      <c r="I187">
        <v>91626</v>
      </c>
      <c r="J187">
        <v>22.57</v>
      </c>
      <c r="K187">
        <v>240</v>
      </c>
      <c r="L187" t="s">
        <v>52</v>
      </c>
      <c r="M187">
        <v>33.06</v>
      </c>
      <c r="N187">
        <v>16638</v>
      </c>
      <c r="O187">
        <v>213302</v>
      </c>
      <c r="P187" t="s">
        <v>275</v>
      </c>
      <c r="Q187" t="s">
        <v>27</v>
      </c>
      <c r="R187" t="s">
        <v>28</v>
      </c>
      <c r="S187" t="s">
        <v>35</v>
      </c>
      <c r="T187">
        <v>467.94</v>
      </c>
      <c r="U187">
        <f t="shared" si="28"/>
        <v>1815</v>
      </c>
      <c r="V187">
        <f t="shared" si="29"/>
        <v>649</v>
      </c>
      <c r="W187">
        <f t="shared" si="30"/>
        <v>582</v>
      </c>
      <c r="X187">
        <f t="shared" si="31"/>
        <v>0.35149999999999998</v>
      </c>
      <c r="Y187" s="1">
        <f t="shared" si="32"/>
        <v>93687576</v>
      </c>
      <c r="Z187">
        <f t="shared" si="33"/>
        <v>51618.499173553719</v>
      </c>
      <c r="AA187">
        <f t="shared" si="34"/>
        <v>99996</v>
      </c>
      <c r="AB187">
        <f t="shared" si="35"/>
        <v>5091</v>
      </c>
      <c r="AC187">
        <f t="shared" si="36"/>
        <v>2440909.2600000016</v>
      </c>
      <c r="AD187">
        <f t="shared" si="37"/>
        <v>1344.8535867768603</v>
      </c>
      <c r="AE187">
        <f t="shared" si="38"/>
        <v>0.35149999999999998</v>
      </c>
      <c r="AF187">
        <f t="shared" si="39"/>
        <v>2214023744.5599976</v>
      </c>
      <c r="AG187" t="str">
        <f t="shared" si="40"/>
        <v>Active</v>
      </c>
      <c r="AH187">
        <f t="shared" si="41"/>
        <v>5615.28</v>
      </c>
    </row>
    <row r="188" spans="1:34" x14ac:dyDescent="0.35">
      <c r="A188" t="s">
        <v>588</v>
      </c>
      <c r="B188" t="s">
        <v>589</v>
      </c>
      <c r="C188">
        <v>52</v>
      </c>
      <c r="D188" t="s">
        <v>38</v>
      </c>
      <c r="E188" t="s">
        <v>23</v>
      </c>
      <c r="F188" t="s">
        <v>59</v>
      </c>
      <c r="G188">
        <v>141943</v>
      </c>
      <c r="H188">
        <v>643</v>
      </c>
      <c r="I188">
        <v>30652</v>
      </c>
      <c r="J188">
        <v>6.99</v>
      </c>
      <c r="K188">
        <v>360</v>
      </c>
      <c r="L188" t="s">
        <v>86</v>
      </c>
      <c r="M188">
        <v>23.89</v>
      </c>
      <c r="N188">
        <v>76677</v>
      </c>
      <c r="O188">
        <v>174723</v>
      </c>
      <c r="P188" t="s">
        <v>590</v>
      </c>
      <c r="Q188" t="s">
        <v>27</v>
      </c>
      <c r="R188" t="s">
        <v>48</v>
      </c>
      <c r="S188" t="s">
        <v>68</v>
      </c>
      <c r="T188">
        <v>91.1</v>
      </c>
      <c r="U188">
        <f t="shared" si="28"/>
        <v>1814</v>
      </c>
      <c r="V188">
        <f t="shared" si="29"/>
        <v>649</v>
      </c>
      <c r="W188">
        <f t="shared" si="30"/>
        <v>582</v>
      </c>
      <c r="X188">
        <f t="shared" si="31"/>
        <v>0.35149999999999998</v>
      </c>
      <c r="Y188" s="1">
        <f t="shared" si="32"/>
        <v>93595950</v>
      </c>
      <c r="Z188">
        <f t="shared" si="33"/>
        <v>51596.444321940464</v>
      </c>
      <c r="AA188">
        <f t="shared" si="34"/>
        <v>99996</v>
      </c>
      <c r="AB188">
        <f t="shared" si="35"/>
        <v>5091</v>
      </c>
      <c r="AC188">
        <f t="shared" si="36"/>
        <v>2440441.3200000017</v>
      </c>
      <c r="AD188">
        <f t="shared" si="37"/>
        <v>1345.3370011025368</v>
      </c>
      <c r="AE188">
        <f t="shared" si="38"/>
        <v>0.35149999999999998</v>
      </c>
      <c r="AF188">
        <f t="shared" si="39"/>
        <v>2211582835.2999978</v>
      </c>
      <c r="AG188" t="str">
        <f t="shared" si="40"/>
        <v>Active</v>
      </c>
      <c r="AH188">
        <f t="shared" si="41"/>
        <v>1093.1999999999998</v>
      </c>
    </row>
    <row r="189" spans="1:34" x14ac:dyDescent="0.35">
      <c r="A189" t="s">
        <v>591</v>
      </c>
      <c r="B189" t="s">
        <v>592</v>
      </c>
      <c r="C189">
        <v>26</v>
      </c>
      <c r="D189" t="s">
        <v>22</v>
      </c>
      <c r="E189" t="s">
        <v>39</v>
      </c>
      <c r="F189" t="s">
        <v>46</v>
      </c>
      <c r="G189">
        <v>30264</v>
      </c>
      <c r="H189">
        <v>708</v>
      </c>
      <c r="I189">
        <v>75816</v>
      </c>
      <c r="J189">
        <v>9.2799999999999994</v>
      </c>
      <c r="K189">
        <v>12</v>
      </c>
      <c r="L189" t="s">
        <v>25</v>
      </c>
      <c r="M189">
        <v>46.18</v>
      </c>
      <c r="N189">
        <v>32707</v>
      </c>
      <c r="O189">
        <v>61325</v>
      </c>
      <c r="P189" t="s">
        <v>83</v>
      </c>
      <c r="Q189" t="s">
        <v>61</v>
      </c>
      <c r="R189" t="s">
        <v>28</v>
      </c>
      <c r="S189" t="s">
        <v>35</v>
      </c>
      <c r="T189">
        <v>6904.31</v>
      </c>
      <c r="U189">
        <f t="shared" si="28"/>
        <v>1813</v>
      </c>
      <c r="V189">
        <f t="shared" si="29"/>
        <v>649</v>
      </c>
      <c r="W189">
        <f t="shared" si="30"/>
        <v>582</v>
      </c>
      <c r="X189">
        <f t="shared" si="31"/>
        <v>0.35149999999999998</v>
      </c>
      <c r="Y189" s="1">
        <f t="shared" si="32"/>
        <v>93565298</v>
      </c>
      <c r="Z189">
        <f t="shared" si="33"/>
        <v>51607.996690568121</v>
      </c>
      <c r="AA189">
        <f t="shared" si="34"/>
        <v>99996</v>
      </c>
      <c r="AB189">
        <f t="shared" si="35"/>
        <v>5091</v>
      </c>
      <c r="AC189">
        <f t="shared" si="36"/>
        <v>2440350.2200000016</v>
      </c>
      <c r="AD189">
        <f t="shared" si="37"/>
        <v>1346.0288030888039</v>
      </c>
      <c r="AE189">
        <f t="shared" si="38"/>
        <v>0.35149999999999998</v>
      </c>
      <c r="AF189">
        <f t="shared" si="39"/>
        <v>2209142393.9799976</v>
      </c>
      <c r="AG189" t="str">
        <f t="shared" si="40"/>
        <v>Active</v>
      </c>
      <c r="AH189">
        <f t="shared" si="41"/>
        <v>82851.72</v>
      </c>
    </row>
    <row r="190" spans="1:34" x14ac:dyDescent="0.35">
      <c r="A190" t="s">
        <v>593</v>
      </c>
      <c r="B190" t="s">
        <v>594</v>
      </c>
      <c r="C190">
        <v>37</v>
      </c>
      <c r="D190" t="s">
        <v>38</v>
      </c>
      <c r="E190" t="s">
        <v>39</v>
      </c>
      <c r="F190" t="s">
        <v>59</v>
      </c>
      <c r="G190">
        <v>141776</v>
      </c>
      <c r="H190">
        <v>443</v>
      </c>
      <c r="I190">
        <v>78746</v>
      </c>
      <c r="J190">
        <v>23.31</v>
      </c>
      <c r="K190">
        <v>48</v>
      </c>
      <c r="L190" t="s">
        <v>86</v>
      </c>
      <c r="M190">
        <v>36.729999999999997</v>
      </c>
      <c r="N190">
        <v>10856</v>
      </c>
      <c r="O190">
        <v>86046</v>
      </c>
      <c r="P190" t="s">
        <v>595</v>
      </c>
      <c r="Q190" t="s">
        <v>61</v>
      </c>
      <c r="R190" t="s">
        <v>48</v>
      </c>
      <c r="S190" t="s">
        <v>49</v>
      </c>
      <c r="T190">
        <v>2022.95</v>
      </c>
      <c r="U190">
        <f t="shared" si="28"/>
        <v>1812</v>
      </c>
      <c r="V190">
        <f t="shared" si="29"/>
        <v>649</v>
      </c>
      <c r="W190">
        <f t="shared" si="30"/>
        <v>581</v>
      </c>
      <c r="X190">
        <f t="shared" si="31"/>
        <v>0.35149999999999998</v>
      </c>
      <c r="Y190" s="1">
        <f t="shared" si="32"/>
        <v>93489482</v>
      </c>
      <c r="Z190">
        <f t="shared" si="33"/>
        <v>51594.636865342167</v>
      </c>
      <c r="AA190">
        <f t="shared" si="34"/>
        <v>99996</v>
      </c>
      <c r="AB190">
        <f t="shared" si="35"/>
        <v>5091</v>
      </c>
      <c r="AC190">
        <f t="shared" si="36"/>
        <v>2433445.9100000015</v>
      </c>
      <c r="AD190">
        <f t="shared" si="37"/>
        <v>1342.9613189845484</v>
      </c>
      <c r="AE190">
        <f t="shared" si="38"/>
        <v>0.35149999999999998</v>
      </c>
      <c r="AF190">
        <f t="shared" si="39"/>
        <v>2206702043.7599978</v>
      </c>
      <c r="AG190" t="str">
        <f t="shared" si="40"/>
        <v>Over Paid</v>
      </c>
      <c r="AH190">
        <f t="shared" si="41"/>
        <v>24275.4</v>
      </c>
    </row>
    <row r="191" spans="1:34" x14ac:dyDescent="0.35">
      <c r="A191" t="s">
        <v>596</v>
      </c>
      <c r="B191" t="s">
        <v>597</v>
      </c>
      <c r="C191">
        <v>55</v>
      </c>
      <c r="D191" t="s">
        <v>22</v>
      </c>
      <c r="E191" t="s">
        <v>32</v>
      </c>
      <c r="F191" t="s">
        <v>24</v>
      </c>
      <c r="G191">
        <v>163342</v>
      </c>
      <c r="H191">
        <v>555</v>
      </c>
      <c r="I191">
        <v>18591</v>
      </c>
      <c r="J191">
        <v>18.36</v>
      </c>
      <c r="K191">
        <v>120</v>
      </c>
      <c r="L191" t="s">
        <v>52</v>
      </c>
      <c r="M191">
        <v>43.4</v>
      </c>
      <c r="N191">
        <v>45029</v>
      </c>
      <c r="O191">
        <v>247044</v>
      </c>
      <c r="P191" t="s">
        <v>598</v>
      </c>
      <c r="Q191" t="s">
        <v>42</v>
      </c>
      <c r="R191" t="s">
        <v>28</v>
      </c>
      <c r="S191" t="s">
        <v>29</v>
      </c>
      <c r="T191">
        <v>183.37</v>
      </c>
      <c r="U191">
        <f t="shared" si="28"/>
        <v>1811</v>
      </c>
      <c r="V191">
        <f t="shared" si="29"/>
        <v>649</v>
      </c>
      <c r="W191">
        <f t="shared" si="30"/>
        <v>580</v>
      </c>
      <c r="X191">
        <f t="shared" si="31"/>
        <v>0.35149999999999998</v>
      </c>
      <c r="Y191" s="1">
        <f t="shared" si="32"/>
        <v>93410736</v>
      </c>
      <c r="Z191">
        <f t="shared" si="33"/>
        <v>51579.644395361676</v>
      </c>
      <c r="AA191">
        <f t="shared" si="34"/>
        <v>99996</v>
      </c>
      <c r="AB191">
        <f t="shared" si="35"/>
        <v>5091</v>
      </c>
      <c r="AC191">
        <f t="shared" si="36"/>
        <v>2431422.9600000014</v>
      </c>
      <c r="AD191">
        <f t="shared" si="37"/>
        <v>1342.5858420762017</v>
      </c>
      <c r="AE191">
        <f t="shared" si="38"/>
        <v>0.35149999999999998</v>
      </c>
      <c r="AF191">
        <f t="shared" si="39"/>
        <v>2204268597.849998</v>
      </c>
      <c r="AG191" t="str">
        <f t="shared" si="40"/>
        <v>Active</v>
      </c>
      <c r="AH191">
        <f t="shared" si="41"/>
        <v>2200.44</v>
      </c>
    </row>
    <row r="192" spans="1:34" x14ac:dyDescent="0.35">
      <c r="A192" t="s">
        <v>599</v>
      </c>
      <c r="B192" t="s">
        <v>600</v>
      </c>
      <c r="C192">
        <v>45</v>
      </c>
      <c r="D192" t="s">
        <v>22</v>
      </c>
      <c r="E192" t="s">
        <v>39</v>
      </c>
      <c r="F192" t="s">
        <v>46</v>
      </c>
      <c r="G192">
        <v>135830</v>
      </c>
      <c r="H192">
        <v>534</v>
      </c>
      <c r="I192">
        <v>62321</v>
      </c>
      <c r="J192">
        <v>13.36</v>
      </c>
      <c r="K192">
        <v>240</v>
      </c>
      <c r="L192" t="s">
        <v>86</v>
      </c>
      <c r="M192">
        <v>32.020000000000003</v>
      </c>
      <c r="N192">
        <v>18016</v>
      </c>
      <c r="O192">
        <v>61947</v>
      </c>
      <c r="P192" t="s">
        <v>601</v>
      </c>
      <c r="Q192" t="s">
        <v>27</v>
      </c>
      <c r="R192" t="s">
        <v>28</v>
      </c>
      <c r="S192" t="s">
        <v>68</v>
      </c>
      <c r="T192">
        <v>294.36</v>
      </c>
      <c r="U192">
        <f t="shared" si="28"/>
        <v>1810</v>
      </c>
      <c r="V192">
        <f t="shared" si="29"/>
        <v>648</v>
      </c>
      <c r="W192">
        <f t="shared" si="30"/>
        <v>580</v>
      </c>
      <c r="X192">
        <f t="shared" si="31"/>
        <v>0.35149999999999998</v>
      </c>
      <c r="Y192" s="1">
        <f t="shared" si="32"/>
        <v>93392145</v>
      </c>
      <c r="Z192">
        <f t="shared" si="33"/>
        <v>51597.870165745859</v>
      </c>
      <c r="AA192">
        <f t="shared" si="34"/>
        <v>99996</v>
      </c>
      <c r="AB192">
        <f t="shared" si="35"/>
        <v>5091</v>
      </c>
      <c r="AC192">
        <f t="shared" si="36"/>
        <v>2431239.5900000012</v>
      </c>
      <c r="AD192">
        <f t="shared" si="37"/>
        <v>1343.2262928176804</v>
      </c>
      <c r="AE192">
        <f t="shared" si="38"/>
        <v>0.35149999999999998</v>
      </c>
      <c r="AF192">
        <f t="shared" si="39"/>
        <v>2201837174.8899984</v>
      </c>
      <c r="AG192" t="str">
        <f t="shared" si="40"/>
        <v>Active</v>
      </c>
      <c r="AH192">
        <f t="shared" si="41"/>
        <v>3532.32</v>
      </c>
    </row>
    <row r="193" spans="1:34" x14ac:dyDescent="0.35">
      <c r="A193" t="s">
        <v>602</v>
      </c>
      <c r="B193" t="s">
        <v>603</v>
      </c>
      <c r="C193">
        <v>54</v>
      </c>
      <c r="D193" t="s">
        <v>38</v>
      </c>
      <c r="E193" t="s">
        <v>23</v>
      </c>
      <c r="F193" t="s">
        <v>59</v>
      </c>
      <c r="G193">
        <v>96214</v>
      </c>
      <c r="H193">
        <v>419</v>
      </c>
      <c r="I193">
        <v>94607</v>
      </c>
      <c r="J193">
        <v>18.420000000000002</v>
      </c>
      <c r="K193">
        <v>24</v>
      </c>
      <c r="L193" t="s">
        <v>33</v>
      </c>
      <c r="M193">
        <v>17.61</v>
      </c>
      <c r="N193">
        <v>73633</v>
      </c>
      <c r="O193">
        <v>195575</v>
      </c>
      <c r="P193" t="s">
        <v>604</v>
      </c>
      <c r="Q193" t="s">
        <v>42</v>
      </c>
      <c r="R193" t="s">
        <v>28</v>
      </c>
      <c r="S193" t="s">
        <v>35</v>
      </c>
      <c r="T193">
        <v>4668.07</v>
      </c>
      <c r="U193">
        <f t="shared" si="28"/>
        <v>1809</v>
      </c>
      <c r="V193">
        <f t="shared" si="29"/>
        <v>648</v>
      </c>
      <c r="W193">
        <f t="shared" si="30"/>
        <v>580</v>
      </c>
      <c r="X193">
        <f t="shared" si="31"/>
        <v>0.35149999999999998</v>
      </c>
      <c r="Y193" s="1">
        <f t="shared" si="32"/>
        <v>93329824</v>
      </c>
      <c r="Z193">
        <f t="shared" si="33"/>
        <v>51591.942509673856</v>
      </c>
      <c r="AA193">
        <f t="shared" si="34"/>
        <v>99996</v>
      </c>
      <c r="AB193">
        <f t="shared" si="35"/>
        <v>5091</v>
      </c>
      <c r="AC193">
        <f t="shared" si="36"/>
        <v>2430945.2300000014</v>
      </c>
      <c r="AD193">
        <f t="shared" si="37"/>
        <v>1343.806097291322</v>
      </c>
      <c r="AE193">
        <f t="shared" si="38"/>
        <v>0.35149999999999998</v>
      </c>
      <c r="AF193">
        <f t="shared" si="39"/>
        <v>2199405935.2999992</v>
      </c>
      <c r="AG193" t="str">
        <f t="shared" si="40"/>
        <v>Active</v>
      </c>
      <c r="AH193">
        <f t="shared" si="41"/>
        <v>56016.84</v>
      </c>
    </row>
    <row r="194" spans="1:34" x14ac:dyDescent="0.35">
      <c r="A194" t="s">
        <v>605</v>
      </c>
      <c r="B194" t="s">
        <v>606</v>
      </c>
      <c r="C194">
        <v>22</v>
      </c>
      <c r="D194" t="s">
        <v>38</v>
      </c>
      <c r="E194" t="s">
        <v>39</v>
      </c>
      <c r="F194" t="s">
        <v>24</v>
      </c>
      <c r="G194">
        <v>142277</v>
      </c>
      <c r="H194">
        <v>449</v>
      </c>
      <c r="I194">
        <v>59844</v>
      </c>
      <c r="J194">
        <v>8.61</v>
      </c>
      <c r="K194">
        <v>240</v>
      </c>
      <c r="L194" t="s">
        <v>52</v>
      </c>
      <c r="M194">
        <v>47.71</v>
      </c>
      <c r="N194">
        <v>751</v>
      </c>
      <c r="O194">
        <v>115703</v>
      </c>
      <c r="P194" t="s">
        <v>607</v>
      </c>
      <c r="Q194" t="s">
        <v>42</v>
      </c>
      <c r="R194" t="s">
        <v>28</v>
      </c>
      <c r="S194" t="s">
        <v>68</v>
      </c>
      <c r="T194">
        <v>270.82</v>
      </c>
      <c r="U194">
        <f t="shared" ref="U194:U257" si="42">COUNTA(A194:A2193)</f>
        <v>1808</v>
      </c>
      <c r="V194">
        <f t="shared" ref="V194:V257" si="43">COUNTIF(Q194:Q2193,"APPROVED")</f>
        <v>647</v>
      </c>
      <c r="W194">
        <f t="shared" ref="W194:W257" si="44">COUNTIF(Q194:Q2194,"Rejected")</f>
        <v>580</v>
      </c>
      <c r="X194">
        <f t="shared" ref="X194:X257" si="45">703/2000</f>
        <v>0.35149999999999998</v>
      </c>
      <c r="Y194" s="1">
        <f t="shared" ref="Y194:Y257" si="46">SUM(I194:I2193)</f>
        <v>93235217</v>
      </c>
      <c r="Z194">
        <f t="shared" ref="Z194:Z257" si="47">AVERAGE(I194:I20193)</f>
        <v>51568.150995575219</v>
      </c>
      <c r="AA194">
        <f t="shared" ref="AA194:AA257" si="48">MAX(I194:I2193)</f>
        <v>99996</v>
      </c>
      <c r="AB194">
        <f t="shared" ref="AB194:AB257" si="49">MIN(I194:I2193)</f>
        <v>5091</v>
      </c>
      <c r="AC194">
        <f t="shared" ref="AC194:AC257" si="50">SUM(T194:T2193)</f>
        <v>2426277.1600000011</v>
      </c>
      <c r="AD194">
        <f t="shared" ref="AD194:AD257" si="51">AVERAGE(T194:T2193)</f>
        <v>1341.967455752213</v>
      </c>
      <c r="AE194">
        <f t="shared" ref="AE194:AE257" si="52">703/2000</f>
        <v>0.35149999999999998</v>
      </c>
      <c r="AF194">
        <f t="shared" ref="AF194:AF257" si="53">SUM(AC194:AC2193)</f>
        <v>2196974990.0699987</v>
      </c>
      <c r="AG194" t="str">
        <f t="shared" ref="AG194:AG257" si="54">IF(AH194=0,"Bad", IF(AH193&lt;I193, "Active", IF(AH193=I193, "Good", "Over Paid")))</f>
        <v>Active</v>
      </c>
      <c r="AH194">
        <f t="shared" ref="AH194:AH257" si="55">T194*12</f>
        <v>3249.84</v>
      </c>
    </row>
    <row r="195" spans="1:34" x14ac:dyDescent="0.35">
      <c r="A195" t="s">
        <v>608</v>
      </c>
      <c r="B195" t="s">
        <v>609</v>
      </c>
      <c r="C195">
        <v>59</v>
      </c>
      <c r="D195" t="s">
        <v>22</v>
      </c>
      <c r="E195" t="s">
        <v>32</v>
      </c>
      <c r="F195" t="s">
        <v>59</v>
      </c>
      <c r="G195">
        <v>65459</v>
      </c>
      <c r="H195">
        <v>469</v>
      </c>
      <c r="I195">
        <v>64233</v>
      </c>
      <c r="J195">
        <v>21.05</v>
      </c>
      <c r="K195">
        <v>48</v>
      </c>
      <c r="L195" t="s">
        <v>86</v>
      </c>
      <c r="M195">
        <v>48.43</v>
      </c>
      <c r="N195">
        <v>59804</v>
      </c>
      <c r="O195">
        <v>140959</v>
      </c>
      <c r="P195" t="s">
        <v>610</v>
      </c>
      <c r="Q195" t="s">
        <v>61</v>
      </c>
      <c r="R195" t="s">
        <v>48</v>
      </c>
      <c r="S195" t="s">
        <v>29</v>
      </c>
      <c r="T195">
        <v>1619.88</v>
      </c>
      <c r="U195">
        <f t="shared" si="42"/>
        <v>1807</v>
      </c>
      <c r="V195">
        <f t="shared" si="43"/>
        <v>646</v>
      </c>
      <c r="W195">
        <f t="shared" si="44"/>
        <v>580</v>
      </c>
      <c r="X195">
        <f t="shared" si="45"/>
        <v>0.35149999999999998</v>
      </c>
      <c r="Y195" s="1">
        <f t="shared" si="46"/>
        <v>93175373</v>
      </c>
      <c r="Z195">
        <f t="shared" si="47"/>
        <v>51563.571112340898</v>
      </c>
      <c r="AA195">
        <f t="shared" si="48"/>
        <v>99996</v>
      </c>
      <c r="AB195">
        <f t="shared" si="49"/>
        <v>5091</v>
      </c>
      <c r="AC195">
        <f t="shared" si="50"/>
        <v>2426006.3400000012</v>
      </c>
      <c r="AD195">
        <f t="shared" si="51"/>
        <v>1342.5602324294418</v>
      </c>
      <c r="AE195">
        <f t="shared" si="52"/>
        <v>0.35149999999999998</v>
      </c>
      <c r="AF195">
        <f t="shared" si="53"/>
        <v>2194548712.9099989</v>
      </c>
      <c r="AG195" t="str">
        <f t="shared" si="54"/>
        <v>Active</v>
      </c>
      <c r="AH195">
        <f t="shared" si="55"/>
        <v>19438.560000000001</v>
      </c>
    </row>
    <row r="196" spans="1:34" x14ac:dyDescent="0.35">
      <c r="A196" t="s">
        <v>611</v>
      </c>
      <c r="B196" t="s">
        <v>612</v>
      </c>
      <c r="C196">
        <v>60</v>
      </c>
      <c r="D196" t="s">
        <v>22</v>
      </c>
      <c r="E196" t="s">
        <v>32</v>
      </c>
      <c r="F196" t="s">
        <v>59</v>
      </c>
      <c r="G196">
        <v>80898</v>
      </c>
      <c r="H196">
        <v>756</v>
      </c>
      <c r="I196">
        <v>12877</v>
      </c>
      <c r="J196">
        <v>5.32</v>
      </c>
      <c r="K196">
        <v>60</v>
      </c>
      <c r="L196" t="s">
        <v>25</v>
      </c>
      <c r="M196">
        <v>18.86</v>
      </c>
      <c r="N196">
        <v>53914</v>
      </c>
      <c r="O196">
        <v>47438</v>
      </c>
      <c r="P196" t="s">
        <v>224</v>
      </c>
      <c r="Q196" t="s">
        <v>27</v>
      </c>
      <c r="R196" t="s">
        <v>48</v>
      </c>
      <c r="S196" t="s">
        <v>68</v>
      </c>
      <c r="T196">
        <v>226.03</v>
      </c>
      <c r="U196">
        <f t="shared" si="42"/>
        <v>1806</v>
      </c>
      <c r="V196">
        <f t="shared" si="43"/>
        <v>646</v>
      </c>
      <c r="W196">
        <f t="shared" si="44"/>
        <v>579</v>
      </c>
      <c r="X196">
        <f t="shared" si="45"/>
        <v>0.35149999999999998</v>
      </c>
      <c r="Y196" s="1">
        <f t="shared" si="46"/>
        <v>93111140</v>
      </c>
      <c r="Z196">
        <f t="shared" si="47"/>
        <v>51556.555924695458</v>
      </c>
      <c r="AA196">
        <f t="shared" si="48"/>
        <v>99996</v>
      </c>
      <c r="AB196">
        <f t="shared" si="49"/>
        <v>5091</v>
      </c>
      <c r="AC196">
        <f t="shared" si="50"/>
        <v>2424386.4600000018</v>
      </c>
      <c r="AD196">
        <f t="shared" si="51"/>
        <v>1342.4066777408648</v>
      </c>
      <c r="AE196">
        <f t="shared" si="52"/>
        <v>0.35149999999999998</v>
      </c>
      <c r="AF196">
        <f t="shared" si="53"/>
        <v>2192122706.5699987</v>
      </c>
      <c r="AG196" t="str">
        <f t="shared" si="54"/>
        <v>Active</v>
      </c>
      <c r="AH196">
        <f t="shared" si="55"/>
        <v>2712.36</v>
      </c>
    </row>
    <row r="197" spans="1:34" x14ac:dyDescent="0.35">
      <c r="A197" t="s">
        <v>613</v>
      </c>
      <c r="B197" t="s">
        <v>614</v>
      </c>
      <c r="C197">
        <v>44</v>
      </c>
      <c r="D197" t="s">
        <v>22</v>
      </c>
      <c r="E197" t="s">
        <v>39</v>
      </c>
      <c r="F197" t="s">
        <v>46</v>
      </c>
      <c r="G197">
        <v>30041</v>
      </c>
      <c r="H197">
        <v>593</v>
      </c>
      <c r="I197">
        <v>98322</v>
      </c>
      <c r="J197">
        <v>21.28</v>
      </c>
      <c r="K197">
        <v>48</v>
      </c>
      <c r="L197" t="s">
        <v>86</v>
      </c>
      <c r="M197">
        <v>46.84</v>
      </c>
      <c r="N197">
        <v>32096</v>
      </c>
      <c r="O197">
        <v>53926</v>
      </c>
      <c r="P197" t="s">
        <v>615</v>
      </c>
      <c r="Q197" t="s">
        <v>61</v>
      </c>
      <c r="R197" t="s">
        <v>48</v>
      </c>
      <c r="S197" t="s">
        <v>68</v>
      </c>
      <c r="T197">
        <v>2484.27</v>
      </c>
      <c r="U197">
        <f t="shared" si="42"/>
        <v>1805</v>
      </c>
      <c r="V197">
        <f t="shared" si="43"/>
        <v>646</v>
      </c>
      <c r="W197">
        <f t="shared" si="44"/>
        <v>579</v>
      </c>
      <c r="X197">
        <f t="shared" si="45"/>
        <v>0.35149999999999998</v>
      </c>
      <c r="Y197" s="1">
        <f t="shared" si="46"/>
        <v>93098263</v>
      </c>
      <c r="Z197">
        <f t="shared" si="47"/>
        <v>51577.985041551248</v>
      </c>
      <c r="AA197">
        <f t="shared" si="48"/>
        <v>99996</v>
      </c>
      <c r="AB197">
        <f t="shared" si="49"/>
        <v>5091</v>
      </c>
      <c r="AC197">
        <f t="shared" si="50"/>
        <v>2424160.4300000016</v>
      </c>
      <c r="AD197">
        <f t="shared" si="51"/>
        <v>1343.0251689750701</v>
      </c>
      <c r="AE197">
        <f t="shared" si="52"/>
        <v>0.35149999999999998</v>
      </c>
      <c r="AF197">
        <f t="shared" si="53"/>
        <v>2189698320.1099982</v>
      </c>
      <c r="AG197" t="str">
        <f t="shared" si="54"/>
        <v>Active</v>
      </c>
      <c r="AH197">
        <f t="shared" si="55"/>
        <v>29811.239999999998</v>
      </c>
    </row>
    <row r="198" spans="1:34" x14ac:dyDescent="0.35">
      <c r="A198" t="s">
        <v>616</v>
      </c>
      <c r="B198" t="s">
        <v>617</v>
      </c>
      <c r="C198">
        <v>23</v>
      </c>
      <c r="D198" t="s">
        <v>22</v>
      </c>
      <c r="E198" t="s">
        <v>39</v>
      </c>
      <c r="F198" t="s">
        <v>59</v>
      </c>
      <c r="G198">
        <v>179609</v>
      </c>
      <c r="H198">
        <v>369</v>
      </c>
      <c r="I198">
        <v>33382</v>
      </c>
      <c r="J198">
        <v>21.93</v>
      </c>
      <c r="K198">
        <v>240</v>
      </c>
      <c r="L198" t="s">
        <v>86</v>
      </c>
      <c r="M198">
        <v>42.4</v>
      </c>
      <c r="N198">
        <v>56206</v>
      </c>
      <c r="O198">
        <v>135465</v>
      </c>
      <c r="P198" t="s">
        <v>618</v>
      </c>
      <c r="Q198" t="s">
        <v>61</v>
      </c>
      <c r="R198" t="s">
        <v>48</v>
      </c>
      <c r="S198" t="s">
        <v>43</v>
      </c>
      <c r="T198">
        <v>169.59</v>
      </c>
      <c r="U198">
        <f t="shared" si="42"/>
        <v>1804</v>
      </c>
      <c r="V198">
        <f t="shared" si="43"/>
        <v>646</v>
      </c>
      <c r="W198">
        <f t="shared" si="44"/>
        <v>578</v>
      </c>
      <c r="X198">
        <f t="shared" si="45"/>
        <v>0.35149999999999998</v>
      </c>
      <c r="Y198" s="1">
        <f t="shared" si="46"/>
        <v>92999941</v>
      </c>
      <c r="Z198">
        <f t="shared" si="47"/>
        <v>51552.07372505543</v>
      </c>
      <c r="AA198">
        <f t="shared" si="48"/>
        <v>99996</v>
      </c>
      <c r="AB198">
        <f t="shared" si="49"/>
        <v>5091</v>
      </c>
      <c r="AC198">
        <f t="shared" si="50"/>
        <v>2421676.160000002</v>
      </c>
      <c r="AD198">
        <f t="shared" si="51"/>
        <v>1342.3925498891363</v>
      </c>
      <c r="AE198">
        <f t="shared" si="52"/>
        <v>0.35149999999999998</v>
      </c>
      <c r="AF198">
        <f t="shared" si="53"/>
        <v>2187274159.6799984</v>
      </c>
      <c r="AG198" t="str">
        <f t="shared" si="54"/>
        <v>Active</v>
      </c>
      <c r="AH198">
        <f t="shared" si="55"/>
        <v>2035.08</v>
      </c>
    </row>
    <row r="199" spans="1:34" x14ac:dyDescent="0.35">
      <c r="A199" t="s">
        <v>619</v>
      </c>
      <c r="B199" t="s">
        <v>620</v>
      </c>
      <c r="C199">
        <v>23</v>
      </c>
      <c r="D199" t="s">
        <v>38</v>
      </c>
      <c r="E199" t="s">
        <v>39</v>
      </c>
      <c r="F199" t="s">
        <v>24</v>
      </c>
      <c r="G199">
        <v>134679</v>
      </c>
      <c r="H199">
        <v>457</v>
      </c>
      <c r="I199">
        <v>45567</v>
      </c>
      <c r="J199">
        <v>21.95</v>
      </c>
      <c r="K199">
        <v>240</v>
      </c>
      <c r="L199" t="s">
        <v>52</v>
      </c>
      <c r="M199">
        <v>42.64</v>
      </c>
      <c r="N199">
        <v>46892</v>
      </c>
      <c r="O199">
        <v>175423</v>
      </c>
      <c r="P199" t="s">
        <v>559</v>
      </c>
      <c r="Q199" t="s">
        <v>27</v>
      </c>
      <c r="R199" t="s">
        <v>28</v>
      </c>
      <c r="S199" t="s">
        <v>68</v>
      </c>
      <c r="T199">
        <v>231.54</v>
      </c>
      <c r="U199">
        <f t="shared" si="42"/>
        <v>1803</v>
      </c>
      <c r="V199">
        <f t="shared" si="43"/>
        <v>646</v>
      </c>
      <c r="W199">
        <f t="shared" si="44"/>
        <v>577</v>
      </c>
      <c r="X199">
        <f t="shared" si="45"/>
        <v>0.35149999999999998</v>
      </c>
      <c r="Y199" s="1">
        <f t="shared" si="46"/>
        <v>92966559</v>
      </c>
      <c r="Z199">
        <f t="shared" si="47"/>
        <v>51562.151414309483</v>
      </c>
      <c r="AA199">
        <f t="shared" si="48"/>
        <v>99996</v>
      </c>
      <c r="AB199">
        <f t="shared" si="49"/>
        <v>5091</v>
      </c>
      <c r="AC199">
        <f t="shared" si="50"/>
        <v>2421506.5700000017</v>
      </c>
      <c r="AD199">
        <f t="shared" si="51"/>
        <v>1343.043022739879</v>
      </c>
      <c r="AE199">
        <f t="shared" si="52"/>
        <v>0.35149999999999998</v>
      </c>
      <c r="AF199">
        <f t="shared" si="53"/>
        <v>2184852483.5199981</v>
      </c>
      <c r="AG199" t="str">
        <f t="shared" si="54"/>
        <v>Active</v>
      </c>
      <c r="AH199">
        <f t="shared" si="55"/>
        <v>2778.48</v>
      </c>
    </row>
    <row r="200" spans="1:34" x14ac:dyDescent="0.35">
      <c r="A200" t="s">
        <v>621</v>
      </c>
      <c r="B200" t="s">
        <v>622</v>
      </c>
      <c r="C200">
        <v>23</v>
      </c>
      <c r="D200" t="s">
        <v>22</v>
      </c>
      <c r="E200" t="s">
        <v>39</v>
      </c>
      <c r="F200" t="s">
        <v>59</v>
      </c>
      <c r="G200">
        <v>182757</v>
      </c>
      <c r="H200">
        <v>459</v>
      </c>
      <c r="I200">
        <v>46457</v>
      </c>
      <c r="J200">
        <v>16.91</v>
      </c>
      <c r="K200">
        <v>24</v>
      </c>
      <c r="L200" t="s">
        <v>33</v>
      </c>
      <c r="M200">
        <v>54.58</v>
      </c>
      <c r="N200">
        <v>8280</v>
      </c>
      <c r="O200">
        <v>124608</v>
      </c>
      <c r="P200" t="s">
        <v>623</v>
      </c>
      <c r="Q200" t="s">
        <v>27</v>
      </c>
      <c r="R200" t="s">
        <v>28</v>
      </c>
      <c r="S200" t="s">
        <v>35</v>
      </c>
      <c r="T200">
        <v>2263.04</v>
      </c>
      <c r="U200">
        <f t="shared" si="42"/>
        <v>1802</v>
      </c>
      <c r="V200">
        <f t="shared" si="43"/>
        <v>646</v>
      </c>
      <c r="W200">
        <f t="shared" si="44"/>
        <v>577</v>
      </c>
      <c r="X200">
        <f t="shared" si="45"/>
        <v>0.35149999999999998</v>
      </c>
      <c r="Y200" s="1">
        <f t="shared" si="46"/>
        <v>92920992</v>
      </c>
      <c r="Z200">
        <f t="shared" si="47"/>
        <v>51565.478357380685</v>
      </c>
      <c r="AA200">
        <f t="shared" si="48"/>
        <v>99996</v>
      </c>
      <c r="AB200">
        <f t="shared" si="49"/>
        <v>5091</v>
      </c>
      <c r="AC200">
        <f t="shared" si="50"/>
        <v>2421275.0300000017</v>
      </c>
      <c r="AD200">
        <f t="shared" si="51"/>
        <v>1343.6598390677034</v>
      </c>
      <c r="AE200">
        <f t="shared" si="52"/>
        <v>0.35149999999999998</v>
      </c>
      <c r="AF200">
        <f t="shared" si="53"/>
        <v>2182430976.9499989</v>
      </c>
      <c r="AG200" t="str">
        <f t="shared" si="54"/>
        <v>Active</v>
      </c>
      <c r="AH200">
        <f t="shared" si="55"/>
        <v>27156.48</v>
      </c>
    </row>
    <row r="201" spans="1:34" x14ac:dyDescent="0.35">
      <c r="A201" t="s">
        <v>624</v>
      </c>
      <c r="B201" t="s">
        <v>625</v>
      </c>
      <c r="C201">
        <v>21</v>
      </c>
      <c r="D201" t="s">
        <v>38</v>
      </c>
      <c r="E201" t="s">
        <v>32</v>
      </c>
      <c r="F201" t="s">
        <v>59</v>
      </c>
      <c r="G201">
        <v>112888</v>
      </c>
      <c r="H201">
        <v>586</v>
      </c>
      <c r="I201">
        <v>17044</v>
      </c>
      <c r="J201">
        <v>22.38</v>
      </c>
      <c r="K201">
        <v>60</v>
      </c>
      <c r="L201" t="s">
        <v>25</v>
      </c>
      <c r="M201">
        <v>37.96</v>
      </c>
      <c r="N201">
        <v>40044</v>
      </c>
      <c r="O201">
        <v>93059</v>
      </c>
      <c r="P201" t="s">
        <v>626</v>
      </c>
      <c r="Q201" t="s">
        <v>42</v>
      </c>
      <c r="R201" t="s">
        <v>48</v>
      </c>
      <c r="S201" t="s">
        <v>29</v>
      </c>
      <c r="T201">
        <v>347.64</v>
      </c>
      <c r="U201">
        <f t="shared" si="42"/>
        <v>1801</v>
      </c>
      <c r="V201">
        <f t="shared" si="43"/>
        <v>646</v>
      </c>
      <c r="W201">
        <f t="shared" si="44"/>
        <v>577</v>
      </c>
      <c r="X201">
        <f t="shared" si="45"/>
        <v>0.35149999999999998</v>
      </c>
      <c r="Y201" s="1">
        <f t="shared" si="46"/>
        <v>92874535</v>
      </c>
      <c r="Z201">
        <f t="shared" si="47"/>
        <v>51568.314825097172</v>
      </c>
      <c r="AA201">
        <f t="shared" si="48"/>
        <v>99996</v>
      </c>
      <c r="AB201">
        <f t="shared" si="49"/>
        <v>5091</v>
      </c>
      <c r="AC201">
        <f t="shared" si="50"/>
        <v>2419011.9900000016</v>
      </c>
      <c r="AD201">
        <f t="shared" si="51"/>
        <v>1343.1493559133824</v>
      </c>
      <c r="AE201">
        <f t="shared" si="52"/>
        <v>0.35149999999999998</v>
      </c>
      <c r="AF201">
        <f t="shared" si="53"/>
        <v>2180009701.9199986</v>
      </c>
      <c r="AG201" t="str">
        <f t="shared" si="54"/>
        <v>Active</v>
      </c>
      <c r="AH201">
        <f t="shared" si="55"/>
        <v>4171.68</v>
      </c>
    </row>
    <row r="202" spans="1:34" x14ac:dyDescent="0.35">
      <c r="A202" t="s">
        <v>627</v>
      </c>
      <c r="B202" t="s">
        <v>628</v>
      </c>
      <c r="C202">
        <v>41</v>
      </c>
      <c r="D202" t="s">
        <v>22</v>
      </c>
      <c r="E202" t="s">
        <v>32</v>
      </c>
      <c r="F202" t="s">
        <v>59</v>
      </c>
      <c r="G202">
        <v>145782</v>
      </c>
      <c r="H202">
        <v>447</v>
      </c>
      <c r="I202">
        <v>76142</v>
      </c>
      <c r="J202">
        <v>5.54</v>
      </c>
      <c r="K202">
        <v>48</v>
      </c>
      <c r="L202" t="s">
        <v>40</v>
      </c>
      <c r="M202">
        <v>48.22</v>
      </c>
      <c r="N202">
        <v>74360</v>
      </c>
      <c r="O202">
        <v>11447</v>
      </c>
      <c r="P202" t="s">
        <v>629</v>
      </c>
      <c r="Q202" t="s">
        <v>61</v>
      </c>
      <c r="R202" t="s">
        <v>28</v>
      </c>
      <c r="S202" t="s">
        <v>29</v>
      </c>
      <c r="T202">
        <v>1674.17</v>
      </c>
      <c r="U202">
        <f t="shared" si="42"/>
        <v>1800</v>
      </c>
      <c r="V202">
        <f t="shared" si="43"/>
        <v>645</v>
      </c>
      <c r="W202">
        <f t="shared" si="44"/>
        <v>577</v>
      </c>
      <c r="X202">
        <f t="shared" si="45"/>
        <v>0.35149999999999998</v>
      </c>
      <c r="Y202" s="1">
        <f t="shared" si="46"/>
        <v>92857491</v>
      </c>
      <c r="Z202">
        <f t="shared" si="47"/>
        <v>51587.495000000003</v>
      </c>
      <c r="AA202">
        <f t="shared" si="48"/>
        <v>99996</v>
      </c>
      <c r="AB202">
        <f t="shared" si="49"/>
        <v>5091</v>
      </c>
      <c r="AC202">
        <f t="shared" si="50"/>
        <v>2418664.350000002</v>
      </c>
      <c r="AD202">
        <f t="shared" si="51"/>
        <v>1343.7024166666677</v>
      </c>
      <c r="AE202">
        <f t="shared" si="52"/>
        <v>0.35149999999999998</v>
      </c>
      <c r="AF202">
        <f t="shared" si="53"/>
        <v>2177590689.9299994</v>
      </c>
      <c r="AG202" t="str">
        <f t="shared" si="54"/>
        <v>Active</v>
      </c>
      <c r="AH202">
        <f t="shared" si="55"/>
        <v>20090.04</v>
      </c>
    </row>
    <row r="203" spans="1:34" x14ac:dyDescent="0.35">
      <c r="A203" t="s">
        <v>630</v>
      </c>
      <c r="B203" t="s">
        <v>631</v>
      </c>
      <c r="C203">
        <v>28</v>
      </c>
      <c r="D203" t="s">
        <v>38</v>
      </c>
      <c r="E203" t="s">
        <v>39</v>
      </c>
      <c r="F203" t="s">
        <v>46</v>
      </c>
      <c r="G203">
        <v>148301</v>
      </c>
      <c r="H203">
        <v>693</v>
      </c>
      <c r="I203">
        <v>92576</v>
      </c>
      <c r="J203">
        <v>5.29</v>
      </c>
      <c r="K203">
        <v>24</v>
      </c>
      <c r="L203" t="s">
        <v>25</v>
      </c>
      <c r="M203">
        <v>43.18</v>
      </c>
      <c r="N203">
        <v>42623</v>
      </c>
      <c r="O203">
        <v>48823</v>
      </c>
      <c r="P203" t="s">
        <v>632</v>
      </c>
      <c r="Q203" t="s">
        <v>42</v>
      </c>
      <c r="R203" t="s">
        <v>28</v>
      </c>
      <c r="S203" t="s">
        <v>35</v>
      </c>
      <c r="T203">
        <v>4061.39</v>
      </c>
      <c r="U203">
        <f t="shared" si="42"/>
        <v>1799</v>
      </c>
      <c r="V203">
        <f t="shared" si="43"/>
        <v>645</v>
      </c>
      <c r="W203">
        <f t="shared" si="44"/>
        <v>576</v>
      </c>
      <c r="X203">
        <f t="shared" si="45"/>
        <v>0.35149999999999998</v>
      </c>
      <c r="Y203" s="1">
        <f t="shared" si="46"/>
        <v>92781349</v>
      </c>
      <c r="Z203">
        <f t="shared" si="47"/>
        <v>51573.846025569765</v>
      </c>
      <c r="AA203">
        <f t="shared" si="48"/>
        <v>99996</v>
      </c>
      <c r="AB203">
        <f t="shared" si="49"/>
        <v>5091</v>
      </c>
      <c r="AC203">
        <f t="shared" si="50"/>
        <v>2416990.1800000016</v>
      </c>
      <c r="AD203">
        <f t="shared" si="51"/>
        <v>1343.518721511952</v>
      </c>
      <c r="AE203">
        <f t="shared" si="52"/>
        <v>0.35149999999999998</v>
      </c>
      <c r="AF203">
        <f t="shared" si="53"/>
        <v>2175172025.5799999</v>
      </c>
      <c r="AG203" t="str">
        <f t="shared" si="54"/>
        <v>Active</v>
      </c>
      <c r="AH203">
        <f t="shared" si="55"/>
        <v>48736.68</v>
      </c>
    </row>
    <row r="204" spans="1:34" x14ac:dyDescent="0.35">
      <c r="A204" t="s">
        <v>633</v>
      </c>
      <c r="B204" t="s">
        <v>634</v>
      </c>
      <c r="C204">
        <v>43</v>
      </c>
      <c r="D204" t="s">
        <v>22</v>
      </c>
      <c r="E204" t="s">
        <v>23</v>
      </c>
      <c r="F204" t="s">
        <v>59</v>
      </c>
      <c r="G204">
        <v>148372</v>
      </c>
      <c r="H204">
        <v>610</v>
      </c>
      <c r="I204">
        <v>12813</v>
      </c>
      <c r="J204">
        <v>21.89</v>
      </c>
      <c r="K204">
        <v>360</v>
      </c>
      <c r="L204" t="s">
        <v>33</v>
      </c>
      <c r="M204">
        <v>16.850000000000001</v>
      </c>
      <c r="N204">
        <v>23197</v>
      </c>
      <c r="O204">
        <v>217075</v>
      </c>
      <c r="P204" t="s">
        <v>427</v>
      </c>
      <c r="Q204" t="s">
        <v>27</v>
      </c>
      <c r="R204" t="s">
        <v>48</v>
      </c>
      <c r="S204" t="s">
        <v>35</v>
      </c>
      <c r="T204">
        <v>43.38</v>
      </c>
      <c r="U204">
        <f t="shared" si="42"/>
        <v>1798</v>
      </c>
      <c r="V204">
        <f t="shared" si="43"/>
        <v>644</v>
      </c>
      <c r="W204">
        <f t="shared" si="44"/>
        <v>576</v>
      </c>
      <c r="X204">
        <f t="shared" si="45"/>
        <v>0.35149999999999998</v>
      </c>
      <c r="Y204" s="1">
        <f t="shared" si="46"/>
        <v>92688773</v>
      </c>
      <c r="Z204">
        <f t="shared" si="47"/>
        <v>51551.041713014463</v>
      </c>
      <c r="AA204">
        <f t="shared" si="48"/>
        <v>99996</v>
      </c>
      <c r="AB204">
        <f t="shared" si="49"/>
        <v>5091</v>
      </c>
      <c r="AC204">
        <f t="shared" si="50"/>
        <v>2412928.7900000014</v>
      </c>
      <c r="AD204">
        <f t="shared" si="51"/>
        <v>1342.0071134594002</v>
      </c>
      <c r="AE204">
        <f t="shared" si="52"/>
        <v>0.35149999999999998</v>
      </c>
      <c r="AF204">
        <f t="shared" si="53"/>
        <v>2172755035.4000006</v>
      </c>
      <c r="AG204" t="str">
        <f t="shared" si="54"/>
        <v>Active</v>
      </c>
      <c r="AH204">
        <f t="shared" si="55"/>
        <v>520.56000000000006</v>
      </c>
    </row>
    <row r="205" spans="1:34" x14ac:dyDescent="0.35">
      <c r="A205" t="s">
        <v>635</v>
      </c>
      <c r="B205" t="s">
        <v>636</v>
      </c>
      <c r="C205">
        <v>63</v>
      </c>
      <c r="D205" t="s">
        <v>38</v>
      </c>
      <c r="E205" t="s">
        <v>23</v>
      </c>
      <c r="F205" t="s">
        <v>46</v>
      </c>
      <c r="G205">
        <v>182330</v>
      </c>
      <c r="H205">
        <v>386</v>
      </c>
      <c r="I205">
        <v>15748</v>
      </c>
      <c r="J205">
        <v>6.28</v>
      </c>
      <c r="K205">
        <v>240</v>
      </c>
      <c r="L205" t="s">
        <v>25</v>
      </c>
      <c r="M205">
        <v>44.83</v>
      </c>
      <c r="N205">
        <v>31832</v>
      </c>
      <c r="O205">
        <v>70575</v>
      </c>
      <c r="P205" t="s">
        <v>637</v>
      </c>
      <c r="Q205" t="s">
        <v>42</v>
      </c>
      <c r="R205" t="s">
        <v>48</v>
      </c>
      <c r="S205" t="s">
        <v>35</v>
      </c>
      <c r="T205">
        <v>69.739999999999995</v>
      </c>
      <c r="U205">
        <f t="shared" si="42"/>
        <v>1797</v>
      </c>
      <c r="V205">
        <f t="shared" si="43"/>
        <v>644</v>
      </c>
      <c r="W205">
        <f t="shared" si="44"/>
        <v>576</v>
      </c>
      <c r="X205">
        <f t="shared" si="45"/>
        <v>0.35149999999999998</v>
      </c>
      <c r="Y205" s="1">
        <f t="shared" si="46"/>
        <v>92675960</v>
      </c>
      <c r="Z205">
        <f t="shared" si="47"/>
        <v>51572.598775737337</v>
      </c>
      <c r="AA205">
        <f t="shared" si="48"/>
        <v>99996</v>
      </c>
      <c r="AB205">
        <f t="shared" si="49"/>
        <v>5091</v>
      </c>
      <c r="AC205">
        <f t="shared" si="50"/>
        <v>2412885.4100000015</v>
      </c>
      <c r="AD205">
        <f t="shared" si="51"/>
        <v>1342.7297774067899</v>
      </c>
      <c r="AE205">
        <f t="shared" si="52"/>
        <v>0.35149999999999998</v>
      </c>
      <c r="AF205">
        <f t="shared" si="53"/>
        <v>2170342106.6100011</v>
      </c>
      <c r="AG205" t="str">
        <f t="shared" si="54"/>
        <v>Active</v>
      </c>
      <c r="AH205">
        <f t="shared" si="55"/>
        <v>836.87999999999988</v>
      </c>
    </row>
    <row r="206" spans="1:34" x14ac:dyDescent="0.35">
      <c r="A206" t="s">
        <v>638</v>
      </c>
      <c r="B206" t="s">
        <v>639</v>
      </c>
      <c r="C206">
        <v>33</v>
      </c>
      <c r="D206" t="s">
        <v>38</v>
      </c>
      <c r="E206" t="s">
        <v>32</v>
      </c>
      <c r="F206" t="s">
        <v>46</v>
      </c>
      <c r="G206">
        <v>154159</v>
      </c>
      <c r="H206">
        <v>363</v>
      </c>
      <c r="I206">
        <v>43786</v>
      </c>
      <c r="J206">
        <v>3.61</v>
      </c>
      <c r="K206">
        <v>360</v>
      </c>
      <c r="L206" t="s">
        <v>52</v>
      </c>
      <c r="M206">
        <v>14.69</v>
      </c>
      <c r="N206">
        <v>36352</v>
      </c>
      <c r="O206">
        <v>105039</v>
      </c>
      <c r="P206" t="s">
        <v>640</v>
      </c>
      <c r="Q206" t="s">
        <v>42</v>
      </c>
      <c r="R206" t="s">
        <v>28</v>
      </c>
      <c r="S206" t="s">
        <v>29</v>
      </c>
      <c r="T206">
        <v>126.02</v>
      </c>
      <c r="U206">
        <f t="shared" si="42"/>
        <v>1796</v>
      </c>
      <c r="V206">
        <f t="shared" si="43"/>
        <v>643</v>
      </c>
      <c r="W206">
        <f t="shared" si="44"/>
        <v>576</v>
      </c>
      <c r="X206">
        <f t="shared" si="45"/>
        <v>0.35149999999999998</v>
      </c>
      <c r="Y206" s="1">
        <f t="shared" si="46"/>
        <v>92660212</v>
      </c>
      <c r="Z206">
        <f t="shared" si="47"/>
        <v>51592.545657015587</v>
      </c>
      <c r="AA206">
        <f t="shared" si="48"/>
        <v>99996</v>
      </c>
      <c r="AB206">
        <f t="shared" si="49"/>
        <v>5091</v>
      </c>
      <c r="AC206">
        <f t="shared" si="50"/>
        <v>2412815.6700000013</v>
      </c>
      <c r="AD206">
        <f t="shared" si="51"/>
        <v>1343.4385690423169</v>
      </c>
      <c r="AE206">
        <f t="shared" si="52"/>
        <v>0.35149999999999998</v>
      </c>
      <c r="AF206">
        <f t="shared" si="53"/>
        <v>2167929221.2000008</v>
      </c>
      <c r="AG206" t="str">
        <f t="shared" si="54"/>
        <v>Active</v>
      </c>
      <c r="AH206">
        <f t="shared" si="55"/>
        <v>1512.24</v>
      </c>
    </row>
    <row r="207" spans="1:34" x14ac:dyDescent="0.35">
      <c r="A207" t="s">
        <v>641</v>
      </c>
      <c r="B207" t="s">
        <v>642</v>
      </c>
      <c r="C207">
        <v>57</v>
      </c>
      <c r="D207" t="s">
        <v>22</v>
      </c>
      <c r="E207" t="s">
        <v>23</v>
      </c>
      <c r="F207" t="s">
        <v>24</v>
      </c>
      <c r="G207">
        <v>196324</v>
      </c>
      <c r="H207">
        <v>374</v>
      </c>
      <c r="I207">
        <v>39466</v>
      </c>
      <c r="J207">
        <v>9.52</v>
      </c>
      <c r="K207">
        <v>24</v>
      </c>
      <c r="L207" t="s">
        <v>52</v>
      </c>
      <c r="M207">
        <v>56.8</v>
      </c>
      <c r="N207">
        <v>62906</v>
      </c>
      <c r="O207">
        <v>19613</v>
      </c>
      <c r="P207" t="s">
        <v>427</v>
      </c>
      <c r="Q207" t="s">
        <v>61</v>
      </c>
      <c r="R207" t="s">
        <v>28</v>
      </c>
      <c r="S207" t="s">
        <v>29</v>
      </c>
      <c r="T207">
        <v>1800.97</v>
      </c>
      <c r="U207">
        <f t="shared" si="42"/>
        <v>1795</v>
      </c>
      <c r="V207">
        <f t="shared" si="43"/>
        <v>642</v>
      </c>
      <c r="W207">
        <f t="shared" si="44"/>
        <v>576</v>
      </c>
      <c r="X207">
        <f t="shared" si="45"/>
        <v>0.35149999999999998</v>
      </c>
      <c r="Y207" s="1">
        <f t="shared" si="46"/>
        <v>92616426</v>
      </c>
      <c r="Z207">
        <f t="shared" si="47"/>
        <v>51596.894707520893</v>
      </c>
      <c r="AA207">
        <f t="shared" si="48"/>
        <v>99996</v>
      </c>
      <c r="AB207">
        <f t="shared" si="49"/>
        <v>5091</v>
      </c>
      <c r="AC207">
        <f t="shared" si="50"/>
        <v>2412689.6500000013</v>
      </c>
      <c r="AD207">
        <f t="shared" si="51"/>
        <v>1344.1167966573823</v>
      </c>
      <c r="AE207">
        <f t="shared" si="52"/>
        <v>0.35149999999999998</v>
      </c>
      <c r="AF207">
        <f t="shared" si="53"/>
        <v>2165516405.5300002</v>
      </c>
      <c r="AG207" t="str">
        <f t="shared" si="54"/>
        <v>Active</v>
      </c>
      <c r="AH207">
        <f t="shared" si="55"/>
        <v>21611.64</v>
      </c>
    </row>
    <row r="208" spans="1:34" x14ac:dyDescent="0.35">
      <c r="A208" t="s">
        <v>643</v>
      </c>
      <c r="B208" t="s">
        <v>644</v>
      </c>
      <c r="C208">
        <v>38</v>
      </c>
      <c r="D208" t="s">
        <v>38</v>
      </c>
      <c r="E208" t="s">
        <v>23</v>
      </c>
      <c r="F208" t="s">
        <v>59</v>
      </c>
      <c r="G208">
        <v>126519</v>
      </c>
      <c r="H208">
        <v>665</v>
      </c>
      <c r="I208">
        <v>9332</v>
      </c>
      <c r="J208">
        <v>16.48</v>
      </c>
      <c r="K208">
        <v>24</v>
      </c>
      <c r="L208" t="s">
        <v>40</v>
      </c>
      <c r="M208">
        <v>31.84</v>
      </c>
      <c r="N208">
        <v>3636</v>
      </c>
      <c r="O208">
        <v>246725</v>
      </c>
      <c r="P208" t="s">
        <v>645</v>
      </c>
      <c r="Q208" t="s">
        <v>42</v>
      </c>
      <c r="R208" t="s">
        <v>48</v>
      </c>
      <c r="S208" t="s">
        <v>68</v>
      </c>
      <c r="T208">
        <v>452.91</v>
      </c>
      <c r="U208">
        <f t="shared" si="42"/>
        <v>1794</v>
      </c>
      <c r="V208">
        <f t="shared" si="43"/>
        <v>642</v>
      </c>
      <c r="W208">
        <f t="shared" si="44"/>
        <v>575</v>
      </c>
      <c r="X208">
        <f t="shared" si="45"/>
        <v>0.35149999999999998</v>
      </c>
      <c r="Y208" s="1">
        <f t="shared" si="46"/>
        <v>92576960</v>
      </c>
      <c r="Z208">
        <f t="shared" si="47"/>
        <v>51603.65663322185</v>
      </c>
      <c r="AA208">
        <f t="shared" si="48"/>
        <v>99996</v>
      </c>
      <c r="AB208">
        <f t="shared" si="49"/>
        <v>5091</v>
      </c>
      <c r="AC208">
        <f t="shared" si="50"/>
        <v>2410888.6800000016</v>
      </c>
      <c r="AD208">
        <f t="shared" si="51"/>
        <v>1343.8621404682283</v>
      </c>
      <c r="AE208">
        <f t="shared" si="52"/>
        <v>0.35149999999999998</v>
      </c>
      <c r="AF208">
        <f t="shared" si="53"/>
        <v>2163103715.8800001</v>
      </c>
      <c r="AG208" t="str">
        <f t="shared" si="54"/>
        <v>Active</v>
      </c>
      <c r="AH208">
        <f t="shared" si="55"/>
        <v>5434.92</v>
      </c>
    </row>
    <row r="209" spans="1:34" x14ac:dyDescent="0.35">
      <c r="A209" t="s">
        <v>646</v>
      </c>
      <c r="B209" t="s">
        <v>647</v>
      </c>
      <c r="C209">
        <v>49</v>
      </c>
      <c r="D209" t="s">
        <v>22</v>
      </c>
      <c r="E209" t="s">
        <v>39</v>
      </c>
      <c r="F209" t="s">
        <v>46</v>
      </c>
      <c r="G209">
        <v>189785</v>
      </c>
      <c r="H209">
        <v>381</v>
      </c>
      <c r="I209">
        <v>92684</v>
      </c>
      <c r="J209">
        <v>19.84</v>
      </c>
      <c r="K209">
        <v>48</v>
      </c>
      <c r="L209" t="s">
        <v>25</v>
      </c>
      <c r="M209">
        <v>41.01</v>
      </c>
      <c r="N209">
        <v>49780</v>
      </c>
      <c r="O209">
        <v>88350</v>
      </c>
      <c r="P209" t="s">
        <v>648</v>
      </c>
      <c r="Q209" t="s">
        <v>61</v>
      </c>
      <c r="R209" t="s">
        <v>28</v>
      </c>
      <c r="S209" t="s">
        <v>49</v>
      </c>
      <c r="T209">
        <v>2314.0100000000002</v>
      </c>
      <c r="U209">
        <f t="shared" si="42"/>
        <v>1793</v>
      </c>
      <c r="V209">
        <f t="shared" si="43"/>
        <v>641</v>
      </c>
      <c r="W209">
        <f t="shared" si="44"/>
        <v>575</v>
      </c>
      <c r="X209">
        <f t="shared" si="45"/>
        <v>0.35149999999999998</v>
      </c>
      <c r="Y209" s="1">
        <f t="shared" si="46"/>
        <v>92567628</v>
      </c>
      <c r="Z209">
        <f t="shared" si="47"/>
        <v>51627.232571109875</v>
      </c>
      <c r="AA209">
        <f t="shared" si="48"/>
        <v>99996</v>
      </c>
      <c r="AB209">
        <f t="shared" si="49"/>
        <v>5091</v>
      </c>
      <c r="AC209">
        <f t="shared" si="50"/>
        <v>2410435.7700000014</v>
      </c>
      <c r="AD209">
        <f t="shared" si="51"/>
        <v>1344.3590462911329</v>
      </c>
      <c r="AE209">
        <f t="shared" si="52"/>
        <v>0.35149999999999998</v>
      </c>
      <c r="AF209">
        <f t="shared" si="53"/>
        <v>2160692827.2000003</v>
      </c>
      <c r="AG209" t="str">
        <f t="shared" si="54"/>
        <v>Active</v>
      </c>
      <c r="AH209">
        <f t="shared" si="55"/>
        <v>27768.120000000003</v>
      </c>
    </row>
    <row r="210" spans="1:34" x14ac:dyDescent="0.35">
      <c r="A210" t="s">
        <v>649</v>
      </c>
      <c r="B210" t="s">
        <v>650</v>
      </c>
      <c r="C210">
        <v>59</v>
      </c>
      <c r="D210" t="s">
        <v>22</v>
      </c>
      <c r="E210" t="s">
        <v>39</v>
      </c>
      <c r="F210" t="s">
        <v>24</v>
      </c>
      <c r="G210">
        <v>150043</v>
      </c>
      <c r="H210">
        <v>661</v>
      </c>
      <c r="I210">
        <v>54686</v>
      </c>
      <c r="J210">
        <v>14.22</v>
      </c>
      <c r="K210">
        <v>60</v>
      </c>
      <c r="L210" t="s">
        <v>86</v>
      </c>
      <c r="M210">
        <v>6.53</v>
      </c>
      <c r="N210">
        <v>29091</v>
      </c>
      <c r="O210">
        <v>65117</v>
      </c>
      <c r="P210" t="s">
        <v>651</v>
      </c>
      <c r="Q210" t="s">
        <v>27</v>
      </c>
      <c r="R210" t="s">
        <v>48</v>
      </c>
      <c r="S210" t="s">
        <v>43</v>
      </c>
      <c r="T210">
        <v>1041.04</v>
      </c>
      <c r="U210">
        <f t="shared" si="42"/>
        <v>1792</v>
      </c>
      <c r="V210">
        <f t="shared" si="43"/>
        <v>641</v>
      </c>
      <c r="W210">
        <f t="shared" si="44"/>
        <v>574</v>
      </c>
      <c r="X210">
        <f t="shared" si="45"/>
        <v>0.35149999999999998</v>
      </c>
      <c r="Y210" s="1">
        <f t="shared" si="46"/>
        <v>92474944</v>
      </c>
      <c r="Z210">
        <f t="shared" si="47"/>
        <v>51604.321428571428</v>
      </c>
      <c r="AA210">
        <f t="shared" si="48"/>
        <v>99996</v>
      </c>
      <c r="AB210">
        <f t="shared" si="49"/>
        <v>5091</v>
      </c>
      <c r="AC210">
        <f t="shared" si="50"/>
        <v>2408121.7600000016</v>
      </c>
      <c r="AD210">
        <f t="shared" si="51"/>
        <v>1343.8179464285724</v>
      </c>
      <c r="AE210">
        <f t="shared" si="52"/>
        <v>0.35149999999999998</v>
      </c>
      <c r="AF210">
        <f t="shared" si="53"/>
        <v>2158282391.4300008</v>
      </c>
      <c r="AG210" t="str">
        <f t="shared" si="54"/>
        <v>Active</v>
      </c>
      <c r="AH210">
        <f t="shared" si="55"/>
        <v>12492.48</v>
      </c>
    </row>
    <row r="211" spans="1:34" x14ac:dyDescent="0.35">
      <c r="A211" t="s">
        <v>652</v>
      </c>
      <c r="B211" t="s">
        <v>653</v>
      </c>
      <c r="C211">
        <v>31</v>
      </c>
      <c r="D211" t="s">
        <v>38</v>
      </c>
      <c r="E211" t="s">
        <v>23</v>
      </c>
      <c r="F211" t="s">
        <v>24</v>
      </c>
      <c r="G211">
        <v>27593</v>
      </c>
      <c r="H211">
        <v>461</v>
      </c>
      <c r="I211">
        <v>58775</v>
      </c>
      <c r="J211">
        <v>10.220000000000001</v>
      </c>
      <c r="K211">
        <v>120</v>
      </c>
      <c r="L211" t="s">
        <v>40</v>
      </c>
      <c r="M211">
        <v>16.010000000000002</v>
      </c>
      <c r="N211">
        <v>31203</v>
      </c>
      <c r="O211">
        <v>161876</v>
      </c>
      <c r="P211" t="s">
        <v>654</v>
      </c>
      <c r="Q211" t="s">
        <v>27</v>
      </c>
      <c r="R211" t="s">
        <v>28</v>
      </c>
      <c r="S211" t="s">
        <v>49</v>
      </c>
      <c r="T211">
        <v>539.85</v>
      </c>
      <c r="U211">
        <f t="shared" si="42"/>
        <v>1791</v>
      </c>
      <c r="V211">
        <f t="shared" si="43"/>
        <v>641</v>
      </c>
      <c r="W211">
        <f t="shared" si="44"/>
        <v>574</v>
      </c>
      <c r="X211">
        <f t="shared" si="45"/>
        <v>0.35149999999999998</v>
      </c>
      <c r="Y211" s="1">
        <f t="shared" si="46"/>
        <v>92420258</v>
      </c>
      <c r="Z211">
        <f t="shared" si="47"/>
        <v>51602.600781686211</v>
      </c>
      <c r="AA211">
        <f t="shared" si="48"/>
        <v>99996</v>
      </c>
      <c r="AB211">
        <f t="shared" si="49"/>
        <v>5091</v>
      </c>
      <c r="AC211">
        <f t="shared" si="50"/>
        <v>2407080.7200000016</v>
      </c>
      <c r="AD211">
        <f t="shared" si="51"/>
        <v>1343.9870016750428</v>
      </c>
      <c r="AE211">
        <f t="shared" si="52"/>
        <v>0.35149999999999998</v>
      </c>
      <c r="AF211">
        <f t="shared" si="53"/>
        <v>2155874269.6700015</v>
      </c>
      <c r="AG211" t="str">
        <f t="shared" si="54"/>
        <v>Active</v>
      </c>
      <c r="AH211">
        <f t="shared" si="55"/>
        <v>6478.2000000000007</v>
      </c>
    </row>
    <row r="212" spans="1:34" x14ac:dyDescent="0.35">
      <c r="A212" t="s">
        <v>655</v>
      </c>
      <c r="B212" t="s">
        <v>656</v>
      </c>
      <c r="C212">
        <v>41</v>
      </c>
      <c r="D212" t="s">
        <v>38</v>
      </c>
      <c r="E212" t="s">
        <v>32</v>
      </c>
      <c r="F212" t="s">
        <v>24</v>
      </c>
      <c r="G212">
        <v>71761</v>
      </c>
      <c r="H212">
        <v>792</v>
      </c>
      <c r="I212">
        <v>77227</v>
      </c>
      <c r="J212">
        <v>6.92</v>
      </c>
      <c r="K212">
        <v>24</v>
      </c>
      <c r="L212" t="s">
        <v>33</v>
      </c>
      <c r="M212">
        <v>36.409999999999997</v>
      </c>
      <c r="N212">
        <v>74897</v>
      </c>
      <c r="O212">
        <v>19129</v>
      </c>
      <c r="P212" t="s">
        <v>657</v>
      </c>
      <c r="Q212" t="s">
        <v>42</v>
      </c>
      <c r="R212" t="s">
        <v>48</v>
      </c>
      <c r="S212" t="s">
        <v>29</v>
      </c>
      <c r="T212">
        <v>3440.46</v>
      </c>
      <c r="U212">
        <f t="shared" si="42"/>
        <v>1790</v>
      </c>
      <c r="V212">
        <f t="shared" si="43"/>
        <v>641</v>
      </c>
      <c r="W212">
        <f t="shared" si="44"/>
        <v>574</v>
      </c>
      <c r="X212">
        <f t="shared" si="45"/>
        <v>0.35149999999999998</v>
      </c>
      <c r="Y212" s="1">
        <f t="shared" si="46"/>
        <v>92361483</v>
      </c>
      <c r="Z212">
        <f t="shared" si="47"/>
        <v>51598.5938547486</v>
      </c>
      <c r="AA212">
        <f t="shared" si="48"/>
        <v>99996</v>
      </c>
      <c r="AB212">
        <f t="shared" si="49"/>
        <v>5091</v>
      </c>
      <c r="AC212">
        <f t="shared" si="50"/>
        <v>2406540.870000002</v>
      </c>
      <c r="AD212">
        <f t="shared" si="51"/>
        <v>1344.4362402234649</v>
      </c>
      <c r="AE212">
        <f t="shared" si="52"/>
        <v>0.35149999999999998</v>
      </c>
      <c r="AF212">
        <f t="shared" si="53"/>
        <v>2153467188.9500003</v>
      </c>
      <c r="AG212" t="str">
        <f t="shared" si="54"/>
        <v>Active</v>
      </c>
      <c r="AH212">
        <f t="shared" si="55"/>
        <v>41285.520000000004</v>
      </c>
    </row>
    <row r="213" spans="1:34" x14ac:dyDescent="0.35">
      <c r="A213" t="s">
        <v>658</v>
      </c>
      <c r="B213" t="s">
        <v>659</v>
      </c>
      <c r="C213">
        <v>65</v>
      </c>
      <c r="D213" t="s">
        <v>22</v>
      </c>
      <c r="E213" t="s">
        <v>32</v>
      </c>
      <c r="F213" t="s">
        <v>59</v>
      </c>
      <c r="G213">
        <v>133948</v>
      </c>
      <c r="H213">
        <v>592</v>
      </c>
      <c r="I213">
        <v>27343</v>
      </c>
      <c r="J213">
        <v>9.82</v>
      </c>
      <c r="K213">
        <v>180</v>
      </c>
      <c r="L213" t="s">
        <v>86</v>
      </c>
      <c r="M213">
        <v>15.35</v>
      </c>
      <c r="N213">
        <v>41393</v>
      </c>
      <c r="O213">
        <v>181325</v>
      </c>
      <c r="P213" t="s">
        <v>660</v>
      </c>
      <c r="Q213" t="s">
        <v>61</v>
      </c>
      <c r="R213" t="s">
        <v>48</v>
      </c>
      <c r="S213" t="s">
        <v>49</v>
      </c>
      <c r="T213">
        <v>166.82</v>
      </c>
      <c r="U213">
        <f t="shared" si="42"/>
        <v>1789</v>
      </c>
      <c r="V213">
        <f t="shared" si="43"/>
        <v>640</v>
      </c>
      <c r="W213">
        <f t="shared" si="44"/>
        <v>574</v>
      </c>
      <c r="X213">
        <f t="shared" si="45"/>
        <v>0.35149999999999998</v>
      </c>
      <c r="Y213" s="1">
        <f t="shared" si="46"/>
        <v>92284256</v>
      </c>
      <c r="Z213">
        <f t="shared" si="47"/>
        <v>51584.268306316379</v>
      </c>
      <c r="AA213">
        <f t="shared" si="48"/>
        <v>99996</v>
      </c>
      <c r="AB213">
        <f t="shared" si="49"/>
        <v>5091</v>
      </c>
      <c r="AC213">
        <f t="shared" si="50"/>
        <v>2403100.4100000015</v>
      </c>
      <c r="AD213">
        <f t="shared" si="51"/>
        <v>1343.2646226942434</v>
      </c>
      <c r="AE213">
        <f t="shared" si="52"/>
        <v>0.35149999999999998</v>
      </c>
      <c r="AF213">
        <f t="shared" si="53"/>
        <v>2151060648.0800004</v>
      </c>
      <c r="AG213" t="str">
        <f t="shared" si="54"/>
        <v>Active</v>
      </c>
      <c r="AH213">
        <f t="shared" si="55"/>
        <v>2001.84</v>
      </c>
    </row>
    <row r="214" spans="1:34" x14ac:dyDescent="0.35">
      <c r="A214" t="s">
        <v>661</v>
      </c>
      <c r="B214" t="s">
        <v>662</v>
      </c>
      <c r="C214">
        <v>29</v>
      </c>
      <c r="D214" t="s">
        <v>22</v>
      </c>
      <c r="E214" t="s">
        <v>39</v>
      </c>
      <c r="F214" t="s">
        <v>59</v>
      </c>
      <c r="G214">
        <v>131753</v>
      </c>
      <c r="H214">
        <v>819</v>
      </c>
      <c r="I214">
        <v>74975</v>
      </c>
      <c r="J214">
        <v>4.18</v>
      </c>
      <c r="K214">
        <v>120</v>
      </c>
      <c r="L214" t="s">
        <v>40</v>
      </c>
      <c r="M214">
        <v>49.03</v>
      </c>
      <c r="N214">
        <v>34171</v>
      </c>
      <c r="O214">
        <v>71710</v>
      </c>
      <c r="P214" t="s">
        <v>663</v>
      </c>
      <c r="Q214" t="s">
        <v>42</v>
      </c>
      <c r="R214" t="s">
        <v>28</v>
      </c>
      <c r="S214" t="s">
        <v>43</v>
      </c>
      <c r="T214">
        <v>650.91</v>
      </c>
      <c r="U214">
        <f t="shared" si="42"/>
        <v>1788</v>
      </c>
      <c r="V214">
        <f t="shared" si="43"/>
        <v>640</v>
      </c>
      <c r="W214">
        <f t="shared" si="44"/>
        <v>573</v>
      </c>
      <c r="X214">
        <f t="shared" si="45"/>
        <v>0.35149999999999998</v>
      </c>
      <c r="Y214" s="1">
        <f t="shared" si="46"/>
        <v>92256913</v>
      </c>
      <c r="Z214">
        <f t="shared" si="47"/>
        <v>51597.826062639819</v>
      </c>
      <c r="AA214">
        <f t="shared" si="48"/>
        <v>99996</v>
      </c>
      <c r="AB214">
        <f t="shared" si="49"/>
        <v>5091</v>
      </c>
      <c r="AC214">
        <f t="shared" si="50"/>
        <v>2402933.5900000017</v>
      </c>
      <c r="AD214">
        <f t="shared" si="51"/>
        <v>1343.9225894854596</v>
      </c>
      <c r="AE214">
        <f t="shared" si="52"/>
        <v>0.35149999999999998</v>
      </c>
      <c r="AF214">
        <f t="shared" si="53"/>
        <v>2148657547.6700006</v>
      </c>
      <c r="AG214" t="str">
        <f t="shared" si="54"/>
        <v>Active</v>
      </c>
      <c r="AH214">
        <f t="shared" si="55"/>
        <v>7810.92</v>
      </c>
    </row>
    <row r="215" spans="1:34" x14ac:dyDescent="0.35">
      <c r="A215" t="s">
        <v>664</v>
      </c>
      <c r="B215" t="s">
        <v>665</v>
      </c>
      <c r="C215">
        <v>51</v>
      </c>
      <c r="D215" t="s">
        <v>22</v>
      </c>
      <c r="E215" t="s">
        <v>39</v>
      </c>
      <c r="F215" t="s">
        <v>24</v>
      </c>
      <c r="G215">
        <v>162568</v>
      </c>
      <c r="H215">
        <v>420</v>
      </c>
      <c r="I215">
        <v>47040</v>
      </c>
      <c r="J215">
        <v>4.21</v>
      </c>
      <c r="K215">
        <v>360</v>
      </c>
      <c r="L215" t="s">
        <v>86</v>
      </c>
      <c r="M215">
        <v>26.4</v>
      </c>
      <c r="N215">
        <v>13477</v>
      </c>
      <c r="O215">
        <v>65398</v>
      </c>
      <c r="P215" t="s">
        <v>666</v>
      </c>
      <c r="Q215" t="s">
        <v>42</v>
      </c>
      <c r="R215" t="s">
        <v>48</v>
      </c>
      <c r="S215" t="s">
        <v>49</v>
      </c>
      <c r="T215">
        <v>136.16999999999999</v>
      </c>
      <c r="U215">
        <f t="shared" si="42"/>
        <v>1787</v>
      </c>
      <c r="V215">
        <f t="shared" si="43"/>
        <v>639</v>
      </c>
      <c r="W215">
        <f t="shared" si="44"/>
        <v>573</v>
      </c>
      <c r="X215">
        <f t="shared" si="45"/>
        <v>0.35149999999999998</v>
      </c>
      <c r="Y215" s="1">
        <f t="shared" si="46"/>
        <v>92181938</v>
      </c>
      <c r="Z215">
        <f t="shared" si="47"/>
        <v>51584.744264129826</v>
      </c>
      <c r="AA215">
        <f t="shared" si="48"/>
        <v>99996</v>
      </c>
      <c r="AB215">
        <f t="shared" si="49"/>
        <v>5091</v>
      </c>
      <c r="AC215">
        <f t="shared" si="50"/>
        <v>2402282.6800000016</v>
      </c>
      <c r="AD215">
        <f t="shared" si="51"/>
        <v>1344.3103973139348</v>
      </c>
      <c r="AE215">
        <f t="shared" si="52"/>
        <v>0.35149999999999998</v>
      </c>
      <c r="AF215">
        <f t="shared" si="53"/>
        <v>2146254614.0800006</v>
      </c>
      <c r="AG215" t="str">
        <f t="shared" si="54"/>
        <v>Active</v>
      </c>
      <c r="AH215">
        <f t="shared" si="55"/>
        <v>1634.04</v>
      </c>
    </row>
    <row r="216" spans="1:34" x14ac:dyDescent="0.35">
      <c r="A216" t="s">
        <v>667</v>
      </c>
      <c r="B216" t="s">
        <v>668</v>
      </c>
      <c r="C216">
        <v>63</v>
      </c>
      <c r="D216" t="s">
        <v>22</v>
      </c>
      <c r="E216" t="s">
        <v>32</v>
      </c>
      <c r="F216" t="s">
        <v>24</v>
      </c>
      <c r="G216">
        <v>110525</v>
      </c>
      <c r="H216">
        <v>327</v>
      </c>
      <c r="I216">
        <v>17989</v>
      </c>
      <c r="J216">
        <v>6.04</v>
      </c>
      <c r="K216">
        <v>120</v>
      </c>
      <c r="L216" t="s">
        <v>25</v>
      </c>
      <c r="M216">
        <v>5.15</v>
      </c>
      <c r="N216">
        <v>67529</v>
      </c>
      <c r="O216">
        <v>206595</v>
      </c>
      <c r="P216" t="s">
        <v>669</v>
      </c>
      <c r="Q216" t="s">
        <v>42</v>
      </c>
      <c r="R216" t="s">
        <v>48</v>
      </c>
      <c r="S216" t="s">
        <v>43</v>
      </c>
      <c r="T216">
        <v>158.96</v>
      </c>
      <c r="U216">
        <f t="shared" si="42"/>
        <v>1786</v>
      </c>
      <c r="V216">
        <f t="shared" si="43"/>
        <v>638</v>
      </c>
      <c r="W216">
        <f t="shared" si="44"/>
        <v>573</v>
      </c>
      <c r="X216">
        <f t="shared" si="45"/>
        <v>0.35149999999999998</v>
      </c>
      <c r="Y216" s="1">
        <f t="shared" si="46"/>
        <v>92134898</v>
      </c>
      <c r="Z216">
        <f t="shared" si="47"/>
        <v>51587.288913773795</v>
      </c>
      <c r="AA216">
        <f t="shared" si="48"/>
        <v>99996</v>
      </c>
      <c r="AB216">
        <f t="shared" si="49"/>
        <v>5091</v>
      </c>
      <c r="AC216">
        <f t="shared" si="50"/>
        <v>2402146.5100000016</v>
      </c>
      <c r="AD216">
        <f t="shared" si="51"/>
        <v>1344.9868477043683</v>
      </c>
      <c r="AE216">
        <f t="shared" si="52"/>
        <v>0.35149999999999998</v>
      </c>
      <c r="AF216">
        <f t="shared" si="53"/>
        <v>2143852331.4000008</v>
      </c>
      <c r="AG216" t="str">
        <f t="shared" si="54"/>
        <v>Active</v>
      </c>
      <c r="AH216">
        <f t="shared" si="55"/>
        <v>1907.52</v>
      </c>
    </row>
    <row r="217" spans="1:34" x14ac:dyDescent="0.35">
      <c r="A217" t="s">
        <v>670</v>
      </c>
      <c r="B217" t="s">
        <v>671</v>
      </c>
      <c r="C217">
        <v>43</v>
      </c>
      <c r="D217" t="s">
        <v>38</v>
      </c>
      <c r="E217" t="s">
        <v>32</v>
      </c>
      <c r="F217" t="s">
        <v>46</v>
      </c>
      <c r="G217">
        <v>23385</v>
      </c>
      <c r="H217">
        <v>753</v>
      </c>
      <c r="I217">
        <v>61972</v>
      </c>
      <c r="J217">
        <v>23.77</v>
      </c>
      <c r="K217">
        <v>120</v>
      </c>
      <c r="L217" t="s">
        <v>33</v>
      </c>
      <c r="M217">
        <v>42.43</v>
      </c>
      <c r="N217">
        <v>79547</v>
      </c>
      <c r="O217">
        <v>36431</v>
      </c>
      <c r="P217" t="s">
        <v>672</v>
      </c>
      <c r="Q217" t="s">
        <v>27</v>
      </c>
      <c r="R217" t="s">
        <v>28</v>
      </c>
      <c r="S217" t="s">
        <v>29</v>
      </c>
      <c r="T217">
        <v>639.19000000000005</v>
      </c>
      <c r="U217">
        <f t="shared" si="42"/>
        <v>1785</v>
      </c>
      <c r="V217">
        <f t="shared" si="43"/>
        <v>637</v>
      </c>
      <c r="W217">
        <f t="shared" si="44"/>
        <v>573</v>
      </c>
      <c r="X217">
        <f t="shared" si="45"/>
        <v>0.35149999999999998</v>
      </c>
      <c r="Y217" s="1">
        <f t="shared" si="46"/>
        <v>92116909</v>
      </c>
      <c r="Z217">
        <f t="shared" si="47"/>
        <v>51606.111484593835</v>
      </c>
      <c r="AA217">
        <f t="shared" si="48"/>
        <v>99996</v>
      </c>
      <c r="AB217">
        <f t="shared" si="49"/>
        <v>5091</v>
      </c>
      <c r="AC217">
        <f t="shared" si="50"/>
        <v>2401987.5500000017</v>
      </c>
      <c r="AD217">
        <f t="shared" si="51"/>
        <v>1345.651288515407</v>
      </c>
      <c r="AE217">
        <f t="shared" si="52"/>
        <v>0.35149999999999998</v>
      </c>
      <c r="AF217">
        <f t="shared" si="53"/>
        <v>2141450184.8900006</v>
      </c>
      <c r="AG217" t="str">
        <f t="shared" si="54"/>
        <v>Active</v>
      </c>
      <c r="AH217">
        <f t="shared" si="55"/>
        <v>7670.2800000000007</v>
      </c>
    </row>
    <row r="218" spans="1:34" x14ac:dyDescent="0.35">
      <c r="A218" t="s">
        <v>673</v>
      </c>
      <c r="B218" t="s">
        <v>674</v>
      </c>
      <c r="C218">
        <v>28</v>
      </c>
      <c r="D218" t="s">
        <v>38</v>
      </c>
      <c r="E218" t="s">
        <v>23</v>
      </c>
      <c r="F218" t="s">
        <v>24</v>
      </c>
      <c r="G218">
        <v>150194</v>
      </c>
      <c r="H218">
        <v>837</v>
      </c>
      <c r="I218">
        <v>20407</v>
      </c>
      <c r="J218">
        <v>4.0999999999999996</v>
      </c>
      <c r="K218">
        <v>12</v>
      </c>
      <c r="L218" t="s">
        <v>86</v>
      </c>
      <c r="M218">
        <v>59.25</v>
      </c>
      <c r="N218">
        <v>25241</v>
      </c>
      <c r="O218">
        <v>65036</v>
      </c>
      <c r="P218" t="s">
        <v>675</v>
      </c>
      <c r="Q218" t="s">
        <v>42</v>
      </c>
      <c r="R218" t="s">
        <v>28</v>
      </c>
      <c r="S218" t="s">
        <v>35</v>
      </c>
      <c r="T218">
        <v>1770.31</v>
      </c>
      <c r="U218">
        <f t="shared" si="42"/>
        <v>1784</v>
      </c>
      <c r="V218">
        <f t="shared" si="43"/>
        <v>637</v>
      </c>
      <c r="W218">
        <f t="shared" si="44"/>
        <v>573</v>
      </c>
      <c r="X218">
        <f t="shared" si="45"/>
        <v>0.35149999999999998</v>
      </c>
      <c r="Y218" s="1">
        <f t="shared" si="46"/>
        <v>92054937</v>
      </c>
      <c r="Z218">
        <f t="shared" si="47"/>
        <v>51600.301008968607</v>
      </c>
      <c r="AA218">
        <f t="shared" si="48"/>
        <v>99996</v>
      </c>
      <c r="AB218">
        <f t="shared" si="49"/>
        <v>5091</v>
      </c>
      <c r="AC218">
        <f t="shared" si="50"/>
        <v>2401348.3600000017</v>
      </c>
      <c r="AD218">
        <f t="shared" si="51"/>
        <v>1346.0472869955167</v>
      </c>
      <c r="AE218">
        <f t="shared" si="52"/>
        <v>0.35149999999999998</v>
      </c>
      <c r="AF218">
        <f t="shared" si="53"/>
        <v>2139048197.3400006</v>
      </c>
      <c r="AG218" t="str">
        <f t="shared" si="54"/>
        <v>Active</v>
      </c>
      <c r="AH218">
        <f t="shared" si="55"/>
        <v>21243.72</v>
      </c>
    </row>
    <row r="219" spans="1:34" x14ac:dyDescent="0.35">
      <c r="A219" t="s">
        <v>676</v>
      </c>
      <c r="B219" t="s">
        <v>677</v>
      </c>
      <c r="C219">
        <v>54</v>
      </c>
      <c r="D219" t="s">
        <v>38</v>
      </c>
      <c r="E219" t="s">
        <v>39</v>
      </c>
      <c r="F219" t="s">
        <v>24</v>
      </c>
      <c r="G219">
        <v>101287</v>
      </c>
      <c r="H219">
        <v>470</v>
      </c>
      <c r="I219">
        <v>95995</v>
      </c>
      <c r="J219">
        <v>6.67</v>
      </c>
      <c r="K219">
        <v>48</v>
      </c>
      <c r="L219" t="s">
        <v>52</v>
      </c>
      <c r="M219">
        <v>30.47</v>
      </c>
      <c r="N219">
        <v>77931</v>
      </c>
      <c r="O219">
        <v>188482</v>
      </c>
      <c r="P219" t="s">
        <v>678</v>
      </c>
      <c r="Q219" t="s">
        <v>27</v>
      </c>
      <c r="R219" t="s">
        <v>48</v>
      </c>
      <c r="S219" t="s">
        <v>35</v>
      </c>
      <c r="T219">
        <v>2133.29</v>
      </c>
      <c r="U219">
        <f t="shared" si="42"/>
        <v>1783</v>
      </c>
      <c r="V219">
        <f t="shared" si="43"/>
        <v>636</v>
      </c>
      <c r="W219">
        <f t="shared" si="44"/>
        <v>573</v>
      </c>
      <c r="X219">
        <f t="shared" si="45"/>
        <v>0.35149999999999998</v>
      </c>
      <c r="Y219" s="1">
        <f t="shared" si="46"/>
        <v>92034530</v>
      </c>
      <c r="Z219">
        <f t="shared" si="47"/>
        <v>51617.795849691531</v>
      </c>
      <c r="AA219">
        <f t="shared" si="48"/>
        <v>99996</v>
      </c>
      <c r="AB219">
        <f t="shared" si="49"/>
        <v>5091</v>
      </c>
      <c r="AC219">
        <f t="shared" si="50"/>
        <v>2399578.0500000012</v>
      </c>
      <c r="AD219">
        <f t="shared" si="51"/>
        <v>1345.8093381940557</v>
      </c>
      <c r="AE219">
        <f t="shared" si="52"/>
        <v>0.35149999999999998</v>
      </c>
      <c r="AF219">
        <f t="shared" si="53"/>
        <v>2136646848.9800005</v>
      </c>
      <c r="AG219" t="str">
        <f t="shared" si="54"/>
        <v>Over Paid</v>
      </c>
      <c r="AH219">
        <f t="shared" si="55"/>
        <v>25599.48</v>
      </c>
    </row>
    <row r="220" spans="1:34" x14ac:dyDescent="0.35">
      <c r="A220" t="s">
        <v>679</v>
      </c>
      <c r="B220" t="s">
        <v>680</v>
      </c>
      <c r="C220">
        <v>63</v>
      </c>
      <c r="D220" t="s">
        <v>38</v>
      </c>
      <c r="E220" t="s">
        <v>39</v>
      </c>
      <c r="F220" t="s">
        <v>59</v>
      </c>
      <c r="G220">
        <v>172228</v>
      </c>
      <c r="H220">
        <v>466</v>
      </c>
      <c r="I220">
        <v>40596</v>
      </c>
      <c r="J220">
        <v>21.23</v>
      </c>
      <c r="K220">
        <v>48</v>
      </c>
      <c r="L220" t="s">
        <v>25</v>
      </c>
      <c r="M220">
        <v>27.83</v>
      </c>
      <c r="N220">
        <v>12762</v>
      </c>
      <c r="O220">
        <v>85832</v>
      </c>
      <c r="P220" t="s">
        <v>681</v>
      </c>
      <c r="Q220" t="s">
        <v>42</v>
      </c>
      <c r="R220" t="s">
        <v>28</v>
      </c>
      <c r="S220" t="s">
        <v>29</v>
      </c>
      <c r="T220">
        <v>1025.3</v>
      </c>
      <c r="U220">
        <f t="shared" si="42"/>
        <v>1782</v>
      </c>
      <c r="V220">
        <f t="shared" si="43"/>
        <v>636</v>
      </c>
      <c r="W220">
        <f t="shared" si="44"/>
        <v>573</v>
      </c>
      <c r="X220">
        <f t="shared" si="45"/>
        <v>0.35149999999999998</v>
      </c>
      <c r="Y220" s="1">
        <f t="shared" si="46"/>
        <v>91938535</v>
      </c>
      <c r="Z220">
        <f t="shared" si="47"/>
        <v>51592.892817059481</v>
      </c>
      <c r="AA220">
        <f t="shared" si="48"/>
        <v>99996</v>
      </c>
      <c r="AB220">
        <f t="shared" si="49"/>
        <v>5091</v>
      </c>
      <c r="AC220">
        <f t="shared" si="50"/>
        <v>2397444.7600000012</v>
      </c>
      <c r="AD220">
        <f t="shared" si="51"/>
        <v>1345.3674298540973</v>
      </c>
      <c r="AE220">
        <f t="shared" si="52"/>
        <v>0.35149999999999998</v>
      </c>
      <c r="AF220">
        <f t="shared" si="53"/>
        <v>2134247270.9300005</v>
      </c>
      <c r="AG220" t="str">
        <f t="shared" si="54"/>
        <v>Active</v>
      </c>
      <c r="AH220">
        <f t="shared" si="55"/>
        <v>12303.599999999999</v>
      </c>
    </row>
    <row r="221" spans="1:34" x14ac:dyDescent="0.35">
      <c r="A221" t="s">
        <v>682</v>
      </c>
      <c r="B221" t="s">
        <v>683</v>
      </c>
      <c r="C221">
        <v>51</v>
      </c>
      <c r="D221" t="s">
        <v>22</v>
      </c>
      <c r="E221" t="s">
        <v>39</v>
      </c>
      <c r="F221" t="s">
        <v>24</v>
      </c>
      <c r="G221">
        <v>54488</v>
      </c>
      <c r="H221">
        <v>640</v>
      </c>
      <c r="I221">
        <v>29898</v>
      </c>
      <c r="J221">
        <v>4.0599999999999996</v>
      </c>
      <c r="K221">
        <v>12</v>
      </c>
      <c r="L221" t="s">
        <v>52</v>
      </c>
      <c r="M221">
        <v>7.6</v>
      </c>
      <c r="N221">
        <v>61019</v>
      </c>
      <c r="O221">
        <v>147812</v>
      </c>
      <c r="P221" t="s">
        <v>684</v>
      </c>
      <c r="Q221" t="s">
        <v>42</v>
      </c>
      <c r="R221" t="s">
        <v>28</v>
      </c>
      <c r="S221" t="s">
        <v>68</v>
      </c>
      <c r="T221">
        <v>2592.65</v>
      </c>
      <c r="U221">
        <f t="shared" si="42"/>
        <v>1781</v>
      </c>
      <c r="V221">
        <f t="shared" si="43"/>
        <v>635</v>
      </c>
      <c r="W221">
        <f t="shared" si="44"/>
        <v>573</v>
      </c>
      <c r="X221">
        <f t="shared" si="45"/>
        <v>0.35149999999999998</v>
      </c>
      <c r="Y221" s="1">
        <f t="shared" si="46"/>
        <v>91897939</v>
      </c>
      <c r="Z221">
        <f t="shared" si="47"/>
        <v>51599.067377877596</v>
      </c>
      <c r="AA221">
        <f t="shared" si="48"/>
        <v>99996</v>
      </c>
      <c r="AB221">
        <f t="shared" si="49"/>
        <v>5091</v>
      </c>
      <c r="AC221">
        <f t="shared" si="50"/>
        <v>2396419.4600000014</v>
      </c>
      <c r="AD221">
        <f t="shared" si="51"/>
        <v>1345.5471420550261</v>
      </c>
      <c r="AE221">
        <f t="shared" si="52"/>
        <v>0.35149999999999998</v>
      </c>
      <c r="AF221">
        <f t="shared" si="53"/>
        <v>2131849826.1700008</v>
      </c>
      <c r="AG221" t="str">
        <f t="shared" si="54"/>
        <v>Active</v>
      </c>
      <c r="AH221">
        <f t="shared" si="55"/>
        <v>31111.800000000003</v>
      </c>
    </row>
    <row r="222" spans="1:34" x14ac:dyDescent="0.35">
      <c r="A222" t="s">
        <v>685</v>
      </c>
      <c r="B222" t="s">
        <v>686</v>
      </c>
      <c r="C222">
        <v>36</v>
      </c>
      <c r="D222" t="s">
        <v>38</v>
      </c>
      <c r="E222" t="s">
        <v>39</v>
      </c>
      <c r="F222" t="s">
        <v>24</v>
      </c>
      <c r="G222">
        <v>55929</v>
      </c>
      <c r="H222">
        <v>565</v>
      </c>
      <c r="I222">
        <v>34668</v>
      </c>
      <c r="J222">
        <v>14.93</v>
      </c>
      <c r="K222">
        <v>360</v>
      </c>
      <c r="L222" t="s">
        <v>40</v>
      </c>
      <c r="M222">
        <v>24.37</v>
      </c>
      <c r="N222">
        <v>11915</v>
      </c>
      <c r="O222">
        <v>19652</v>
      </c>
      <c r="P222" t="s">
        <v>687</v>
      </c>
      <c r="Q222" t="s">
        <v>42</v>
      </c>
      <c r="R222" t="s">
        <v>48</v>
      </c>
      <c r="S222" t="s">
        <v>29</v>
      </c>
      <c r="T222">
        <v>110.68</v>
      </c>
      <c r="U222">
        <f t="shared" si="42"/>
        <v>1780</v>
      </c>
      <c r="V222">
        <f t="shared" si="43"/>
        <v>634</v>
      </c>
      <c r="W222">
        <f t="shared" si="44"/>
        <v>573</v>
      </c>
      <c r="X222">
        <f t="shared" si="45"/>
        <v>0.35149999999999998</v>
      </c>
      <c r="Y222" s="1">
        <f t="shared" si="46"/>
        <v>91868041</v>
      </c>
      <c r="Z222">
        <f t="shared" si="47"/>
        <v>51611.258988764042</v>
      </c>
      <c r="AA222">
        <f t="shared" si="48"/>
        <v>99996</v>
      </c>
      <c r="AB222">
        <f t="shared" si="49"/>
        <v>5091</v>
      </c>
      <c r="AC222">
        <f t="shared" si="50"/>
        <v>2393826.810000001</v>
      </c>
      <c r="AD222">
        <f t="shared" si="51"/>
        <v>1344.8465224719107</v>
      </c>
      <c r="AE222">
        <f t="shared" si="52"/>
        <v>0.35149999999999998</v>
      </c>
      <c r="AF222">
        <f t="shared" si="53"/>
        <v>2129453406.7100008</v>
      </c>
      <c r="AG222" t="str">
        <f t="shared" si="54"/>
        <v>Over Paid</v>
      </c>
      <c r="AH222">
        <f t="shared" si="55"/>
        <v>1328.16</v>
      </c>
    </row>
    <row r="223" spans="1:34" x14ac:dyDescent="0.35">
      <c r="A223" t="s">
        <v>688</v>
      </c>
      <c r="B223" t="s">
        <v>689</v>
      </c>
      <c r="C223">
        <v>31</v>
      </c>
      <c r="D223" t="s">
        <v>38</v>
      </c>
      <c r="E223" t="s">
        <v>39</v>
      </c>
      <c r="F223" t="s">
        <v>24</v>
      </c>
      <c r="G223">
        <v>54034</v>
      </c>
      <c r="H223">
        <v>761</v>
      </c>
      <c r="I223">
        <v>95142</v>
      </c>
      <c r="J223">
        <v>16.850000000000001</v>
      </c>
      <c r="K223">
        <v>48</v>
      </c>
      <c r="L223" t="s">
        <v>25</v>
      </c>
      <c r="M223">
        <v>6.91</v>
      </c>
      <c r="N223">
        <v>36080</v>
      </c>
      <c r="O223">
        <v>121199</v>
      </c>
      <c r="P223" t="s">
        <v>690</v>
      </c>
      <c r="Q223" t="s">
        <v>42</v>
      </c>
      <c r="R223" t="s">
        <v>48</v>
      </c>
      <c r="S223" t="s">
        <v>49</v>
      </c>
      <c r="T223">
        <v>2316.11</v>
      </c>
      <c r="U223">
        <f t="shared" si="42"/>
        <v>1779</v>
      </c>
      <c r="V223">
        <f t="shared" si="43"/>
        <v>633</v>
      </c>
      <c r="W223">
        <f t="shared" si="44"/>
        <v>573</v>
      </c>
      <c r="X223">
        <f t="shared" si="45"/>
        <v>0.35149999999999998</v>
      </c>
      <c r="Y223" s="1">
        <f t="shared" si="46"/>
        <v>91833373</v>
      </c>
      <c r="Z223">
        <f t="shared" si="47"/>
        <v>51620.78302417088</v>
      </c>
      <c r="AA223">
        <f t="shared" si="48"/>
        <v>99996</v>
      </c>
      <c r="AB223">
        <f t="shared" si="49"/>
        <v>5091</v>
      </c>
      <c r="AC223">
        <f t="shared" si="50"/>
        <v>2393716.1300000013</v>
      </c>
      <c r="AD223">
        <f t="shared" si="51"/>
        <v>1345.5402641933679</v>
      </c>
      <c r="AE223">
        <f t="shared" si="52"/>
        <v>0.35149999999999998</v>
      </c>
      <c r="AF223">
        <f t="shared" si="53"/>
        <v>2127059579.9000008</v>
      </c>
      <c r="AG223" t="str">
        <f t="shared" si="54"/>
        <v>Active</v>
      </c>
      <c r="AH223">
        <f t="shared" si="55"/>
        <v>27793.32</v>
      </c>
    </row>
    <row r="224" spans="1:34" x14ac:dyDescent="0.35">
      <c r="A224" t="s">
        <v>691</v>
      </c>
      <c r="B224" t="s">
        <v>692</v>
      </c>
      <c r="C224">
        <v>42</v>
      </c>
      <c r="D224" t="s">
        <v>22</v>
      </c>
      <c r="E224" t="s">
        <v>32</v>
      </c>
      <c r="F224" t="s">
        <v>46</v>
      </c>
      <c r="G224">
        <v>30361</v>
      </c>
      <c r="H224">
        <v>839</v>
      </c>
      <c r="I224">
        <v>50646</v>
      </c>
      <c r="J224">
        <v>5.97</v>
      </c>
      <c r="K224">
        <v>120</v>
      </c>
      <c r="L224" t="s">
        <v>25</v>
      </c>
      <c r="M224">
        <v>13.84</v>
      </c>
      <c r="N224">
        <v>19869</v>
      </c>
      <c r="O224">
        <v>118421</v>
      </c>
      <c r="P224" t="s">
        <v>693</v>
      </c>
      <c r="Q224" t="s">
        <v>61</v>
      </c>
      <c r="R224" t="s">
        <v>28</v>
      </c>
      <c r="S224" t="s">
        <v>68</v>
      </c>
      <c r="T224">
        <v>447.25</v>
      </c>
      <c r="U224">
        <f t="shared" si="42"/>
        <v>1778</v>
      </c>
      <c r="V224">
        <f t="shared" si="43"/>
        <v>632</v>
      </c>
      <c r="W224">
        <f t="shared" si="44"/>
        <v>573</v>
      </c>
      <c r="X224">
        <f t="shared" si="45"/>
        <v>0.35149999999999998</v>
      </c>
      <c r="Y224" s="1">
        <f t="shared" si="46"/>
        <v>91738231</v>
      </c>
      <c r="Z224">
        <f t="shared" si="47"/>
        <v>51596.305399325087</v>
      </c>
      <c r="AA224">
        <f t="shared" si="48"/>
        <v>99996</v>
      </c>
      <c r="AB224">
        <f t="shared" si="49"/>
        <v>5091</v>
      </c>
      <c r="AC224">
        <f t="shared" si="50"/>
        <v>2391400.0200000014</v>
      </c>
      <c r="AD224">
        <f t="shared" si="51"/>
        <v>1344.9943869516319</v>
      </c>
      <c r="AE224">
        <f t="shared" si="52"/>
        <v>0.35149999999999998</v>
      </c>
      <c r="AF224">
        <f t="shared" si="53"/>
        <v>2124665863.7700009</v>
      </c>
      <c r="AG224" t="str">
        <f t="shared" si="54"/>
        <v>Active</v>
      </c>
      <c r="AH224">
        <f t="shared" si="55"/>
        <v>5367</v>
      </c>
    </row>
    <row r="225" spans="1:34" x14ac:dyDescent="0.35">
      <c r="A225" t="s">
        <v>694</v>
      </c>
      <c r="B225" t="s">
        <v>695</v>
      </c>
      <c r="C225">
        <v>62</v>
      </c>
      <c r="D225" t="s">
        <v>22</v>
      </c>
      <c r="E225" t="s">
        <v>39</v>
      </c>
      <c r="F225" t="s">
        <v>46</v>
      </c>
      <c r="G225">
        <v>60527</v>
      </c>
      <c r="H225">
        <v>604</v>
      </c>
      <c r="I225">
        <v>91807</v>
      </c>
      <c r="J225">
        <v>20.64</v>
      </c>
      <c r="K225">
        <v>240</v>
      </c>
      <c r="L225" t="s">
        <v>25</v>
      </c>
      <c r="M225">
        <v>57.71</v>
      </c>
      <c r="N225">
        <v>70370</v>
      </c>
      <c r="O225">
        <v>84228</v>
      </c>
      <c r="P225" t="s">
        <v>696</v>
      </c>
      <c r="Q225" t="s">
        <v>42</v>
      </c>
      <c r="R225" t="s">
        <v>48</v>
      </c>
      <c r="S225" t="s">
        <v>29</v>
      </c>
      <c r="T225">
        <v>461.48</v>
      </c>
      <c r="U225">
        <f t="shared" si="42"/>
        <v>1777</v>
      </c>
      <c r="V225">
        <f t="shared" si="43"/>
        <v>632</v>
      </c>
      <c r="W225">
        <f t="shared" si="44"/>
        <v>572</v>
      </c>
      <c r="X225">
        <f t="shared" si="45"/>
        <v>0.35149999999999998</v>
      </c>
      <c r="Y225" s="1">
        <f t="shared" si="46"/>
        <v>91687585</v>
      </c>
      <c r="Z225">
        <f t="shared" si="47"/>
        <v>51596.840180078783</v>
      </c>
      <c r="AA225">
        <f t="shared" si="48"/>
        <v>99996</v>
      </c>
      <c r="AB225">
        <f t="shared" si="49"/>
        <v>5091</v>
      </c>
      <c r="AC225">
        <f t="shared" si="50"/>
        <v>2390952.7700000014</v>
      </c>
      <c r="AD225">
        <f t="shared" si="51"/>
        <v>1345.4995891952738</v>
      </c>
      <c r="AE225">
        <f t="shared" si="52"/>
        <v>0.35149999999999998</v>
      </c>
      <c r="AF225">
        <f t="shared" si="53"/>
        <v>2122274463.7500007</v>
      </c>
      <c r="AG225" t="str">
        <f t="shared" si="54"/>
        <v>Active</v>
      </c>
      <c r="AH225">
        <f t="shared" si="55"/>
        <v>5537.76</v>
      </c>
    </row>
    <row r="226" spans="1:34" x14ac:dyDescent="0.35">
      <c r="A226" t="s">
        <v>697</v>
      </c>
      <c r="B226" t="s">
        <v>698</v>
      </c>
      <c r="C226">
        <v>31</v>
      </c>
      <c r="D226" t="s">
        <v>38</v>
      </c>
      <c r="E226" t="s">
        <v>39</v>
      </c>
      <c r="F226" t="s">
        <v>24</v>
      </c>
      <c r="G226">
        <v>52595</v>
      </c>
      <c r="H226">
        <v>549</v>
      </c>
      <c r="I226">
        <v>11874</v>
      </c>
      <c r="J226">
        <v>12.92</v>
      </c>
      <c r="K226">
        <v>24</v>
      </c>
      <c r="L226" t="s">
        <v>33</v>
      </c>
      <c r="M226">
        <v>11.35</v>
      </c>
      <c r="N226">
        <v>60544</v>
      </c>
      <c r="O226">
        <v>150247</v>
      </c>
      <c r="P226" t="s">
        <v>699</v>
      </c>
      <c r="Q226" t="s">
        <v>27</v>
      </c>
      <c r="R226" t="s">
        <v>48</v>
      </c>
      <c r="S226" t="s">
        <v>29</v>
      </c>
      <c r="T226">
        <v>558.66999999999996</v>
      </c>
      <c r="U226">
        <f t="shared" si="42"/>
        <v>1776</v>
      </c>
      <c r="V226">
        <f t="shared" si="43"/>
        <v>631</v>
      </c>
      <c r="W226">
        <f t="shared" si="44"/>
        <v>572</v>
      </c>
      <c r="X226">
        <f t="shared" si="45"/>
        <v>0.35149999999999998</v>
      </c>
      <c r="Y226" s="1">
        <f t="shared" si="46"/>
        <v>91595778</v>
      </c>
      <c r="Z226">
        <f t="shared" si="47"/>
        <v>51574.199324324327</v>
      </c>
      <c r="AA226">
        <f t="shared" si="48"/>
        <v>99996</v>
      </c>
      <c r="AB226">
        <f t="shared" si="49"/>
        <v>5091</v>
      </c>
      <c r="AC226">
        <f t="shared" si="50"/>
        <v>2390491.2900000014</v>
      </c>
      <c r="AD226">
        <f t="shared" si="51"/>
        <v>1345.9973479729738</v>
      </c>
      <c r="AE226">
        <f t="shared" si="52"/>
        <v>0.35149999999999998</v>
      </c>
      <c r="AF226">
        <f t="shared" si="53"/>
        <v>2119883510.980001</v>
      </c>
      <c r="AG226" t="str">
        <f t="shared" si="54"/>
        <v>Active</v>
      </c>
      <c r="AH226">
        <f t="shared" si="55"/>
        <v>6704.0399999999991</v>
      </c>
    </row>
    <row r="227" spans="1:34" x14ac:dyDescent="0.35">
      <c r="A227" t="s">
        <v>700</v>
      </c>
      <c r="B227" t="s">
        <v>701</v>
      </c>
      <c r="C227">
        <v>47</v>
      </c>
      <c r="D227" t="s">
        <v>22</v>
      </c>
      <c r="E227" t="s">
        <v>39</v>
      </c>
      <c r="F227" t="s">
        <v>46</v>
      </c>
      <c r="G227">
        <v>78834</v>
      </c>
      <c r="H227">
        <v>819</v>
      </c>
      <c r="I227">
        <v>30433</v>
      </c>
      <c r="J227">
        <v>4.79</v>
      </c>
      <c r="K227">
        <v>240</v>
      </c>
      <c r="L227" t="s">
        <v>33</v>
      </c>
      <c r="M227">
        <v>58.38</v>
      </c>
      <c r="N227">
        <v>60787</v>
      </c>
      <c r="O227">
        <v>107295</v>
      </c>
      <c r="P227" t="s">
        <v>702</v>
      </c>
      <c r="Q227" t="s">
        <v>61</v>
      </c>
      <c r="R227" t="s">
        <v>48</v>
      </c>
      <c r="S227" t="s">
        <v>68</v>
      </c>
      <c r="T227">
        <v>132.88</v>
      </c>
      <c r="U227">
        <f t="shared" si="42"/>
        <v>1775</v>
      </c>
      <c r="V227">
        <f t="shared" si="43"/>
        <v>631</v>
      </c>
      <c r="W227">
        <f t="shared" si="44"/>
        <v>572</v>
      </c>
      <c r="X227">
        <f t="shared" si="45"/>
        <v>0.35149999999999998</v>
      </c>
      <c r="Y227" s="1">
        <f t="shared" si="46"/>
        <v>91583904</v>
      </c>
      <c r="Z227">
        <f t="shared" si="47"/>
        <v>51596.56563380282</v>
      </c>
      <c r="AA227">
        <f t="shared" si="48"/>
        <v>99996</v>
      </c>
      <c r="AB227">
        <f t="shared" si="49"/>
        <v>5091</v>
      </c>
      <c r="AC227">
        <f t="shared" si="50"/>
        <v>2389932.6200000015</v>
      </c>
      <c r="AD227">
        <f t="shared" si="51"/>
        <v>1346.4409126760572</v>
      </c>
      <c r="AE227">
        <f t="shared" si="52"/>
        <v>0.35149999999999998</v>
      </c>
      <c r="AF227">
        <f t="shared" si="53"/>
        <v>2117493019.690001</v>
      </c>
      <c r="AG227" t="str">
        <f t="shared" si="54"/>
        <v>Active</v>
      </c>
      <c r="AH227">
        <f t="shared" si="55"/>
        <v>1594.56</v>
      </c>
    </row>
    <row r="228" spans="1:34" x14ac:dyDescent="0.35">
      <c r="A228" t="s">
        <v>703</v>
      </c>
      <c r="B228" t="s">
        <v>704</v>
      </c>
      <c r="C228">
        <v>45</v>
      </c>
      <c r="D228" t="s">
        <v>22</v>
      </c>
      <c r="E228" t="s">
        <v>39</v>
      </c>
      <c r="F228" t="s">
        <v>46</v>
      </c>
      <c r="G228">
        <v>154041</v>
      </c>
      <c r="H228">
        <v>444</v>
      </c>
      <c r="I228">
        <v>46060</v>
      </c>
      <c r="J228">
        <v>10.19</v>
      </c>
      <c r="K228">
        <v>48</v>
      </c>
      <c r="L228" t="s">
        <v>33</v>
      </c>
      <c r="M228">
        <v>33.44</v>
      </c>
      <c r="N228">
        <v>63085</v>
      </c>
      <c r="O228">
        <v>75318</v>
      </c>
      <c r="P228" t="s">
        <v>705</v>
      </c>
      <c r="Q228" t="s">
        <v>61</v>
      </c>
      <c r="R228" t="s">
        <v>48</v>
      </c>
      <c r="S228" t="s">
        <v>49</v>
      </c>
      <c r="T228">
        <v>1057.3599999999999</v>
      </c>
      <c r="U228">
        <f t="shared" si="42"/>
        <v>1774</v>
      </c>
      <c r="V228">
        <f t="shared" si="43"/>
        <v>631</v>
      </c>
      <c r="W228">
        <f t="shared" si="44"/>
        <v>571</v>
      </c>
      <c r="X228">
        <f t="shared" si="45"/>
        <v>0.35149999999999998</v>
      </c>
      <c r="Y228" s="1">
        <f t="shared" si="46"/>
        <v>91553471</v>
      </c>
      <c r="Z228">
        <f t="shared" si="47"/>
        <v>51608.495490417139</v>
      </c>
      <c r="AA228">
        <f t="shared" si="48"/>
        <v>99996</v>
      </c>
      <c r="AB228">
        <f t="shared" si="49"/>
        <v>5091</v>
      </c>
      <c r="AC228">
        <f t="shared" si="50"/>
        <v>2389799.7400000012</v>
      </c>
      <c r="AD228">
        <f t="shared" si="51"/>
        <v>1347.1249943630221</v>
      </c>
      <c r="AE228">
        <f t="shared" si="52"/>
        <v>0.35149999999999998</v>
      </c>
      <c r="AF228">
        <f t="shared" si="53"/>
        <v>2115103087.0700011</v>
      </c>
      <c r="AG228" t="str">
        <f t="shared" si="54"/>
        <v>Active</v>
      </c>
      <c r="AH228">
        <f t="shared" si="55"/>
        <v>12688.32</v>
      </c>
    </row>
    <row r="229" spans="1:34" x14ac:dyDescent="0.35">
      <c r="A229" t="s">
        <v>706</v>
      </c>
      <c r="B229" t="s">
        <v>707</v>
      </c>
      <c r="C229">
        <v>64</v>
      </c>
      <c r="D229" t="s">
        <v>38</v>
      </c>
      <c r="E229" t="s">
        <v>23</v>
      </c>
      <c r="F229" t="s">
        <v>24</v>
      </c>
      <c r="G229">
        <v>189014</v>
      </c>
      <c r="H229">
        <v>715</v>
      </c>
      <c r="I229">
        <v>85330</v>
      </c>
      <c r="J229">
        <v>11.68</v>
      </c>
      <c r="K229">
        <v>60</v>
      </c>
      <c r="L229" t="s">
        <v>25</v>
      </c>
      <c r="M229">
        <v>52.64</v>
      </c>
      <c r="N229">
        <v>9693</v>
      </c>
      <c r="O229">
        <v>135947</v>
      </c>
      <c r="P229" t="s">
        <v>138</v>
      </c>
      <c r="Q229" t="s">
        <v>61</v>
      </c>
      <c r="R229" t="s">
        <v>48</v>
      </c>
      <c r="S229" t="s">
        <v>43</v>
      </c>
      <c r="T229">
        <v>1588.28</v>
      </c>
      <c r="U229">
        <f t="shared" si="42"/>
        <v>1773</v>
      </c>
      <c r="V229">
        <f t="shared" si="43"/>
        <v>631</v>
      </c>
      <c r="W229">
        <f t="shared" si="44"/>
        <v>570</v>
      </c>
      <c r="X229">
        <f t="shared" si="45"/>
        <v>0.35149999999999998</v>
      </c>
      <c r="Y229" s="1">
        <f t="shared" si="46"/>
        <v>91507411</v>
      </c>
      <c r="Z229">
        <f t="shared" si="47"/>
        <v>51611.624929498023</v>
      </c>
      <c r="AA229">
        <f t="shared" si="48"/>
        <v>99996</v>
      </c>
      <c r="AB229">
        <f t="shared" si="49"/>
        <v>5091</v>
      </c>
      <c r="AC229">
        <f t="shared" si="50"/>
        <v>2388742.3800000018</v>
      </c>
      <c r="AD229">
        <f t="shared" si="51"/>
        <v>1347.2884263959402</v>
      </c>
      <c r="AE229">
        <f t="shared" si="52"/>
        <v>0.35149999999999998</v>
      </c>
      <c r="AF229">
        <f t="shared" si="53"/>
        <v>2112713287.3300011</v>
      </c>
      <c r="AG229" t="str">
        <f t="shared" si="54"/>
        <v>Active</v>
      </c>
      <c r="AH229">
        <f t="shared" si="55"/>
        <v>19059.36</v>
      </c>
    </row>
    <row r="230" spans="1:34" x14ac:dyDescent="0.35">
      <c r="A230" t="s">
        <v>708</v>
      </c>
      <c r="B230" t="s">
        <v>709</v>
      </c>
      <c r="C230">
        <v>44</v>
      </c>
      <c r="D230" t="s">
        <v>38</v>
      </c>
      <c r="E230" t="s">
        <v>23</v>
      </c>
      <c r="F230" t="s">
        <v>46</v>
      </c>
      <c r="G230">
        <v>112145</v>
      </c>
      <c r="H230">
        <v>439</v>
      </c>
      <c r="I230">
        <v>21274</v>
      </c>
      <c r="J230">
        <v>21.47</v>
      </c>
      <c r="K230">
        <v>36</v>
      </c>
      <c r="L230" t="s">
        <v>33</v>
      </c>
      <c r="M230">
        <v>46.38</v>
      </c>
      <c r="N230">
        <v>52060</v>
      </c>
      <c r="O230">
        <v>182896</v>
      </c>
      <c r="P230" t="s">
        <v>710</v>
      </c>
      <c r="Q230" t="s">
        <v>42</v>
      </c>
      <c r="R230" t="s">
        <v>28</v>
      </c>
      <c r="S230" t="s">
        <v>68</v>
      </c>
      <c r="T230">
        <v>717.82</v>
      </c>
      <c r="U230">
        <f t="shared" si="42"/>
        <v>1772</v>
      </c>
      <c r="V230">
        <f t="shared" si="43"/>
        <v>631</v>
      </c>
      <c r="W230">
        <f t="shared" si="44"/>
        <v>569</v>
      </c>
      <c r="X230">
        <f t="shared" si="45"/>
        <v>0.35149999999999998</v>
      </c>
      <c r="Y230" s="1">
        <f t="shared" si="46"/>
        <v>91422081</v>
      </c>
      <c r="Z230">
        <f t="shared" si="47"/>
        <v>51592.596501128668</v>
      </c>
      <c r="AA230">
        <f t="shared" si="48"/>
        <v>99996</v>
      </c>
      <c r="AB230">
        <f t="shared" si="49"/>
        <v>5091</v>
      </c>
      <c r="AC230">
        <f t="shared" si="50"/>
        <v>2387154.1000000015</v>
      </c>
      <c r="AD230">
        <f t="shared" si="51"/>
        <v>1347.1524266365698</v>
      </c>
      <c r="AE230">
        <f t="shared" si="52"/>
        <v>0.35149999999999998</v>
      </c>
      <c r="AF230">
        <f t="shared" si="53"/>
        <v>2110324544.9500012</v>
      </c>
      <c r="AG230" t="str">
        <f t="shared" si="54"/>
        <v>Active</v>
      </c>
      <c r="AH230">
        <f t="shared" si="55"/>
        <v>8613.84</v>
      </c>
    </row>
    <row r="231" spans="1:34" x14ac:dyDescent="0.35">
      <c r="A231" t="s">
        <v>711</v>
      </c>
      <c r="B231" t="s">
        <v>712</v>
      </c>
      <c r="C231">
        <v>28</v>
      </c>
      <c r="D231" t="s">
        <v>22</v>
      </c>
      <c r="E231" t="s">
        <v>32</v>
      </c>
      <c r="F231" t="s">
        <v>24</v>
      </c>
      <c r="G231">
        <v>191480</v>
      </c>
      <c r="H231">
        <v>523</v>
      </c>
      <c r="I231">
        <v>5740</v>
      </c>
      <c r="J231">
        <v>6.26</v>
      </c>
      <c r="K231">
        <v>24</v>
      </c>
      <c r="L231" t="s">
        <v>33</v>
      </c>
      <c r="M231">
        <v>24.99</v>
      </c>
      <c r="N231">
        <v>24222</v>
      </c>
      <c r="O231">
        <v>83278</v>
      </c>
      <c r="P231" t="s">
        <v>713</v>
      </c>
      <c r="Q231" t="s">
        <v>27</v>
      </c>
      <c r="R231" t="s">
        <v>28</v>
      </c>
      <c r="S231" t="s">
        <v>29</v>
      </c>
      <c r="T231">
        <v>254.14</v>
      </c>
      <c r="U231">
        <f t="shared" si="42"/>
        <v>1771</v>
      </c>
      <c r="V231">
        <f t="shared" si="43"/>
        <v>630</v>
      </c>
      <c r="W231">
        <f t="shared" si="44"/>
        <v>569</v>
      </c>
      <c r="X231">
        <f t="shared" si="45"/>
        <v>0.35149999999999998</v>
      </c>
      <c r="Y231" s="1">
        <f t="shared" si="46"/>
        <v>91400807</v>
      </c>
      <c r="Z231">
        <f t="shared" si="47"/>
        <v>51609.715979672503</v>
      </c>
      <c r="AA231">
        <f t="shared" si="48"/>
        <v>99996</v>
      </c>
      <c r="AB231">
        <f t="shared" si="49"/>
        <v>5091</v>
      </c>
      <c r="AC231">
        <f t="shared" si="50"/>
        <v>2386436.2800000017</v>
      </c>
      <c r="AD231">
        <f t="shared" si="51"/>
        <v>1347.5077809147383</v>
      </c>
      <c r="AE231">
        <f t="shared" si="52"/>
        <v>0.35149999999999998</v>
      </c>
      <c r="AF231">
        <f t="shared" si="53"/>
        <v>2107937390.8500011</v>
      </c>
      <c r="AG231" t="str">
        <f t="shared" si="54"/>
        <v>Active</v>
      </c>
      <c r="AH231">
        <f t="shared" si="55"/>
        <v>3049.68</v>
      </c>
    </row>
    <row r="232" spans="1:34" x14ac:dyDescent="0.35">
      <c r="A232" t="s">
        <v>714</v>
      </c>
      <c r="B232" t="s">
        <v>715</v>
      </c>
      <c r="C232">
        <v>25</v>
      </c>
      <c r="D232" t="s">
        <v>22</v>
      </c>
      <c r="E232" t="s">
        <v>23</v>
      </c>
      <c r="F232" t="s">
        <v>24</v>
      </c>
      <c r="G232">
        <v>70513</v>
      </c>
      <c r="H232">
        <v>335</v>
      </c>
      <c r="I232">
        <v>5431</v>
      </c>
      <c r="J232">
        <v>6.16</v>
      </c>
      <c r="K232">
        <v>48</v>
      </c>
      <c r="L232" t="s">
        <v>40</v>
      </c>
      <c r="M232">
        <v>54.4</v>
      </c>
      <c r="N232">
        <v>15684</v>
      </c>
      <c r="O232">
        <v>10357</v>
      </c>
      <c r="P232" t="s">
        <v>716</v>
      </c>
      <c r="Q232" t="s">
        <v>27</v>
      </c>
      <c r="R232" t="s">
        <v>48</v>
      </c>
      <c r="S232" t="s">
        <v>49</v>
      </c>
      <c r="T232">
        <v>120.12</v>
      </c>
      <c r="U232">
        <f t="shared" si="42"/>
        <v>1770</v>
      </c>
      <c r="V232">
        <f t="shared" si="43"/>
        <v>630</v>
      </c>
      <c r="W232">
        <f t="shared" si="44"/>
        <v>569</v>
      </c>
      <c r="X232">
        <f t="shared" si="45"/>
        <v>0.35149999999999998</v>
      </c>
      <c r="Y232" s="1">
        <f t="shared" si="46"/>
        <v>91395067</v>
      </c>
      <c r="Z232">
        <f t="shared" si="47"/>
        <v>51635.631073446326</v>
      </c>
      <c r="AA232">
        <f t="shared" si="48"/>
        <v>99996</v>
      </c>
      <c r="AB232">
        <f t="shared" si="49"/>
        <v>5091</v>
      </c>
      <c r="AC232">
        <f t="shared" si="50"/>
        <v>2386182.1400000015</v>
      </c>
      <c r="AD232">
        <f t="shared" si="51"/>
        <v>1348.1255028248597</v>
      </c>
      <c r="AE232">
        <f t="shared" si="52"/>
        <v>0.35149999999999998</v>
      </c>
      <c r="AF232">
        <f t="shared" si="53"/>
        <v>2105550954.5700011</v>
      </c>
      <c r="AG232" t="str">
        <f t="shared" si="54"/>
        <v>Active</v>
      </c>
      <c r="AH232">
        <f t="shared" si="55"/>
        <v>1441.44</v>
      </c>
    </row>
    <row r="233" spans="1:34" x14ac:dyDescent="0.35">
      <c r="A233" t="s">
        <v>717</v>
      </c>
      <c r="B233" t="s">
        <v>718</v>
      </c>
      <c r="C233">
        <v>39</v>
      </c>
      <c r="D233" t="s">
        <v>38</v>
      </c>
      <c r="E233" t="s">
        <v>32</v>
      </c>
      <c r="F233" t="s">
        <v>46</v>
      </c>
      <c r="G233">
        <v>31668</v>
      </c>
      <c r="H233">
        <v>826</v>
      </c>
      <c r="I233">
        <v>7925</v>
      </c>
      <c r="J233">
        <v>7</v>
      </c>
      <c r="K233">
        <v>24</v>
      </c>
      <c r="L233" t="s">
        <v>40</v>
      </c>
      <c r="M233">
        <v>17.28</v>
      </c>
      <c r="N233">
        <v>10065</v>
      </c>
      <c r="O233">
        <v>238675</v>
      </c>
      <c r="P233" t="s">
        <v>719</v>
      </c>
      <c r="Q233" t="s">
        <v>42</v>
      </c>
      <c r="R233" t="s">
        <v>48</v>
      </c>
      <c r="S233" t="s">
        <v>43</v>
      </c>
      <c r="T233">
        <v>353.32</v>
      </c>
      <c r="U233">
        <f t="shared" si="42"/>
        <v>1769</v>
      </c>
      <c r="V233">
        <f t="shared" si="43"/>
        <v>630</v>
      </c>
      <c r="W233">
        <f t="shared" si="44"/>
        <v>569</v>
      </c>
      <c r="X233">
        <f t="shared" si="45"/>
        <v>0.35149999999999998</v>
      </c>
      <c r="Y233" s="1">
        <f t="shared" si="46"/>
        <v>91389636</v>
      </c>
      <c r="Z233">
        <f t="shared" si="47"/>
        <v>51661.75014132278</v>
      </c>
      <c r="AA233">
        <f t="shared" si="48"/>
        <v>99996</v>
      </c>
      <c r="AB233">
        <f t="shared" si="49"/>
        <v>5091</v>
      </c>
      <c r="AC233">
        <f t="shared" si="50"/>
        <v>2386062.0200000014</v>
      </c>
      <c r="AD233">
        <f t="shared" si="51"/>
        <v>1348.8196834369708</v>
      </c>
      <c r="AE233">
        <f t="shared" si="52"/>
        <v>0.35149999999999998</v>
      </c>
      <c r="AF233">
        <f t="shared" si="53"/>
        <v>2103164772.430001</v>
      </c>
      <c r="AG233" t="str">
        <f t="shared" si="54"/>
        <v>Active</v>
      </c>
      <c r="AH233">
        <f t="shared" si="55"/>
        <v>4239.84</v>
      </c>
    </row>
    <row r="234" spans="1:34" x14ac:dyDescent="0.35">
      <c r="A234" t="s">
        <v>720</v>
      </c>
      <c r="B234" t="s">
        <v>721</v>
      </c>
      <c r="C234">
        <v>49</v>
      </c>
      <c r="D234" t="s">
        <v>38</v>
      </c>
      <c r="E234" t="s">
        <v>23</v>
      </c>
      <c r="F234" t="s">
        <v>24</v>
      </c>
      <c r="G234">
        <v>41860</v>
      </c>
      <c r="H234">
        <v>826</v>
      </c>
      <c r="I234">
        <v>44680</v>
      </c>
      <c r="J234">
        <v>7.95</v>
      </c>
      <c r="K234">
        <v>36</v>
      </c>
      <c r="L234" t="s">
        <v>40</v>
      </c>
      <c r="M234">
        <v>28.11</v>
      </c>
      <c r="N234">
        <v>31532</v>
      </c>
      <c r="O234">
        <v>7834</v>
      </c>
      <c r="P234" t="s">
        <v>722</v>
      </c>
      <c r="Q234" t="s">
        <v>27</v>
      </c>
      <c r="R234" t="s">
        <v>28</v>
      </c>
      <c r="S234" t="s">
        <v>29</v>
      </c>
      <c r="T234">
        <v>1339.78</v>
      </c>
      <c r="U234">
        <f t="shared" si="42"/>
        <v>1768</v>
      </c>
      <c r="V234">
        <f t="shared" si="43"/>
        <v>629</v>
      </c>
      <c r="W234">
        <f t="shared" si="44"/>
        <v>569</v>
      </c>
      <c r="X234">
        <f t="shared" si="45"/>
        <v>0.35149999999999998</v>
      </c>
      <c r="Y234" s="1">
        <f t="shared" si="46"/>
        <v>91381711</v>
      </c>
      <c r="Z234">
        <f t="shared" si="47"/>
        <v>51686.488122171948</v>
      </c>
      <c r="AA234">
        <f t="shared" si="48"/>
        <v>99996</v>
      </c>
      <c r="AB234">
        <f t="shared" si="49"/>
        <v>5091</v>
      </c>
      <c r="AC234">
        <f t="shared" si="50"/>
        <v>2385708.7000000016</v>
      </c>
      <c r="AD234">
        <f t="shared" si="51"/>
        <v>1349.3827488687791</v>
      </c>
      <c r="AE234">
        <f t="shared" si="52"/>
        <v>0.35149999999999998</v>
      </c>
      <c r="AF234">
        <f t="shared" si="53"/>
        <v>2100778710.410001</v>
      </c>
      <c r="AG234" t="str">
        <f t="shared" si="54"/>
        <v>Active</v>
      </c>
      <c r="AH234">
        <f t="shared" si="55"/>
        <v>16077.36</v>
      </c>
    </row>
    <row r="235" spans="1:34" x14ac:dyDescent="0.35">
      <c r="A235" t="s">
        <v>723</v>
      </c>
      <c r="B235" t="s">
        <v>724</v>
      </c>
      <c r="C235">
        <v>30</v>
      </c>
      <c r="D235" t="s">
        <v>22</v>
      </c>
      <c r="E235" t="s">
        <v>23</v>
      </c>
      <c r="F235" t="s">
        <v>46</v>
      </c>
      <c r="G235">
        <v>30373</v>
      </c>
      <c r="H235">
        <v>402</v>
      </c>
      <c r="I235">
        <v>61475</v>
      </c>
      <c r="J235">
        <v>22.71</v>
      </c>
      <c r="K235">
        <v>120</v>
      </c>
      <c r="L235" t="s">
        <v>86</v>
      </c>
      <c r="M235">
        <v>48.1</v>
      </c>
      <c r="N235">
        <v>60518</v>
      </c>
      <c r="O235">
        <v>156986</v>
      </c>
      <c r="P235" t="s">
        <v>725</v>
      </c>
      <c r="Q235" t="s">
        <v>27</v>
      </c>
      <c r="R235" t="s">
        <v>28</v>
      </c>
      <c r="S235" t="s">
        <v>68</v>
      </c>
      <c r="T235">
        <v>628.63</v>
      </c>
      <c r="U235">
        <f t="shared" si="42"/>
        <v>1767</v>
      </c>
      <c r="V235">
        <f t="shared" si="43"/>
        <v>629</v>
      </c>
      <c r="W235">
        <f t="shared" si="44"/>
        <v>569</v>
      </c>
      <c r="X235">
        <f t="shared" si="45"/>
        <v>0.35149999999999998</v>
      </c>
      <c r="Y235" s="1">
        <f t="shared" si="46"/>
        <v>91337031</v>
      </c>
      <c r="Z235">
        <f t="shared" si="47"/>
        <v>51690.453310696095</v>
      </c>
      <c r="AA235">
        <f t="shared" si="48"/>
        <v>99996</v>
      </c>
      <c r="AB235">
        <f t="shared" si="49"/>
        <v>5091</v>
      </c>
      <c r="AC235">
        <f t="shared" si="50"/>
        <v>2384368.9200000013</v>
      </c>
      <c r="AD235">
        <f t="shared" si="51"/>
        <v>1349.3881833616306</v>
      </c>
      <c r="AE235">
        <f t="shared" si="52"/>
        <v>0.35149999999999998</v>
      </c>
      <c r="AF235">
        <f t="shared" si="53"/>
        <v>2098393001.710001</v>
      </c>
      <c r="AG235" t="str">
        <f t="shared" si="54"/>
        <v>Active</v>
      </c>
      <c r="AH235">
        <f t="shared" si="55"/>
        <v>7543.5599999999995</v>
      </c>
    </row>
    <row r="236" spans="1:34" x14ac:dyDescent="0.35">
      <c r="A236" t="s">
        <v>726</v>
      </c>
      <c r="B236" t="s">
        <v>727</v>
      </c>
      <c r="C236">
        <v>22</v>
      </c>
      <c r="D236" t="s">
        <v>22</v>
      </c>
      <c r="E236" t="s">
        <v>23</v>
      </c>
      <c r="F236" t="s">
        <v>59</v>
      </c>
      <c r="G236">
        <v>29553</v>
      </c>
      <c r="H236">
        <v>728</v>
      </c>
      <c r="I236">
        <v>51647</v>
      </c>
      <c r="J236">
        <v>18.8</v>
      </c>
      <c r="K236">
        <v>60</v>
      </c>
      <c r="L236" t="s">
        <v>86</v>
      </c>
      <c r="M236">
        <v>59.03</v>
      </c>
      <c r="N236">
        <v>72600</v>
      </c>
      <c r="O236">
        <v>82439</v>
      </c>
      <c r="P236" t="s">
        <v>728</v>
      </c>
      <c r="Q236" t="s">
        <v>42</v>
      </c>
      <c r="R236" t="s">
        <v>28</v>
      </c>
      <c r="S236" t="s">
        <v>35</v>
      </c>
      <c r="T236">
        <v>1022.61</v>
      </c>
      <c r="U236">
        <f t="shared" si="42"/>
        <v>1766</v>
      </c>
      <c r="V236">
        <f t="shared" si="43"/>
        <v>629</v>
      </c>
      <c r="W236">
        <f t="shared" si="44"/>
        <v>569</v>
      </c>
      <c r="X236">
        <f t="shared" si="45"/>
        <v>0.35149999999999998</v>
      </c>
      <c r="Y236" s="1">
        <f t="shared" si="46"/>
        <v>91275556</v>
      </c>
      <c r="Z236">
        <f t="shared" si="47"/>
        <v>51684.912797281992</v>
      </c>
      <c r="AA236">
        <f t="shared" si="48"/>
        <v>99996</v>
      </c>
      <c r="AB236">
        <f t="shared" si="49"/>
        <v>5091</v>
      </c>
      <c r="AC236">
        <f t="shared" si="50"/>
        <v>2383740.2900000019</v>
      </c>
      <c r="AD236">
        <f t="shared" si="51"/>
        <v>1349.7963137032853</v>
      </c>
      <c r="AE236">
        <f t="shared" si="52"/>
        <v>0.35149999999999998</v>
      </c>
      <c r="AF236">
        <f t="shared" si="53"/>
        <v>2096008632.7900012</v>
      </c>
      <c r="AG236" t="str">
        <f t="shared" si="54"/>
        <v>Active</v>
      </c>
      <c r="AH236">
        <f t="shared" si="55"/>
        <v>12271.32</v>
      </c>
    </row>
    <row r="237" spans="1:34" x14ac:dyDescent="0.35">
      <c r="A237" t="s">
        <v>729</v>
      </c>
      <c r="B237" t="s">
        <v>730</v>
      </c>
      <c r="C237">
        <v>52</v>
      </c>
      <c r="D237" t="s">
        <v>38</v>
      </c>
      <c r="E237" t="s">
        <v>39</v>
      </c>
      <c r="F237" t="s">
        <v>59</v>
      </c>
      <c r="G237">
        <v>47438</v>
      </c>
      <c r="H237">
        <v>460</v>
      </c>
      <c r="I237">
        <v>78363</v>
      </c>
      <c r="J237">
        <v>19.5</v>
      </c>
      <c r="K237">
        <v>120</v>
      </c>
      <c r="L237" t="s">
        <v>40</v>
      </c>
      <c r="M237">
        <v>19.8</v>
      </c>
      <c r="N237">
        <v>6829</v>
      </c>
      <c r="O237">
        <v>100653</v>
      </c>
      <c r="P237" t="s">
        <v>731</v>
      </c>
      <c r="Q237" t="s">
        <v>61</v>
      </c>
      <c r="R237" t="s">
        <v>48</v>
      </c>
      <c r="S237" t="s">
        <v>49</v>
      </c>
      <c r="T237">
        <v>780.36</v>
      </c>
      <c r="U237">
        <f t="shared" si="42"/>
        <v>1765</v>
      </c>
      <c r="V237">
        <f t="shared" si="43"/>
        <v>628</v>
      </c>
      <c r="W237">
        <f t="shared" si="44"/>
        <v>569</v>
      </c>
      <c r="X237">
        <f t="shared" si="45"/>
        <v>0.35149999999999998</v>
      </c>
      <c r="Y237" s="1">
        <f t="shared" si="46"/>
        <v>91223909</v>
      </c>
      <c r="Z237">
        <f t="shared" si="47"/>
        <v>51684.934277620399</v>
      </c>
      <c r="AA237">
        <f t="shared" si="48"/>
        <v>99996</v>
      </c>
      <c r="AB237">
        <f t="shared" si="49"/>
        <v>5091</v>
      </c>
      <c r="AC237">
        <f t="shared" si="50"/>
        <v>2382717.680000002</v>
      </c>
      <c r="AD237">
        <f t="shared" si="51"/>
        <v>1349.9816883852702</v>
      </c>
      <c r="AE237">
        <f t="shared" si="52"/>
        <v>0.35149999999999998</v>
      </c>
      <c r="AF237">
        <f t="shared" si="53"/>
        <v>2093624892.5000012</v>
      </c>
      <c r="AG237" t="str">
        <f t="shared" si="54"/>
        <v>Active</v>
      </c>
      <c r="AH237">
        <f t="shared" si="55"/>
        <v>9364.32</v>
      </c>
    </row>
    <row r="238" spans="1:34" x14ac:dyDescent="0.35">
      <c r="A238" t="s">
        <v>732</v>
      </c>
      <c r="B238" t="s">
        <v>733</v>
      </c>
      <c r="C238">
        <v>50</v>
      </c>
      <c r="D238" t="s">
        <v>22</v>
      </c>
      <c r="E238" t="s">
        <v>32</v>
      </c>
      <c r="F238" t="s">
        <v>24</v>
      </c>
      <c r="G238">
        <v>42500</v>
      </c>
      <c r="H238">
        <v>850</v>
      </c>
      <c r="I238">
        <v>72358</v>
      </c>
      <c r="J238">
        <v>16.440000000000001</v>
      </c>
      <c r="K238">
        <v>12</v>
      </c>
      <c r="L238" t="s">
        <v>86</v>
      </c>
      <c r="M238">
        <v>12.8</v>
      </c>
      <c r="N238">
        <v>57227</v>
      </c>
      <c r="O238">
        <v>245986</v>
      </c>
      <c r="P238" t="s">
        <v>734</v>
      </c>
      <c r="Q238" t="s">
        <v>61</v>
      </c>
      <c r="R238" t="s">
        <v>28</v>
      </c>
      <c r="S238" t="s">
        <v>68</v>
      </c>
      <c r="T238">
        <v>7021.14</v>
      </c>
      <c r="U238">
        <f t="shared" si="42"/>
        <v>1764</v>
      </c>
      <c r="V238">
        <f t="shared" si="43"/>
        <v>628</v>
      </c>
      <c r="W238">
        <f t="shared" si="44"/>
        <v>568</v>
      </c>
      <c r="X238">
        <f t="shared" si="45"/>
        <v>0.35149999999999998</v>
      </c>
      <c r="Y238" s="1">
        <f t="shared" si="46"/>
        <v>91145546</v>
      </c>
      <c r="Z238">
        <f t="shared" si="47"/>
        <v>51669.810657596368</v>
      </c>
      <c r="AA238">
        <f t="shared" si="48"/>
        <v>99996</v>
      </c>
      <c r="AB238">
        <f t="shared" si="49"/>
        <v>5091</v>
      </c>
      <c r="AC238">
        <f t="shared" si="50"/>
        <v>2381937.3200000022</v>
      </c>
      <c r="AD238">
        <f t="shared" si="51"/>
        <v>1350.3046031746044</v>
      </c>
      <c r="AE238">
        <f t="shared" si="52"/>
        <v>0.35149999999999998</v>
      </c>
      <c r="AF238">
        <f t="shared" si="53"/>
        <v>2091242174.8200009</v>
      </c>
      <c r="AG238" t="str">
        <f t="shared" si="54"/>
        <v>Active</v>
      </c>
      <c r="AH238">
        <f t="shared" si="55"/>
        <v>84253.680000000008</v>
      </c>
    </row>
    <row r="239" spans="1:34" x14ac:dyDescent="0.35">
      <c r="A239" t="s">
        <v>735</v>
      </c>
      <c r="B239" t="s">
        <v>736</v>
      </c>
      <c r="C239">
        <v>56</v>
      </c>
      <c r="D239" t="s">
        <v>22</v>
      </c>
      <c r="E239" t="s">
        <v>32</v>
      </c>
      <c r="F239" t="s">
        <v>24</v>
      </c>
      <c r="G239">
        <v>113241</v>
      </c>
      <c r="H239">
        <v>397</v>
      </c>
      <c r="I239">
        <v>68759</v>
      </c>
      <c r="J239">
        <v>17.100000000000001</v>
      </c>
      <c r="K239">
        <v>60</v>
      </c>
      <c r="L239" t="s">
        <v>33</v>
      </c>
      <c r="M239">
        <v>27.73</v>
      </c>
      <c r="N239">
        <v>39443</v>
      </c>
      <c r="O239">
        <v>90982</v>
      </c>
      <c r="P239" t="s">
        <v>737</v>
      </c>
      <c r="Q239" t="s">
        <v>27</v>
      </c>
      <c r="R239" t="s">
        <v>48</v>
      </c>
      <c r="S239" t="s">
        <v>43</v>
      </c>
      <c r="T239">
        <v>1341.95</v>
      </c>
      <c r="U239">
        <f t="shared" si="42"/>
        <v>1763</v>
      </c>
      <c r="V239">
        <f t="shared" si="43"/>
        <v>628</v>
      </c>
      <c r="W239">
        <f t="shared" si="44"/>
        <v>567</v>
      </c>
      <c r="X239">
        <f t="shared" si="45"/>
        <v>0.35149999999999998</v>
      </c>
      <c r="Y239" s="1">
        <f t="shared" si="46"/>
        <v>91073188</v>
      </c>
      <c r="Z239">
        <f t="shared" si="47"/>
        <v>51658.076006806579</v>
      </c>
      <c r="AA239">
        <f t="shared" si="48"/>
        <v>99996</v>
      </c>
      <c r="AB239">
        <f t="shared" si="49"/>
        <v>5091</v>
      </c>
      <c r="AC239">
        <f t="shared" si="50"/>
        <v>2374916.180000002</v>
      </c>
      <c r="AD239">
        <f t="shared" si="51"/>
        <v>1347.0880204197401</v>
      </c>
      <c r="AE239">
        <f t="shared" si="52"/>
        <v>0.35149999999999998</v>
      </c>
      <c r="AF239">
        <f t="shared" si="53"/>
        <v>2088860237.5000012</v>
      </c>
      <c r="AG239" t="str">
        <f t="shared" si="54"/>
        <v>Over Paid</v>
      </c>
      <c r="AH239">
        <f t="shared" si="55"/>
        <v>16103.400000000001</v>
      </c>
    </row>
    <row r="240" spans="1:34" x14ac:dyDescent="0.35">
      <c r="A240" t="s">
        <v>738</v>
      </c>
      <c r="B240" t="s">
        <v>739</v>
      </c>
      <c r="C240">
        <v>34</v>
      </c>
      <c r="D240" t="s">
        <v>22</v>
      </c>
      <c r="E240" t="s">
        <v>32</v>
      </c>
      <c r="F240" t="s">
        <v>59</v>
      </c>
      <c r="G240">
        <v>186448</v>
      </c>
      <c r="H240">
        <v>848</v>
      </c>
      <c r="I240">
        <v>8363</v>
      </c>
      <c r="J240">
        <v>13.28</v>
      </c>
      <c r="K240">
        <v>60</v>
      </c>
      <c r="L240" t="s">
        <v>33</v>
      </c>
      <c r="M240">
        <v>15.59</v>
      </c>
      <c r="N240">
        <v>72169</v>
      </c>
      <c r="O240">
        <v>87723</v>
      </c>
      <c r="P240" t="s">
        <v>740</v>
      </c>
      <c r="Q240" t="s">
        <v>61</v>
      </c>
      <c r="R240" t="s">
        <v>48</v>
      </c>
      <c r="S240" t="s">
        <v>68</v>
      </c>
      <c r="T240">
        <v>157.88999999999999</v>
      </c>
      <c r="U240">
        <f t="shared" si="42"/>
        <v>1762</v>
      </c>
      <c r="V240">
        <f t="shared" si="43"/>
        <v>628</v>
      </c>
      <c r="W240">
        <f t="shared" si="44"/>
        <v>567</v>
      </c>
      <c r="X240">
        <f t="shared" si="45"/>
        <v>0.35149999999999998</v>
      </c>
      <c r="Y240" s="1">
        <f t="shared" si="46"/>
        <v>91004429</v>
      </c>
      <c r="Z240">
        <f t="shared" si="47"/>
        <v>51648.3706015891</v>
      </c>
      <c r="AA240">
        <f t="shared" si="48"/>
        <v>99996</v>
      </c>
      <c r="AB240">
        <f t="shared" si="49"/>
        <v>5091</v>
      </c>
      <c r="AC240">
        <f t="shared" si="50"/>
        <v>2373574.2300000018</v>
      </c>
      <c r="AD240">
        <f t="shared" si="51"/>
        <v>1347.0909364358695</v>
      </c>
      <c r="AE240">
        <f t="shared" si="52"/>
        <v>0.35149999999999998</v>
      </c>
      <c r="AF240">
        <f t="shared" si="53"/>
        <v>2086485321.3200014</v>
      </c>
      <c r="AG240" t="str">
        <f t="shared" si="54"/>
        <v>Active</v>
      </c>
      <c r="AH240">
        <f t="shared" si="55"/>
        <v>1894.6799999999998</v>
      </c>
    </row>
    <row r="241" spans="1:34" x14ac:dyDescent="0.35">
      <c r="A241" t="s">
        <v>741</v>
      </c>
      <c r="B241" t="s">
        <v>742</v>
      </c>
      <c r="C241">
        <v>51</v>
      </c>
      <c r="D241" t="s">
        <v>22</v>
      </c>
      <c r="E241" t="s">
        <v>32</v>
      </c>
      <c r="F241" t="s">
        <v>46</v>
      </c>
      <c r="G241">
        <v>144159</v>
      </c>
      <c r="H241">
        <v>409</v>
      </c>
      <c r="I241">
        <v>96567</v>
      </c>
      <c r="J241">
        <v>10.58</v>
      </c>
      <c r="K241">
        <v>60</v>
      </c>
      <c r="L241" t="s">
        <v>25</v>
      </c>
      <c r="M241">
        <v>9.07</v>
      </c>
      <c r="N241">
        <v>76799</v>
      </c>
      <c r="O241">
        <v>221606</v>
      </c>
      <c r="P241" t="s">
        <v>743</v>
      </c>
      <c r="Q241" t="s">
        <v>42</v>
      </c>
      <c r="R241" t="s">
        <v>28</v>
      </c>
      <c r="S241" t="s">
        <v>35</v>
      </c>
      <c r="T241">
        <v>1779.73</v>
      </c>
      <c r="U241">
        <f t="shared" si="42"/>
        <v>1761</v>
      </c>
      <c r="V241">
        <f t="shared" si="43"/>
        <v>628</v>
      </c>
      <c r="W241">
        <f t="shared" si="44"/>
        <v>566</v>
      </c>
      <c r="X241">
        <f t="shared" si="45"/>
        <v>0.35149999999999998</v>
      </c>
      <c r="Y241" s="1">
        <f t="shared" si="46"/>
        <v>90996066</v>
      </c>
      <c r="Z241">
        <f t="shared" si="47"/>
        <v>51672.950596252129</v>
      </c>
      <c r="AA241">
        <f t="shared" si="48"/>
        <v>99996</v>
      </c>
      <c r="AB241">
        <f t="shared" si="49"/>
        <v>5091</v>
      </c>
      <c r="AC241">
        <f t="shared" si="50"/>
        <v>2373416.3400000022</v>
      </c>
      <c r="AD241">
        <f t="shared" si="51"/>
        <v>1347.766235093698</v>
      </c>
      <c r="AE241">
        <f t="shared" si="52"/>
        <v>0.35149999999999998</v>
      </c>
      <c r="AF241">
        <f t="shared" si="53"/>
        <v>2084111747.0900013</v>
      </c>
      <c r="AG241" t="str">
        <f t="shared" si="54"/>
        <v>Active</v>
      </c>
      <c r="AH241">
        <f t="shared" si="55"/>
        <v>21356.760000000002</v>
      </c>
    </row>
    <row r="242" spans="1:34" x14ac:dyDescent="0.35">
      <c r="A242" t="s">
        <v>744</v>
      </c>
      <c r="B242" t="s">
        <v>745</v>
      </c>
      <c r="C242">
        <v>59</v>
      </c>
      <c r="D242" t="s">
        <v>22</v>
      </c>
      <c r="E242" t="s">
        <v>39</v>
      </c>
      <c r="F242" t="s">
        <v>46</v>
      </c>
      <c r="G242">
        <v>75998</v>
      </c>
      <c r="H242">
        <v>517</v>
      </c>
      <c r="I242">
        <v>79572</v>
      </c>
      <c r="J242">
        <v>9.6300000000000008</v>
      </c>
      <c r="K242">
        <v>48</v>
      </c>
      <c r="L242" t="s">
        <v>86</v>
      </c>
      <c r="M242">
        <v>17.87</v>
      </c>
      <c r="N242">
        <v>74532</v>
      </c>
      <c r="O242">
        <v>71258</v>
      </c>
      <c r="P242" t="s">
        <v>171</v>
      </c>
      <c r="Q242" t="s">
        <v>42</v>
      </c>
      <c r="R242" t="s">
        <v>28</v>
      </c>
      <c r="S242" t="s">
        <v>35</v>
      </c>
      <c r="T242">
        <v>1817.39</v>
      </c>
      <c r="U242">
        <f t="shared" si="42"/>
        <v>1760</v>
      </c>
      <c r="V242">
        <f t="shared" si="43"/>
        <v>627</v>
      </c>
      <c r="W242">
        <f t="shared" si="44"/>
        <v>566</v>
      </c>
      <c r="X242">
        <f t="shared" si="45"/>
        <v>0.35149999999999998</v>
      </c>
      <c r="Y242" s="1">
        <f t="shared" si="46"/>
        <v>90899499</v>
      </c>
      <c r="Z242">
        <f t="shared" si="47"/>
        <v>51647.442613636362</v>
      </c>
      <c r="AA242">
        <f t="shared" si="48"/>
        <v>99996</v>
      </c>
      <c r="AB242">
        <f t="shared" si="49"/>
        <v>5091</v>
      </c>
      <c r="AC242">
        <f t="shared" si="50"/>
        <v>2371636.6100000017</v>
      </c>
      <c r="AD242">
        <f t="shared" si="51"/>
        <v>1347.5208011363645</v>
      </c>
      <c r="AE242">
        <f t="shared" si="52"/>
        <v>0.35149999999999998</v>
      </c>
      <c r="AF242">
        <f t="shared" si="53"/>
        <v>2081738330.7500014</v>
      </c>
      <c r="AG242" t="str">
        <f t="shared" si="54"/>
        <v>Active</v>
      </c>
      <c r="AH242">
        <f t="shared" si="55"/>
        <v>21808.68</v>
      </c>
    </row>
    <row r="243" spans="1:34" x14ac:dyDescent="0.35">
      <c r="A243" t="s">
        <v>746</v>
      </c>
      <c r="B243" t="s">
        <v>747</v>
      </c>
      <c r="C243">
        <v>57</v>
      </c>
      <c r="D243" t="s">
        <v>22</v>
      </c>
      <c r="E243" t="s">
        <v>23</v>
      </c>
      <c r="F243" t="s">
        <v>46</v>
      </c>
      <c r="G243">
        <v>73871</v>
      </c>
      <c r="H243">
        <v>731</v>
      </c>
      <c r="I243">
        <v>87023</v>
      </c>
      <c r="J243">
        <v>18.54</v>
      </c>
      <c r="K243">
        <v>360</v>
      </c>
      <c r="L243" t="s">
        <v>40</v>
      </c>
      <c r="M243">
        <v>59.03</v>
      </c>
      <c r="N243">
        <v>19123</v>
      </c>
      <c r="O243">
        <v>162002</v>
      </c>
      <c r="P243" t="s">
        <v>684</v>
      </c>
      <c r="Q243" t="s">
        <v>27</v>
      </c>
      <c r="R243" t="s">
        <v>28</v>
      </c>
      <c r="S243" t="s">
        <v>49</v>
      </c>
      <c r="T243">
        <v>286.55</v>
      </c>
      <c r="U243">
        <f t="shared" si="42"/>
        <v>1759</v>
      </c>
      <c r="V243">
        <f t="shared" si="43"/>
        <v>626</v>
      </c>
      <c r="W243">
        <f t="shared" si="44"/>
        <v>566</v>
      </c>
      <c r="X243">
        <f t="shared" si="45"/>
        <v>0.35149999999999998</v>
      </c>
      <c r="Y243" s="1">
        <f t="shared" si="46"/>
        <v>90819927</v>
      </c>
      <c r="Z243">
        <f t="shared" si="47"/>
        <v>51631.567367822623</v>
      </c>
      <c r="AA243">
        <f t="shared" si="48"/>
        <v>99996</v>
      </c>
      <c r="AB243">
        <f t="shared" si="49"/>
        <v>5091</v>
      </c>
      <c r="AC243">
        <f t="shared" si="50"/>
        <v>2369819.2200000016</v>
      </c>
      <c r="AD243">
        <f t="shared" si="51"/>
        <v>1347.2536782262659</v>
      </c>
      <c r="AE243">
        <f t="shared" si="52"/>
        <v>0.35149999999999998</v>
      </c>
      <c r="AF243">
        <f t="shared" si="53"/>
        <v>2079366694.1400015</v>
      </c>
      <c r="AG243" t="str">
        <f t="shared" si="54"/>
        <v>Active</v>
      </c>
      <c r="AH243">
        <f t="shared" si="55"/>
        <v>3438.6000000000004</v>
      </c>
    </row>
    <row r="244" spans="1:34" x14ac:dyDescent="0.35">
      <c r="A244" t="s">
        <v>748</v>
      </c>
      <c r="B244" t="s">
        <v>749</v>
      </c>
      <c r="C244">
        <v>39</v>
      </c>
      <c r="D244" t="s">
        <v>38</v>
      </c>
      <c r="E244" t="s">
        <v>32</v>
      </c>
      <c r="F244" t="s">
        <v>46</v>
      </c>
      <c r="G244">
        <v>46383</v>
      </c>
      <c r="H244">
        <v>479</v>
      </c>
      <c r="I244">
        <v>19773</v>
      </c>
      <c r="J244">
        <v>22.28</v>
      </c>
      <c r="K244">
        <v>240</v>
      </c>
      <c r="L244" t="s">
        <v>40</v>
      </c>
      <c r="M244">
        <v>18.86</v>
      </c>
      <c r="N244">
        <v>49134</v>
      </c>
      <c r="O244">
        <v>168238</v>
      </c>
      <c r="P244" t="s">
        <v>750</v>
      </c>
      <c r="Q244" t="s">
        <v>42</v>
      </c>
      <c r="R244" t="s">
        <v>28</v>
      </c>
      <c r="S244" t="s">
        <v>35</v>
      </c>
      <c r="T244">
        <v>100.74</v>
      </c>
      <c r="U244">
        <f t="shared" si="42"/>
        <v>1758</v>
      </c>
      <c r="V244">
        <f t="shared" si="43"/>
        <v>626</v>
      </c>
      <c r="W244">
        <f t="shared" si="44"/>
        <v>566</v>
      </c>
      <c r="X244">
        <f t="shared" si="45"/>
        <v>0.35149999999999998</v>
      </c>
      <c r="Y244" s="1">
        <f t="shared" si="46"/>
        <v>90732904</v>
      </c>
      <c r="Z244">
        <f t="shared" si="47"/>
        <v>51611.435722411828</v>
      </c>
      <c r="AA244">
        <f t="shared" si="48"/>
        <v>99996</v>
      </c>
      <c r="AB244">
        <f t="shared" si="49"/>
        <v>5091</v>
      </c>
      <c r="AC244">
        <f t="shared" si="50"/>
        <v>2369532.6700000018</v>
      </c>
      <c r="AD244">
        <f t="shared" si="51"/>
        <v>1347.8570364050067</v>
      </c>
      <c r="AE244">
        <f t="shared" si="52"/>
        <v>0.35149999999999998</v>
      </c>
      <c r="AF244">
        <f t="shared" si="53"/>
        <v>2076996874.9200013</v>
      </c>
      <c r="AG244" t="str">
        <f t="shared" si="54"/>
        <v>Active</v>
      </c>
      <c r="AH244">
        <f t="shared" si="55"/>
        <v>1208.8799999999999</v>
      </c>
    </row>
    <row r="245" spans="1:34" x14ac:dyDescent="0.35">
      <c r="A245" t="s">
        <v>751</v>
      </c>
      <c r="B245" t="s">
        <v>752</v>
      </c>
      <c r="C245">
        <v>21</v>
      </c>
      <c r="D245" t="s">
        <v>38</v>
      </c>
      <c r="E245" t="s">
        <v>23</v>
      </c>
      <c r="F245" t="s">
        <v>24</v>
      </c>
      <c r="G245">
        <v>139864</v>
      </c>
      <c r="H245">
        <v>667</v>
      </c>
      <c r="I245">
        <v>98036</v>
      </c>
      <c r="J245">
        <v>12.65</v>
      </c>
      <c r="K245">
        <v>48</v>
      </c>
      <c r="L245" t="s">
        <v>86</v>
      </c>
      <c r="M245">
        <v>23.61</v>
      </c>
      <c r="N245">
        <v>47589</v>
      </c>
      <c r="O245">
        <v>229411</v>
      </c>
      <c r="P245" t="s">
        <v>753</v>
      </c>
      <c r="Q245" t="s">
        <v>61</v>
      </c>
      <c r="R245" t="s">
        <v>28</v>
      </c>
      <c r="S245" t="s">
        <v>43</v>
      </c>
      <c r="T245">
        <v>2300.7800000000002</v>
      </c>
      <c r="U245">
        <f t="shared" si="42"/>
        <v>1757</v>
      </c>
      <c r="V245">
        <f t="shared" si="43"/>
        <v>625</v>
      </c>
      <c r="W245">
        <f t="shared" si="44"/>
        <v>566</v>
      </c>
      <c r="X245">
        <f t="shared" si="45"/>
        <v>0.35149999999999998</v>
      </c>
      <c r="Y245" s="1">
        <f t="shared" si="46"/>
        <v>90713131</v>
      </c>
      <c r="Z245">
        <f t="shared" si="47"/>
        <v>51629.556630620376</v>
      </c>
      <c r="AA245">
        <f t="shared" si="48"/>
        <v>99996</v>
      </c>
      <c r="AB245">
        <f t="shared" si="49"/>
        <v>5091</v>
      </c>
      <c r="AC245">
        <f t="shared" si="50"/>
        <v>2369431.930000002</v>
      </c>
      <c r="AD245">
        <f t="shared" si="51"/>
        <v>1348.5668355150838</v>
      </c>
      <c r="AE245">
        <f t="shared" si="52"/>
        <v>0.35149999999999998</v>
      </c>
      <c r="AF245">
        <f t="shared" si="53"/>
        <v>2074627342.2500014</v>
      </c>
      <c r="AG245" t="str">
        <f t="shared" si="54"/>
        <v>Active</v>
      </c>
      <c r="AH245">
        <f t="shared" si="55"/>
        <v>27609.360000000001</v>
      </c>
    </row>
    <row r="246" spans="1:34" x14ac:dyDescent="0.35">
      <c r="A246" t="s">
        <v>754</v>
      </c>
      <c r="B246" t="s">
        <v>755</v>
      </c>
      <c r="C246">
        <v>43</v>
      </c>
      <c r="D246" t="s">
        <v>38</v>
      </c>
      <c r="E246" t="s">
        <v>32</v>
      </c>
      <c r="F246" t="s">
        <v>59</v>
      </c>
      <c r="G246">
        <v>107529</v>
      </c>
      <c r="H246">
        <v>705</v>
      </c>
      <c r="I246">
        <v>50181</v>
      </c>
      <c r="J246">
        <v>12.92</v>
      </c>
      <c r="K246">
        <v>12</v>
      </c>
      <c r="L246" t="s">
        <v>33</v>
      </c>
      <c r="M246">
        <v>36.07</v>
      </c>
      <c r="N246">
        <v>42960</v>
      </c>
      <c r="O246">
        <v>154691</v>
      </c>
      <c r="P246" t="s">
        <v>756</v>
      </c>
      <c r="Q246" t="s">
        <v>42</v>
      </c>
      <c r="R246" t="s">
        <v>28</v>
      </c>
      <c r="S246" t="s">
        <v>43</v>
      </c>
      <c r="T246">
        <v>4722.03</v>
      </c>
      <c r="U246">
        <f t="shared" si="42"/>
        <v>1756</v>
      </c>
      <c r="V246">
        <f t="shared" si="43"/>
        <v>625</v>
      </c>
      <c r="W246">
        <f t="shared" si="44"/>
        <v>565</v>
      </c>
      <c r="X246">
        <f t="shared" si="45"/>
        <v>0.35149999999999998</v>
      </c>
      <c r="Y246" s="1">
        <f t="shared" si="46"/>
        <v>90615095</v>
      </c>
      <c r="Z246">
        <f t="shared" si="47"/>
        <v>51603.129271070618</v>
      </c>
      <c r="AA246">
        <f t="shared" si="48"/>
        <v>99996</v>
      </c>
      <c r="AB246">
        <f t="shared" si="49"/>
        <v>5091</v>
      </c>
      <c r="AC246">
        <f t="shared" si="50"/>
        <v>2367131.1500000018</v>
      </c>
      <c r="AD246">
        <f t="shared" si="51"/>
        <v>1348.0245728929394</v>
      </c>
      <c r="AE246">
        <f t="shared" si="52"/>
        <v>0.35149999999999998</v>
      </c>
      <c r="AF246">
        <f t="shared" si="53"/>
        <v>2072257910.3200014</v>
      </c>
      <c r="AG246" t="str">
        <f t="shared" si="54"/>
        <v>Active</v>
      </c>
      <c r="AH246">
        <f t="shared" si="55"/>
        <v>56664.36</v>
      </c>
    </row>
    <row r="247" spans="1:34" x14ac:dyDescent="0.35">
      <c r="A247" t="s">
        <v>757</v>
      </c>
      <c r="B247" t="s">
        <v>758</v>
      </c>
      <c r="C247">
        <v>41</v>
      </c>
      <c r="D247" t="s">
        <v>38</v>
      </c>
      <c r="E247" t="s">
        <v>32</v>
      </c>
      <c r="F247" t="s">
        <v>46</v>
      </c>
      <c r="G247">
        <v>47235</v>
      </c>
      <c r="H247">
        <v>435</v>
      </c>
      <c r="I247">
        <v>12707</v>
      </c>
      <c r="J247">
        <v>10.94</v>
      </c>
      <c r="K247">
        <v>120</v>
      </c>
      <c r="L247" t="s">
        <v>25</v>
      </c>
      <c r="M247">
        <v>11.74</v>
      </c>
      <c r="N247">
        <v>19538</v>
      </c>
      <c r="O247">
        <v>83596</v>
      </c>
      <c r="P247" t="s">
        <v>759</v>
      </c>
      <c r="Q247" t="s">
        <v>61</v>
      </c>
      <c r="R247" t="s">
        <v>28</v>
      </c>
      <c r="S247" t="s">
        <v>49</v>
      </c>
      <c r="T247">
        <v>117.48</v>
      </c>
      <c r="U247">
        <f t="shared" si="42"/>
        <v>1755</v>
      </c>
      <c r="V247">
        <f t="shared" si="43"/>
        <v>624</v>
      </c>
      <c r="W247">
        <f t="shared" si="44"/>
        <v>565</v>
      </c>
      <c r="X247">
        <f t="shared" si="45"/>
        <v>0.35149999999999998</v>
      </c>
      <c r="Y247" s="1">
        <f t="shared" si="46"/>
        <v>90564914</v>
      </c>
      <c r="Z247">
        <f t="shared" si="47"/>
        <v>51603.939601139602</v>
      </c>
      <c r="AA247">
        <f t="shared" si="48"/>
        <v>99996</v>
      </c>
      <c r="AB247">
        <f t="shared" si="49"/>
        <v>5091</v>
      </c>
      <c r="AC247">
        <f t="shared" si="50"/>
        <v>2362409.1200000015</v>
      </c>
      <c r="AD247">
        <f t="shared" si="51"/>
        <v>1346.1020626780635</v>
      </c>
      <c r="AE247">
        <f t="shared" si="52"/>
        <v>0.35149999999999998</v>
      </c>
      <c r="AF247">
        <f t="shared" si="53"/>
        <v>2069890779.1700015</v>
      </c>
      <c r="AG247" t="str">
        <f t="shared" si="54"/>
        <v>Over Paid</v>
      </c>
      <c r="AH247">
        <f t="shared" si="55"/>
        <v>1409.76</v>
      </c>
    </row>
    <row r="248" spans="1:34" x14ac:dyDescent="0.35">
      <c r="A248" t="s">
        <v>760</v>
      </c>
      <c r="B248" t="s">
        <v>761</v>
      </c>
      <c r="C248">
        <v>54</v>
      </c>
      <c r="D248" t="s">
        <v>38</v>
      </c>
      <c r="E248" t="s">
        <v>39</v>
      </c>
      <c r="F248" t="s">
        <v>46</v>
      </c>
      <c r="G248">
        <v>174433</v>
      </c>
      <c r="H248">
        <v>831</v>
      </c>
      <c r="I248">
        <v>93311</v>
      </c>
      <c r="J248">
        <v>13.28</v>
      </c>
      <c r="K248">
        <v>180</v>
      </c>
      <c r="L248" t="s">
        <v>52</v>
      </c>
      <c r="M248">
        <v>52.85</v>
      </c>
      <c r="N248">
        <v>10904</v>
      </c>
      <c r="O248">
        <v>239766</v>
      </c>
      <c r="P248" t="s">
        <v>762</v>
      </c>
      <c r="Q248" t="s">
        <v>61</v>
      </c>
      <c r="R248" t="s">
        <v>48</v>
      </c>
      <c r="S248" t="s">
        <v>49</v>
      </c>
      <c r="T248">
        <v>587.24</v>
      </c>
      <c r="U248">
        <f t="shared" si="42"/>
        <v>1754</v>
      </c>
      <c r="V248">
        <f t="shared" si="43"/>
        <v>624</v>
      </c>
      <c r="W248">
        <f t="shared" si="44"/>
        <v>564</v>
      </c>
      <c r="X248">
        <f t="shared" si="45"/>
        <v>0.35149999999999998</v>
      </c>
      <c r="Y248" s="1">
        <f t="shared" si="46"/>
        <v>90552207</v>
      </c>
      <c r="Z248">
        <f t="shared" si="47"/>
        <v>51626.115735461804</v>
      </c>
      <c r="AA248">
        <f t="shared" si="48"/>
        <v>99996</v>
      </c>
      <c r="AB248">
        <f t="shared" si="49"/>
        <v>5091</v>
      </c>
      <c r="AC248">
        <f t="shared" si="50"/>
        <v>2362291.6400000015</v>
      </c>
      <c r="AD248">
        <f t="shared" si="51"/>
        <v>1346.8025313568994</v>
      </c>
      <c r="AE248">
        <f t="shared" si="52"/>
        <v>0.35149999999999998</v>
      </c>
      <c r="AF248">
        <f t="shared" si="53"/>
        <v>2067528370.0500016</v>
      </c>
      <c r="AG248" t="str">
        <f t="shared" si="54"/>
        <v>Active</v>
      </c>
      <c r="AH248">
        <f t="shared" si="55"/>
        <v>7046.88</v>
      </c>
    </row>
    <row r="249" spans="1:34" x14ac:dyDescent="0.35">
      <c r="A249" t="s">
        <v>763</v>
      </c>
      <c r="B249" t="s">
        <v>764</v>
      </c>
      <c r="C249">
        <v>40</v>
      </c>
      <c r="D249" t="s">
        <v>22</v>
      </c>
      <c r="E249" t="s">
        <v>39</v>
      </c>
      <c r="F249" t="s">
        <v>46</v>
      </c>
      <c r="G249">
        <v>132065</v>
      </c>
      <c r="H249">
        <v>704</v>
      </c>
      <c r="I249">
        <v>71904</v>
      </c>
      <c r="J249">
        <v>9.3000000000000007</v>
      </c>
      <c r="K249">
        <v>48</v>
      </c>
      <c r="L249" t="s">
        <v>40</v>
      </c>
      <c r="M249">
        <v>39.04</v>
      </c>
      <c r="N249">
        <v>55241</v>
      </c>
      <c r="O249">
        <v>151705</v>
      </c>
      <c r="P249" t="s">
        <v>765</v>
      </c>
      <c r="Q249" t="s">
        <v>61</v>
      </c>
      <c r="R249" t="s">
        <v>28</v>
      </c>
      <c r="S249" t="s">
        <v>43</v>
      </c>
      <c r="T249">
        <v>1637.31</v>
      </c>
      <c r="U249">
        <f t="shared" si="42"/>
        <v>1753</v>
      </c>
      <c r="V249">
        <f t="shared" si="43"/>
        <v>624</v>
      </c>
      <c r="W249">
        <f t="shared" si="44"/>
        <v>563</v>
      </c>
      <c r="X249">
        <f t="shared" si="45"/>
        <v>0.35149999999999998</v>
      </c>
      <c r="Y249" s="1">
        <f t="shared" si="46"/>
        <v>90458896</v>
      </c>
      <c r="Z249">
        <f t="shared" si="47"/>
        <v>51602.336565887053</v>
      </c>
      <c r="AA249">
        <f t="shared" si="48"/>
        <v>99996</v>
      </c>
      <c r="AB249">
        <f t="shared" si="49"/>
        <v>5091</v>
      </c>
      <c r="AC249">
        <f t="shared" si="50"/>
        <v>2361704.4000000013</v>
      </c>
      <c r="AD249">
        <f t="shared" si="51"/>
        <v>1347.2358243011986</v>
      </c>
      <c r="AE249">
        <f t="shared" si="52"/>
        <v>0.35149999999999998</v>
      </c>
      <c r="AF249">
        <f t="shared" si="53"/>
        <v>2065166078.4100018</v>
      </c>
      <c r="AG249" t="str">
        <f t="shared" si="54"/>
        <v>Active</v>
      </c>
      <c r="AH249">
        <f t="shared" si="55"/>
        <v>19647.72</v>
      </c>
    </row>
    <row r="250" spans="1:34" x14ac:dyDescent="0.35">
      <c r="A250" t="s">
        <v>766</v>
      </c>
      <c r="B250" t="s">
        <v>767</v>
      </c>
      <c r="C250">
        <v>23</v>
      </c>
      <c r="D250" t="s">
        <v>22</v>
      </c>
      <c r="E250" t="s">
        <v>32</v>
      </c>
      <c r="F250" t="s">
        <v>59</v>
      </c>
      <c r="G250">
        <v>149266</v>
      </c>
      <c r="H250">
        <v>824</v>
      </c>
      <c r="I250">
        <v>36744</v>
      </c>
      <c r="J250">
        <v>7.81</v>
      </c>
      <c r="K250">
        <v>12</v>
      </c>
      <c r="L250" t="s">
        <v>40</v>
      </c>
      <c r="M250">
        <v>59.85</v>
      </c>
      <c r="N250">
        <v>1932</v>
      </c>
      <c r="O250">
        <v>219088</v>
      </c>
      <c r="P250" t="s">
        <v>768</v>
      </c>
      <c r="Q250" t="s">
        <v>61</v>
      </c>
      <c r="R250" t="s">
        <v>48</v>
      </c>
      <c r="S250" t="s">
        <v>43</v>
      </c>
      <c r="T250">
        <v>3301.14</v>
      </c>
      <c r="U250">
        <f t="shared" si="42"/>
        <v>1752</v>
      </c>
      <c r="V250">
        <f t="shared" si="43"/>
        <v>624</v>
      </c>
      <c r="W250">
        <f t="shared" si="44"/>
        <v>562</v>
      </c>
      <c r="X250">
        <f t="shared" si="45"/>
        <v>0.35149999999999998</v>
      </c>
      <c r="Y250" s="1">
        <f t="shared" si="46"/>
        <v>90386992</v>
      </c>
      <c r="Z250">
        <f t="shared" si="47"/>
        <v>51590.748858447485</v>
      </c>
      <c r="AA250">
        <f t="shared" si="48"/>
        <v>99996</v>
      </c>
      <c r="AB250">
        <f t="shared" si="49"/>
        <v>5091</v>
      </c>
      <c r="AC250">
        <f t="shared" si="50"/>
        <v>2360067.0900000022</v>
      </c>
      <c r="AD250">
        <f t="shared" si="51"/>
        <v>1347.0702568493164</v>
      </c>
      <c r="AE250">
        <f t="shared" si="52"/>
        <v>0.35149999999999998</v>
      </c>
      <c r="AF250">
        <f t="shared" si="53"/>
        <v>2062804374.0100019</v>
      </c>
      <c r="AG250" t="str">
        <f t="shared" si="54"/>
        <v>Active</v>
      </c>
      <c r="AH250">
        <f t="shared" si="55"/>
        <v>39613.68</v>
      </c>
    </row>
    <row r="251" spans="1:34" x14ac:dyDescent="0.35">
      <c r="A251" t="s">
        <v>769</v>
      </c>
      <c r="B251" t="s">
        <v>770</v>
      </c>
      <c r="C251">
        <v>42</v>
      </c>
      <c r="D251" t="s">
        <v>38</v>
      </c>
      <c r="E251" t="s">
        <v>32</v>
      </c>
      <c r="F251" t="s">
        <v>46</v>
      </c>
      <c r="G251">
        <v>167650</v>
      </c>
      <c r="H251">
        <v>438</v>
      </c>
      <c r="I251">
        <v>23692</v>
      </c>
      <c r="J251">
        <v>23.83</v>
      </c>
      <c r="K251">
        <v>60</v>
      </c>
      <c r="L251" t="s">
        <v>33</v>
      </c>
      <c r="M251">
        <v>35.659999999999997</v>
      </c>
      <c r="N251">
        <v>38460</v>
      </c>
      <c r="O251">
        <v>57700</v>
      </c>
      <c r="P251" t="s">
        <v>771</v>
      </c>
      <c r="Q251" t="s">
        <v>42</v>
      </c>
      <c r="R251" t="s">
        <v>48</v>
      </c>
      <c r="S251" t="s">
        <v>43</v>
      </c>
      <c r="T251">
        <v>488.96</v>
      </c>
      <c r="U251">
        <f t="shared" si="42"/>
        <v>1751</v>
      </c>
      <c r="V251">
        <f t="shared" si="43"/>
        <v>624</v>
      </c>
      <c r="W251">
        <f t="shared" si="44"/>
        <v>561</v>
      </c>
      <c r="X251">
        <f t="shared" si="45"/>
        <v>0.35149999999999998</v>
      </c>
      <c r="Y251" s="1">
        <f t="shared" si="46"/>
        <v>90350248</v>
      </c>
      <c r="Z251">
        <f t="shared" si="47"/>
        <v>51599.227869788694</v>
      </c>
      <c r="AA251">
        <f t="shared" si="48"/>
        <v>99996</v>
      </c>
      <c r="AB251">
        <f t="shared" si="49"/>
        <v>5091</v>
      </c>
      <c r="AC251">
        <f t="shared" si="50"/>
        <v>2356765.950000002</v>
      </c>
      <c r="AD251">
        <f t="shared" si="51"/>
        <v>1345.9542832667059</v>
      </c>
      <c r="AE251">
        <f t="shared" si="52"/>
        <v>0.35149999999999998</v>
      </c>
      <c r="AF251">
        <f t="shared" si="53"/>
        <v>2060444306.9200015</v>
      </c>
      <c r="AG251" t="str">
        <f t="shared" si="54"/>
        <v>Over Paid</v>
      </c>
      <c r="AH251">
        <f t="shared" si="55"/>
        <v>5867.5199999999995</v>
      </c>
    </row>
    <row r="252" spans="1:34" x14ac:dyDescent="0.35">
      <c r="A252" t="s">
        <v>772</v>
      </c>
      <c r="B252" t="s">
        <v>773</v>
      </c>
      <c r="C252">
        <v>53</v>
      </c>
      <c r="D252" t="s">
        <v>38</v>
      </c>
      <c r="E252" t="s">
        <v>39</v>
      </c>
      <c r="F252" t="s">
        <v>46</v>
      </c>
      <c r="G252">
        <v>117381</v>
      </c>
      <c r="H252">
        <v>655</v>
      </c>
      <c r="I252">
        <v>95535</v>
      </c>
      <c r="J252">
        <v>12.41</v>
      </c>
      <c r="K252">
        <v>360</v>
      </c>
      <c r="L252" t="s">
        <v>25</v>
      </c>
      <c r="M252">
        <v>6.38</v>
      </c>
      <c r="N252">
        <v>14658</v>
      </c>
      <c r="O252">
        <v>240267</v>
      </c>
      <c r="P252" t="s">
        <v>774</v>
      </c>
      <c r="Q252" t="s">
        <v>61</v>
      </c>
      <c r="R252" t="s">
        <v>28</v>
      </c>
      <c r="S252" t="s">
        <v>68</v>
      </c>
      <c r="T252">
        <v>298.31</v>
      </c>
      <c r="U252">
        <f t="shared" si="42"/>
        <v>1750</v>
      </c>
      <c r="V252">
        <f t="shared" si="43"/>
        <v>623</v>
      </c>
      <c r="W252">
        <f t="shared" si="44"/>
        <v>561</v>
      </c>
      <c r="X252">
        <f t="shared" si="45"/>
        <v>0.35149999999999998</v>
      </c>
      <c r="Y252" s="1">
        <f t="shared" si="46"/>
        <v>90326556</v>
      </c>
      <c r="Z252">
        <f t="shared" si="47"/>
        <v>51615.174857142854</v>
      </c>
      <c r="AA252">
        <f t="shared" si="48"/>
        <v>99996</v>
      </c>
      <c r="AB252">
        <f t="shared" si="49"/>
        <v>5091</v>
      </c>
      <c r="AC252">
        <f t="shared" si="50"/>
        <v>2356276.9900000021</v>
      </c>
      <c r="AD252">
        <f t="shared" si="51"/>
        <v>1346.4439942857155</v>
      </c>
      <c r="AE252">
        <f t="shared" si="52"/>
        <v>0.35149999999999998</v>
      </c>
      <c r="AF252">
        <f t="shared" si="53"/>
        <v>2058087540.9700017</v>
      </c>
      <c r="AG252" t="str">
        <f t="shared" si="54"/>
        <v>Active</v>
      </c>
      <c r="AH252">
        <f t="shared" si="55"/>
        <v>3579.7200000000003</v>
      </c>
    </row>
    <row r="253" spans="1:34" x14ac:dyDescent="0.35">
      <c r="A253" t="s">
        <v>775</v>
      </c>
      <c r="B253" t="s">
        <v>776</v>
      </c>
      <c r="C253">
        <v>37</v>
      </c>
      <c r="D253" t="s">
        <v>38</v>
      </c>
      <c r="E253" t="s">
        <v>39</v>
      </c>
      <c r="F253" t="s">
        <v>24</v>
      </c>
      <c r="G253">
        <v>187738</v>
      </c>
      <c r="H253">
        <v>658</v>
      </c>
      <c r="I253">
        <v>69198</v>
      </c>
      <c r="J253">
        <v>13.35</v>
      </c>
      <c r="K253">
        <v>180</v>
      </c>
      <c r="L253" t="s">
        <v>86</v>
      </c>
      <c r="M253">
        <v>23.19</v>
      </c>
      <c r="N253">
        <v>61304</v>
      </c>
      <c r="O253">
        <v>219120</v>
      </c>
      <c r="P253" t="s">
        <v>777</v>
      </c>
      <c r="Q253" t="s">
        <v>61</v>
      </c>
      <c r="R253" t="s">
        <v>48</v>
      </c>
      <c r="S253" t="s">
        <v>29</v>
      </c>
      <c r="T253">
        <v>435.76</v>
      </c>
      <c r="U253">
        <f t="shared" si="42"/>
        <v>1749</v>
      </c>
      <c r="V253">
        <f t="shared" si="43"/>
        <v>623</v>
      </c>
      <c r="W253">
        <f t="shared" si="44"/>
        <v>560</v>
      </c>
      <c r="X253">
        <f t="shared" si="45"/>
        <v>0.35149999999999998</v>
      </c>
      <c r="Y253" s="1">
        <f t="shared" si="46"/>
        <v>90231021</v>
      </c>
      <c r="Z253">
        <f t="shared" si="47"/>
        <v>51590.063464837047</v>
      </c>
      <c r="AA253">
        <f t="shared" si="48"/>
        <v>99996</v>
      </c>
      <c r="AB253">
        <f t="shared" si="49"/>
        <v>5091</v>
      </c>
      <c r="AC253">
        <f t="shared" si="50"/>
        <v>2355978.6800000025</v>
      </c>
      <c r="AD253">
        <f t="shared" si="51"/>
        <v>1347.0432704402531</v>
      </c>
      <c r="AE253">
        <f t="shared" si="52"/>
        <v>0.35149999999999998</v>
      </c>
      <c r="AF253">
        <f t="shared" si="53"/>
        <v>2055731263.9800017</v>
      </c>
      <c r="AG253" t="str">
        <f t="shared" si="54"/>
        <v>Active</v>
      </c>
      <c r="AH253">
        <f t="shared" si="55"/>
        <v>5229.12</v>
      </c>
    </row>
    <row r="254" spans="1:34" x14ac:dyDescent="0.35">
      <c r="A254" t="s">
        <v>778</v>
      </c>
      <c r="B254" t="s">
        <v>779</v>
      </c>
      <c r="C254">
        <v>46</v>
      </c>
      <c r="D254" t="s">
        <v>38</v>
      </c>
      <c r="E254" t="s">
        <v>23</v>
      </c>
      <c r="F254" t="s">
        <v>59</v>
      </c>
      <c r="G254">
        <v>124219</v>
      </c>
      <c r="H254">
        <v>368</v>
      </c>
      <c r="I254">
        <v>51449</v>
      </c>
      <c r="J254">
        <v>22.18</v>
      </c>
      <c r="K254">
        <v>180</v>
      </c>
      <c r="L254" t="s">
        <v>25</v>
      </c>
      <c r="M254">
        <v>5.16</v>
      </c>
      <c r="N254">
        <v>18956</v>
      </c>
      <c r="O254">
        <v>45459</v>
      </c>
      <c r="P254" t="s">
        <v>687</v>
      </c>
      <c r="Q254" t="s">
        <v>61</v>
      </c>
      <c r="R254" t="s">
        <v>28</v>
      </c>
      <c r="S254" t="s">
        <v>68</v>
      </c>
      <c r="T254">
        <v>349.22</v>
      </c>
      <c r="U254">
        <f t="shared" si="42"/>
        <v>1748</v>
      </c>
      <c r="V254">
        <f t="shared" si="43"/>
        <v>623</v>
      </c>
      <c r="W254">
        <f t="shared" si="44"/>
        <v>559</v>
      </c>
      <c r="X254">
        <f t="shared" si="45"/>
        <v>0.35149999999999998</v>
      </c>
      <c r="Y254" s="1">
        <f t="shared" si="46"/>
        <v>90161823</v>
      </c>
      <c r="Z254">
        <f t="shared" si="47"/>
        <v>51579.990274599542</v>
      </c>
      <c r="AA254">
        <f t="shared" si="48"/>
        <v>99996</v>
      </c>
      <c r="AB254">
        <f t="shared" si="49"/>
        <v>5091</v>
      </c>
      <c r="AC254">
        <f t="shared" si="50"/>
        <v>2355542.9200000023</v>
      </c>
      <c r="AD254">
        <f t="shared" si="51"/>
        <v>1347.5645995423354</v>
      </c>
      <c r="AE254">
        <f t="shared" si="52"/>
        <v>0.35149999999999998</v>
      </c>
      <c r="AF254">
        <f t="shared" si="53"/>
        <v>2053375285.3000016</v>
      </c>
      <c r="AG254" t="str">
        <f t="shared" si="54"/>
        <v>Active</v>
      </c>
      <c r="AH254">
        <f t="shared" si="55"/>
        <v>4190.6400000000003</v>
      </c>
    </row>
    <row r="255" spans="1:34" x14ac:dyDescent="0.35">
      <c r="A255" t="s">
        <v>780</v>
      </c>
      <c r="B255" t="s">
        <v>781</v>
      </c>
      <c r="C255">
        <v>30</v>
      </c>
      <c r="D255" t="s">
        <v>22</v>
      </c>
      <c r="E255" t="s">
        <v>23</v>
      </c>
      <c r="F255" t="s">
        <v>24</v>
      </c>
      <c r="G255">
        <v>196747</v>
      </c>
      <c r="H255">
        <v>601</v>
      </c>
      <c r="I255">
        <v>53283</v>
      </c>
      <c r="J255">
        <v>8.2200000000000006</v>
      </c>
      <c r="K255">
        <v>36</v>
      </c>
      <c r="L255" t="s">
        <v>86</v>
      </c>
      <c r="M255">
        <v>18.48</v>
      </c>
      <c r="N255">
        <v>3785</v>
      </c>
      <c r="O255">
        <v>44469</v>
      </c>
      <c r="P255" t="s">
        <v>782</v>
      </c>
      <c r="Q255" t="s">
        <v>42</v>
      </c>
      <c r="R255" t="s">
        <v>48</v>
      </c>
      <c r="S255" t="s">
        <v>49</v>
      </c>
      <c r="T255">
        <v>1601.75</v>
      </c>
      <c r="U255">
        <f t="shared" si="42"/>
        <v>1747</v>
      </c>
      <c r="V255">
        <f t="shared" si="43"/>
        <v>623</v>
      </c>
      <c r="W255">
        <f t="shared" si="44"/>
        <v>558</v>
      </c>
      <c r="X255">
        <f t="shared" si="45"/>
        <v>0.35149999999999998</v>
      </c>
      <c r="Y255" s="1">
        <f t="shared" si="46"/>
        <v>90110374</v>
      </c>
      <c r="Z255">
        <f t="shared" si="47"/>
        <v>51580.06525472238</v>
      </c>
      <c r="AA255">
        <f t="shared" si="48"/>
        <v>99996</v>
      </c>
      <c r="AB255">
        <f t="shared" si="49"/>
        <v>5091</v>
      </c>
      <c r="AC255">
        <f t="shared" si="50"/>
        <v>2355193.7000000025</v>
      </c>
      <c r="AD255">
        <f t="shared" si="51"/>
        <v>1348.1360618202648</v>
      </c>
      <c r="AE255">
        <f t="shared" si="52"/>
        <v>0.35149999999999998</v>
      </c>
      <c r="AF255">
        <f t="shared" si="53"/>
        <v>2051019742.3800018</v>
      </c>
      <c r="AG255" t="str">
        <f t="shared" si="54"/>
        <v>Active</v>
      </c>
      <c r="AH255">
        <f t="shared" si="55"/>
        <v>19221</v>
      </c>
    </row>
    <row r="256" spans="1:34" x14ac:dyDescent="0.35">
      <c r="A256" t="s">
        <v>783</v>
      </c>
      <c r="B256" t="s">
        <v>784</v>
      </c>
      <c r="C256">
        <v>65</v>
      </c>
      <c r="D256" t="s">
        <v>38</v>
      </c>
      <c r="E256" t="s">
        <v>39</v>
      </c>
      <c r="F256" t="s">
        <v>59</v>
      </c>
      <c r="G256">
        <v>102202</v>
      </c>
      <c r="H256">
        <v>474</v>
      </c>
      <c r="I256">
        <v>48608</v>
      </c>
      <c r="J256">
        <v>6.21</v>
      </c>
      <c r="K256">
        <v>60</v>
      </c>
      <c r="L256" t="s">
        <v>86</v>
      </c>
      <c r="M256">
        <v>9.1</v>
      </c>
      <c r="N256">
        <v>77068</v>
      </c>
      <c r="O256">
        <v>144611</v>
      </c>
      <c r="P256" t="s">
        <v>785</v>
      </c>
      <c r="Q256" t="s">
        <v>42</v>
      </c>
      <c r="R256" t="s">
        <v>28</v>
      </c>
      <c r="S256" t="s">
        <v>49</v>
      </c>
      <c r="T256">
        <v>860.44</v>
      </c>
      <c r="U256">
        <f t="shared" si="42"/>
        <v>1746</v>
      </c>
      <c r="V256">
        <f t="shared" si="43"/>
        <v>622</v>
      </c>
      <c r="W256">
        <f t="shared" si="44"/>
        <v>558</v>
      </c>
      <c r="X256">
        <f t="shared" si="45"/>
        <v>0.35149999999999998</v>
      </c>
      <c r="Y256" s="1">
        <f t="shared" si="46"/>
        <v>90057091</v>
      </c>
      <c r="Z256">
        <f t="shared" si="47"/>
        <v>51579.089919816724</v>
      </c>
      <c r="AA256">
        <f t="shared" si="48"/>
        <v>99996</v>
      </c>
      <c r="AB256">
        <f t="shared" si="49"/>
        <v>5091</v>
      </c>
      <c r="AC256">
        <f t="shared" si="50"/>
        <v>2353591.9500000025</v>
      </c>
      <c r="AD256">
        <f t="shared" si="51"/>
        <v>1347.9908075601388</v>
      </c>
      <c r="AE256">
        <f t="shared" si="52"/>
        <v>0.35149999999999998</v>
      </c>
      <c r="AF256">
        <f t="shared" si="53"/>
        <v>2048664548.6800017</v>
      </c>
      <c r="AG256" t="str">
        <f t="shared" si="54"/>
        <v>Active</v>
      </c>
      <c r="AH256">
        <f t="shared" si="55"/>
        <v>10325.280000000001</v>
      </c>
    </row>
    <row r="257" spans="1:34" x14ac:dyDescent="0.35">
      <c r="A257" t="s">
        <v>786</v>
      </c>
      <c r="B257" t="s">
        <v>787</v>
      </c>
      <c r="C257">
        <v>29</v>
      </c>
      <c r="D257" t="s">
        <v>38</v>
      </c>
      <c r="E257" t="s">
        <v>23</v>
      </c>
      <c r="F257" t="s">
        <v>24</v>
      </c>
      <c r="G257">
        <v>179068</v>
      </c>
      <c r="H257">
        <v>554</v>
      </c>
      <c r="I257">
        <v>10622</v>
      </c>
      <c r="J257">
        <v>7.07</v>
      </c>
      <c r="K257">
        <v>120</v>
      </c>
      <c r="L257" t="s">
        <v>25</v>
      </c>
      <c r="M257">
        <v>31.46</v>
      </c>
      <c r="N257">
        <v>54143</v>
      </c>
      <c r="O257">
        <v>42286</v>
      </c>
      <c r="P257" t="s">
        <v>788</v>
      </c>
      <c r="Q257" t="s">
        <v>61</v>
      </c>
      <c r="R257" t="s">
        <v>28</v>
      </c>
      <c r="S257" t="s">
        <v>68</v>
      </c>
      <c r="T257">
        <v>94.77</v>
      </c>
      <c r="U257">
        <f t="shared" si="42"/>
        <v>1745</v>
      </c>
      <c r="V257">
        <f t="shared" si="43"/>
        <v>621</v>
      </c>
      <c r="W257">
        <f t="shared" si="44"/>
        <v>558</v>
      </c>
      <c r="X257">
        <f t="shared" si="45"/>
        <v>0.35149999999999998</v>
      </c>
      <c r="Y257" s="1">
        <f t="shared" si="46"/>
        <v>90008483</v>
      </c>
      <c r="Z257">
        <f t="shared" si="47"/>
        <v>51580.792550143269</v>
      </c>
      <c r="AA257">
        <f t="shared" si="48"/>
        <v>99996</v>
      </c>
      <c r="AB257">
        <f t="shared" si="49"/>
        <v>5091</v>
      </c>
      <c r="AC257">
        <f t="shared" si="50"/>
        <v>2352731.5100000021</v>
      </c>
      <c r="AD257">
        <f t="shared" si="51"/>
        <v>1348.2702063037261</v>
      </c>
      <c r="AE257">
        <f t="shared" si="52"/>
        <v>0.35149999999999998</v>
      </c>
      <c r="AF257">
        <f t="shared" si="53"/>
        <v>2046310956.7300019</v>
      </c>
      <c r="AG257" t="str">
        <f t="shared" si="54"/>
        <v>Active</v>
      </c>
      <c r="AH257">
        <f t="shared" si="55"/>
        <v>1137.24</v>
      </c>
    </row>
    <row r="258" spans="1:34" x14ac:dyDescent="0.35">
      <c r="A258" t="s">
        <v>789</v>
      </c>
      <c r="B258" t="s">
        <v>790</v>
      </c>
      <c r="C258">
        <v>60</v>
      </c>
      <c r="D258" t="s">
        <v>22</v>
      </c>
      <c r="E258" t="s">
        <v>23</v>
      </c>
      <c r="F258" t="s">
        <v>59</v>
      </c>
      <c r="G258">
        <v>55559</v>
      </c>
      <c r="H258">
        <v>486</v>
      </c>
      <c r="I258">
        <v>59029</v>
      </c>
      <c r="J258">
        <v>10.48</v>
      </c>
      <c r="K258">
        <v>360</v>
      </c>
      <c r="L258" t="s">
        <v>25</v>
      </c>
      <c r="M258">
        <v>28.48</v>
      </c>
      <c r="N258">
        <v>36205</v>
      </c>
      <c r="O258">
        <v>159657</v>
      </c>
      <c r="P258" t="s">
        <v>791</v>
      </c>
      <c r="Q258" t="s">
        <v>61</v>
      </c>
      <c r="R258" t="s">
        <v>28</v>
      </c>
      <c r="S258" t="s">
        <v>35</v>
      </c>
      <c r="T258">
        <v>181.15</v>
      </c>
      <c r="U258">
        <f t="shared" ref="U258:U321" si="56">COUNTA(A258:A2257)</f>
        <v>1744</v>
      </c>
      <c r="V258">
        <f t="shared" ref="V258:V321" si="57">COUNTIF(Q258:Q2257,"APPROVED")</f>
        <v>621</v>
      </c>
      <c r="W258">
        <f t="shared" ref="W258:W321" si="58">COUNTIF(Q258:Q2258,"Rejected")</f>
        <v>557</v>
      </c>
      <c r="X258">
        <f t="shared" ref="X258:X321" si="59">703/2000</f>
        <v>0.35149999999999998</v>
      </c>
      <c r="Y258" s="1">
        <f t="shared" ref="Y258:Y321" si="60">SUM(I258:I2257)</f>
        <v>89997861</v>
      </c>
      <c r="Z258">
        <f t="shared" ref="Z258:Z321" si="61">AVERAGE(I258:I20257)</f>
        <v>51604.278096330272</v>
      </c>
      <c r="AA258">
        <f t="shared" ref="AA258:AA321" si="62">MAX(I258:I2257)</f>
        <v>99996</v>
      </c>
      <c r="AB258">
        <f t="shared" ref="AB258:AB321" si="63">MIN(I258:I2257)</f>
        <v>5091</v>
      </c>
      <c r="AC258">
        <f t="shared" ref="AC258:AC321" si="64">SUM(T258:T2257)</f>
        <v>2352636.7400000021</v>
      </c>
      <c r="AD258">
        <f t="shared" ref="AD258:AD321" si="65">AVERAGE(T258:T2257)</f>
        <v>1348.9889564220196</v>
      </c>
      <c r="AE258">
        <f t="shared" ref="AE258:AE321" si="66">703/2000</f>
        <v>0.35149999999999998</v>
      </c>
      <c r="AF258">
        <f t="shared" ref="AF258:AF321" si="67">SUM(AC258:AC2257)</f>
        <v>2043958225.2200017</v>
      </c>
      <c r="AG258" t="str">
        <f t="shared" ref="AG258:AG321" si="68">IF(AH258=0,"Bad", IF(AH257&lt;I257, "Active", IF(AH257=I257, "Good", "Over Paid")))</f>
        <v>Active</v>
      </c>
      <c r="AH258">
        <f t="shared" ref="AH258:AH321" si="69">T258*12</f>
        <v>2173.8000000000002</v>
      </c>
    </row>
    <row r="259" spans="1:34" x14ac:dyDescent="0.35">
      <c r="A259" t="s">
        <v>792</v>
      </c>
      <c r="B259" t="s">
        <v>793</v>
      </c>
      <c r="C259">
        <v>46</v>
      </c>
      <c r="D259" t="s">
        <v>38</v>
      </c>
      <c r="E259" t="s">
        <v>32</v>
      </c>
      <c r="F259" t="s">
        <v>46</v>
      </c>
      <c r="G259">
        <v>118697</v>
      </c>
      <c r="H259">
        <v>537</v>
      </c>
      <c r="I259">
        <v>85828</v>
      </c>
      <c r="J259">
        <v>23.42</v>
      </c>
      <c r="K259">
        <v>180</v>
      </c>
      <c r="L259" t="s">
        <v>86</v>
      </c>
      <c r="M259">
        <v>27.37</v>
      </c>
      <c r="N259">
        <v>9604</v>
      </c>
      <c r="O259">
        <v>101668</v>
      </c>
      <c r="P259" t="s">
        <v>794</v>
      </c>
      <c r="Q259" t="s">
        <v>42</v>
      </c>
      <c r="R259" t="s">
        <v>48</v>
      </c>
      <c r="S259" t="s">
        <v>49</v>
      </c>
      <c r="T259">
        <v>588.49</v>
      </c>
      <c r="U259">
        <f t="shared" si="56"/>
        <v>1743</v>
      </c>
      <c r="V259">
        <f t="shared" si="57"/>
        <v>621</v>
      </c>
      <c r="W259">
        <f t="shared" si="58"/>
        <v>556</v>
      </c>
      <c r="X259">
        <f t="shared" si="59"/>
        <v>0.35149999999999998</v>
      </c>
      <c r="Y259" s="1">
        <f t="shared" si="60"/>
        <v>89938832</v>
      </c>
      <c r="Z259">
        <f t="shared" si="61"/>
        <v>51600.01835915089</v>
      </c>
      <c r="AA259">
        <f t="shared" si="62"/>
        <v>99996</v>
      </c>
      <c r="AB259">
        <f t="shared" si="63"/>
        <v>5091</v>
      </c>
      <c r="AC259">
        <f t="shared" si="64"/>
        <v>2352455.5900000022</v>
      </c>
      <c r="AD259">
        <f t="shared" si="65"/>
        <v>1349.6589730349983</v>
      </c>
      <c r="AE259">
        <f t="shared" si="66"/>
        <v>0.35149999999999998</v>
      </c>
      <c r="AF259">
        <f t="shared" si="67"/>
        <v>2041605588.4800017</v>
      </c>
      <c r="AG259" t="str">
        <f t="shared" si="68"/>
        <v>Active</v>
      </c>
      <c r="AH259">
        <f t="shared" si="69"/>
        <v>7061.88</v>
      </c>
    </row>
    <row r="260" spans="1:34" x14ac:dyDescent="0.35">
      <c r="A260" t="s">
        <v>795</v>
      </c>
      <c r="B260" t="s">
        <v>796</v>
      </c>
      <c r="C260">
        <v>46</v>
      </c>
      <c r="D260" t="s">
        <v>38</v>
      </c>
      <c r="E260" t="s">
        <v>23</v>
      </c>
      <c r="F260" t="s">
        <v>46</v>
      </c>
      <c r="G260">
        <v>65088</v>
      </c>
      <c r="H260">
        <v>568</v>
      </c>
      <c r="I260">
        <v>24280</v>
      </c>
      <c r="J260">
        <v>16.52</v>
      </c>
      <c r="K260">
        <v>120</v>
      </c>
      <c r="L260" t="s">
        <v>40</v>
      </c>
      <c r="M260">
        <v>22.55</v>
      </c>
      <c r="N260">
        <v>17846</v>
      </c>
      <c r="O260">
        <v>168513</v>
      </c>
      <c r="P260" t="s">
        <v>797</v>
      </c>
      <c r="Q260" t="s">
        <v>27</v>
      </c>
      <c r="R260" t="s">
        <v>48</v>
      </c>
      <c r="S260" t="s">
        <v>68</v>
      </c>
      <c r="T260">
        <v>235.76</v>
      </c>
      <c r="U260">
        <f t="shared" si="56"/>
        <v>1742</v>
      </c>
      <c r="V260">
        <f t="shared" si="57"/>
        <v>620</v>
      </c>
      <c r="W260">
        <f t="shared" si="58"/>
        <v>556</v>
      </c>
      <c r="X260">
        <f t="shared" si="59"/>
        <v>0.35149999999999998</v>
      </c>
      <c r="Y260" s="1">
        <f t="shared" si="60"/>
        <v>89853004</v>
      </c>
      <c r="Z260">
        <f t="shared" si="61"/>
        <v>51580.369690011481</v>
      </c>
      <c r="AA260">
        <f t="shared" si="62"/>
        <v>99996</v>
      </c>
      <c r="AB260">
        <f t="shared" si="63"/>
        <v>5091</v>
      </c>
      <c r="AC260">
        <f t="shared" si="64"/>
        <v>2351867.100000002</v>
      </c>
      <c r="AD260">
        <f t="shared" si="65"/>
        <v>1350.0959242250299</v>
      </c>
      <c r="AE260">
        <f t="shared" si="66"/>
        <v>0.35149999999999998</v>
      </c>
      <c r="AF260">
        <f t="shared" si="67"/>
        <v>2039253132.8900018</v>
      </c>
      <c r="AG260" t="str">
        <f t="shared" si="68"/>
        <v>Active</v>
      </c>
      <c r="AH260">
        <f t="shared" si="69"/>
        <v>2829.12</v>
      </c>
    </row>
    <row r="261" spans="1:34" x14ac:dyDescent="0.35">
      <c r="A261" t="s">
        <v>798</v>
      </c>
      <c r="B261" t="s">
        <v>799</v>
      </c>
      <c r="C261">
        <v>34</v>
      </c>
      <c r="D261" t="s">
        <v>22</v>
      </c>
      <c r="E261" t="s">
        <v>32</v>
      </c>
      <c r="F261" t="s">
        <v>46</v>
      </c>
      <c r="G261">
        <v>147828</v>
      </c>
      <c r="H261">
        <v>847</v>
      </c>
      <c r="I261">
        <v>46901</v>
      </c>
      <c r="J261">
        <v>4.3099999999999996</v>
      </c>
      <c r="K261">
        <v>240</v>
      </c>
      <c r="L261" t="s">
        <v>40</v>
      </c>
      <c r="M261">
        <v>32.380000000000003</v>
      </c>
      <c r="N261">
        <v>30797</v>
      </c>
      <c r="O261">
        <v>203928</v>
      </c>
      <c r="P261" t="s">
        <v>800</v>
      </c>
      <c r="Q261" t="s">
        <v>27</v>
      </c>
      <c r="R261" t="s">
        <v>28</v>
      </c>
      <c r="S261" t="s">
        <v>43</v>
      </c>
      <c r="T261">
        <v>203.84</v>
      </c>
      <c r="U261">
        <f t="shared" si="56"/>
        <v>1741</v>
      </c>
      <c r="V261">
        <f t="shared" si="57"/>
        <v>620</v>
      </c>
      <c r="W261">
        <f t="shared" si="58"/>
        <v>556</v>
      </c>
      <c r="X261">
        <f t="shared" si="59"/>
        <v>0.35149999999999998</v>
      </c>
      <c r="Y261" s="1">
        <f t="shared" si="60"/>
        <v>89828724</v>
      </c>
      <c r="Z261">
        <f t="shared" si="61"/>
        <v>51596.050545663413</v>
      </c>
      <c r="AA261">
        <f t="shared" si="62"/>
        <v>99996</v>
      </c>
      <c r="AB261">
        <f t="shared" si="63"/>
        <v>5091</v>
      </c>
      <c r="AC261">
        <f t="shared" si="64"/>
        <v>2351631.3400000022</v>
      </c>
      <c r="AD261">
        <f t="shared" si="65"/>
        <v>1350.7359793222299</v>
      </c>
      <c r="AE261">
        <f t="shared" si="66"/>
        <v>0.35149999999999998</v>
      </c>
      <c r="AF261">
        <f t="shared" si="67"/>
        <v>2036901265.7900019</v>
      </c>
      <c r="AG261" t="str">
        <f t="shared" si="68"/>
        <v>Active</v>
      </c>
      <c r="AH261">
        <f t="shared" si="69"/>
        <v>2446.08</v>
      </c>
    </row>
    <row r="262" spans="1:34" x14ac:dyDescent="0.35">
      <c r="A262" t="s">
        <v>801</v>
      </c>
      <c r="B262" t="s">
        <v>802</v>
      </c>
      <c r="C262">
        <v>32</v>
      </c>
      <c r="D262" t="s">
        <v>22</v>
      </c>
      <c r="E262" t="s">
        <v>32</v>
      </c>
      <c r="F262" t="s">
        <v>24</v>
      </c>
      <c r="G262">
        <v>114643</v>
      </c>
      <c r="H262">
        <v>309</v>
      </c>
      <c r="I262">
        <v>7814</v>
      </c>
      <c r="J262">
        <v>20.91</v>
      </c>
      <c r="K262">
        <v>36</v>
      </c>
      <c r="L262" t="s">
        <v>40</v>
      </c>
      <c r="M262">
        <v>52.23</v>
      </c>
      <c r="N262">
        <v>19883</v>
      </c>
      <c r="O262">
        <v>71951</v>
      </c>
      <c r="P262" t="s">
        <v>388</v>
      </c>
      <c r="Q262" t="s">
        <v>61</v>
      </c>
      <c r="R262" t="s">
        <v>28</v>
      </c>
      <c r="S262" t="s">
        <v>43</v>
      </c>
      <c r="T262">
        <v>262.44</v>
      </c>
      <c r="U262">
        <f t="shared" si="56"/>
        <v>1740</v>
      </c>
      <c r="V262">
        <f t="shared" si="57"/>
        <v>620</v>
      </c>
      <c r="W262">
        <f t="shared" si="58"/>
        <v>556</v>
      </c>
      <c r="X262">
        <f t="shared" si="59"/>
        <v>0.35149999999999998</v>
      </c>
      <c r="Y262" s="1">
        <f t="shared" si="60"/>
        <v>89781823</v>
      </c>
      <c r="Z262">
        <f t="shared" si="61"/>
        <v>51598.74885057471</v>
      </c>
      <c r="AA262">
        <f t="shared" si="62"/>
        <v>99996</v>
      </c>
      <c r="AB262">
        <f t="shared" si="63"/>
        <v>5091</v>
      </c>
      <c r="AC262">
        <f t="shared" si="64"/>
        <v>2351427.5000000019</v>
      </c>
      <c r="AD262">
        <f t="shared" si="65"/>
        <v>1351.3951149425297</v>
      </c>
      <c r="AE262">
        <f t="shared" si="66"/>
        <v>0.35149999999999998</v>
      </c>
      <c r="AF262">
        <f t="shared" si="67"/>
        <v>2034549634.450002</v>
      </c>
      <c r="AG262" t="str">
        <f t="shared" si="68"/>
        <v>Active</v>
      </c>
      <c r="AH262">
        <f t="shared" si="69"/>
        <v>3149.2799999999997</v>
      </c>
    </row>
    <row r="263" spans="1:34" x14ac:dyDescent="0.35">
      <c r="A263" t="s">
        <v>803</v>
      </c>
      <c r="B263" t="s">
        <v>804</v>
      </c>
      <c r="C263">
        <v>33</v>
      </c>
      <c r="D263" t="s">
        <v>38</v>
      </c>
      <c r="E263" t="s">
        <v>39</v>
      </c>
      <c r="F263" t="s">
        <v>24</v>
      </c>
      <c r="G263">
        <v>127705</v>
      </c>
      <c r="H263">
        <v>827</v>
      </c>
      <c r="I263">
        <v>71656</v>
      </c>
      <c r="J263">
        <v>9.8800000000000008</v>
      </c>
      <c r="K263">
        <v>180</v>
      </c>
      <c r="L263" t="s">
        <v>25</v>
      </c>
      <c r="M263">
        <v>34.56</v>
      </c>
      <c r="N263">
        <v>11135</v>
      </c>
      <c r="O263">
        <v>211866</v>
      </c>
      <c r="P263" t="s">
        <v>805</v>
      </c>
      <c r="Q263" t="s">
        <v>61</v>
      </c>
      <c r="R263" t="s">
        <v>48</v>
      </c>
      <c r="S263" t="s">
        <v>68</v>
      </c>
      <c r="T263">
        <v>437.42</v>
      </c>
      <c r="U263">
        <f t="shared" si="56"/>
        <v>1739</v>
      </c>
      <c r="V263">
        <f t="shared" si="57"/>
        <v>620</v>
      </c>
      <c r="W263">
        <f t="shared" si="58"/>
        <v>555</v>
      </c>
      <c r="X263">
        <f t="shared" si="59"/>
        <v>0.35149999999999998</v>
      </c>
      <c r="Y263" s="1">
        <f t="shared" si="60"/>
        <v>89774009</v>
      </c>
      <c r="Z263">
        <f t="shared" si="61"/>
        <v>51623.926969522712</v>
      </c>
      <c r="AA263">
        <f t="shared" si="62"/>
        <v>99996</v>
      </c>
      <c r="AB263">
        <f t="shared" si="63"/>
        <v>5091</v>
      </c>
      <c r="AC263">
        <f t="shared" si="64"/>
        <v>2351165.0600000019</v>
      </c>
      <c r="AD263">
        <f t="shared" si="65"/>
        <v>1352.0213110983334</v>
      </c>
      <c r="AE263">
        <f t="shared" si="66"/>
        <v>0.35149999999999998</v>
      </c>
      <c r="AF263">
        <f t="shared" si="67"/>
        <v>2032198206.950002</v>
      </c>
      <c r="AG263" t="str">
        <f t="shared" si="68"/>
        <v>Active</v>
      </c>
      <c r="AH263">
        <f t="shared" si="69"/>
        <v>5249.04</v>
      </c>
    </row>
    <row r="264" spans="1:34" x14ac:dyDescent="0.35">
      <c r="A264" t="s">
        <v>806</v>
      </c>
      <c r="B264" t="s">
        <v>807</v>
      </c>
      <c r="C264">
        <v>50</v>
      </c>
      <c r="D264" t="s">
        <v>38</v>
      </c>
      <c r="E264" t="s">
        <v>23</v>
      </c>
      <c r="F264" t="s">
        <v>24</v>
      </c>
      <c r="G264">
        <v>98256</v>
      </c>
      <c r="H264">
        <v>786</v>
      </c>
      <c r="I264">
        <v>52100</v>
      </c>
      <c r="J264">
        <v>6.03</v>
      </c>
      <c r="K264">
        <v>240</v>
      </c>
      <c r="L264" t="s">
        <v>86</v>
      </c>
      <c r="M264">
        <v>40.58</v>
      </c>
      <c r="N264">
        <v>63570</v>
      </c>
      <c r="O264">
        <v>99760</v>
      </c>
      <c r="P264" t="s">
        <v>808</v>
      </c>
      <c r="Q264" t="s">
        <v>42</v>
      </c>
      <c r="R264" t="s">
        <v>28</v>
      </c>
      <c r="S264" t="s">
        <v>68</v>
      </c>
      <c r="T264">
        <v>230.17</v>
      </c>
      <c r="U264">
        <f t="shared" si="56"/>
        <v>1738</v>
      </c>
      <c r="V264">
        <f t="shared" si="57"/>
        <v>620</v>
      </c>
      <c r="W264">
        <f t="shared" si="58"/>
        <v>554</v>
      </c>
      <c r="X264">
        <f t="shared" si="59"/>
        <v>0.35149999999999998</v>
      </c>
      <c r="Y264" s="1">
        <f t="shared" si="60"/>
        <v>89702353</v>
      </c>
      <c r="Z264">
        <f t="shared" si="61"/>
        <v>51612.401035673189</v>
      </c>
      <c r="AA264">
        <f t="shared" si="62"/>
        <v>99996</v>
      </c>
      <c r="AB264">
        <f t="shared" si="63"/>
        <v>5091</v>
      </c>
      <c r="AC264">
        <f t="shared" si="64"/>
        <v>2350727.640000002</v>
      </c>
      <c r="AD264">
        <f t="shared" si="65"/>
        <v>1352.5475489067906</v>
      </c>
      <c r="AE264">
        <f t="shared" si="66"/>
        <v>0.35149999999999998</v>
      </c>
      <c r="AF264">
        <f t="shared" si="67"/>
        <v>2029847041.8900018</v>
      </c>
      <c r="AG264" t="str">
        <f t="shared" si="68"/>
        <v>Active</v>
      </c>
      <c r="AH264">
        <f t="shared" si="69"/>
        <v>2762.04</v>
      </c>
    </row>
    <row r="265" spans="1:34" x14ac:dyDescent="0.35">
      <c r="A265" t="s">
        <v>809</v>
      </c>
      <c r="B265" t="s">
        <v>810</v>
      </c>
      <c r="C265">
        <v>24</v>
      </c>
      <c r="D265" t="s">
        <v>22</v>
      </c>
      <c r="E265" t="s">
        <v>23</v>
      </c>
      <c r="F265" t="s">
        <v>46</v>
      </c>
      <c r="G265">
        <v>94048</v>
      </c>
      <c r="H265">
        <v>770</v>
      </c>
      <c r="I265">
        <v>99299</v>
      </c>
      <c r="J265">
        <v>3.67</v>
      </c>
      <c r="K265">
        <v>60</v>
      </c>
      <c r="L265" t="s">
        <v>86</v>
      </c>
      <c r="M265">
        <v>21.41</v>
      </c>
      <c r="N265">
        <v>49259</v>
      </c>
      <c r="O265">
        <v>203542</v>
      </c>
      <c r="P265" t="s">
        <v>811</v>
      </c>
      <c r="Q265" t="s">
        <v>42</v>
      </c>
      <c r="R265" t="s">
        <v>28</v>
      </c>
      <c r="S265" t="s">
        <v>29</v>
      </c>
      <c r="T265">
        <v>1715.72</v>
      </c>
      <c r="U265">
        <f t="shared" si="56"/>
        <v>1737</v>
      </c>
      <c r="V265">
        <f t="shared" si="57"/>
        <v>619</v>
      </c>
      <c r="W265">
        <f t="shared" si="58"/>
        <v>554</v>
      </c>
      <c r="X265">
        <f t="shared" si="59"/>
        <v>0.35149999999999998</v>
      </c>
      <c r="Y265" s="1">
        <f t="shared" si="60"/>
        <v>89650253</v>
      </c>
      <c r="Z265">
        <f t="shared" si="61"/>
        <v>51612.120322394934</v>
      </c>
      <c r="AA265">
        <f t="shared" si="62"/>
        <v>99996</v>
      </c>
      <c r="AB265">
        <f t="shared" si="63"/>
        <v>5091</v>
      </c>
      <c r="AC265">
        <f t="shared" si="64"/>
        <v>2350497.4700000016</v>
      </c>
      <c r="AD265">
        <f t="shared" si="65"/>
        <v>1353.1937075417395</v>
      </c>
      <c r="AE265">
        <f t="shared" si="66"/>
        <v>0.35149999999999998</v>
      </c>
      <c r="AF265">
        <f t="shared" si="67"/>
        <v>2027496314.2500019</v>
      </c>
      <c r="AG265" t="str">
        <f t="shared" si="68"/>
        <v>Active</v>
      </c>
      <c r="AH265">
        <f t="shared" si="69"/>
        <v>20588.64</v>
      </c>
    </row>
    <row r="266" spans="1:34" x14ac:dyDescent="0.35">
      <c r="A266" t="s">
        <v>812</v>
      </c>
      <c r="B266" t="s">
        <v>813</v>
      </c>
      <c r="C266">
        <v>64</v>
      </c>
      <c r="D266" t="s">
        <v>38</v>
      </c>
      <c r="E266" t="s">
        <v>23</v>
      </c>
      <c r="F266" t="s">
        <v>46</v>
      </c>
      <c r="G266">
        <v>101875</v>
      </c>
      <c r="H266">
        <v>640</v>
      </c>
      <c r="I266">
        <v>36646</v>
      </c>
      <c r="J266">
        <v>20.25</v>
      </c>
      <c r="K266">
        <v>120</v>
      </c>
      <c r="L266" t="s">
        <v>52</v>
      </c>
      <c r="M266">
        <v>25.28</v>
      </c>
      <c r="N266">
        <v>10519</v>
      </c>
      <c r="O266">
        <v>165903</v>
      </c>
      <c r="P266" t="s">
        <v>814</v>
      </c>
      <c r="Q266" t="s">
        <v>42</v>
      </c>
      <c r="R266" t="s">
        <v>28</v>
      </c>
      <c r="S266" t="s">
        <v>29</v>
      </c>
      <c r="T266">
        <v>367.22</v>
      </c>
      <c r="U266">
        <f t="shared" si="56"/>
        <v>1736</v>
      </c>
      <c r="V266">
        <f t="shared" si="57"/>
        <v>618</v>
      </c>
      <c r="W266">
        <f t="shared" si="58"/>
        <v>554</v>
      </c>
      <c r="X266">
        <f t="shared" si="59"/>
        <v>0.35149999999999998</v>
      </c>
      <c r="Y266" s="1">
        <f t="shared" si="60"/>
        <v>89550954</v>
      </c>
      <c r="Z266">
        <f t="shared" si="61"/>
        <v>51584.650921658984</v>
      </c>
      <c r="AA266">
        <f t="shared" si="62"/>
        <v>99996</v>
      </c>
      <c r="AB266">
        <f t="shared" si="63"/>
        <v>5091</v>
      </c>
      <c r="AC266">
        <f t="shared" si="64"/>
        <v>2348781.7500000014</v>
      </c>
      <c r="AD266">
        <f t="shared" si="65"/>
        <v>1352.984879032259</v>
      </c>
      <c r="AE266">
        <f t="shared" si="66"/>
        <v>0.35149999999999998</v>
      </c>
      <c r="AF266">
        <f t="shared" si="67"/>
        <v>2025145816.7800019</v>
      </c>
      <c r="AG266" t="str">
        <f t="shared" si="68"/>
        <v>Active</v>
      </c>
      <c r="AH266">
        <f t="shared" si="69"/>
        <v>4406.6400000000003</v>
      </c>
    </row>
    <row r="267" spans="1:34" x14ac:dyDescent="0.35">
      <c r="A267" t="s">
        <v>815</v>
      </c>
      <c r="B267" t="s">
        <v>816</v>
      </c>
      <c r="C267">
        <v>64</v>
      </c>
      <c r="D267" t="s">
        <v>38</v>
      </c>
      <c r="E267" t="s">
        <v>23</v>
      </c>
      <c r="F267" t="s">
        <v>46</v>
      </c>
      <c r="G267">
        <v>44304</v>
      </c>
      <c r="H267">
        <v>427</v>
      </c>
      <c r="I267">
        <v>16746</v>
      </c>
      <c r="J267">
        <v>17.47</v>
      </c>
      <c r="K267">
        <v>36</v>
      </c>
      <c r="L267" t="s">
        <v>33</v>
      </c>
      <c r="M267">
        <v>53.85</v>
      </c>
      <c r="N267">
        <v>68246</v>
      </c>
      <c r="O267">
        <v>109200</v>
      </c>
      <c r="P267" t="s">
        <v>817</v>
      </c>
      <c r="Q267" t="s">
        <v>42</v>
      </c>
      <c r="R267" t="s">
        <v>28</v>
      </c>
      <c r="S267" t="s">
        <v>43</v>
      </c>
      <c r="T267">
        <v>546.42999999999995</v>
      </c>
      <c r="U267">
        <f t="shared" si="56"/>
        <v>1735</v>
      </c>
      <c r="V267">
        <f t="shared" si="57"/>
        <v>617</v>
      </c>
      <c r="W267">
        <f t="shared" si="58"/>
        <v>554</v>
      </c>
      <c r="X267">
        <f t="shared" si="59"/>
        <v>0.35149999999999998</v>
      </c>
      <c r="Y267" s="1">
        <f t="shared" si="60"/>
        <v>89514308</v>
      </c>
      <c r="Z267">
        <f t="shared" si="61"/>
        <v>51593.261095100861</v>
      </c>
      <c r="AA267">
        <f t="shared" si="62"/>
        <v>99996</v>
      </c>
      <c r="AB267">
        <f t="shared" si="63"/>
        <v>5091</v>
      </c>
      <c r="AC267">
        <f t="shared" si="64"/>
        <v>2348414.5300000017</v>
      </c>
      <c r="AD267">
        <f t="shared" si="65"/>
        <v>1353.5530432276666</v>
      </c>
      <c r="AE267">
        <f t="shared" si="66"/>
        <v>0.35149999999999998</v>
      </c>
      <c r="AF267">
        <f t="shared" si="67"/>
        <v>2022797035.0300021</v>
      </c>
      <c r="AG267" t="str">
        <f t="shared" si="68"/>
        <v>Active</v>
      </c>
      <c r="AH267">
        <f t="shared" si="69"/>
        <v>6557.16</v>
      </c>
    </row>
    <row r="268" spans="1:34" x14ac:dyDescent="0.35">
      <c r="A268" t="s">
        <v>818</v>
      </c>
      <c r="B268" t="s">
        <v>819</v>
      </c>
      <c r="C268">
        <v>45</v>
      </c>
      <c r="D268" t="s">
        <v>22</v>
      </c>
      <c r="E268" t="s">
        <v>23</v>
      </c>
      <c r="F268" t="s">
        <v>46</v>
      </c>
      <c r="G268">
        <v>35120</v>
      </c>
      <c r="H268">
        <v>370</v>
      </c>
      <c r="I268">
        <v>86834</v>
      </c>
      <c r="J268">
        <v>13.86</v>
      </c>
      <c r="K268">
        <v>60</v>
      </c>
      <c r="L268" t="s">
        <v>86</v>
      </c>
      <c r="M268">
        <v>7.4</v>
      </c>
      <c r="N268">
        <v>48222</v>
      </c>
      <c r="O268">
        <v>98125</v>
      </c>
      <c r="P268" t="s">
        <v>820</v>
      </c>
      <c r="Q268" t="s">
        <v>27</v>
      </c>
      <c r="R268" t="s">
        <v>48</v>
      </c>
      <c r="S268" t="s">
        <v>68</v>
      </c>
      <c r="T268">
        <v>1647.82</v>
      </c>
      <c r="U268">
        <f t="shared" si="56"/>
        <v>1734</v>
      </c>
      <c r="V268">
        <f t="shared" si="57"/>
        <v>616</v>
      </c>
      <c r="W268">
        <f t="shared" si="58"/>
        <v>554</v>
      </c>
      <c r="X268">
        <f t="shared" si="59"/>
        <v>0.35149999999999998</v>
      </c>
      <c r="Y268" s="1">
        <f t="shared" si="60"/>
        <v>89497562</v>
      </c>
      <c r="Z268">
        <f t="shared" si="61"/>
        <v>51613.35755478662</v>
      </c>
      <c r="AA268">
        <f t="shared" si="62"/>
        <v>99996</v>
      </c>
      <c r="AB268">
        <f t="shared" si="63"/>
        <v>5091</v>
      </c>
      <c r="AC268">
        <f t="shared" si="64"/>
        <v>2347868.1000000015</v>
      </c>
      <c r="AD268">
        <f t="shared" si="65"/>
        <v>1354.0185121107274</v>
      </c>
      <c r="AE268">
        <f t="shared" si="66"/>
        <v>0.35149999999999998</v>
      </c>
      <c r="AF268">
        <f t="shared" si="67"/>
        <v>2020448620.5000021</v>
      </c>
      <c r="AG268" t="str">
        <f t="shared" si="68"/>
        <v>Active</v>
      </c>
      <c r="AH268">
        <f t="shared" si="69"/>
        <v>19773.84</v>
      </c>
    </row>
    <row r="269" spans="1:34" x14ac:dyDescent="0.35">
      <c r="A269" t="s">
        <v>821</v>
      </c>
      <c r="B269" t="s">
        <v>822</v>
      </c>
      <c r="C269">
        <v>24</v>
      </c>
      <c r="D269" t="s">
        <v>38</v>
      </c>
      <c r="E269" t="s">
        <v>39</v>
      </c>
      <c r="F269" t="s">
        <v>59</v>
      </c>
      <c r="G269">
        <v>172574</v>
      </c>
      <c r="H269">
        <v>490</v>
      </c>
      <c r="I269">
        <v>48855</v>
      </c>
      <c r="J269">
        <v>21.27</v>
      </c>
      <c r="K269">
        <v>360</v>
      </c>
      <c r="L269" t="s">
        <v>86</v>
      </c>
      <c r="M269">
        <v>16.25</v>
      </c>
      <c r="N269">
        <v>7815</v>
      </c>
      <c r="O269">
        <v>103233</v>
      </c>
      <c r="P269" t="s">
        <v>823</v>
      </c>
      <c r="Q269" t="s">
        <v>27</v>
      </c>
      <c r="R269" t="s">
        <v>48</v>
      </c>
      <c r="S269" t="s">
        <v>29</v>
      </c>
      <c r="T269">
        <v>164.57</v>
      </c>
      <c r="U269">
        <f t="shared" si="56"/>
        <v>1733</v>
      </c>
      <c r="V269">
        <f t="shared" si="57"/>
        <v>616</v>
      </c>
      <c r="W269">
        <f t="shared" si="58"/>
        <v>554</v>
      </c>
      <c r="X269">
        <f t="shared" si="59"/>
        <v>0.35149999999999998</v>
      </c>
      <c r="Y269" s="1">
        <f t="shared" si="60"/>
        <v>89410728</v>
      </c>
      <c r="Z269">
        <f t="shared" si="61"/>
        <v>51593.034045008659</v>
      </c>
      <c r="AA269">
        <f t="shared" si="62"/>
        <v>99996</v>
      </c>
      <c r="AB269">
        <f t="shared" si="63"/>
        <v>5091</v>
      </c>
      <c r="AC269">
        <f t="shared" si="64"/>
        <v>2346220.2800000017</v>
      </c>
      <c r="AD269">
        <f t="shared" si="65"/>
        <v>1353.8489786497412</v>
      </c>
      <c r="AE269">
        <f t="shared" si="66"/>
        <v>0.35149999999999998</v>
      </c>
      <c r="AF269">
        <f t="shared" si="67"/>
        <v>2018100752.4000022</v>
      </c>
      <c r="AG269" t="str">
        <f t="shared" si="68"/>
        <v>Active</v>
      </c>
      <c r="AH269">
        <f t="shared" si="69"/>
        <v>1974.84</v>
      </c>
    </row>
    <row r="270" spans="1:34" x14ac:dyDescent="0.35">
      <c r="A270" t="s">
        <v>824</v>
      </c>
      <c r="B270" t="s">
        <v>825</v>
      </c>
      <c r="C270">
        <v>26</v>
      </c>
      <c r="D270" t="s">
        <v>38</v>
      </c>
      <c r="E270" t="s">
        <v>39</v>
      </c>
      <c r="F270" t="s">
        <v>59</v>
      </c>
      <c r="G270">
        <v>193306</v>
      </c>
      <c r="H270">
        <v>470</v>
      </c>
      <c r="I270">
        <v>27122</v>
      </c>
      <c r="J270">
        <v>21.01</v>
      </c>
      <c r="K270">
        <v>60</v>
      </c>
      <c r="L270" t="s">
        <v>40</v>
      </c>
      <c r="M270">
        <v>46.14</v>
      </c>
      <c r="N270">
        <v>77216</v>
      </c>
      <c r="O270">
        <v>53519</v>
      </c>
      <c r="P270" t="s">
        <v>826</v>
      </c>
      <c r="Q270" t="s">
        <v>61</v>
      </c>
      <c r="R270" t="s">
        <v>48</v>
      </c>
      <c r="S270" t="s">
        <v>35</v>
      </c>
      <c r="T270">
        <v>547.01</v>
      </c>
      <c r="U270">
        <f t="shared" si="56"/>
        <v>1732</v>
      </c>
      <c r="V270">
        <f t="shared" si="57"/>
        <v>616</v>
      </c>
      <c r="W270">
        <f t="shared" si="58"/>
        <v>554</v>
      </c>
      <c r="X270">
        <f t="shared" si="59"/>
        <v>0.35149999999999998</v>
      </c>
      <c r="Y270" s="1">
        <f t="shared" si="60"/>
        <v>89361873</v>
      </c>
      <c r="Z270">
        <f t="shared" si="61"/>
        <v>51594.614896073901</v>
      </c>
      <c r="AA270">
        <f t="shared" si="62"/>
        <v>99996</v>
      </c>
      <c r="AB270">
        <f t="shared" si="63"/>
        <v>5091</v>
      </c>
      <c r="AC270">
        <f t="shared" si="64"/>
        <v>2346055.7100000014</v>
      </c>
      <c r="AD270">
        <f t="shared" si="65"/>
        <v>1354.5356293302548</v>
      </c>
      <c r="AE270">
        <f t="shared" si="66"/>
        <v>0.35149999999999998</v>
      </c>
      <c r="AF270">
        <f t="shared" si="67"/>
        <v>2015754532.1200025</v>
      </c>
      <c r="AG270" t="str">
        <f t="shared" si="68"/>
        <v>Active</v>
      </c>
      <c r="AH270">
        <f t="shared" si="69"/>
        <v>6564.12</v>
      </c>
    </row>
    <row r="271" spans="1:34" x14ac:dyDescent="0.35">
      <c r="A271" t="s">
        <v>827</v>
      </c>
      <c r="B271" t="s">
        <v>828</v>
      </c>
      <c r="C271">
        <v>32</v>
      </c>
      <c r="D271" t="s">
        <v>38</v>
      </c>
      <c r="E271" t="s">
        <v>23</v>
      </c>
      <c r="F271" t="s">
        <v>46</v>
      </c>
      <c r="G271">
        <v>107575</v>
      </c>
      <c r="H271">
        <v>516</v>
      </c>
      <c r="I271">
        <v>14551</v>
      </c>
      <c r="J271">
        <v>20</v>
      </c>
      <c r="K271">
        <v>120</v>
      </c>
      <c r="L271" t="s">
        <v>25</v>
      </c>
      <c r="M271">
        <v>51.83</v>
      </c>
      <c r="N271">
        <v>79919</v>
      </c>
      <c r="O271">
        <v>198678</v>
      </c>
      <c r="P271" t="s">
        <v>829</v>
      </c>
      <c r="Q271" t="s">
        <v>27</v>
      </c>
      <c r="R271" t="s">
        <v>48</v>
      </c>
      <c r="S271" t="s">
        <v>49</v>
      </c>
      <c r="T271">
        <v>145.51</v>
      </c>
      <c r="U271">
        <f t="shared" si="56"/>
        <v>1731</v>
      </c>
      <c r="V271">
        <f t="shared" si="57"/>
        <v>616</v>
      </c>
      <c r="W271">
        <f t="shared" si="58"/>
        <v>553</v>
      </c>
      <c r="X271">
        <f t="shared" si="59"/>
        <v>0.35149999999999998</v>
      </c>
      <c r="Y271" s="1">
        <f t="shared" si="60"/>
        <v>89334751</v>
      </c>
      <c r="Z271">
        <f t="shared" si="61"/>
        <v>51608.752744078571</v>
      </c>
      <c r="AA271">
        <f t="shared" si="62"/>
        <v>99996</v>
      </c>
      <c r="AB271">
        <f t="shared" si="63"/>
        <v>5091</v>
      </c>
      <c r="AC271">
        <f t="shared" si="64"/>
        <v>2345508.7000000016</v>
      </c>
      <c r="AD271">
        <f t="shared" si="65"/>
        <v>1355.0021374927796</v>
      </c>
      <c r="AE271">
        <f t="shared" si="66"/>
        <v>0.35149999999999998</v>
      </c>
      <c r="AF271">
        <f t="shared" si="67"/>
        <v>2013408476.4100025</v>
      </c>
      <c r="AG271" t="str">
        <f t="shared" si="68"/>
        <v>Active</v>
      </c>
      <c r="AH271">
        <f t="shared" si="69"/>
        <v>1746.12</v>
      </c>
    </row>
    <row r="272" spans="1:34" x14ac:dyDescent="0.35">
      <c r="A272" t="s">
        <v>830</v>
      </c>
      <c r="B272" t="s">
        <v>831</v>
      </c>
      <c r="C272">
        <v>61</v>
      </c>
      <c r="D272" t="s">
        <v>38</v>
      </c>
      <c r="E272" t="s">
        <v>32</v>
      </c>
      <c r="F272" t="s">
        <v>24</v>
      </c>
      <c r="G272">
        <v>87743</v>
      </c>
      <c r="H272">
        <v>598</v>
      </c>
      <c r="I272">
        <v>56698</v>
      </c>
      <c r="J272">
        <v>6.09</v>
      </c>
      <c r="K272">
        <v>12</v>
      </c>
      <c r="L272" t="s">
        <v>33</v>
      </c>
      <c r="M272">
        <v>11.68</v>
      </c>
      <c r="N272">
        <v>71467</v>
      </c>
      <c r="O272">
        <v>86674</v>
      </c>
      <c r="P272" t="s">
        <v>129</v>
      </c>
      <c r="Q272" t="s">
        <v>27</v>
      </c>
      <c r="R272" t="s">
        <v>48</v>
      </c>
      <c r="S272" t="s">
        <v>49</v>
      </c>
      <c r="T272">
        <v>5012.58</v>
      </c>
      <c r="U272">
        <f t="shared" si="56"/>
        <v>1730</v>
      </c>
      <c r="V272">
        <f t="shared" si="57"/>
        <v>616</v>
      </c>
      <c r="W272">
        <f t="shared" si="58"/>
        <v>553</v>
      </c>
      <c r="X272">
        <f t="shared" si="59"/>
        <v>0.35149999999999998</v>
      </c>
      <c r="Y272" s="1">
        <f t="shared" si="60"/>
        <v>89320200</v>
      </c>
      <c r="Z272">
        <f t="shared" si="61"/>
        <v>51630.173410404626</v>
      </c>
      <c r="AA272">
        <f t="shared" si="62"/>
        <v>99996</v>
      </c>
      <c r="AB272">
        <f t="shared" si="63"/>
        <v>5091</v>
      </c>
      <c r="AC272">
        <f t="shared" si="64"/>
        <v>2345363.1900000013</v>
      </c>
      <c r="AD272">
        <f t="shared" si="65"/>
        <v>1355.7012658959545</v>
      </c>
      <c r="AE272">
        <f t="shared" si="66"/>
        <v>0.35149999999999998</v>
      </c>
      <c r="AF272">
        <f t="shared" si="67"/>
        <v>2011062967.7100024</v>
      </c>
      <c r="AG272" t="str">
        <f t="shared" si="68"/>
        <v>Active</v>
      </c>
      <c r="AH272">
        <f t="shared" si="69"/>
        <v>60150.96</v>
      </c>
    </row>
    <row r="273" spans="1:34" x14ac:dyDescent="0.35">
      <c r="A273" t="s">
        <v>832</v>
      </c>
      <c r="B273" t="s">
        <v>833</v>
      </c>
      <c r="C273">
        <v>54</v>
      </c>
      <c r="D273" t="s">
        <v>38</v>
      </c>
      <c r="E273" t="s">
        <v>32</v>
      </c>
      <c r="F273" t="s">
        <v>24</v>
      </c>
      <c r="G273">
        <v>131443</v>
      </c>
      <c r="H273">
        <v>613</v>
      </c>
      <c r="I273">
        <v>84003</v>
      </c>
      <c r="J273">
        <v>10.5</v>
      </c>
      <c r="K273">
        <v>12</v>
      </c>
      <c r="L273" t="s">
        <v>52</v>
      </c>
      <c r="M273">
        <v>9.01</v>
      </c>
      <c r="N273">
        <v>13745</v>
      </c>
      <c r="O273">
        <v>189743</v>
      </c>
      <c r="P273" t="s">
        <v>834</v>
      </c>
      <c r="Q273" t="s">
        <v>42</v>
      </c>
      <c r="R273" t="s">
        <v>48</v>
      </c>
      <c r="S273" t="s">
        <v>68</v>
      </c>
      <c r="T273">
        <v>7735.28</v>
      </c>
      <c r="U273">
        <f t="shared" si="56"/>
        <v>1729</v>
      </c>
      <c r="V273">
        <f t="shared" si="57"/>
        <v>616</v>
      </c>
      <c r="W273">
        <f t="shared" si="58"/>
        <v>553</v>
      </c>
      <c r="X273">
        <f t="shared" si="59"/>
        <v>0.35149999999999998</v>
      </c>
      <c r="Y273" s="1">
        <f t="shared" si="60"/>
        <v>89263502</v>
      </c>
      <c r="Z273">
        <f t="shared" si="61"/>
        <v>51627.242336610754</v>
      </c>
      <c r="AA273">
        <f t="shared" si="62"/>
        <v>99996</v>
      </c>
      <c r="AB273">
        <f t="shared" si="63"/>
        <v>5091</v>
      </c>
      <c r="AC273">
        <f t="shared" si="64"/>
        <v>2340350.6100000017</v>
      </c>
      <c r="AD273">
        <f t="shared" si="65"/>
        <v>1353.5862406015049</v>
      </c>
      <c r="AE273">
        <f t="shared" si="66"/>
        <v>0.35149999999999998</v>
      </c>
      <c r="AF273">
        <f t="shared" si="67"/>
        <v>2008717604.5200024</v>
      </c>
      <c r="AG273" t="str">
        <f t="shared" si="68"/>
        <v>Over Paid</v>
      </c>
      <c r="AH273">
        <f t="shared" si="69"/>
        <v>92823.360000000001</v>
      </c>
    </row>
    <row r="274" spans="1:34" x14ac:dyDescent="0.35">
      <c r="A274" t="s">
        <v>835</v>
      </c>
      <c r="B274" t="s">
        <v>836</v>
      </c>
      <c r="C274">
        <v>31</v>
      </c>
      <c r="D274" t="s">
        <v>22</v>
      </c>
      <c r="E274" t="s">
        <v>39</v>
      </c>
      <c r="F274" t="s">
        <v>24</v>
      </c>
      <c r="G274">
        <v>72656</v>
      </c>
      <c r="H274">
        <v>616</v>
      </c>
      <c r="I274">
        <v>51623</v>
      </c>
      <c r="J274">
        <v>20.63</v>
      </c>
      <c r="K274">
        <v>48</v>
      </c>
      <c r="L274" t="s">
        <v>25</v>
      </c>
      <c r="M274">
        <v>8.09</v>
      </c>
      <c r="N274">
        <v>78811</v>
      </c>
      <c r="O274">
        <v>148120</v>
      </c>
      <c r="P274" t="s">
        <v>837</v>
      </c>
      <c r="Q274" t="s">
        <v>61</v>
      </c>
      <c r="R274" t="s">
        <v>28</v>
      </c>
      <c r="S274" t="s">
        <v>49</v>
      </c>
      <c r="T274">
        <v>1297.3499999999999</v>
      </c>
      <c r="U274">
        <f t="shared" si="56"/>
        <v>1728</v>
      </c>
      <c r="V274">
        <f t="shared" si="57"/>
        <v>615</v>
      </c>
      <c r="W274">
        <f t="shared" si="58"/>
        <v>553</v>
      </c>
      <c r="X274">
        <f t="shared" si="59"/>
        <v>0.35149999999999998</v>
      </c>
      <c r="Y274" s="1">
        <f t="shared" si="60"/>
        <v>89179499</v>
      </c>
      <c r="Z274">
        <f t="shared" si="61"/>
        <v>51608.506365740737</v>
      </c>
      <c r="AA274">
        <f t="shared" si="62"/>
        <v>99996</v>
      </c>
      <c r="AB274">
        <f t="shared" si="63"/>
        <v>5091</v>
      </c>
      <c r="AC274">
        <f t="shared" si="64"/>
        <v>2332615.3300000015</v>
      </c>
      <c r="AD274">
        <f t="shared" si="65"/>
        <v>1349.893130787038</v>
      </c>
      <c r="AE274">
        <f t="shared" si="66"/>
        <v>0.35149999999999998</v>
      </c>
      <c r="AF274">
        <f t="shared" si="67"/>
        <v>2006377253.9100025</v>
      </c>
      <c r="AG274" t="str">
        <f t="shared" si="68"/>
        <v>Over Paid</v>
      </c>
      <c r="AH274">
        <f t="shared" si="69"/>
        <v>15568.199999999999</v>
      </c>
    </row>
    <row r="275" spans="1:34" x14ac:dyDescent="0.35">
      <c r="A275" t="s">
        <v>838</v>
      </c>
      <c r="B275" t="s">
        <v>839</v>
      </c>
      <c r="C275">
        <v>63</v>
      </c>
      <c r="D275" t="s">
        <v>38</v>
      </c>
      <c r="E275" t="s">
        <v>39</v>
      </c>
      <c r="F275" t="s">
        <v>24</v>
      </c>
      <c r="G275">
        <v>168602</v>
      </c>
      <c r="H275">
        <v>552</v>
      </c>
      <c r="I275">
        <v>56536</v>
      </c>
      <c r="J275">
        <v>18.09</v>
      </c>
      <c r="K275">
        <v>60</v>
      </c>
      <c r="L275" t="s">
        <v>25</v>
      </c>
      <c r="M275">
        <v>41.78</v>
      </c>
      <c r="N275">
        <v>19373</v>
      </c>
      <c r="O275">
        <v>25346</v>
      </c>
      <c r="P275" t="s">
        <v>840</v>
      </c>
      <c r="Q275" t="s">
        <v>61</v>
      </c>
      <c r="R275" t="s">
        <v>28</v>
      </c>
      <c r="S275" t="s">
        <v>29</v>
      </c>
      <c r="T275">
        <v>1112.72</v>
      </c>
      <c r="U275">
        <f t="shared" si="56"/>
        <v>1727</v>
      </c>
      <c r="V275">
        <f t="shared" si="57"/>
        <v>615</v>
      </c>
      <c r="W275">
        <f t="shared" si="58"/>
        <v>552</v>
      </c>
      <c r="X275">
        <f t="shared" si="59"/>
        <v>0.35149999999999998</v>
      </c>
      <c r="Y275" s="1">
        <f t="shared" si="60"/>
        <v>89127876</v>
      </c>
      <c r="Z275">
        <f t="shared" si="61"/>
        <v>51608.497973364218</v>
      </c>
      <c r="AA275">
        <f t="shared" si="62"/>
        <v>99996</v>
      </c>
      <c r="AB275">
        <f t="shared" si="63"/>
        <v>5091</v>
      </c>
      <c r="AC275">
        <f t="shared" si="64"/>
        <v>2331317.9800000014</v>
      </c>
      <c r="AD275">
        <f t="shared" si="65"/>
        <v>1349.9235552982059</v>
      </c>
      <c r="AE275">
        <f t="shared" si="66"/>
        <v>0.35149999999999998</v>
      </c>
      <c r="AF275">
        <f t="shared" si="67"/>
        <v>2004044638.5800025</v>
      </c>
      <c r="AG275" t="str">
        <f t="shared" si="68"/>
        <v>Active</v>
      </c>
      <c r="AH275">
        <f t="shared" si="69"/>
        <v>13352.64</v>
      </c>
    </row>
    <row r="276" spans="1:34" x14ac:dyDescent="0.35">
      <c r="A276" t="s">
        <v>841</v>
      </c>
      <c r="B276" t="s">
        <v>842</v>
      </c>
      <c r="C276">
        <v>53</v>
      </c>
      <c r="D276" t="s">
        <v>22</v>
      </c>
      <c r="E276" t="s">
        <v>39</v>
      </c>
      <c r="F276" t="s">
        <v>24</v>
      </c>
      <c r="G276">
        <v>151191</v>
      </c>
      <c r="H276">
        <v>570</v>
      </c>
      <c r="I276">
        <v>22571</v>
      </c>
      <c r="J276">
        <v>20.67</v>
      </c>
      <c r="K276">
        <v>120</v>
      </c>
      <c r="L276" t="s">
        <v>33</v>
      </c>
      <c r="M276">
        <v>36.56</v>
      </c>
      <c r="N276">
        <v>37513</v>
      </c>
      <c r="O276">
        <v>240289</v>
      </c>
      <c r="P276" t="s">
        <v>843</v>
      </c>
      <c r="Q276" t="s">
        <v>61</v>
      </c>
      <c r="R276" t="s">
        <v>28</v>
      </c>
      <c r="S276" t="s">
        <v>35</v>
      </c>
      <c r="T276">
        <v>226.97</v>
      </c>
      <c r="U276">
        <f t="shared" si="56"/>
        <v>1726</v>
      </c>
      <c r="V276">
        <f t="shared" si="57"/>
        <v>615</v>
      </c>
      <c r="W276">
        <f t="shared" si="58"/>
        <v>551</v>
      </c>
      <c r="X276">
        <f t="shared" si="59"/>
        <v>0.35149999999999998</v>
      </c>
      <c r="Y276" s="1">
        <f t="shared" si="60"/>
        <v>89071340</v>
      </c>
      <c r="Z276">
        <f t="shared" si="61"/>
        <v>51605.643105446121</v>
      </c>
      <c r="AA276">
        <f t="shared" si="62"/>
        <v>99996</v>
      </c>
      <c r="AB276">
        <f t="shared" si="63"/>
        <v>5091</v>
      </c>
      <c r="AC276">
        <f t="shared" si="64"/>
        <v>2330205.2600000016</v>
      </c>
      <c r="AD276">
        <f t="shared" si="65"/>
        <v>1350.0609849362697</v>
      </c>
      <c r="AE276">
        <f t="shared" si="66"/>
        <v>0.35149999999999998</v>
      </c>
      <c r="AF276">
        <f t="shared" si="67"/>
        <v>2001713320.6000028</v>
      </c>
      <c r="AG276" t="str">
        <f t="shared" si="68"/>
        <v>Active</v>
      </c>
      <c r="AH276">
        <f t="shared" si="69"/>
        <v>2723.64</v>
      </c>
    </row>
    <row r="277" spans="1:34" x14ac:dyDescent="0.35">
      <c r="A277" t="s">
        <v>844</v>
      </c>
      <c r="B277" t="s">
        <v>845</v>
      </c>
      <c r="C277">
        <v>21</v>
      </c>
      <c r="D277" t="s">
        <v>38</v>
      </c>
      <c r="E277" t="s">
        <v>23</v>
      </c>
      <c r="F277" t="s">
        <v>46</v>
      </c>
      <c r="G277">
        <v>139297</v>
      </c>
      <c r="H277">
        <v>778</v>
      </c>
      <c r="I277">
        <v>51846</v>
      </c>
      <c r="J277">
        <v>17.88</v>
      </c>
      <c r="K277">
        <v>36</v>
      </c>
      <c r="L277" t="s">
        <v>52</v>
      </c>
      <c r="M277">
        <v>35.49</v>
      </c>
      <c r="N277">
        <v>57882</v>
      </c>
      <c r="O277">
        <v>126877</v>
      </c>
      <c r="P277" t="s">
        <v>846</v>
      </c>
      <c r="Q277" t="s">
        <v>27</v>
      </c>
      <c r="R277" t="s">
        <v>28</v>
      </c>
      <c r="S277" t="s">
        <v>49</v>
      </c>
      <c r="T277">
        <v>1697.67</v>
      </c>
      <c r="U277">
        <f t="shared" si="56"/>
        <v>1725</v>
      </c>
      <c r="V277">
        <f t="shared" si="57"/>
        <v>615</v>
      </c>
      <c r="W277">
        <f t="shared" si="58"/>
        <v>550</v>
      </c>
      <c r="X277">
        <f t="shared" si="59"/>
        <v>0.35149999999999998</v>
      </c>
      <c r="Y277" s="1">
        <f t="shared" si="60"/>
        <v>89048769</v>
      </c>
      <c r="Z277">
        <f t="shared" si="61"/>
        <v>51622.474782608697</v>
      </c>
      <c r="AA277">
        <f t="shared" si="62"/>
        <v>99996</v>
      </c>
      <c r="AB277">
        <f t="shared" si="63"/>
        <v>5091</v>
      </c>
      <c r="AC277">
        <f t="shared" si="64"/>
        <v>2329978.2900000014</v>
      </c>
      <c r="AD277">
        <f t="shared" si="65"/>
        <v>1350.7120521739139</v>
      </c>
      <c r="AE277">
        <f t="shared" si="66"/>
        <v>0.35149999999999998</v>
      </c>
      <c r="AF277">
        <f t="shared" si="67"/>
        <v>1999383115.3400028</v>
      </c>
      <c r="AG277" t="str">
        <f t="shared" si="68"/>
        <v>Active</v>
      </c>
      <c r="AH277">
        <f t="shared" si="69"/>
        <v>20372.04</v>
      </c>
    </row>
    <row r="278" spans="1:34" x14ac:dyDescent="0.35">
      <c r="A278" t="s">
        <v>847</v>
      </c>
      <c r="B278" t="s">
        <v>848</v>
      </c>
      <c r="C278">
        <v>51</v>
      </c>
      <c r="D278" t="s">
        <v>22</v>
      </c>
      <c r="E278" t="s">
        <v>32</v>
      </c>
      <c r="F278" t="s">
        <v>24</v>
      </c>
      <c r="G278">
        <v>173589</v>
      </c>
      <c r="H278">
        <v>672</v>
      </c>
      <c r="I278">
        <v>34726</v>
      </c>
      <c r="J278">
        <v>22.85</v>
      </c>
      <c r="K278">
        <v>48</v>
      </c>
      <c r="L278" t="s">
        <v>33</v>
      </c>
      <c r="M278">
        <v>17.64</v>
      </c>
      <c r="N278">
        <v>50377</v>
      </c>
      <c r="O278">
        <v>175212</v>
      </c>
      <c r="P278" t="s">
        <v>849</v>
      </c>
      <c r="Q278" t="s">
        <v>27</v>
      </c>
      <c r="R278" t="s">
        <v>28</v>
      </c>
      <c r="S278" t="s">
        <v>35</v>
      </c>
      <c r="T278">
        <v>888.77</v>
      </c>
      <c r="U278">
        <f t="shared" si="56"/>
        <v>1724</v>
      </c>
      <c r="V278">
        <f t="shared" si="57"/>
        <v>615</v>
      </c>
      <c r="W278">
        <f t="shared" si="58"/>
        <v>550</v>
      </c>
      <c r="X278">
        <f t="shared" si="59"/>
        <v>0.35149999999999998</v>
      </c>
      <c r="Y278" s="1">
        <f t="shared" si="60"/>
        <v>88996923</v>
      </c>
      <c r="Z278">
        <f t="shared" si="61"/>
        <v>51622.345127610206</v>
      </c>
      <c r="AA278">
        <f t="shared" si="62"/>
        <v>99996</v>
      </c>
      <c r="AB278">
        <f t="shared" si="63"/>
        <v>5091</v>
      </c>
      <c r="AC278">
        <f t="shared" si="64"/>
        <v>2328280.6200000015</v>
      </c>
      <c r="AD278">
        <f t="shared" si="65"/>
        <v>1350.5108004640381</v>
      </c>
      <c r="AE278">
        <f t="shared" si="66"/>
        <v>0.35149999999999998</v>
      </c>
      <c r="AF278">
        <f t="shared" si="67"/>
        <v>1997053137.0500028</v>
      </c>
      <c r="AG278" t="str">
        <f t="shared" si="68"/>
        <v>Active</v>
      </c>
      <c r="AH278">
        <f t="shared" si="69"/>
        <v>10665.24</v>
      </c>
    </row>
    <row r="279" spans="1:34" x14ac:dyDescent="0.35">
      <c r="A279" t="s">
        <v>850</v>
      </c>
      <c r="B279" t="s">
        <v>851</v>
      </c>
      <c r="C279">
        <v>53</v>
      </c>
      <c r="D279" t="s">
        <v>38</v>
      </c>
      <c r="E279" t="s">
        <v>23</v>
      </c>
      <c r="F279" t="s">
        <v>24</v>
      </c>
      <c r="G279">
        <v>32828</v>
      </c>
      <c r="H279">
        <v>838</v>
      </c>
      <c r="I279">
        <v>28642</v>
      </c>
      <c r="J279">
        <v>22.11</v>
      </c>
      <c r="K279">
        <v>36</v>
      </c>
      <c r="L279" t="s">
        <v>40</v>
      </c>
      <c r="M279">
        <v>30.62</v>
      </c>
      <c r="N279">
        <v>51185</v>
      </c>
      <c r="O279">
        <v>194654</v>
      </c>
      <c r="P279" t="s">
        <v>852</v>
      </c>
      <c r="Q279" t="s">
        <v>61</v>
      </c>
      <c r="R279" t="s">
        <v>28</v>
      </c>
      <c r="S279" t="s">
        <v>35</v>
      </c>
      <c r="T279">
        <v>971.52</v>
      </c>
      <c r="U279">
        <f t="shared" si="56"/>
        <v>1723</v>
      </c>
      <c r="V279">
        <f t="shared" si="57"/>
        <v>615</v>
      </c>
      <c r="W279">
        <f t="shared" si="58"/>
        <v>550</v>
      </c>
      <c r="X279">
        <f t="shared" si="59"/>
        <v>0.35149999999999998</v>
      </c>
      <c r="Y279" s="1">
        <f t="shared" si="60"/>
        <v>88962197</v>
      </c>
      <c r="Z279">
        <f t="shared" si="61"/>
        <v>51632.151479976783</v>
      </c>
      <c r="AA279">
        <f t="shared" si="62"/>
        <v>99996</v>
      </c>
      <c r="AB279">
        <f t="shared" si="63"/>
        <v>5091</v>
      </c>
      <c r="AC279">
        <f t="shared" si="64"/>
        <v>2327391.850000002</v>
      </c>
      <c r="AD279">
        <f t="shared" si="65"/>
        <v>1350.7787869994208</v>
      </c>
      <c r="AE279">
        <f t="shared" si="66"/>
        <v>0.35149999999999998</v>
      </c>
      <c r="AF279">
        <f t="shared" si="67"/>
        <v>1994724856.4300029</v>
      </c>
      <c r="AG279" t="str">
        <f t="shared" si="68"/>
        <v>Active</v>
      </c>
      <c r="AH279">
        <f t="shared" si="69"/>
        <v>11658.24</v>
      </c>
    </row>
    <row r="280" spans="1:34" x14ac:dyDescent="0.35">
      <c r="A280" t="s">
        <v>853</v>
      </c>
      <c r="B280" t="s">
        <v>854</v>
      </c>
      <c r="C280">
        <v>65</v>
      </c>
      <c r="D280" t="s">
        <v>38</v>
      </c>
      <c r="E280" t="s">
        <v>23</v>
      </c>
      <c r="F280" t="s">
        <v>46</v>
      </c>
      <c r="G280">
        <v>112729</v>
      </c>
      <c r="H280">
        <v>504</v>
      </c>
      <c r="I280">
        <v>54460</v>
      </c>
      <c r="J280">
        <v>21.56</v>
      </c>
      <c r="K280">
        <v>60</v>
      </c>
      <c r="L280" t="s">
        <v>86</v>
      </c>
      <c r="M280">
        <v>25.38</v>
      </c>
      <c r="N280">
        <v>43812</v>
      </c>
      <c r="O280">
        <v>226156</v>
      </c>
      <c r="P280" t="s">
        <v>855</v>
      </c>
      <c r="Q280" t="s">
        <v>61</v>
      </c>
      <c r="R280" t="s">
        <v>48</v>
      </c>
      <c r="S280" t="s">
        <v>29</v>
      </c>
      <c r="T280">
        <v>1103.3599999999999</v>
      </c>
      <c r="U280">
        <f t="shared" si="56"/>
        <v>1722</v>
      </c>
      <c r="V280">
        <f t="shared" si="57"/>
        <v>615</v>
      </c>
      <c r="W280">
        <f t="shared" si="58"/>
        <v>549</v>
      </c>
      <c r="X280">
        <f t="shared" si="59"/>
        <v>0.35149999999999998</v>
      </c>
      <c r="Y280" s="1">
        <f t="shared" si="60"/>
        <v>88933555</v>
      </c>
      <c r="Z280">
        <f t="shared" si="61"/>
        <v>51645.502322880369</v>
      </c>
      <c r="AA280">
        <f t="shared" si="62"/>
        <v>99996</v>
      </c>
      <c r="AB280">
        <f t="shared" si="63"/>
        <v>5091</v>
      </c>
      <c r="AC280">
        <f t="shared" si="64"/>
        <v>2326420.3300000019</v>
      </c>
      <c r="AD280">
        <f t="shared" si="65"/>
        <v>1350.999030197446</v>
      </c>
      <c r="AE280">
        <f t="shared" si="66"/>
        <v>0.35149999999999998</v>
      </c>
      <c r="AF280">
        <f t="shared" si="67"/>
        <v>1992397464.5800028</v>
      </c>
      <c r="AG280" t="str">
        <f t="shared" si="68"/>
        <v>Active</v>
      </c>
      <c r="AH280">
        <f t="shared" si="69"/>
        <v>13240.32</v>
      </c>
    </row>
    <row r="281" spans="1:34" x14ac:dyDescent="0.35">
      <c r="A281" t="s">
        <v>856</v>
      </c>
      <c r="B281" t="s">
        <v>857</v>
      </c>
      <c r="C281">
        <v>23</v>
      </c>
      <c r="D281" t="s">
        <v>38</v>
      </c>
      <c r="E281" t="s">
        <v>32</v>
      </c>
      <c r="F281" t="s">
        <v>59</v>
      </c>
      <c r="G281">
        <v>127809</v>
      </c>
      <c r="H281">
        <v>503</v>
      </c>
      <c r="I281">
        <v>42101</v>
      </c>
      <c r="J281">
        <v>21.18</v>
      </c>
      <c r="K281">
        <v>24</v>
      </c>
      <c r="L281" t="s">
        <v>33</v>
      </c>
      <c r="M281">
        <v>41.59</v>
      </c>
      <c r="N281">
        <v>34882</v>
      </c>
      <c r="O281">
        <v>36816</v>
      </c>
      <c r="P281" t="s">
        <v>188</v>
      </c>
      <c r="Q281" t="s">
        <v>42</v>
      </c>
      <c r="R281" t="s">
        <v>48</v>
      </c>
      <c r="S281" t="s">
        <v>68</v>
      </c>
      <c r="T281">
        <v>2125.75</v>
      </c>
      <c r="U281">
        <f t="shared" si="56"/>
        <v>1721</v>
      </c>
      <c r="V281">
        <f t="shared" si="57"/>
        <v>615</v>
      </c>
      <c r="W281">
        <f t="shared" si="58"/>
        <v>548</v>
      </c>
      <c r="X281">
        <f t="shared" si="59"/>
        <v>0.35149999999999998</v>
      </c>
      <c r="Y281" s="1">
        <f t="shared" si="60"/>
        <v>88879095</v>
      </c>
      <c r="Z281">
        <f t="shared" si="61"/>
        <v>51643.866937826846</v>
      </c>
      <c r="AA281">
        <f t="shared" si="62"/>
        <v>99996</v>
      </c>
      <c r="AB281">
        <f t="shared" si="63"/>
        <v>5091</v>
      </c>
      <c r="AC281">
        <f t="shared" si="64"/>
        <v>2325316.9700000021</v>
      </c>
      <c r="AD281">
        <f t="shared" si="65"/>
        <v>1351.1429227193505</v>
      </c>
      <c r="AE281">
        <f t="shared" si="66"/>
        <v>0.35149999999999998</v>
      </c>
      <c r="AF281">
        <f t="shared" si="67"/>
        <v>1990071044.2500024</v>
      </c>
      <c r="AG281" t="str">
        <f t="shared" si="68"/>
        <v>Active</v>
      </c>
      <c r="AH281">
        <f t="shared" si="69"/>
        <v>25509</v>
      </c>
    </row>
    <row r="282" spans="1:34" x14ac:dyDescent="0.35">
      <c r="A282" t="s">
        <v>858</v>
      </c>
      <c r="B282" t="s">
        <v>859</v>
      </c>
      <c r="C282">
        <v>38</v>
      </c>
      <c r="D282" t="s">
        <v>38</v>
      </c>
      <c r="E282" t="s">
        <v>39</v>
      </c>
      <c r="F282" t="s">
        <v>59</v>
      </c>
      <c r="G282">
        <v>49760</v>
      </c>
      <c r="H282">
        <v>761</v>
      </c>
      <c r="I282">
        <v>42005</v>
      </c>
      <c r="J282">
        <v>15.99</v>
      </c>
      <c r="K282">
        <v>120</v>
      </c>
      <c r="L282" t="s">
        <v>25</v>
      </c>
      <c r="M282">
        <v>29.13</v>
      </c>
      <c r="N282">
        <v>26298</v>
      </c>
      <c r="O282">
        <v>15022</v>
      </c>
      <c r="P282" t="s">
        <v>860</v>
      </c>
      <c r="Q282" t="s">
        <v>27</v>
      </c>
      <c r="R282" t="s">
        <v>28</v>
      </c>
      <c r="S282" t="s">
        <v>68</v>
      </c>
      <c r="T282">
        <v>406.01</v>
      </c>
      <c r="U282">
        <f t="shared" si="56"/>
        <v>1720</v>
      </c>
      <c r="V282">
        <f t="shared" si="57"/>
        <v>614</v>
      </c>
      <c r="W282">
        <f t="shared" si="58"/>
        <v>548</v>
      </c>
      <c r="X282">
        <f t="shared" si="59"/>
        <v>0.35149999999999998</v>
      </c>
      <c r="Y282" s="1">
        <f t="shared" si="60"/>
        <v>88836994</v>
      </c>
      <c r="Z282">
        <f t="shared" si="61"/>
        <v>51649.415116279073</v>
      </c>
      <c r="AA282">
        <f t="shared" si="62"/>
        <v>99996</v>
      </c>
      <c r="AB282">
        <f t="shared" si="63"/>
        <v>5091</v>
      </c>
      <c r="AC282">
        <f t="shared" si="64"/>
        <v>2323191.2200000021</v>
      </c>
      <c r="AD282">
        <f t="shared" si="65"/>
        <v>1350.692569767443</v>
      </c>
      <c r="AE282">
        <f t="shared" si="66"/>
        <v>0.35149999999999998</v>
      </c>
      <c r="AF282">
        <f t="shared" si="67"/>
        <v>1987745727.2800026</v>
      </c>
      <c r="AG282" t="str">
        <f t="shared" si="68"/>
        <v>Active</v>
      </c>
      <c r="AH282">
        <f t="shared" si="69"/>
        <v>4872.12</v>
      </c>
    </row>
    <row r="283" spans="1:34" x14ac:dyDescent="0.35">
      <c r="A283" t="s">
        <v>861</v>
      </c>
      <c r="B283" t="s">
        <v>862</v>
      </c>
      <c r="C283">
        <v>46</v>
      </c>
      <c r="D283" t="s">
        <v>38</v>
      </c>
      <c r="E283" t="s">
        <v>32</v>
      </c>
      <c r="F283" t="s">
        <v>59</v>
      </c>
      <c r="G283">
        <v>124410</v>
      </c>
      <c r="H283">
        <v>642</v>
      </c>
      <c r="I283">
        <v>23418</v>
      </c>
      <c r="J283">
        <v>14.81</v>
      </c>
      <c r="K283">
        <v>360</v>
      </c>
      <c r="L283" t="s">
        <v>40</v>
      </c>
      <c r="M283">
        <v>11.66</v>
      </c>
      <c r="N283">
        <v>58575</v>
      </c>
      <c r="O283">
        <v>236554</v>
      </c>
      <c r="P283" t="s">
        <v>863</v>
      </c>
      <c r="Q283" t="s">
        <v>61</v>
      </c>
      <c r="R283" t="s">
        <v>28</v>
      </c>
      <c r="S283" t="s">
        <v>43</v>
      </c>
      <c r="T283">
        <v>74.680000000000007</v>
      </c>
      <c r="U283">
        <f t="shared" si="56"/>
        <v>1719</v>
      </c>
      <c r="V283">
        <f t="shared" si="57"/>
        <v>614</v>
      </c>
      <c r="W283">
        <f t="shared" si="58"/>
        <v>548</v>
      </c>
      <c r="X283">
        <f t="shared" si="59"/>
        <v>0.35149999999999998</v>
      </c>
      <c r="Y283" s="1">
        <f t="shared" si="60"/>
        <v>88794989</v>
      </c>
      <c r="Z283">
        <f t="shared" si="61"/>
        <v>51655.025596276908</v>
      </c>
      <c r="AA283">
        <f t="shared" si="62"/>
        <v>99996</v>
      </c>
      <c r="AB283">
        <f t="shared" si="63"/>
        <v>5091</v>
      </c>
      <c r="AC283">
        <f t="shared" si="64"/>
        <v>2322785.2100000018</v>
      </c>
      <c r="AD283">
        <f t="shared" si="65"/>
        <v>1351.242123327517</v>
      </c>
      <c r="AE283">
        <f t="shared" si="66"/>
        <v>0.35149999999999998</v>
      </c>
      <c r="AF283">
        <f t="shared" si="67"/>
        <v>1985422536.0600026</v>
      </c>
      <c r="AG283" t="str">
        <f t="shared" si="68"/>
        <v>Active</v>
      </c>
      <c r="AH283">
        <f t="shared" si="69"/>
        <v>896.16000000000008</v>
      </c>
    </row>
    <row r="284" spans="1:34" x14ac:dyDescent="0.35">
      <c r="A284" t="s">
        <v>864</v>
      </c>
      <c r="B284" t="s">
        <v>865</v>
      </c>
      <c r="C284">
        <v>56</v>
      </c>
      <c r="D284" t="s">
        <v>38</v>
      </c>
      <c r="E284" t="s">
        <v>32</v>
      </c>
      <c r="F284" t="s">
        <v>46</v>
      </c>
      <c r="G284">
        <v>103265</v>
      </c>
      <c r="H284">
        <v>320</v>
      </c>
      <c r="I284">
        <v>60626</v>
      </c>
      <c r="J284">
        <v>14.71</v>
      </c>
      <c r="K284">
        <v>12</v>
      </c>
      <c r="L284" t="s">
        <v>52</v>
      </c>
      <c r="M284">
        <v>20.05</v>
      </c>
      <c r="N284">
        <v>40082</v>
      </c>
      <c r="O284">
        <v>207173</v>
      </c>
      <c r="P284" t="s">
        <v>866</v>
      </c>
      <c r="Q284" t="s">
        <v>42</v>
      </c>
      <c r="R284" t="s">
        <v>48</v>
      </c>
      <c r="S284" t="s">
        <v>43</v>
      </c>
      <c r="T284">
        <v>5795.34</v>
      </c>
      <c r="U284">
        <f t="shared" si="56"/>
        <v>1718</v>
      </c>
      <c r="V284">
        <f t="shared" si="57"/>
        <v>614</v>
      </c>
      <c r="W284">
        <f t="shared" si="58"/>
        <v>547</v>
      </c>
      <c r="X284">
        <f t="shared" si="59"/>
        <v>0.35149999999999998</v>
      </c>
      <c r="Y284" s="1">
        <f t="shared" si="60"/>
        <v>88771571</v>
      </c>
      <c r="Z284">
        <f t="shared" si="61"/>
        <v>51671.46158323632</v>
      </c>
      <c r="AA284">
        <f t="shared" si="62"/>
        <v>99996</v>
      </c>
      <c r="AB284">
        <f t="shared" si="63"/>
        <v>5091</v>
      </c>
      <c r="AC284">
        <f t="shared" si="64"/>
        <v>2322710.5300000017</v>
      </c>
      <c r="AD284">
        <f t="shared" si="65"/>
        <v>1351.9851746216541</v>
      </c>
      <c r="AE284">
        <f t="shared" si="66"/>
        <v>0.35149999999999998</v>
      </c>
      <c r="AF284">
        <f t="shared" si="67"/>
        <v>1983099750.8500025</v>
      </c>
      <c r="AG284" t="str">
        <f t="shared" si="68"/>
        <v>Active</v>
      </c>
      <c r="AH284">
        <f t="shared" si="69"/>
        <v>69544.08</v>
      </c>
    </row>
    <row r="285" spans="1:34" x14ac:dyDescent="0.35">
      <c r="A285" t="s">
        <v>867</v>
      </c>
      <c r="B285" t="s">
        <v>868</v>
      </c>
      <c r="C285">
        <v>48</v>
      </c>
      <c r="D285" t="s">
        <v>22</v>
      </c>
      <c r="E285" t="s">
        <v>32</v>
      </c>
      <c r="F285" t="s">
        <v>59</v>
      </c>
      <c r="G285">
        <v>38987</v>
      </c>
      <c r="H285">
        <v>501</v>
      </c>
      <c r="I285">
        <v>26391</v>
      </c>
      <c r="J285">
        <v>20.170000000000002</v>
      </c>
      <c r="K285">
        <v>360</v>
      </c>
      <c r="L285" t="s">
        <v>25</v>
      </c>
      <c r="M285">
        <v>15.1</v>
      </c>
      <c r="N285">
        <v>37317</v>
      </c>
      <c r="O285">
        <v>228276</v>
      </c>
      <c r="P285" t="s">
        <v>869</v>
      </c>
      <c r="Q285" t="s">
        <v>61</v>
      </c>
      <c r="R285" t="s">
        <v>48</v>
      </c>
      <c r="S285" t="s">
        <v>43</v>
      </c>
      <c r="T285">
        <v>88.09</v>
      </c>
      <c r="U285">
        <f t="shared" si="56"/>
        <v>1717</v>
      </c>
      <c r="V285">
        <f t="shared" si="57"/>
        <v>613</v>
      </c>
      <c r="W285">
        <f t="shared" si="58"/>
        <v>547</v>
      </c>
      <c r="X285">
        <f t="shared" si="59"/>
        <v>0.35149999999999998</v>
      </c>
      <c r="Y285" s="1">
        <f t="shared" si="60"/>
        <v>88710945</v>
      </c>
      <c r="Z285">
        <f t="shared" si="61"/>
        <v>51666.246359930112</v>
      </c>
      <c r="AA285">
        <f t="shared" si="62"/>
        <v>99996</v>
      </c>
      <c r="AB285">
        <f t="shared" si="63"/>
        <v>5091</v>
      </c>
      <c r="AC285">
        <f t="shared" si="64"/>
        <v>2316915.1900000013</v>
      </c>
      <c r="AD285">
        <f t="shared" si="65"/>
        <v>1349.3973150844504</v>
      </c>
      <c r="AE285">
        <f t="shared" si="66"/>
        <v>0.35149999999999998</v>
      </c>
      <c r="AF285">
        <f t="shared" si="67"/>
        <v>1980777040.3200023</v>
      </c>
      <c r="AG285" t="str">
        <f t="shared" si="68"/>
        <v>Over Paid</v>
      </c>
      <c r="AH285">
        <f t="shared" si="69"/>
        <v>1057.08</v>
      </c>
    </row>
    <row r="286" spans="1:34" x14ac:dyDescent="0.35">
      <c r="A286" t="s">
        <v>870</v>
      </c>
      <c r="B286" t="s">
        <v>871</v>
      </c>
      <c r="C286">
        <v>28</v>
      </c>
      <c r="D286" t="s">
        <v>38</v>
      </c>
      <c r="E286" t="s">
        <v>32</v>
      </c>
      <c r="F286" t="s">
        <v>24</v>
      </c>
      <c r="G286">
        <v>93617</v>
      </c>
      <c r="H286">
        <v>469</v>
      </c>
      <c r="I286">
        <v>77364</v>
      </c>
      <c r="J286">
        <v>23.98</v>
      </c>
      <c r="K286">
        <v>12</v>
      </c>
      <c r="L286" t="s">
        <v>25</v>
      </c>
      <c r="M286">
        <v>24.62</v>
      </c>
      <c r="N286">
        <v>67256</v>
      </c>
      <c r="O286">
        <v>177223</v>
      </c>
      <c r="P286" t="s">
        <v>872</v>
      </c>
      <c r="Q286" t="s">
        <v>61</v>
      </c>
      <c r="R286" t="s">
        <v>28</v>
      </c>
      <c r="S286" t="s">
        <v>68</v>
      </c>
      <c r="T286">
        <v>7992.99</v>
      </c>
      <c r="U286">
        <f t="shared" si="56"/>
        <v>1716</v>
      </c>
      <c r="V286">
        <f t="shared" si="57"/>
        <v>613</v>
      </c>
      <c r="W286">
        <f t="shared" si="58"/>
        <v>546</v>
      </c>
      <c r="X286">
        <f t="shared" si="59"/>
        <v>0.35149999999999998</v>
      </c>
      <c r="Y286" s="1">
        <f t="shared" si="60"/>
        <v>88684554</v>
      </c>
      <c r="Z286">
        <f t="shared" si="61"/>
        <v>51680.975524475522</v>
      </c>
      <c r="AA286">
        <f t="shared" si="62"/>
        <v>99996</v>
      </c>
      <c r="AB286">
        <f t="shared" si="63"/>
        <v>5091</v>
      </c>
      <c r="AC286">
        <f t="shared" si="64"/>
        <v>2316827.1000000015</v>
      </c>
      <c r="AD286">
        <f t="shared" si="65"/>
        <v>1350.1323426573435</v>
      </c>
      <c r="AE286">
        <f t="shared" si="66"/>
        <v>0.35149999999999998</v>
      </c>
      <c r="AF286">
        <f t="shared" si="67"/>
        <v>1978460125.1300025</v>
      </c>
      <c r="AG286" t="str">
        <f t="shared" si="68"/>
        <v>Active</v>
      </c>
      <c r="AH286">
        <f t="shared" si="69"/>
        <v>95915.88</v>
      </c>
    </row>
    <row r="287" spans="1:34" x14ac:dyDescent="0.35">
      <c r="A287" t="s">
        <v>873</v>
      </c>
      <c r="B287" t="s">
        <v>874</v>
      </c>
      <c r="C287">
        <v>42</v>
      </c>
      <c r="D287" t="s">
        <v>22</v>
      </c>
      <c r="E287" t="s">
        <v>32</v>
      </c>
      <c r="F287" t="s">
        <v>59</v>
      </c>
      <c r="G287">
        <v>85989</v>
      </c>
      <c r="H287">
        <v>545</v>
      </c>
      <c r="I287">
        <v>10947</v>
      </c>
      <c r="J287">
        <v>14.48</v>
      </c>
      <c r="K287">
        <v>36</v>
      </c>
      <c r="L287" t="s">
        <v>40</v>
      </c>
      <c r="M287">
        <v>22.81</v>
      </c>
      <c r="N287">
        <v>20827</v>
      </c>
      <c r="O287">
        <v>245100</v>
      </c>
      <c r="P287" t="s">
        <v>875</v>
      </c>
      <c r="Q287" t="s">
        <v>61</v>
      </c>
      <c r="R287" t="s">
        <v>48</v>
      </c>
      <c r="S287" t="s">
        <v>49</v>
      </c>
      <c r="T287">
        <v>348.11</v>
      </c>
      <c r="U287">
        <f t="shared" si="56"/>
        <v>1715</v>
      </c>
      <c r="V287">
        <f t="shared" si="57"/>
        <v>613</v>
      </c>
      <c r="W287">
        <f t="shared" si="58"/>
        <v>545</v>
      </c>
      <c r="X287">
        <f t="shared" si="59"/>
        <v>0.35149999999999998</v>
      </c>
      <c r="Y287" s="1">
        <f t="shared" si="60"/>
        <v>88607190</v>
      </c>
      <c r="Z287">
        <f t="shared" si="61"/>
        <v>51666</v>
      </c>
      <c r="AA287">
        <f t="shared" si="62"/>
        <v>99996</v>
      </c>
      <c r="AB287">
        <f t="shared" si="63"/>
        <v>5091</v>
      </c>
      <c r="AC287">
        <f t="shared" si="64"/>
        <v>2308834.1100000017</v>
      </c>
      <c r="AD287">
        <f t="shared" si="65"/>
        <v>1346.2589562682226</v>
      </c>
      <c r="AE287">
        <f t="shared" si="66"/>
        <v>0.35149999999999998</v>
      </c>
      <c r="AF287">
        <f t="shared" si="67"/>
        <v>1976143298.0300024</v>
      </c>
      <c r="AG287" t="str">
        <f t="shared" si="68"/>
        <v>Over Paid</v>
      </c>
      <c r="AH287">
        <f t="shared" si="69"/>
        <v>4177.32</v>
      </c>
    </row>
    <row r="288" spans="1:34" x14ac:dyDescent="0.35">
      <c r="A288" t="s">
        <v>876</v>
      </c>
      <c r="B288" t="s">
        <v>877</v>
      </c>
      <c r="C288">
        <v>51</v>
      </c>
      <c r="D288" t="s">
        <v>38</v>
      </c>
      <c r="E288" t="s">
        <v>32</v>
      </c>
      <c r="F288" t="s">
        <v>59</v>
      </c>
      <c r="G288">
        <v>127192</v>
      </c>
      <c r="H288">
        <v>750</v>
      </c>
      <c r="I288">
        <v>18212</v>
      </c>
      <c r="J288">
        <v>10.9</v>
      </c>
      <c r="K288">
        <v>360</v>
      </c>
      <c r="L288" t="s">
        <v>40</v>
      </c>
      <c r="M288">
        <v>39.01</v>
      </c>
      <c r="N288">
        <v>64743</v>
      </c>
      <c r="O288">
        <v>68169</v>
      </c>
      <c r="P288" t="s">
        <v>878</v>
      </c>
      <c r="Q288" t="s">
        <v>42</v>
      </c>
      <c r="R288" t="s">
        <v>48</v>
      </c>
      <c r="S288" t="s">
        <v>29</v>
      </c>
      <c r="T288">
        <v>56.1</v>
      </c>
      <c r="U288">
        <f t="shared" si="56"/>
        <v>1714</v>
      </c>
      <c r="V288">
        <f t="shared" si="57"/>
        <v>613</v>
      </c>
      <c r="W288">
        <f t="shared" si="58"/>
        <v>544</v>
      </c>
      <c r="X288">
        <f t="shared" si="59"/>
        <v>0.35149999999999998</v>
      </c>
      <c r="Y288" s="1">
        <f t="shared" si="60"/>
        <v>88596243</v>
      </c>
      <c r="Z288">
        <f t="shared" si="61"/>
        <v>51689.756709451576</v>
      </c>
      <c r="AA288">
        <f t="shared" si="62"/>
        <v>99996</v>
      </c>
      <c r="AB288">
        <f t="shared" si="63"/>
        <v>5091</v>
      </c>
      <c r="AC288">
        <f t="shared" si="64"/>
        <v>2308486.0000000019</v>
      </c>
      <c r="AD288">
        <f t="shared" si="65"/>
        <v>1346.8413068844818</v>
      </c>
      <c r="AE288">
        <f t="shared" si="66"/>
        <v>0.35149999999999998</v>
      </c>
      <c r="AF288">
        <f t="shared" si="67"/>
        <v>1973834463.9200027</v>
      </c>
      <c r="AG288" t="str">
        <f t="shared" si="68"/>
        <v>Active</v>
      </c>
      <c r="AH288">
        <f t="shared" si="69"/>
        <v>673.2</v>
      </c>
    </row>
    <row r="289" spans="1:34" x14ac:dyDescent="0.35">
      <c r="A289" t="s">
        <v>879</v>
      </c>
      <c r="B289" t="s">
        <v>880</v>
      </c>
      <c r="C289">
        <v>63</v>
      </c>
      <c r="D289" t="s">
        <v>22</v>
      </c>
      <c r="E289" t="s">
        <v>32</v>
      </c>
      <c r="F289" t="s">
        <v>46</v>
      </c>
      <c r="G289">
        <v>46917</v>
      </c>
      <c r="H289">
        <v>713</v>
      </c>
      <c r="I289">
        <v>22328</v>
      </c>
      <c r="J289">
        <v>20.96</v>
      </c>
      <c r="K289">
        <v>60</v>
      </c>
      <c r="L289" t="s">
        <v>52</v>
      </c>
      <c r="M289">
        <v>52.72</v>
      </c>
      <c r="N289">
        <v>27633</v>
      </c>
      <c r="O289">
        <v>189224</v>
      </c>
      <c r="P289" t="s">
        <v>881</v>
      </c>
      <c r="Q289" t="s">
        <v>42</v>
      </c>
      <c r="R289" t="s">
        <v>48</v>
      </c>
      <c r="S289" t="s">
        <v>68</v>
      </c>
      <c r="T289">
        <v>450.13</v>
      </c>
      <c r="U289">
        <f t="shared" si="56"/>
        <v>1713</v>
      </c>
      <c r="V289">
        <f t="shared" si="57"/>
        <v>612</v>
      </c>
      <c r="W289">
        <f t="shared" si="58"/>
        <v>544</v>
      </c>
      <c r="X289">
        <f t="shared" si="59"/>
        <v>0.35149999999999998</v>
      </c>
      <c r="Y289" s="1">
        <f t="shared" si="60"/>
        <v>88578031</v>
      </c>
      <c r="Z289">
        <f t="shared" si="61"/>
        <v>51709.300058377114</v>
      </c>
      <c r="AA289">
        <f t="shared" si="62"/>
        <v>99996</v>
      </c>
      <c r="AB289">
        <f t="shared" si="63"/>
        <v>5091</v>
      </c>
      <c r="AC289">
        <f t="shared" si="64"/>
        <v>2308429.9000000018</v>
      </c>
      <c r="AD289">
        <f t="shared" si="65"/>
        <v>1347.5948044366619</v>
      </c>
      <c r="AE289">
        <f t="shared" si="66"/>
        <v>0.35149999999999998</v>
      </c>
      <c r="AF289">
        <f t="shared" si="67"/>
        <v>1971525977.9200027</v>
      </c>
      <c r="AG289" t="str">
        <f t="shared" si="68"/>
        <v>Active</v>
      </c>
      <c r="AH289">
        <f t="shared" si="69"/>
        <v>5401.5599999999995</v>
      </c>
    </row>
    <row r="290" spans="1:34" x14ac:dyDescent="0.35">
      <c r="A290" t="s">
        <v>882</v>
      </c>
      <c r="B290" t="s">
        <v>883</v>
      </c>
      <c r="C290">
        <v>27</v>
      </c>
      <c r="D290" t="s">
        <v>22</v>
      </c>
      <c r="E290" t="s">
        <v>32</v>
      </c>
      <c r="F290" t="s">
        <v>59</v>
      </c>
      <c r="G290">
        <v>63175</v>
      </c>
      <c r="H290">
        <v>526</v>
      </c>
      <c r="I290">
        <v>21560</v>
      </c>
      <c r="J290">
        <v>9.52</v>
      </c>
      <c r="K290">
        <v>36</v>
      </c>
      <c r="L290" t="s">
        <v>33</v>
      </c>
      <c r="M290">
        <v>27.11</v>
      </c>
      <c r="N290">
        <v>32095</v>
      </c>
      <c r="O290">
        <v>94997</v>
      </c>
      <c r="P290" t="s">
        <v>884</v>
      </c>
      <c r="Q290" t="s">
        <v>42</v>
      </c>
      <c r="R290" t="s">
        <v>28</v>
      </c>
      <c r="S290" t="s">
        <v>68</v>
      </c>
      <c r="T290">
        <v>655.9</v>
      </c>
      <c r="U290">
        <f t="shared" si="56"/>
        <v>1712</v>
      </c>
      <c r="V290">
        <f t="shared" si="57"/>
        <v>611</v>
      </c>
      <c r="W290">
        <f t="shared" si="58"/>
        <v>544</v>
      </c>
      <c r="X290">
        <f t="shared" si="59"/>
        <v>0.35149999999999998</v>
      </c>
      <c r="Y290" s="1">
        <f t="shared" si="60"/>
        <v>88555703</v>
      </c>
      <c r="Z290">
        <f t="shared" si="61"/>
        <v>51726.462032710282</v>
      </c>
      <c r="AA290">
        <f t="shared" si="62"/>
        <v>99996</v>
      </c>
      <c r="AB290">
        <f t="shared" si="63"/>
        <v>5091</v>
      </c>
      <c r="AC290">
        <f t="shared" si="64"/>
        <v>2307979.7700000019</v>
      </c>
      <c r="AD290">
        <f t="shared" si="65"/>
        <v>1348.1190245327114</v>
      </c>
      <c r="AE290">
        <f t="shared" si="66"/>
        <v>0.35149999999999998</v>
      </c>
      <c r="AF290">
        <f t="shared" si="67"/>
        <v>1969217548.0200026</v>
      </c>
      <c r="AG290" t="str">
        <f t="shared" si="68"/>
        <v>Active</v>
      </c>
      <c r="AH290">
        <f t="shared" si="69"/>
        <v>7870.7999999999993</v>
      </c>
    </row>
    <row r="291" spans="1:34" x14ac:dyDescent="0.35">
      <c r="A291" t="s">
        <v>885</v>
      </c>
      <c r="B291" t="s">
        <v>886</v>
      </c>
      <c r="C291">
        <v>64</v>
      </c>
      <c r="D291" t="s">
        <v>22</v>
      </c>
      <c r="E291" t="s">
        <v>39</v>
      </c>
      <c r="F291" t="s">
        <v>59</v>
      </c>
      <c r="G291">
        <v>45235</v>
      </c>
      <c r="H291">
        <v>829</v>
      </c>
      <c r="I291">
        <v>49762</v>
      </c>
      <c r="J291">
        <v>9.42</v>
      </c>
      <c r="K291">
        <v>12</v>
      </c>
      <c r="L291" t="s">
        <v>40</v>
      </c>
      <c r="M291">
        <v>46.86</v>
      </c>
      <c r="N291">
        <v>60272</v>
      </c>
      <c r="O291">
        <v>9059</v>
      </c>
      <c r="P291" t="s">
        <v>887</v>
      </c>
      <c r="Q291" t="s">
        <v>61</v>
      </c>
      <c r="R291" t="s">
        <v>48</v>
      </c>
      <c r="S291" t="s">
        <v>29</v>
      </c>
      <c r="T291">
        <v>4537.47</v>
      </c>
      <c r="U291">
        <f t="shared" si="56"/>
        <v>1711</v>
      </c>
      <c r="V291">
        <f t="shared" si="57"/>
        <v>610</v>
      </c>
      <c r="W291">
        <f t="shared" si="58"/>
        <v>544</v>
      </c>
      <c r="X291">
        <f t="shared" si="59"/>
        <v>0.35149999999999998</v>
      </c>
      <c r="Y291" s="1">
        <f t="shared" si="60"/>
        <v>88534143</v>
      </c>
      <c r="Z291">
        <f t="shared" si="61"/>
        <v>51744.092928112215</v>
      </c>
      <c r="AA291">
        <f t="shared" si="62"/>
        <v>99996</v>
      </c>
      <c r="AB291">
        <f t="shared" si="63"/>
        <v>5091</v>
      </c>
      <c r="AC291">
        <f t="shared" si="64"/>
        <v>2307323.870000002</v>
      </c>
      <c r="AD291">
        <f t="shared" si="65"/>
        <v>1348.5235943892471</v>
      </c>
      <c r="AE291">
        <f t="shared" si="66"/>
        <v>0.35149999999999998</v>
      </c>
      <c r="AF291">
        <f t="shared" si="67"/>
        <v>1966909568.2500026</v>
      </c>
      <c r="AG291" t="str">
        <f t="shared" si="68"/>
        <v>Active</v>
      </c>
      <c r="AH291">
        <f t="shared" si="69"/>
        <v>54449.64</v>
      </c>
    </row>
    <row r="292" spans="1:34" x14ac:dyDescent="0.35">
      <c r="A292" t="s">
        <v>888</v>
      </c>
      <c r="B292" t="s">
        <v>889</v>
      </c>
      <c r="C292">
        <v>24</v>
      </c>
      <c r="D292" t="s">
        <v>38</v>
      </c>
      <c r="E292" t="s">
        <v>32</v>
      </c>
      <c r="F292" t="s">
        <v>59</v>
      </c>
      <c r="G292">
        <v>38609</v>
      </c>
      <c r="H292">
        <v>501</v>
      </c>
      <c r="I292">
        <v>95809</v>
      </c>
      <c r="J292">
        <v>8.65</v>
      </c>
      <c r="K292">
        <v>120</v>
      </c>
      <c r="L292" t="s">
        <v>25</v>
      </c>
      <c r="M292">
        <v>16.760000000000002</v>
      </c>
      <c r="N292">
        <v>55404</v>
      </c>
      <c r="O292">
        <v>201368</v>
      </c>
      <c r="P292" t="s">
        <v>263</v>
      </c>
      <c r="Q292" t="s">
        <v>27</v>
      </c>
      <c r="R292" t="s">
        <v>28</v>
      </c>
      <c r="S292" t="s">
        <v>35</v>
      </c>
      <c r="T292">
        <v>867.47</v>
      </c>
      <c r="U292">
        <f t="shared" si="56"/>
        <v>1710</v>
      </c>
      <c r="V292">
        <f t="shared" si="57"/>
        <v>610</v>
      </c>
      <c r="W292">
        <f t="shared" si="58"/>
        <v>543</v>
      </c>
      <c r="X292">
        <f t="shared" si="59"/>
        <v>0.35149999999999998</v>
      </c>
      <c r="Y292" s="1">
        <f t="shared" si="60"/>
        <v>88484381</v>
      </c>
      <c r="Z292">
        <f t="shared" si="61"/>
        <v>51745.252046783629</v>
      </c>
      <c r="AA292">
        <f t="shared" si="62"/>
        <v>99996</v>
      </c>
      <c r="AB292">
        <f t="shared" si="63"/>
        <v>5091</v>
      </c>
      <c r="AC292">
        <f t="shared" si="64"/>
        <v>2302786.4000000022</v>
      </c>
      <c r="AD292">
        <f t="shared" si="65"/>
        <v>1346.6587134502938</v>
      </c>
      <c r="AE292">
        <f t="shared" si="66"/>
        <v>0.35149999999999998</v>
      </c>
      <c r="AF292">
        <f t="shared" si="67"/>
        <v>1964602244.3800025</v>
      </c>
      <c r="AG292" t="str">
        <f t="shared" si="68"/>
        <v>Over Paid</v>
      </c>
      <c r="AH292">
        <f t="shared" si="69"/>
        <v>10409.64</v>
      </c>
    </row>
    <row r="293" spans="1:34" x14ac:dyDescent="0.35">
      <c r="A293" t="s">
        <v>890</v>
      </c>
      <c r="B293" t="s">
        <v>891</v>
      </c>
      <c r="C293">
        <v>65</v>
      </c>
      <c r="D293" t="s">
        <v>38</v>
      </c>
      <c r="E293" t="s">
        <v>32</v>
      </c>
      <c r="F293" t="s">
        <v>24</v>
      </c>
      <c r="G293">
        <v>91679</v>
      </c>
      <c r="H293">
        <v>586</v>
      </c>
      <c r="I293">
        <v>97634</v>
      </c>
      <c r="J293">
        <v>23.16</v>
      </c>
      <c r="K293">
        <v>240</v>
      </c>
      <c r="L293" t="s">
        <v>86</v>
      </c>
      <c r="M293">
        <v>28.12</v>
      </c>
      <c r="N293">
        <v>73391</v>
      </c>
      <c r="O293">
        <v>64697</v>
      </c>
      <c r="P293" t="s">
        <v>892</v>
      </c>
      <c r="Q293" t="s">
        <v>27</v>
      </c>
      <c r="R293" t="s">
        <v>48</v>
      </c>
      <c r="S293" t="s">
        <v>68</v>
      </c>
      <c r="T293">
        <v>501.03</v>
      </c>
      <c r="U293">
        <f t="shared" si="56"/>
        <v>1709</v>
      </c>
      <c r="V293">
        <f t="shared" si="57"/>
        <v>610</v>
      </c>
      <c r="W293">
        <f t="shared" si="58"/>
        <v>543</v>
      </c>
      <c r="X293">
        <f t="shared" si="59"/>
        <v>0.35149999999999998</v>
      </c>
      <c r="Y293" s="1">
        <f t="shared" si="60"/>
        <v>88388572</v>
      </c>
      <c r="Z293">
        <f t="shared" si="61"/>
        <v>51719.468695143361</v>
      </c>
      <c r="AA293">
        <f t="shared" si="62"/>
        <v>99996</v>
      </c>
      <c r="AB293">
        <f t="shared" si="63"/>
        <v>5091</v>
      </c>
      <c r="AC293">
        <f t="shared" si="64"/>
        <v>2301918.930000002</v>
      </c>
      <c r="AD293">
        <f t="shared" si="65"/>
        <v>1346.939104739615</v>
      </c>
      <c r="AE293">
        <f t="shared" si="66"/>
        <v>0.35149999999999998</v>
      </c>
      <c r="AF293">
        <f t="shared" si="67"/>
        <v>1962299457.9800026</v>
      </c>
      <c r="AG293" t="str">
        <f t="shared" si="68"/>
        <v>Active</v>
      </c>
      <c r="AH293">
        <f t="shared" si="69"/>
        <v>6012.36</v>
      </c>
    </row>
    <row r="294" spans="1:34" x14ac:dyDescent="0.35">
      <c r="A294" t="s">
        <v>893</v>
      </c>
      <c r="B294" t="s">
        <v>894</v>
      </c>
      <c r="C294">
        <v>38</v>
      </c>
      <c r="D294" t="s">
        <v>22</v>
      </c>
      <c r="E294" t="s">
        <v>23</v>
      </c>
      <c r="F294" t="s">
        <v>24</v>
      </c>
      <c r="G294">
        <v>156124</v>
      </c>
      <c r="H294">
        <v>526</v>
      </c>
      <c r="I294">
        <v>7934</v>
      </c>
      <c r="J294">
        <v>14.93</v>
      </c>
      <c r="K294">
        <v>24</v>
      </c>
      <c r="L294" t="s">
        <v>33</v>
      </c>
      <c r="M294">
        <v>6.62</v>
      </c>
      <c r="N294">
        <v>20443</v>
      </c>
      <c r="O294">
        <v>221404</v>
      </c>
      <c r="P294" t="s">
        <v>895</v>
      </c>
      <c r="Q294" t="s">
        <v>27</v>
      </c>
      <c r="R294" t="s">
        <v>48</v>
      </c>
      <c r="S294" t="s">
        <v>29</v>
      </c>
      <c r="T294">
        <v>379.94</v>
      </c>
      <c r="U294">
        <f t="shared" si="56"/>
        <v>1708</v>
      </c>
      <c r="V294">
        <f t="shared" si="57"/>
        <v>610</v>
      </c>
      <c r="W294">
        <f t="shared" si="58"/>
        <v>543</v>
      </c>
      <c r="X294">
        <f t="shared" si="59"/>
        <v>0.35149999999999998</v>
      </c>
      <c r="Y294" s="1">
        <f t="shared" si="60"/>
        <v>88290938</v>
      </c>
      <c r="Z294">
        <f t="shared" si="61"/>
        <v>51692.586651053862</v>
      </c>
      <c r="AA294">
        <f t="shared" si="62"/>
        <v>99996</v>
      </c>
      <c r="AB294">
        <f t="shared" si="63"/>
        <v>5091</v>
      </c>
      <c r="AC294">
        <f t="shared" si="64"/>
        <v>2301417.9000000022</v>
      </c>
      <c r="AD294">
        <f t="shared" si="65"/>
        <v>1347.4343676815001</v>
      </c>
      <c r="AE294">
        <f t="shared" si="66"/>
        <v>0.35149999999999998</v>
      </c>
      <c r="AF294">
        <f t="shared" si="67"/>
        <v>1959997539.0500026</v>
      </c>
      <c r="AG294" t="str">
        <f t="shared" si="68"/>
        <v>Active</v>
      </c>
      <c r="AH294">
        <f t="shared" si="69"/>
        <v>4559.28</v>
      </c>
    </row>
    <row r="295" spans="1:34" x14ac:dyDescent="0.35">
      <c r="A295" t="s">
        <v>896</v>
      </c>
      <c r="B295" t="s">
        <v>897</v>
      </c>
      <c r="C295">
        <v>47</v>
      </c>
      <c r="D295" t="s">
        <v>22</v>
      </c>
      <c r="E295" t="s">
        <v>39</v>
      </c>
      <c r="F295" t="s">
        <v>46</v>
      </c>
      <c r="G295">
        <v>186039</v>
      </c>
      <c r="H295">
        <v>685</v>
      </c>
      <c r="I295">
        <v>31644</v>
      </c>
      <c r="J295">
        <v>6.43</v>
      </c>
      <c r="K295">
        <v>36</v>
      </c>
      <c r="L295" t="s">
        <v>40</v>
      </c>
      <c r="M295">
        <v>24.25</v>
      </c>
      <c r="N295">
        <v>75459</v>
      </c>
      <c r="O295">
        <v>173348</v>
      </c>
      <c r="P295" t="s">
        <v>898</v>
      </c>
      <c r="Q295" t="s">
        <v>61</v>
      </c>
      <c r="R295" t="s">
        <v>48</v>
      </c>
      <c r="S295" t="s">
        <v>43</v>
      </c>
      <c r="T295">
        <v>935.52</v>
      </c>
      <c r="U295">
        <f t="shared" si="56"/>
        <v>1707</v>
      </c>
      <c r="V295">
        <f t="shared" si="57"/>
        <v>610</v>
      </c>
      <c r="W295">
        <f t="shared" si="58"/>
        <v>543</v>
      </c>
      <c r="X295">
        <f t="shared" si="59"/>
        <v>0.35149999999999998</v>
      </c>
      <c r="Y295" s="1">
        <f t="shared" si="60"/>
        <v>88283004</v>
      </c>
      <c r="Z295">
        <f t="shared" si="61"/>
        <v>51718.221441124777</v>
      </c>
      <c r="AA295">
        <f t="shared" si="62"/>
        <v>99996</v>
      </c>
      <c r="AB295">
        <f t="shared" si="63"/>
        <v>5091</v>
      </c>
      <c r="AC295">
        <f t="shared" si="64"/>
        <v>2301037.9600000023</v>
      </c>
      <c r="AD295">
        <f t="shared" si="65"/>
        <v>1348.0011482132409</v>
      </c>
      <c r="AE295">
        <f t="shared" si="66"/>
        <v>0.35149999999999998</v>
      </c>
      <c r="AF295">
        <f t="shared" si="67"/>
        <v>1957696121.1500027</v>
      </c>
      <c r="AG295" t="str">
        <f t="shared" si="68"/>
        <v>Active</v>
      </c>
      <c r="AH295">
        <f t="shared" si="69"/>
        <v>11226.24</v>
      </c>
    </row>
    <row r="296" spans="1:34" x14ac:dyDescent="0.35">
      <c r="A296" t="s">
        <v>899</v>
      </c>
      <c r="B296" t="s">
        <v>900</v>
      </c>
      <c r="C296">
        <v>24</v>
      </c>
      <c r="D296" t="s">
        <v>22</v>
      </c>
      <c r="E296" t="s">
        <v>32</v>
      </c>
      <c r="F296" t="s">
        <v>59</v>
      </c>
      <c r="G296">
        <v>128340</v>
      </c>
      <c r="H296">
        <v>300</v>
      </c>
      <c r="I296">
        <v>21846</v>
      </c>
      <c r="J296">
        <v>11.11</v>
      </c>
      <c r="K296">
        <v>12</v>
      </c>
      <c r="L296" t="s">
        <v>40</v>
      </c>
      <c r="M296">
        <v>51.51</v>
      </c>
      <c r="N296">
        <v>51877</v>
      </c>
      <c r="O296">
        <v>49893</v>
      </c>
      <c r="P296" t="s">
        <v>901</v>
      </c>
      <c r="Q296" t="s">
        <v>61</v>
      </c>
      <c r="R296" t="s">
        <v>48</v>
      </c>
      <c r="S296" t="s">
        <v>29</v>
      </c>
      <c r="T296">
        <v>2022.76</v>
      </c>
      <c r="U296">
        <f t="shared" si="56"/>
        <v>1706</v>
      </c>
      <c r="V296">
        <f t="shared" si="57"/>
        <v>610</v>
      </c>
      <c r="W296">
        <f t="shared" si="58"/>
        <v>542</v>
      </c>
      <c r="X296">
        <f t="shared" si="59"/>
        <v>0.35149999999999998</v>
      </c>
      <c r="Y296" s="1">
        <f t="shared" si="60"/>
        <v>88251360</v>
      </c>
      <c r="Z296">
        <f t="shared" si="61"/>
        <v>51729.988276670578</v>
      </c>
      <c r="AA296">
        <f t="shared" si="62"/>
        <v>99996</v>
      </c>
      <c r="AB296">
        <f t="shared" si="63"/>
        <v>5091</v>
      </c>
      <c r="AC296">
        <f t="shared" si="64"/>
        <v>2300102.4400000023</v>
      </c>
      <c r="AD296">
        <f t="shared" si="65"/>
        <v>1348.2429308323576</v>
      </c>
      <c r="AE296">
        <f t="shared" si="66"/>
        <v>0.35149999999999998</v>
      </c>
      <c r="AF296">
        <f t="shared" si="67"/>
        <v>1955395083.1900027</v>
      </c>
      <c r="AG296" t="str">
        <f t="shared" si="68"/>
        <v>Active</v>
      </c>
      <c r="AH296">
        <f t="shared" si="69"/>
        <v>24273.119999999999</v>
      </c>
    </row>
    <row r="297" spans="1:34" x14ac:dyDescent="0.35">
      <c r="A297" t="s">
        <v>902</v>
      </c>
      <c r="B297" t="s">
        <v>903</v>
      </c>
      <c r="C297">
        <v>51</v>
      </c>
      <c r="D297" t="s">
        <v>22</v>
      </c>
      <c r="E297" t="s">
        <v>23</v>
      </c>
      <c r="F297" t="s">
        <v>24</v>
      </c>
      <c r="G297">
        <v>36008</v>
      </c>
      <c r="H297">
        <v>513</v>
      </c>
      <c r="I297">
        <v>12476</v>
      </c>
      <c r="J297">
        <v>19.71</v>
      </c>
      <c r="K297">
        <v>180</v>
      </c>
      <c r="L297" t="s">
        <v>25</v>
      </c>
      <c r="M297">
        <v>39.479999999999997</v>
      </c>
      <c r="N297">
        <v>9582</v>
      </c>
      <c r="O297">
        <v>245723</v>
      </c>
      <c r="P297" t="s">
        <v>477</v>
      </c>
      <c r="Q297" t="s">
        <v>61</v>
      </c>
      <c r="R297" t="s">
        <v>28</v>
      </c>
      <c r="S297" t="s">
        <v>35</v>
      </c>
      <c r="T297">
        <v>82.97</v>
      </c>
      <c r="U297">
        <f t="shared" si="56"/>
        <v>1705</v>
      </c>
      <c r="V297">
        <f t="shared" si="57"/>
        <v>610</v>
      </c>
      <c r="W297">
        <f t="shared" si="58"/>
        <v>541</v>
      </c>
      <c r="X297">
        <f t="shared" si="59"/>
        <v>0.35149999999999998</v>
      </c>
      <c r="Y297" s="1">
        <f t="shared" si="60"/>
        <v>88229514</v>
      </c>
      <c r="Z297">
        <f t="shared" si="61"/>
        <v>51747.515542521993</v>
      </c>
      <c r="AA297">
        <f t="shared" si="62"/>
        <v>99996</v>
      </c>
      <c r="AB297">
        <f t="shared" si="63"/>
        <v>5091</v>
      </c>
      <c r="AC297">
        <f t="shared" si="64"/>
        <v>2298079.680000002</v>
      </c>
      <c r="AD297">
        <f t="shared" si="65"/>
        <v>1347.847319648095</v>
      </c>
      <c r="AE297">
        <f t="shared" si="66"/>
        <v>0.35149999999999998</v>
      </c>
      <c r="AF297">
        <f t="shared" si="67"/>
        <v>1953094980.7500026</v>
      </c>
      <c r="AG297" t="str">
        <f t="shared" si="68"/>
        <v>Over Paid</v>
      </c>
      <c r="AH297">
        <f t="shared" si="69"/>
        <v>995.64</v>
      </c>
    </row>
    <row r="298" spans="1:34" x14ac:dyDescent="0.35">
      <c r="A298" t="s">
        <v>904</v>
      </c>
      <c r="B298" t="s">
        <v>905</v>
      </c>
      <c r="C298">
        <v>37</v>
      </c>
      <c r="D298" t="s">
        <v>22</v>
      </c>
      <c r="E298" t="s">
        <v>32</v>
      </c>
      <c r="F298" t="s">
        <v>59</v>
      </c>
      <c r="G298">
        <v>88226</v>
      </c>
      <c r="H298">
        <v>566</v>
      </c>
      <c r="I298">
        <v>18300</v>
      </c>
      <c r="J298">
        <v>3.6</v>
      </c>
      <c r="K298">
        <v>48</v>
      </c>
      <c r="L298" t="s">
        <v>40</v>
      </c>
      <c r="M298">
        <v>22.5</v>
      </c>
      <c r="N298">
        <v>10448</v>
      </c>
      <c r="O298">
        <v>58928</v>
      </c>
      <c r="P298" t="s">
        <v>906</v>
      </c>
      <c r="Q298" t="s">
        <v>27</v>
      </c>
      <c r="R298" t="s">
        <v>48</v>
      </c>
      <c r="S298" t="s">
        <v>49</v>
      </c>
      <c r="T298">
        <v>394.97</v>
      </c>
      <c r="U298">
        <f t="shared" si="56"/>
        <v>1704</v>
      </c>
      <c r="V298">
        <f t="shared" si="57"/>
        <v>610</v>
      </c>
      <c r="W298">
        <f t="shared" si="58"/>
        <v>540</v>
      </c>
      <c r="X298">
        <f t="shared" si="59"/>
        <v>0.35149999999999998</v>
      </c>
      <c r="Y298" s="1">
        <f t="shared" si="60"/>
        <v>88217038</v>
      </c>
      <c r="Z298">
        <f t="shared" si="61"/>
        <v>51770.562206572773</v>
      </c>
      <c r="AA298">
        <f t="shared" si="62"/>
        <v>99996</v>
      </c>
      <c r="AB298">
        <f t="shared" si="63"/>
        <v>5091</v>
      </c>
      <c r="AC298">
        <f t="shared" si="64"/>
        <v>2297996.7100000023</v>
      </c>
      <c r="AD298">
        <f t="shared" si="65"/>
        <v>1348.5896185446022</v>
      </c>
      <c r="AE298">
        <f t="shared" si="66"/>
        <v>0.35149999999999998</v>
      </c>
      <c r="AF298">
        <f t="shared" si="67"/>
        <v>1950796901.0700028</v>
      </c>
      <c r="AG298" t="str">
        <f t="shared" si="68"/>
        <v>Active</v>
      </c>
      <c r="AH298">
        <f t="shared" si="69"/>
        <v>4739.6400000000003</v>
      </c>
    </row>
    <row r="299" spans="1:34" x14ac:dyDescent="0.35">
      <c r="A299" t="s">
        <v>907</v>
      </c>
      <c r="B299" t="s">
        <v>908</v>
      </c>
      <c r="C299">
        <v>27</v>
      </c>
      <c r="D299" t="s">
        <v>22</v>
      </c>
      <c r="E299" t="s">
        <v>23</v>
      </c>
      <c r="F299" t="s">
        <v>46</v>
      </c>
      <c r="G299">
        <v>185612</v>
      </c>
      <c r="H299">
        <v>707</v>
      </c>
      <c r="I299">
        <v>79908</v>
      </c>
      <c r="J299">
        <v>16.53</v>
      </c>
      <c r="K299">
        <v>60</v>
      </c>
      <c r="L299" t="s">
        <v>25</v>
      </c>
      <c r="M299">
        <v>38.880000000000003</v>
      </c>
      <c r="N299">
        <v>26002</v>
      </c>
      <c r="O299">
        <v>229690</v>
      </c>
      <c r="P299" t="s">
        <v>909</v>
      </c>
      <c r="Q299" t="s">
        <v>61</v>
      </c>
      <c r="R299" t="s">
        <v>48</v>
      </c>
      <c r="S299" t="s">
        <v>43</v>
      </c>
      <c r="T299">
        <v>1551.95</v>
      </c>
      <c r="U299">
        <f t="shared" si="56"/>
        <v>1703</v>
      </c>
      <c r="V299">
        <f t="shared" si="57"/>
        <v>610</v>
      </c>
      <c r="W299">
        <f t="shared" si="58"/>
        <v>540</v>
      </c>
      <c r="X299">
        <f t="shared" si="59"/>
        <v>0.35149999999999998</v>
      </c>
      <c r="Y299" s="1">
        <f t="shared" si="60"/>
        <v>88198738</v>
      </c>
      <c r="Z299">
        <f t="shared" si="61"/>
        <v>51790.21608925426</v>
      </c>
      <c r="AA299">
        <f t="shared" si="62"/>
        <v>99996</v>
      </c>
      <c r="AB299">
        <f t="shared" si="63"/>
        <v>5091</v>
      </c>
      <c r="AC299">
        <f t="shared" si="64"/>
        <v>2297601.7400000021</v>
      </c>
      <c r="AD299">
        <f t="shared" si="65"/>
        <v>1349.1495830886684</v>
      </c>
      <c r="AE299">
        <f t="shared" si="66"/>
        <v>0.35149999999999998</v>
      </c>
      <c r="AF299">
        <f t="shared" si="67"/>
        <v>1948498904.3600028</v>
      </c>
      <c r="AG299" t="str">
        <f t="shared" si="68"/>
        <v>Active</v>
      </c>
      <c r="AH299">
        <f t="shared" si="69"/>
        <v>18623.400000000001</v>
      </c>
    </row>
    <row r="300" spans="1:34" x14ac:dyDescent="0.35">
      <c r="A300" t="s">
        <v>910</v>
      </c>
      <c r="B300" t="s">
        <v>911</v>
      </c>
      <c r="C300">
        <v>23</v>
      </c>
      <c r="D300" t="s">
        <v>22</v>
      </c>
      <c r="E300" t="s">
        <v>32</v>
      </c>
      <c r="F300" t="s">
        <v>24</v>
      </c>
      <c r="G300">
        <v>126237</v>
      </c>
      <c r="H300">
        <v>484</v>
      </c>
      <c r="I300">
        <v>64983</v>
      </c>
      <c r="J300">
        <v>16.8</v>
      </c>
      <c r="K300">
        <v>360</v>
      </c>
      <c r="L300" t="s">
        <v>33</v>
      </c>
      <c r="M300">
        <v>7.15</v>
      </c>
      <c r="N300">
        <v>3253</v>
      </c>
      <c r="O300">
        <v>72310</v>
      </c>
      <c r="P300" t="s">
        <v>912</v>
      </c>
      <c r="Q300" t="s">
        <v>27</v>
      </c>
      <c r="R300" t="s">
        <v>48</v>
      </c>
      <c r="S300" t="s">
        <v>68</v>
      </c>
      <c r="T300">
        <v>210.83</v>
      </c>
      <c r="U300">
        <f t="shared" si="56"/>
        <v>1702</v>
      </c>
      <c r="V300">
        <f t="shared" si="57"/>
        <v>610</v>
      </c>
      <c r="W300">
        <f t="shared" si="58"/>
        <v>539</v>
      </c>
      <c r="X300">
        <f t="shared" si="59"/>
        <v>0.35149999999999998</v>
      </c>
      <c r="Y300" s="1">
        <f t="shared" si="60"/>
        <v>88118830</v>
      </c>
      <c r="Z300">
        <f t="shared" si="61"/>
        <v>51773.695652173912</v>
      </c>
      <c r="AA300">
        <f t="shared" si="62"/>
        <v>99996</v>
      </c>
      <c r="AB300">
        <f t="shared" si="63"/>
        <v>5091</v>
      </c>
      <c r="AC300">
        <f t="shared" si="64"/>
        <v>2296049.7900000019</v>
      </c>
      <c r="AD300">
        <f t="shared" si="65"/>
        <v>1349.0304289071692</v>
      </c>
      <c r="AE300">
        <f t="shared" si="66"/>
        <v>0.35149999999999998</v>
      </c>
      <c r="AF300">
        <f t="shared" si="67"/>
        <v>1946201302.6200027</v>
      </c>
      <c r="AG300" t="str">
        <f t="shared" si="68"/>
        <v>Active</v>
      </c>
      <c r="AH300">
        <f t="shared" si="69"/>
        <v>2529.96</v>
      </c>
    </row>
    <row r="301" spans="1:34" x14ac:dyDescent="0.35">
      <c r="A301" t="s">
        <v>913</v>
      </c>
      <c r="B301" t="s">
        <v>914</v>
      </c>
      <c r="C301">
        <v>30</v>
      </c>
      <c r="D301" t="s">
        <v>22</v>
      </c>
      <c r="E301" t="s">
        <v>23</v>
      </c>
      <c r="F301" t="s">
        <v>46</v>
      </c>
      <c r="G301">
        <v>80811</v>
      </c>
      <c r="H301">
        <v>429</v>
      </c>
      <c r="I301">
        <v>68702</v>
      </c>
      <c r="J301">
        <v>5.4</v>
      </c>
      <c r="K301">
        <v>24</v>
      </c>
      <c r="L301" t="s">
        <v>33</v>
      </c>
      <c r="M301">
        <v>48.93</v>
      </c>
      <c r="N301">
        <v>45277</v>
      </c>
      <c r="O301">
        <v>52906</v>
      </c>
      <c r="P301" t="s">
        <v>915</v>
      </c>
      <c r="Q301" t="s">
        <v>42</v>
      </c>
      <c r="R301" t="s">
        <v>28</v>
      </c>
      <c r="S301" t="s">
        <v>49</v>
      </c>
      <c r="T301">
        <v>3017.16</v>
      </c>
      <c r="U301">
        <f t="shared" si="56"/>
        <v>1701</v>
      </c>
      <c r="V301">
        <f t="shared" si="57"/>
        <v>610</v>
      </c>
      <c r="W301">
        <f t="shared" si="58"/>
        <v>539</v>
      </c>
      <c r="X301">
        <f t="shared" si="59"/>
        <v>0.35149999999999998</v>
      </c>
      <c r="Y301" s="1">
        <f t="shared" si="60"/>
        <v>88053847</v>
      </c>
      <c r="Z301">
        <f t="shared" si="61"/>
        <v>51765.930041152264</v>
      </c>
      <c r="AA301">
        <f t="shared" si="62"/>
        <v>99996</v>
      </c>
      <c r="AB301">
        <f t="shared" si="63"/>
        <v>5091</v>
      </c>
      <c r="AC301">
        <f t="shared" si="64"/>
        <v>2295838.9600000023</v>
      </c>
      <c r="AD301">
        <f t="shared" si="65"/>
        <v>1349.6995649617886</v>
      </c>
      <c r="AE301">
        <f t="shared" si="66"/>
        <v>0.35149999999999998</v>
      </c>
      <c r="AF301">
        <f t="shared" si="67"/>
        <v>1943905252.8300025</v>
      </c>
      <c r="AG301" t="str">
        <f t="shared" si="68"/>
        <v>Active</v>
      </c>
      <c r="AH301">
        <f t="shared" si="69"/>
        <v>36205.919999999998</v>
      </c>
    </row>
    <row r="302" spans="1:34" x14ac:dyDescent="0.35">
      <c r="A302" t="s">
        <v>916</v>
      </c>
      <c r="B302" t="s">
        <v>917</v>
      </c>
      <c r="C302">
        <v>50</v>
      </c>
      <c r="D302" t="s">
        <v>38</v>
      </c>
      <c r="E302" t="s">
        <v>39</v>
      </c>
      <c r="F302" t="s">
        <v>46</v>
      </c>
      <c r="G302">
        <v>156215</v>
      </c>
      <c r="H302">
        <v>585</v>
      </c>
      <c r="I302">
        <v>61443</v>
      </c>
      <c r="J302">
        <v>15.12</v>
      </c>
      <c r="K302">
        <v>12</v>
      </c>
      <c r="L302" t="s">
        <v>25</v>
      </c>
      <c r="M302">
        <v>11.45</v>
      </c>
      <c r="N302">
        <v>59192</v>
      </c>
      <c r="O302">
        <v>19476</v>
      </c>
      <c r="P302" t="s">
        <v>918</v>
      </c>
      <c r="Q302" t="s">
        <v>27</v>
      </c>
      <c r="R302" t="s">
        <v>48</v>
      </c>
      <c r="S302" t="s">
        <v>49</v>
      </c>
      <c r="T302">
        <v>5894.43</v>
      </c>
      <c r="U302">
        <f t="shared" si="56"/>
        <v>1700</v>
      </c>
      <c r="V302">
        <f t="shared" si="57"/>
        <v>609</v>
      </c>
      <c r="W302">
        <f t="shared" si="58"/>
        <v>539</v>
      </c>
      <c r="X302">
        <f t="shared" si="59"/>
        <v>0.35149999999999998</v>
      </c>
      <c r="Y302" s="1">
        <f t="shared" si="60"/>
        <v>87985145</v>
      </c>
      <c r="Z302">
        <f t="shared" si="61"/>
        <v>51755.967647058824</v>
      </c>
      <c r="AA302">
        <f t="shared" si="62"/>
        <v>99996</v>
      </c>
      <c r="AB302">
        <f t="shared" si="63"/>
        <v>5091</v>
      </c>
      <c r="AC302">
        <f t="shared" si="64"/>
        <v>2292821.8000000021</v>
      </c>
      <c r="AD302">
        <f t="shared" si="65"/>
        <v>1348.7187058823542</v>
      </c>
      <c r="AE302">
        <f t="shared" si="66"/>
        <v>0.35149999999999998</v>
      </c>
      <c r="AF302">
        <f t="shared" si="67"/>
        <v>1941609413.8700027</v>
      </c>
      <c r="AG302" t="str">
        <f t="shared" si="68"/>
        <v>Active</v>
      </c>
      <c r="AH302">
        <f t="shared" si="69"/>
        <v>70733.16</v>
      </c>
    </row>
    <row r="303" spans="1:34" x14ac:dyDescent="0.35">
      <c r="A303" t="s">
        <v>919</v>
      </c>
      <c r="B303" t="s">
        <v>920</v>
      </c>
      <c r="C303">
        <v>39</v>
      </c>
      <c r="D303" t="s">
        <v>22</v>
      </c>
      <c r="E303" t="s">
        <v>39</v>
      </c>
      <c r="F303" t="s">
        <v>24</v>
      </c>
      <c r="G303">
        <v>92702</v>
      </c>
      <c r="H303">
        <v>730</v>
      </c>
      <c r="I303">
        <v>31278</v>
      </c>
      <c r="J303">
        <v>8.86</v>
      </c>
      <c r="K303">
        <v>48</v>
      </c>
      <c r="L303" t="s">
        <v>25</v>
      </c>
      <c r="M303">
        <v>7.65</v>
      </c>
      <c r="N303">
        <v>70026</v>
      </c>
      <c r="O303">
        <v>56875</v>
      </c>
      <c r="P303" t="s">
        <v>921</v>
      </c>
      <c r="Q303" t="s">
        <v>42</v>
      </c>
      <c r="R303" t="s">
        <v>28</v>
      </c>
      <c r="S303" t="s">
        <v>49</v>
      </c>
      <c r="T303">
        <v>709.36</v>
      </c>
      <c r="U303">
        <f t="shared" si="56"/>
        <v>1699</v>
      </c>
      <c r="V303">
        <f t="shared" si="57"/>
        <v>609</v>
      </c>
      <c r="W303">
        <f t="shared" si="58"/>
        <v>539</v>
      </c>
      <c r="X303">
        <f t="shared" si="59"/>
        <v>0.35149999999999998</v>
      </c>
      <c r="Y303" s="1">
        <f t="shared" si="60"/>
        <v>87923702</v>
      </c>
      <c r="Z303">
        <f t="shared" si="61"/>
        <v>51750.266038846377</v>
      </c>
      <c r="AA303">
        <f t="shared" si="62"/>
        <v>99996</v>
      </c>
      <c r="AB303">
        <f t="shared" si="63"/>
        <v>5091</v>
      </c>
      <c r="AC303">
        <f t="shared" si="64"/>
        <v>2286927.370000002</v>
      </c>
      <c r="AD303">
        <f t="shared" si="65"/>
        <v>1346.0431842260164</v>
      </c>
      <c r="AE303">
        <f t="shared" si="66"/>
        <v>0.35149999999999998</v>
      </c>
      <c r="AF303">
        <f t="shared" si="67"/>
        <v>1939316592.0700028</v>
      </c>
      <c r="AG303" t="str">
        <f t="shared" si="68"/>
        <v>Over Paid</v>
      </c>
      <c r="AH303">
        <f t="shared" si="69"/>
        <v>8512.32</v>
      </c>
    </row>
    <row r="304" spans="1:34" x14ac:dyDescent="0.35">
      <c r="A304" t="s">
        <v>922</v>
      </c>
      <c r="B304" t="s">
        <v>923</v>
      </c>
      <c r="C304">
        <v>40</v>
      </c>
      <c r="D304" t="s">
        <v>22</v>
      </c>
      <c r="E304" t="s">
        <v>39</v>
      </c>
      <c r="F304" t="s">
        <v>59</v>
      </c>
      <c r="G304">
        <v>60349</v>
      </c>
      <c r="H304">
        <v>670</v>
      </c>
      <c r="I304">
        <v>27735</v>
      </c>
      <c r="J304">
        <v>13.81</v>
      </c>
      <c r="K304">
        <v>12</v>
      </c>
      <c r="L304" t="s">
        <v>86</v>
      </c>
      <c r="M304">
        <v>7.62</v>
      </c>
      <c r="N304">
        <v>29570</v>
      </c>
      <c r="O304">
        <v>116577</v>
      </c>
      <c r="P304" t="s">
        <v>924</v>
      </c>
      <c r="Q304" t="s">
        <v>61</v>
      </c>
      <c r="R304" t="s">
        <v>28</v>
      </c>
      <c r="S304" t="s">
        <v>68</v>
      </c>
      <c r="T304">
        <v>2630.43</v>
      </c>
      <c r="U304">
        <f t="shared" si="56"/>
        <v>1698</v>
      </c>
      <c r="V304">
        <f t="shared" si="57"/>
        <v>608</v>
      </c>
      <c r="W304">
        <f t="shared" si="58"/>
        <v>539</v>
      </c>
      <c r="X304">
        <f t="shared" si="59"/>
        <v>0.35149999999999998</v>
      </c>
      <c r="Y304" s="1">
        <f t="shared" si="60"/>
        <v>87892424</v>
      </c>
      <c r="Z304">
        <f t="shared" si="61"/>
        <v>51762.322732626621</v>
      </c>
      <c r="AA304">
        <f t="shared" si="62"/>
        <v>99996</v>
      </c>
      <c r="AB304">
        <f t="shared" si="63"/>
        <v>5091</v>
      </c>
      <c r="AC304">
        <f t="shared" si="64"/>
        <v>2286218.0100000021</v>
      </c>
      <c r="AD304">
        <f t="shared" si="65"/>
        <v>1346.4181448763263</v>
      </c>
      <c r="AE304">
        <f t="shared" si="66"/>
        <v>0.35149999999999998</v>
      </c>
      <c r="AF304">
        <f t="shared" si="67"/>
        <v>1937029664.7000027</v>
      </c>
      <c r="AG304" t="str">
        <f t="shared" si="68"/>
        <v>Active</v>
      </c>
      <c r="AH304">
        <f t="shared" si="69"/>
        <v>31565.159999999996</v>
      </c>
    </row>
    <row r="305" spans="1:34" x14ac:dyDescent="0.35">
      <c r="A305" t="s">
        <v>925</v>
      </c>
      <c r="B305" t="s">
        <v>926</v>
      </c>
      <c r="C305">
        <v>23</v>
      </c>
      <c r="D305" t="s">
        <v>38</v>
      </c>
      <c r="E305" t="s">
        <v>32</v>
      </c>
      <c r="F305" t="s">
        <v>24</v>
      </c>
      <c r="G305">
        <v>74512</v>
      </c>
      <c r="H305">
        <v>744</v>
      </c>
      <c r="I305">
        <v>27762</v>
      </c>
      <c r="J305">
        <v>19.87</v>
      </c>
      <c r="K305">
        <v>36</v>
      </c>
      <c r="L305" t="s">
        <v>86</v>
      </c>
      <c r="M305">
        <v>35.96</v>
      </c>
      <c r="N305">
        <v>44846</v>
      </c>
      <c r="O305">
        <v>31531</v>
      </c>
      <c r="P305" t="s">
        <v>927</v>
      </c>
      <c r="Q305" t="s">
        <v>61</v>
      </c>
      <c r="R305" t="s">
        <v>48</v>
      </c>
      <c r="S305" t="s">
        <v>43</v>
      </c>
      <c r="T305">
        <v>924.4</v>
      </c>
      <c r="U305">
        <f t="shared" si="56"/>
        <v>1697</v>
      </c>
      <c r="V305">
        <f t="shared" si="57"/>
        <v>608</v>
      </c>
      <c r="W305">
        <f t="shared" si="58"/>
        <v>538</v>
      </c>
      <c r="X305">
        <f t="shared" si="59"/>
        <v>0.35149999999999998</v>
      </c>
      <c r="Y305" s="1">
        <f t="shared" si="60"/>
        <v>87864689</v>
      </c>
      <c r="Z305">
        <f t="shared" si="61"/>
        <v>51776.48143783147</v>
      </c>
      <c r="AA305">
        <f t="shared" si="62"/>
        <v>99996</v>
      </c>
      <c r="AB305">
        <f t="shared" si="63"/>
        <v>5091</v>
      </c>
      <c r="AC305">
        <f t="shared" si="64"/>
        <v>2283587.5800000019</v>
      </c>
      <c r="AD305">
        <f t="shared" si="65"/>
        <v>1345.6615085444914</v>
      </c>
      <c r="AE305">
        <f t="shared" si="66"/>
        <v>0.35149999999999998</v>
      </c>
      <c r="AF305">
        <f t="shared" si="67"/>
        <v>1934743446.6900027</v>
      </c>
      <c r="AG305" t="str">
        <f t="shared" si="68"/>
        <v>Over Paid</v>
      </c>
      <c r="AH305">
        <f t="shared" si="69"/>
        <v>11092.8</v>
      </c>
    </row>
    <row r="306" spans="1:34" x14ac:dyDescent="0.35">
      <c r="A306" t="s">
        <v>928</v>
      </c>
      <c r="B306" t="s">
        <v>929</v>
      </c>
      <c r="C306">
        <v>24</v>
      </c>
      <c r="D306" t="s">
        <v>38</v>
      </c>
      <c r="E306" t="s">
        <v>32</v>
      </c>
      <c r="F306" t="s">
        <v>24</v>
      </c>
      <c r="G306">
        <v>116692</v>
      </c>
      <c r="H306">
        <v>625</v>
      </c>
      <c r="I306">
        <v>59710</v>
      </c>
      <c r="J306">
        <v>16.62</v>
      </c>
      <c r="K306">
        <v>24</v>
      </c>
      <c r="L306" t="s">
        <v>52</v>
      </c>
      <c r="M306">
        <v>31.97</v>
      </c>
      <c r="N306">
        <v>76071</v>
      </c>
      <c r="O306">
        <v>99419</v>
      </c>
      <c r="P306" t="s">
        <v>930</v>
      </c>
      <c r="Q306" t="s">
        <v>61</v>
      </c>
      <c r="R306" t="s">
        <v>28</v>
      </c>
      <c r="S306" t="s">
        <v>35</v>
      </c>
      <c r="T306">
        <v>2901.41</v>
      </c>
      <c r="U306">
        <f t="shared" si="56"/>
        <v>1696</v>
      </c>
      <c r="V306">
        <f t="shared" si="57"/>
        <v>608</v>
      </c>
      <c r="W306">
        <f t="shared" si="58"/>
        <v>537</v>
      </c>
      <c r="X306">
        <f t="shared" si="59"/>
        <v>0.35149999999999998</v>
      </c>
      <c r="Y306" s="1">
        <f t="shared" si="60"/>
        <v>87836927</v>
      </c>
      <c r="Z306">
        <f t="shared" si="61"/>
        <v>51790.640919811318</v>
      </c>
      <c r="AA306">
        <f t="shared" si="62"/>
        <v>99996</v>
      </c>
      <c r="AB306">
        <f t="shared" si="63"/>
        <v>5091</v>
      </c>
      <c r="AC306">
        <f t="shared" si="64"/>
        <v>2282663.180000002</v>
      </c>
      <c r="AD306">
        <f t="shared" si="65"/>
        <v>1345.9098938679258</v>
      </c>
      <c r="AE306">
        <f t="shared" si="66"/>
        <v>0.35149999999999998</v>
      </c>
      <c r="AF306">
        <f t="shared" si="67"/>
        <v>1932459859.1100028</v>
      </c>
      <c r="AG306" t="str">
        <f t="shared" si="68"/>
        <v>Active</v>
      </c>
      <c r="AH306">
        <f t="shared" si="69"/>
        <v>34816.92</v>
      </c>
    </row>
    <row r="307" spans="1:34" x14ac:dyDescent="0.35">
      <c r="A307" t="s">
        <v>931</v>
      </c>
      <c r="B307" t="s">
        <v>932</v>
      </c>
      <c r="C307">
        <v>48</v>
      </c>
      <c r="D307" t="s">
        <v>38</v>
      </c>
      <c r="E307" t="s">
        <v>32</v>
      </c>
      <c r="F307" t="s">
        <v>24</v>
      </c>
      <c r="G307">
        <v>102765</v>
      </c>
      <c r="H307">
        <v>718</v>
      </c>
      <c r="I307">
        <v>99572</v>
      </c>
      <c r="J307">
        <v>7.93</v>
      </c>
      <c r="K307">
        <v>24</v>
      </c>
      <c r="L307" t="s">
        <v>33</v>
      </c>
      <c r="M307">
        <v>55.38</v>
      </c>
      <c r="N307">
        <v>26206</v>
      </c>
      <c r="O307">
        <v>103650</v>
      </c>
      <c r="P307" t="s">
        <v>933</v>
      </c>
      <c r="Q307" t="s">
        <v>42</v>
      </c>
      <c r="R307" t="s">
        <v>48</v>
      </c>
      <c r="S307" t="s">
        <v>29</v>
      </c>
      <c r="T307">
        <v>4477.84</v>
      </c>
      <c r="U307">
        <f t="shared" si="56"/>
        <v>1695</v>
      </c>
      <c r="V307">
        <f t="shared" si="57"/>
        <v>608</v>
      </c>
      <c r="W307">
        <f t="shared" si="58"/>
        <v>536</v>
      </c>
      <c r="X307">
        <f t="shared" si="59"/>
        <v>0.35149999999999998</v>
      </c>
      <c r="Y307" s="1">
        <f t="shared" si="60"/>
        <v>87777217</v>
      </c>
      <c r="Z307">
        <f t="shared" si="61"/>
        <v>51785.968731563422</v>
      </c>
      <c r="AA307">
        <f t="shared" si="62"/>
        <v>99996</v>
      </c>
      <c r="AB307">
        <f t="shared" si="63"/>
        <v>5091</v>
      </c>
      <c r="AC307">
        <f t="shared" si="64"/>
        <v>2279761.7700000009</v>
      </c>
      <c r="AD307">
        <f t="shared" si="65"/>
        <v>1344.9921946902662</v>
      </c>
      <c r="AE307">
        <f t="shared" si="66"/>
        <v>0.35149999999999998</v>
      </c>
      <c r="AF307">
        <f t="shared" si="67"/>
        <v>1930177195.9300029</v>
      </c>
      <c r="AG307" t="str">
        <f t="shared" si="68"/>
        <v>Active</v>
      </c>
      <c r="AH307">
        <f t="shared" si="69"/>
        <v>53734.080000000002</v>
      </c>
    </row>
    <row r="308" spans="1:34" x14ac:dyDescent="0.35">
      <c r="A308" t="s">
        <v>934</v>
      </c>
      <c r="B308" t="s">
        <v>935</v>
      </c>
      <c r="C308">
        <v>36</v>
      </c>
      <c r="D308" t="s">
        <v>38</v>
      </c>
      <c r="E308" t="s">
        <v>23</v>
      </c>
      <c r="F308" t="s">
        <v>24</v>
      </c>
      <c r="G308">
        <v>155793</v>
      </c>
      <c r="H308">
        <v>376</v>
      </c>
      <c r="I308">
        <v>20241</v>
      </c>
      <c r="J308">
        <v>21.37</v>
      </c>
      <c r="K308">
        <v>12</v>
      </c>
      <c r="L308" t="s">
        <v>86</v>
      </c>
      <c r="M308">
        <v>51.67</v>
      </c>
      <c r="N308">
        <v>608</v>
      </c>
      <c r="O308">
        <v>144557</v>
      </c>
      <c r="P308" t="s">
        <v>936</v>
      </c>
      <c r="Q308" t="s">
        <v>27</v>
      </c>
      <c r="R308" t="s">
        <v>28</v>
      </c>
      <c r="S308" t="s">
        <v>49</v>
      </c>
      <c r="T308">
        <v>2047.21</v>
      </c>
      <c r="U308">
        <f t="shared" si="56"/>
        <v>1694</v>
      </c>
      <c r="V308">
        <f t="shared" si="57"/>
        <v>607</v>
      </c>
      <c r="W308">
        <f t="shared" si="58"/>
        <v>536</v>
      </c>
      <c r="X308">
        <f t="shared" si="59"/>
        <v>0.35149999999999998</v>
      </c>
      <c r="Y308" s="1">
        <f t="shared" si="60"/>
        <v>87677645</v>
      </c>
      <c r="Z308">
        <f t="shared" si="61"/>
        <v>51757.759740259738</v>
      </c>
      <c r="AA308">
        <f t="shared" si="62"/>
        <v>99996</v>
      </c>
      <c r="AB308">
        <f t="shared" si="63"/>
        <v>5091</v>
      </c>
      <c r="AC308">
        <f t="shared" si="64"/>
        <v>2275283.9300000011</v>
      </c>
      <c r="AD308">
        <f t="shared" si="65"/>
        <v>1343.1428158205438</v>
      </c>
      <c r="AE308">
        <f t="shared" si="66"/>
        <v>0.35149999999999998</v>
      </c>
      <c r="AF308">
        <f t="shared" si="67"/>
        <v>1927897434.1600027</v>
      </c>
      <c r="AG308" t="str">
        <f t="shared" si="68"/>
        <v>Active</v>
      </c>
      <c r="AH308">
        <f t="shared" si="69"/>
        <v>24566.52</v>
      </c>
    </row>
    <row r="309" spans="1:34" x14ac:dyDescent="0.35">
      <c r="A309" t="s">
        <v>937</v>
      </c>
      <c r="B309" t="s">
        <v>938</v>
      </c>
      <c r="C309">
        <v>38</v>
      </c>
      <c r="D309" t="s">
        <v>38</v>
      </c>
      <c r="E309" t="s">
        <v>32</v>
      </c>
      <c r="F309" t="s">
        <v>46</v>
      </c>
      <c r="G309">
        <v>89721</v>
      </c>
      <c r="H309">
        <v>593</v>
      </c>
      <c r="I309">
        <v>28113</v>
      </c>
      <c r="J309">
        <v>20.23</v>
      </c>
      <c r="K309">
        <v>36</v>
      </c>
      <c r="L309" t="s">
        <v>33</v>
      </c>
      <c r="M309">
        <v>24.32</v>
      </c>
      <c r="N309">
        <v>61753</v>
      </c>
      <c r="O309">
        <v>228627</v>
      </c>
      <c r="P309" t="s">
        <v>939</v>
      </c>
      <c r="Q309" t="s">
        <v>27</v>
      </c>
      <c r="R309" t="s">
        <v>48</v>
      </c>
      <c r="S309" t="s">
        <v>35</v>
      </c>
      <c r="T309">
        <v>938.9</v>
      </c>
      <c r="U309">
        <f t="shared" si="56"/>
        <v>1693</v>
      </c>
      <c r="V309">
        <f t="shared" si="57"/>
        <v>607</v>
      </c>
      <c r="W309">
        <f t="shared" si="58"/>
        <v>536</v>
      </c>
      <c r="X309">
        <f t="shared" si="59"/>
        <v>0.35149999999999998</v>
      </c>
      <c r="Y309" s="1">
        <f t="shared" si="60"/>
        <v>87657404</v>
      </c>
      <c r="Z309">
        <f t="shared" si="61"/>
        <v>51776.375664500883</v>
      </c>
      <c r="AA309">
        <f t="shared" si="62"/>
        <v>99996</v>
      </c>
      <c r="AB309">
        <f t="shared" si="63"/>
        <v>5091</v>
      </c>
      <c r="AC309">
        <f t="shared" si="64"/>
        <v>2273236.7200000011</v>
      </c>
      <c r="AD309">
        <f t="shared" si="65"/>
        <v>1342.7269462492623</v>
      </c>
      <c r="AE309">
        <f t="shared" si="66"/>
        <v>0.35149999999999998</v>
      </c>
      <c r="AF309">
        <f t="shared" si="67"/>
        <v>1925622150.2300029</v>
      </c>
      <c r="AG309" t="str">
        <f t="shared" si="68"/>
        <v>Over Paid</v>
      </c>
      <c r="AH309">
        <f t="shared" si="69"/>
        <v>11266.8</v>
      </c>
    </row>
    <row r="310" spans="1:34" x14ac:dyDescent="0.35">
      <c r="A310" t="s">
        <v>940</v>
      </c>
      <c r="B310" t="s">
        <v>941</v>
      </c>
      <c r="C310">
        <v>65</v>
      </c>
      <c r="D310" t="s">
        <v>22</v>
      </c>
      <c r="E310" t="s">
        <v>23</v>
      </c>
      <c r="F310" t="s">
        <v>46</v>
      </c>
      <c r="G310">
        <v>192506</v>
      </c>
      <c r="H310">
        <v>823</v>
      </c>
      <c r="I310">
        <v>62466</v>
      </c>
      <c r="J310">
        <v>12.26</v>
      </c>
      <c r="K310">
        <v>120</v>
      </c>
      <c r="L310" t="s">
        <v>52</v>
      </c>
      <c r="M310">
        <v>5.14</v>
      </c>
      <c r="N310">
        <v>16327</v>
      </c>
      <c r="O310">
        <v>228302</v>
      </c>
      <c r="P310" t="s">
        <v>227</v>
      </c>
      <c r="Q310" t="s">
        <v>61</v>
      </c>
      <c r="R310" t="s">
        <v>28</v>
      </c>
      <c r="S310" t="s">
        <v>68</v>
      </c>
      <c r="T310">
        <v>584.37</v>
      </c>
      <c r="U310">
        <f t="shared" si="56"/>
        <v>1692</v>
      </c>
      <c r="V310">
        <f t="shared" si="57"/>
        <v>607</v>
      </c>
      <c r="W310">
        <f t="shared" si="58"/>
        <v>536</v>
      </c>
      <c r="X310">
        <f t="shared" si="59"/>
        <v>0.35149999999999998</v>
      </c>
      <c r="Y310" s="1">
        <f t="shared" si="60"/>
        <v>87629291</v>
      </c>
      <c r="Z310">
        <f t="shared" si="61"/>
        <v>51790.361111111109</v>
      </c>
      <c r="AA310">
        <f t="shared" si="62"/>
        <v>99996</v>
      </c>
      <c r="AB310">
        <f t="shared" si="63"/>
        <v>5091</v>
      </c>
      <c r="AC310">
        <f t="shared" si="64"/>
        <v>2272297.8200000012</v>
      </c>
      <c r="AD310">
        <f t="shared" si="65"/>
        <v>1342.9656146572111</v>
      </c>
      <c r="AE310">
        <f t="shared" si="66"/>
        <v>0.35149999999999998</v>
      </c>
      <c r="AF310">
        <f t="shared" si="67"/>
        <v>1923348913.5100029</v>
      </c>
      <c r="AG310" t="str">
        <f t="shared" si="68"/>
        <v>Active</v>
      </c>
      <c r="AH310">
        <f t="shared" si="69"/>
        <v>7012.4400000000005</v>
      </c>
    </row>
    <row r="311" spans="1:34" x14ac:dyDescent="0.35">
      <c r="A311" t="s">
        <v>942</v>
      </c>
      <c r="B311" t="s">
        <v>943</v>
      </c>
      <c r="C311">
        <v>23</v>
      </c>
      <c r="D311" t="s">
        <v>38</v>
      </c>
      <c r="E311" t="s">
        <v>39</v>
      </c>
      <c r="F311" t="s">
        <v>59</v>
      </c>
      <c r="G311">
        <v>143346</v>
      </c>
      <c r="H311">
        <v>452</v>
      </c>
      <c r="I311">
        <v>88950</v>
      </c>
      <c r="J311">
        <v>13.31</v>
      </c>
      <c r="K311">
        <v>24</v>
      </c>
      <c r="L311" t="s">
        <v>52</v>
      </c>
      <c r="M311">
        <v>50.61</v>
      </c>
      <c r="N311">
        <v>7636</v>
      </c>
      <c r="O311">
        <v>95881</v>
      </c>
      <c r="P311" t="s">
        <v>805</v>
      </c>
      <c r="Q311" t="s">
        <v>42</v>
      </c>
      <c r="R311" t="s">
        <v>48</v>
      </c>
      <c r="S311" t="s">
        <v>29</v>
      </c>
      <c r="T311">
        <v>4199.55</v>
      </c>
      <c r="U311">
        <f t="shared" si="56"/>
        <v>1691</v>
      </c>
      <c r="V311">
        <f t="shared" si="57"/>
        <v>607</v>
      </c>
      <c r="W311">
        <f t="shared" si="58"/>
        <v>535</v>
      </c>
      <c r="X311">
        <f t="shared" si="59"/>
        <v>0.35149999999999998</v>
      </c>
      <c r="Y311" s="1">
        <f t="shared" si="60"/>
        <v>87566825</v>
      </c>
      <c r="Z311">
        <f t="shared" si="61"/>
        <v>51784.047900650505</v>
      </c>
      <c r="AA311">
        <f t="shared" si="62"/>
        <v>99996</v>
      </c>
      <c r="AB311">
        <f t="shared" si="63"/>
        <v>5091</v>
      </c>
      <c r="AC311">
        <f t="shared" si="64"/>
        <v>2271713.4500000016</v>
      </c>
      <c r="AD311">
        <f t="shared" si="65"/>
        <v>1343.4142223536378</v>
      </c>
      <c r="AE311">
        <f t="shared" si="66"/>
        <v>0.35149999999999998</v>
      </c>
      <c r="AF311">
        <f t="shared" si="67"/>
        <v>1921076615.6900027</v>
      </c>
      <c r="AG311" t="str">
        <f t="shared" si="68"/>
        <v>Active</v>
      </c>
      <c r="AH311">
        <f t="shared" si="69"/>
        <v>50394.600000000006</v>
      </c>
    </row>
    <row r="312" spans="1:34" x14ac:dyDescent="0.35">
      <c r="A312" t="s">
        <v>944</v>
      </c>
      <c r="B312" t="s">
        <v>945</v>
      </c>
      <c r="C312">
        <v>49</v>
      </c>
      <c r="D312" t="s">
        <v>22</v>
      </c>
      <c r="E312" t="s">
        <v>32</v>
      </c>
      <c r="F312" t="s">
        <v>46</v>
      </c>
      <c r="G312">
        <v>55056</v>
      </c>
      <c r="H312">
        <v>612</v>
      </c>
      <c r="I312">
        <v>25519</v>
      </c>
      <c r="J312">
        <v>21.29</v>
      </c>
      <c r="K312">
        <v>180</v>
      </c>
      <c r="L312" t="s">
        <v>40</v>
      </c>
      <c r="M312">
        <v>56.9</v>
      </c>
      <c r="N312">
        <v>9127</v>
      </c>
      <c r="O312">
        <v>116983</v>
      </c>
      <c r="P312" t="s">
        <v>946</v>
      </c>
      <c r="Q312" t="s">
        <v>42</v>
      </c>
      <c r="R312" t="s">
        <v>48</v>
      </c>
      <c r="S312" t="s">
        <v>43</v>
      </c>
      <c r="T312">
        <v>171.96</v>
      </c>
      <c r="U312">
        <f t="shared" si="56"/>
        <v>1690</v>
      </c>
      <c r="V312">
        <f t="shared" si="57"/>
        <v>606</v>
      </c>
      <c r="W312">
        <f t="shared" si="58"/>
        <v>535</v>
      </c>
      <c r="X312">
        <f t="shared" si="59"/>
        <v>0.35149999999999998</v>
      </c>
      <c r="Y312" s="1">
        <f t="shared" si="60"/>
        <v>87477875</v>
      </c>
      <c r="Z312">
        <f t="shared" si="61"/>
        <v>51762.05621301775</v>
      </c>
      <c r="AA312">
        <f t="shared" si="62"/>
        <v>99996</v>
      </c>
      <c r="AB312">
        <f t="shared" si="63"/>
        <v>5091</v>
      </c>
      <c r="AC312">
        <f t="shared" si="64"/>
        <v>2267513.9000000013</v>
      </c>
      <c r="AD312">
        <f t="shared" si="65"/>
        <v>1341.7242011834328</v>
      </c>
      <c r="AE312">
        <f t="shared" si="66"/>
        <v>0.35149999999999998</v>
      </c>
      <c r="AF312">
        <f t="shared" si="67"/>
        <v>1918804902.2400029</v>
      </c>
      <c r="AG312" t="str">
        <f t="shared" si="68"/>
        <v>Active</v>
      </c>
      <c r="AH312">
        <f t="shared" si="69"/>
        <v>2063.52</v>
      </c>
    </row>
    <row r="313" spans="1:34" x14ac:dyDescent="0.35">
      <c r="A313" t="s">
        <v>947</v>
      </c>
      <c r="B313" t="s">
        <v>948</v>
      </c>
      <c r="C313">
        <v>39</v>
      </c>
      <c r="D313" t="s">
        <v>38</v>
      </c>
      <c r="E313" t="s">
        <v>32</v>
      </c>
      <c r="F313" t="s">
        <v>59</v>
      </c>
      <c r="G313">
        <v>56122</v>
      </c>
      <c r="H313">
        <v>596</v>
      </c>
      <c r="I313">
        <v>35015</v>
      </c>
      <c r="J313">
        <v>22.84</v>
      </c>
      <c r="K313">
        <v>180</v>
      </c>
      <c r="L313" t="s">
        <v>25</v>
      </c>
      <c r="M313">
        <v>55.01</v>
      </c>
      <c r="N313">
        <v>56067</v>
      </c>
      <c r="O313">
        <v>78988</v>
      </c>
      <c r="P313" t="s">
        <v>949</v>
      </c>
      <c r="Q313" t="s">
        <v>61</v>
      </c>
      <c r="R313" t="s">
        <v>28</v>
      </c>
      <c r="S313" t="s">
        <v>29</v>
      </c>
      <c r="T313">
        <v>238.96</v>
      </c>
      <c r="U313">
        <f t="shared" si="56"/>
        <v>1689</v>
      </c>
      <c r="V313">
        <f t="shared" si="57"/>
        <v>605</v>
      </c>
      <c r="W313">
        <f t="shared" si="58"/>
        <v>535</v>
      </c>
      <c r="X313">
        <f t="shared" si="59"/>
        <v>0.35149999999999998</v>
      </c>
      <c r="Y313" s="1">
        <f t="shared" si="60"/>
        <v>87452356</v>
      </c>
      <c r="Z313">
        <f t="shared" si="61"/>
        <v>51777.59384251036</v>
      </c>
      <c r="AA313">
        <f t="shared" si="62"/>
        <v>99996</v>
      </c>
      <c r="AB313">
        <f t="shared" si="63"/>
        <v>5091</v>
      </c>
      <c r="AC313">
        <f t="shared" si="64"/>
        <v>2267341.9400000004</v>
      </c>
      <c r="AD313">
        <f t="shared" si="65"/>
        <v>1342.4167791592661</v>
      </c>
      <c r="AE313">
        <f t="shared" si="66"/>
        <v>0.35149999999999998</v>
      </c>
      <c r="AF313">
        <f t="shared" si="67"/>
        <v>1916537388.3400028</v>
      </c>
      <c r="AG313" t="str">
        <f t="shared" si="68"/>
        <v>Active</v>
      </c>
      <c r="AH313">
        <f t="shared" si="69"/>
        <v>2867.52</v>
      </c>
    </row>
    <row r="314" spans="1:34" x14ac:dyDescent="0.35">
      <c r="A314" t="s">
        <v>950</v>
      </c>
      <c r="B314" t="s">
        <v>951</v>
      </c>
      <c r="C314">
        <v>27</v>
      </c>
      <c r="D314" t="s">
        <v>38</v>
      </c>
      <c r="E314" t="s">
        <v>23</v>
      </c>
      <c r="F314" t="s">
        <v>59</v>
      </c>
      <c r="G314">
        <v>132123</v>
      </c>
      <c r="H314">
        <v>332</v>
      </c>
      <c r="I314">
        <v>40957</v>
      </c>
      <c r="J314">
        <v>7.85</v>
      </c>
      <c r="K314">
        <v>60</v>
      </c>
      <c r="L314" t="s">
        <v>25</v>
      </c>
      <c r="M314">
        <v>41.55</v>
      </c>
      <c r="N314">
        <v>77979</v>
      </c>
      <c r="O314">
        <v>128284</v>
      </c>
      <c r="P314" t="s">
        <v>740</v>
      </c>
      <c r="Q314" t="s">
        <v>61</v>
      </c>
      <c r="R314" t="s">
        <v>28</v>
      </c>
      <c r="S314" t="s">
        <v>29</v>
      </c>
      <c r="T314">
        <v>736.2</v>
      </c>
      <c r="U314">
        <f t="shared" si="56"/>
        <v>1688</v>
      </c>
      <c r="V314">
        <f t="shared" si="57"/>
        <v>605</v>
      </c>
      <c r="W314">
        <f t="shared" si="58"/>
        <v>534</v>
      </c>
      <c r="X314">
        <f t="shared" si="59"/>
        <v>0.35149999999999998</v>
      </c>
      <c r="Y314" s="1">
        <f t="shared" si="60"/>
        <v>87417341</v>
      </c>
      <c r="Z314">
        <f t="shared" si="61"/>
        <v>51787.524289099529</v>
      </c>
      <c r="AA314">
        <f t="shared" si="62"/>
        <v>99996</v>
      </c>
      <c r="AB314">
        <f t="shared" si="63"/>
        <v>5091</v>
      </c>
      <c r="AC314">
        <f t="shared" si="64"/>
        <v>2267102.9800000009</v>
      </c>
      <c r="AD314">
        <f t="shared" si="65"/>
        <v>1343.070485781991</v>
      </c>
      <c r="AE314">
        <f t="shared" si="66"/>
        <v>0.35149999999999998</v>
      </c>
      <c r="AF314">
        <f t="shared" si="67"/>
        <v>1914270046.4000027</v>
      </c>
      <c r="AG314" t="str">
        <f t="shared" si="68"/>
        <v>Active</v>
      </c>
      <c r="AH314">
        <f t="shared" si="69"/>
        <v>8834.4000000000015</v>
      </c>
    </row>
    <row r="315" spans="1:34" x14ac:dyDescent="0.35">
      <c r="A315" t="s">
        <v>952</v>
      </c>
      <c r="B315" t="s">
        <v>953</v>
      </c>
      <c r="C315">
        <v>21</v>
      </c>
      <c r="D315" t="s">
        <v>22</v>
      </c>
      <c r="E315" t="s">
        <v>39</v>
      </c>
      <c r="F315" t="s">
        <v>46</v>
      </c>
      <c r="G315">
        <v>22183</v>
      </c>
      <c r="H315">
        <v>334</v>
      </c>
      <c r="I315">
        <v>97949</v>
      </c>
      <c r="J315">
        <v>18.96</v>
      </c>
      <c r="K315">
        <v>60</v>
      </c>
      <c r="L315" t="s">
        <v>25</v>
      </c>
      <c r="M315">
        <v>12.99</v>
      </c>
      <c r="N315">
        <v>33359</v>
      </c>
      <c r="O315">
        <v>4132</v>
      </c>
      <c r="P315" t="s">
        <v>954</v>
      </c>
      <c r="Q315" t="s">
        <v>42</v>
      </c>
      <c r="R315" t="s">
        <v>48</v>
      </c>
      <c r="S315" t="s">
        <v>68</v>
      </c>
      <c r="T315">
        <v>1942</v>
      </c>
      <c r="U315">
        <f t="shared" si="56"/>
        <v>1687</v>
      </c>
      <c r="V315">
        <f t="shared" si="57"/>
        <v>605</v>
      </c>
      <c r="W315">
        <f t="shared" si="58"/>
        <v>533</v>
      </c>
      <c r="X315">
        <f t="shared" si="59"/>
        <v>0.35149999999999998</v>
      </c>
      <c r="Y315" s="1">
        <f t="shared" si="60"/>
        <v>87376384</v>
      </c>
      <c r="Z315">
        <f t="shared" si="61"/>
        <v>51793.944279786607</v>
      </c>
      <c r="AA315">
        <f t="shared" si="62"/>
        <v>99996</v>
      </c>
      <c r="AB315">
        <f t="shared" si="63"/>
        <v>5091</v>
      </c>
      <c r="AC315">
        <f t="shared" si="64"/>
        <v>2266366.7800000007</v>
      </c>
      <c r="AD315">
        <f t="shared" si="65"/>
        <v>1343.4302193242447</v>
      </c>
      <c r="AE315">
        <f t="shared" si="66"/>
        <v>0.35149999999999998</v>
      </c>
      <c r="AF315">
        <f t="shared" si="67"/>
        <v>1912002943.4200029</v>
      </c>
      <c r="AG315" t="str">
        <f t="shared" si="68"/>
        <v>Active</v>
      </c>
      <c r="AH315">
        <f t="shared" si="69"/>
        <v>23304</v>
      </c>
    </row>
    <row r="316" spans="1:34" x14ac:dyDescent="0.35">
      <c r="A316" t="s">
        <v>955</v>
      </c>
      <c r="B316" t="s">
        <v>956</v>
      </c>
      <c r="C316">
        <v>22</v>
      </c>
      <c r="D316" t="s">
        <v>38</v>
      </c>
      <c r="E316" t="s">
        <v>23</v>
      </c>
      <c r="F316" t="s">
        <v>46</v>
      </c>
      <c r="G316">
        <v>181620</v>
      </c>
      <c r="H316">
        <v>618</v>
      </c>
      <c r="I316">
        <v>95562</v>
      </c>
      <c r="J316">
        <v>14.94</v>
      </c>
      <c r="K316">
        <v>180</v>
      </c>
      <c r="L316" t="s">
        <v>33</v>
      </c>
      <c r="M316">
        <v>37.89</v>
      </c>
      <c r="N316">
        <v>44129</v>
      </c>
      <c r="O316">
        <v>235492</v>
      </c>
      <c r="P316" t="s">
        <v>957</v>
      </c>
      <c r="Q316" t="s">
        <v>42</v>
      </c>
      <c r="R316" t="s">
        <v>28</v>
      </c>
      <c r="S316" t="s">
        <v>43</v>
      </c>
      <c r="T316">
        <v>610.22</v>
      </c>
      <c r="U316">
        <f t="shared" si="56"/>
        <v>1686</v>
      </c>
      <c r="V316">
        <f t="shared" si="57"/>
        <v>604</v>
      </c>
      <c r="W316">
        <f t="shared" si="58"/>
        <v>533</v>
      </c>
      <c r="X316">
        <f t="shared" si="59"/>
        <v>0.35149999999999998</v>
      </c>
      <c r="Y316" s="1">
        <f t="shared" si="60"/>
        <v>87278435</v>
      </c>
      <c r="Z316">
        <f t="shared" si="61"/>
        <v>51766.568801897985</v>
      </c>
      <c r="AA316">
        <f t="shared" si="62"/>
        <v>99996</v>
      </c>
      <c r="AB316">
        <f t="shared" si="63"/>
        <v>5091</v>
      </c>
      <c r="AC316">
        <f t="shared" si="64"/>
        <v>2264424.7800000007</v>
      </c>
      <c r="AD316">
        <f t="shared" si="65"/>
        <v>1343.0751957295379</v>
      </c>
      <c r="AE316">
        <f t="shared" si="66"/>
        <v>0.35149999999999998</v>
      </c>
      <c r="AF316">
        <f t="shared" si="67"/>
        <v>1909736576.6400027</v>
      </c>
      <c r="AG316" t="str">
        <f t="shared" si="68"/>
        <v>Active</v>
      </c>
      <c r="AH316">
        <f t="shared" si="69"/>
        <v>7322.64</v>
      </c>
    </row>
    <row r="317" spans="1:34" x14ac:dyDescent="0.35">
      <c r="A317" t="s">
        <v>958</v>
      </c>
      <c r="B317" t="s">
        <v>959</v>
      </c>
      <c r="C317">
        <v>40</v>
      </c>
      <c r="D317" t="s">
        <v>22</v>
      </c>
      <c r="E317" t="s">
        <v>32</v>
      </c>
      <c r="F317" t="s">
        <v>59</v>
      </c>
      <c r="G317">
        <v>147295</v>
      </c>
      <c r="H317">
        <v>655</v>
      </c>
      <c r="I317">
        <v>98103</v>
      </c>
      <c r="J317">
        <v>22.93</v>
      </c>
      <c r="K317">
        <v>240</v>
      </c>
      <c r="L317" t="s">
        <v>86</v>
      </c>
      <c r="M317">
        <v>16.899999999999999</v>
      </c>
      <c r="N317">
        <v>31572</v>
      </c>
      <c r="O317">
        <v>96228</v>
      </c>
      <c r="P317" t="s">
        <v>960</v>
      </c>
      <c r="Q317" t="s">
        <v>27</v>
      </c>
      <c r="R317" t="s">
        <v>28</v>
      </c>
      <c r="S317" t="s">
        <v>43</v>
      </c>
      <c r="T317">
        <v>502.49</v>
      </c>
      <c r="U317">
        <f t="shared" si="56"/>
        <v>1685</v>
      </c>
      <c r="V317">
        <f t="shared" si="57"/>
        <v>603</v>
      </c>
      <c r="W317">
        <f t="shared" si="58"/>
        <v>533</v>
      </c>
      <c r="X317">
        <f t="shared" si="59"/>
        <v>0.35149999999999998</v>
      </c>
      <c r="Y317" s="1">
        <f t="shared" si="60"/>
        <v>87182873</v>
      </c>
      <c r="Z317">
        <f t="shared" si="61"/>
        <v>51740.577448071213</v>
      </c>
      <c r="AA317">
        <f t="shared" si="62"/>
        <v>99996</v>
      </c>
      <c r="AB317">
        <f t="shared" si="63"/>
        <v>5091</v>
      </c>
      <c r="AC317">
        <f t="shared" si="64"/>
        <v>2263814.5600000005</v>
      </c>
      <c r="AD317">
        <f t="shared" si="65"/>
        <v>1343.5101246290803</v>
      </c>
      <c r="AE317">
        <f t="shared" si="66"/>
        <v>0.35149999999999998</v>
      </c>
      <c r="AF317">
        <f t="shared" si="67"/>
        <v>1907472151.8600032</v>
      </c>
      <c r="AG317" t="str">
        <f t="shared" si="68"/>
        <v>Active</v>
      </c>
      <c r="AH317">
        <f t="shared" si="69"/>
        <v>6029.88</v>
      </c>
    </row>
    <row r="318" spans="1:34" x14ac:dyDescent="0.35">
      <c r="A318" t="s">
        <v>961</v>
      </c>
      <c r="B318" t="s">
        <v>962</v>
      </c>
      <c r="C318">
        <v>35</v>
      </c>
      <c r="D318" t="s">
        <v>22</v>
      </c>
      <c r="E318" t="s">
        <v>32</v>
      </c>
      <c r="F318" t="s">
        <v>46</v>
      </c>
      <c r="G318">
        <v>35667</v>
      </c>
      <c r="H318">
        <v>506</v>
      </c>
      <c r="I318">
        <v>63345</v>
      </c>
      <c r="J318">
        <v>9.14</v>
      </c>
      <c r="K318">
        <v>120</v>
      </c>
      <c r="L318" t="s">
        <v>25</v>
      </c>
      <c r="M318">
        <v>43.84</v>
      </c>
      <c r="N318">
        <v>66872</v>
      </c>
      <c r="O318">
        <v>177504</v>
      </c>
      <c r="P318" t="s">
        <v>963</v>
      </c>
      <c r="Q318" t="s">
        <v>27</v>
      </c>
      <c r="R318" t="s">
        <v>48</v>
      </c>
      <c r="S318" t="s">
        <v>35</v>
      </c>
      <c r="T318">
        <v>576.12</v>
      </c>
      <c r="U318">
        <f t="shared" si="56"/>
        <v>1684</v>
      </c>
      <c r="V318">
        <f t="shared" si="57"/>
        <v>603</v>
      </c>
      <c r="W318">
        <f t="shared" si="58"/>
        <v>533</v>
      </c>
      <c r="X318">
        <f t="shared" si="59"/>
        <v>0.35149999999999998</v>
      </c>
      <c r="Y318" s="1">
        <f t="shared" si="60"/>
        <v>87084770</v>
      </c>
      <c r="Z318">
        <f t="shared" si="61"/>
        <v>51713.046318289787</v>
      </c>
      <c r="AA318">
        <f t="shared" si="62"/>
        <v>99996</v>
      </c>
      <c r="AB318">
        <f t="shared" si="63"/>
        <v>5091</v>
      </c>
      <c r="AC318">
        <f t="shared" si="64"/>
        <v>2263312.0700000008</v>
      </c>
      <c r="AD318">
        <f t="shared" si="65"/>
        <v>1344.0095427553449</v>
      </c>
      <c r="AE318">
        <f t="shared" si="66"/>
        <v>0.35149999999999998</v>
      </c>
      <c r="AF318">
        <f t="shared" si="67"/>
        <v>1905208337.3000031</v>
      </c>
      <c r="AG318" t="str">
        <f t="shared" si="68"/>
        <v>Active</v>
      </c>
      <c r="AH318">
        <f t="shared" si="69"/>
        <v>6913.4400000000005</v>
      </c>
    </row>
    <row r="319" spans="1:34" x14ac:dyDescent="0.35">
      <c r="A319" t="s">
        <v>964</v>
      </c>
      <c r="B319" t="s">
        <v>965</v>
      </c>
      <c r="C319">
        <v>31</v>
      </c>
      <c r="D319" t="s">
        <v>38</v>
      </c>
      <c r="E319" t="s">
        <v>23</v>
      </c>
      <c r="F319" t="s">
        <v>59</v>
      </c>
      <c r="G319">
        <v>128298</v>
      </c>
      <c r="H319">
        <v>423</v>
      </c>
      <c r="I319">
        <v>72453</v>
      </c>
      <c r="J319">
        <v>15.21</v>
      </c>
      <c r="K319">
        <v>60</v>
      </c>
      <c r="L319" t="s">
        <v>33</v>
      </c>
      <c r="M319">
        <v>53.75</v>
      </c>
      <c r="N319">
        <v>34682</v>
      </c>
      <c r="O319">
        <v>226993</v>
      </c>
      <c r="P319" t="s">
        <v>966</v>
      </c>
      <c r="Q319" t="s">
        <v>42</v>
      </c>
      <c r="R319" t="s">
        <v>48</v>
      </c>
      <c r="S319" t="s">
        <v>43</v>
      </c>
      <c r="T319">
        <v>1391.22</v>
      </c>
      <c r="U319">
        <f t="shared" si="56"/>
        <v>1683</v>
      </c>
      <c r="V319">
        <f t="shared" si="57"/>
        <v>603</v>
      </c>
      <c r="W319">
        <f t="shared" si="58"/>
        <v>533</v>
      </c>
      <c r="X319">
        <f t="shared" si="59"/>
        <v>0.35149999999999998</v>
      </c>
      <c r="Y319" s="1">
        <f t="shared" si="60"/>
        <v>87021425</v>
      </c>
      <c r="Z319">
        <f t="shared" si="61"/>
        <v>51706.134878193705</v>
      </c>
      <c r="AA319">
        <f t="shared" si="62"/>
        <v>99996</v>
      </c>
      <c r="AB319">
        <f t="shared" si="63"/>
        <v>5091</v>
      </c>
      <c r="AC319">
        <f t="shared" si="64"/>
        <v>2262735.9500000007</v>
      </c>
      <c r="AD319">
        <f t="shared" si="65"/>
        <v>1344.4658051099232</v>
      </c>
      <c r="AE319">
        <f t="shared" si="66"/>
        <v>0.35149999999999998</v>
      </c>
      <c r="AF319">
        <f t="shared" si="67"/>
        <v>1902945025.2300031</v>
      </c>
      <c r="AG319" t="str">
        <f t="shared" si="68"/>
        <v>Active</v>
      </c>
      <c r="AH319">
        <f t="shared" si="69"/>
        <v>16694.64</v>
      </c>
    </row>
    <row r="320" spans="1:34" x14ac:dyDescent="0.35">
      <c r="A320" t="s">
        <v>967</v>
      </c>
      <c r="B320" t="s">
        <v>968</v>
      </c>
      <c r="C320">
        <v>65</v>
      </c>
      <c r="D320" t="s">
        <v>38</v>
      </c>
      <c r="E320" t="s">
        <v>32</v>
      </c>
      <c r="F320" t="s">
        <v>24</v>
      </c>
      <c r="G320">
        <v>188616</v>
      </c>
      <c r="H320">
        <v>337</v>
      </c>
      <c r="I320">
        <v>76677</v>
      </c>
      <c r="J320">
        <v>17.68</v>
      </c>
      <c r="K320">
        <v>180</v>
      </c>
      <c r="L320" t="s">
        <v>52</v>
      </c>
      <c r="M320">
        <v>44.56</v>
      </c>
      <c r="N320">
        <v>78435</v>
      </c>
      <c r="O320">
        <v>21782</v>
      </c>
      <c r="P320" t="s">
        <v>666</v>
      </c>
      <c r="Q320" t="s">
        <v>61</v>
      </c>
      <c r="R320" t="s">
        <v>48</v>
      </c>
      <c r="S320" t="s">
        <v>68</v>
      </c>
      <c r="T320">
        <v>501.3</v>
      </c>
      <c r="U320">
        <f t="shared" si="56"/>
        <v>1682</v>
      </c>
      <c r="V320">
        <f t="shared" si="57"/>
        <v>602</v>
      </c>
      <c r="W320">
        <f t="shared" si="58"/>
        <v>533</v>
      </c>
      <c r="X320">
        <f t="shared" si="59"/>
        <v>0.35149999999999998</v>
      </c>
      <c r="Y320" s="1">
        <f t="shared" si="60"/>
        <v>86948972</v>
      </c>
      <c r="Z320">
        <f t="shared" si="61"/>
        <v>51693.800237812131</v>
      </c>
      <c r="AA320">
        <f t="shared" si="62"/>
        <v>99996</v>
      </c>
      <c r="AB320">
        <f t="shared" si="63"/>
        <v>5091</v>
      </c>
      <c r="AC320">
        <f t="shared" si="64"/>
        <v>2261344.7300000004</v>
      </c>
      <c r="AD320">
        <f t="shared" si="65"/>
        <v>1344.4380083234248</v>
      </c>
      <c r="AE320">
        <f t="shared" si="66"/>
        <v>0.35149999999999998</v>
      </c>
      <c r="AF320">
        <f t="shared" si="67"/>
        <v>1900682289.2800031</v>
      </c>
      <c r="AG320" t="str">
        <f t="shared" si="68"/>
        <v>Active</v>
      </c>
      <c r="AH320">
        <f t="shared" si="69"/>
        <v>6015.6</v>
      </c>
    </row>
    <row r="321" spans="1:34" x14ac:dyDescent="0.35">
      <c r="A321" t="s">
        <v>969</v>
      </c>
      <c r="B321" t="s">
        <v>970</v>
      </c>
      <c r="C321">
        <v>53</v>
      </c>
      <c r="D321" t="s">
        <v>22</v>
      </c>
      <c r="E321" t="s">
        <v>39</v>
      </c>
      <c r="F321" t="s">
        <v>46</v>
      </c>
      <c r="G321">
        <v>129969</v>
      </c>
      <c r="H321">
        <v>786</v>
      </c>
      <c r="I321">
        <v>51209</v>
      </c>
      <c r="J321">
        <v>23.44</v>
      </c>
      <c r="K321">
        <v>180</v>
      </c>
      <c r="L321" t="s">
        <v>52</v>
      </c>
      <c r="M321">
        <v>45.44</v>
      </c>
      <c r="N321">
        <v>76874</v>
      </c>
      <c r="O321">
        <v>61865</v>
      </c>
      <c r="P321" t="s">
        <v>971</v>
      </c>
      <c r="Q321" t="s">
        <v>27</v>
      </c>
      <c r="R321" t="s">
        <v>28</v>
      </c>
      <c r="S321" t="s">
        <v>35</v>
      </c>
      <c r="T321">
        <v>351.18</v>
      </c>
      <c r="U321">
        <f t="shared" si="56"/>
        <v>1681</v>
      </c>
      <c r="V321">
        <f t="shared" si="57"/>
        <v>602</v>
      </c>
      <c r="W321">
        <f t="shared" si="58"/>
        <v>532</v>
      </c>
      <c r="X321">
        <f t="shared" si="59"/>
        <v>0.35149999999999998</v>
      </c>
      <c r="Y321" s="1">
        <f t="shared" si="60"/>
        <v>86872295</v>
      </c>
      <c r="Z321">
        <f t="shared" si="61"/>
        <v>51678.93813206425</v>
      </c>
      <c r="AA321">
        <f t="shared" si="62"/>
        <v>99996</v>
      </c>
      <c r="AB321">
        <f t="shared" si="63"/>
        <v>5091</v>
      </c>
      <c r="AC321">
        <f t="shared" si="64"/>
        <v>2260843.4300000006</v>
      </c>
      <c r="AD321">
        <f t="shared" si="65"/>
        <v>1344.939577632362</v>
      </c>
      <c r="AE321">
        <f t="shared" si="66"/>
        <v>0.35149999999999998</v>
      </c>
      <c r="AF321">
        <f t="shared" si="67"/>
        <v>1898420944.5500031</v>
      </c>
      <c r="AG321" t="str">
        <f t="shared" si="68"/>
        <v>Active</v>
      </c>
      <c r="AH321">
        <f t="shared" si="69"/>
        <v>4214.16</v>
      </c>
    </row>
    <row r="322" spans="1:34" x14ac:dyDescent="0.35">
      <c r="A322" t="s">
        <v>972</v>
      </c>
      <c r="B322" t="s">
        <v>973</v>
      </c>
      <c r="C322">
        <v>46</v>
      </c>
      <c r="D322" t="s">
        <v>22</v>
      </c>
      <c r="E322" t="s">
        <v>32</v>
      </c>
      <c r="F322" t="s">
        <v>24</v>
      </c>
      <c r="G322">
        <v>29615</v>
      </c>
      <c r="H322">
        <v>365</v>
      </c>
      <c r="I322">
        <v>87070</v>
      </c>
      <c r="J322">
        <v>12.82</v>
      </c>
      <c r="K322">
        <v>12</v>
      </c>
      <c r="L322" t="s">
        <v>40</v>
      </c>
      <c r="M322">
        <v>55.31</v>
      </c>
      <c r="N322">
        <v>35866</v>
      </c>
      <c r="O322">
        <v>82337</v>
      </c>
      <c r="P322" t="s">
        <v>713</v>
      </c>
      <c r="Q322" t="s">
        <v>61</v>
      </c>
      <c r="R322" t="s">
        <v>28</v>
      </c>
      <c r="S322" t="s">
        <v>49</v>
      </c>
      <c r="T322">
        <v>8186.03</v>
      </c>
      <c r="U322">
        <f t="shared" ref="U322:U385" si="70">COUNTA(A322:A2321)</f>
        <v>1680</v>
      </c>
      <c r="V322">
        <f t="shared" ref="V322:V385" si="71">COUNTIF(Q322:Q2321,"APPROVED")</f>
        <v>602</v>
      </c>
      <c r="W322">
        <f t="shared" ref="W322:W385" si="72">COUNTIF(Q322:Q2322,"Rejected")</f>
        <v>532</v>
      </c>
      <c r="X322">
        <f t="shared" ref="X322:X385" si="73">703/2000</f>
        <v>0.35149999999999998</v>
      </c>
      <c r="Y322" s="1">
        <f t="shared" ref="Y322:Y385" si="74">SUM(I322:I2321)</f>
        <v>86821086</v>
      </c>
      <c r="Z322">
        <f t="shared" ref="Z322:Z385" si="75">AVERAGE(I322:I20321)</f>
        <v>51679.217857142859</v>
      </c>
      <c r="AA322">
        <f t="shared" ref="AA322:AA385" si="76">MAX(I322:I2321)</f>
        <v>99996</v>
      </c>
      <c r="AB322">
        <f t="shared" ref="AB322:AB385" si="77">MIN(I322:I2321)</f>
        <v>5091</v>
      </c>
      <c r="AC322">
        <f t="shared" ref="AC322:AC385" si="78">SUM(T322:T2321)</f>
        <v>2260492.2500000009</v>
      </c>
      <c r="AD322">
        <f t="shared" ref="AD322:AD385" si="79">AVERAGE(T322:T2321)</f>
        <v>1345.5311011904766</v>
      </c>
      <c r="AE322">
        <f t="shared" ref="AE322:AE385" si="80">703/2000</f>
        <v>0.35149999999999998</v>
      </c>
      <c r="AF322">
        <f t="shared" ref="AF322:AF385" si="81">SUM(AC322:AC2321)</f>
        <v>1896160101.1200032</v>
      </c>
      <c r="AG322" t="str">
        <f t="shared" ref="AG322:AG385" si="82">IF(AH322=0,"Bad", IF(AH321&lt;I321, "Active", IF(AH321=I321, "Good", "Over Paid")))</f>
        <v>Active</v>
      </c>
      <c r="AH322">
        <f t="shared" ref="AH322:AH385" si="83">T322*12</f>
        <v>98232.36</v>
      </c>
    </row>
    <row r="323" spans="1:34" x14ac:dyDescent="0.35">
      <c r="A323" t="s">
        <v>974</v>
      </c>
      <c r="B323" t="s">
        <v>975</v>
      </c>
      <c r="C323">
        <v>45</v>
      </c>
      <c r="D323" t="s">
        <v>22</v>
      </c>
      <c r="E323" t="s">
        <v>39</v>
      </c>
      <c r="F323" t="s">
        <v>24</v>
      </c>
      <c r="G323">
        <v>182034</v>
      </c>
      <c r="H323">
        <v>407</v>
      </c>
      <c r="I323">
        <v>34079</v>
      </c>
      <c r="J323">
        <v>4.75</v>
      </c>
      <c r="K323">
        <v>240</v>
      </c>
      <c r="L323" t="s">
        <v>25</v>
      </c>
      <c r="M323">
        <v>22.75</v>
      </c>
      <c r="N323">
        <v>44906</v>
      </c>
      <c r="O323">
        <v>144920</v>
      </c>
      <c r="P323" t="s">
        <v>976</v>
      </c>
      <c r="Q323" t="s">
        <v>27</v>
      </c>
      <c r="R323" t="s">
        <v>28</v>
      </c>
      <c r="S323" t="s">
        <v>35</v>
      </c>
      <c r="T323">
        <v>148.74</v>
      </c>
      <c r="U323">
        <f t="shared" si="70"/>
        <v>1679</v>
      </c>
      <c r="V323">
        <f t="shared" si="71"/>
        <v>602</v>
      </c>
      <c r="W323">
        <f t="shared" si="72"/>
        <v>531</v>
      </c>
      <c r="X323">
        <f t="shared" si="73"/>
        <v>0.35149999999999998</v>
      </c>
      <c r="Y323" s="1">
        <f t="shared" si="74"/>
        <v>86734016</v>
      </c>
      <c r="Z323">
        <f t="shared" si="75"/>
        <v>51658.139368671829</v>
      </c>
      <c r="AA323">
        <f t="shared" si="76"/>
        <v>99996</v>
      </c>
      <c r="AB323">
        <f t="shared" si="77"/>
        <v>5091</v>
      </c>
      <c r="AC323">
        <f t="shared" si="78"/>
        <v>2252306.2200000011</v>
      </c>
      <c r="AD323">
        <f t="shared" si="79"/>
        <v>1341.4569505658137</v>
      </c>
      <c r="AE323">
        <f t="shared" si="80"/>
        <v>0.35149999999999998</v>
      </c>
      <c r="AF323">
        <f t="shared" si="81"/>
        <v>1893899608.8700032</v>
      </c>
      <c r="AG323" t="str">
        <f t="shared" si="82"/>
        <v>Over Paid</v>
      </c>
      <c r="AH323">
        <f t="shared" si="83"/>
        <v>1784.88</v>
      </c>
    </row>
    <row r="324" spans="1:34" x14ac:dyDescent="0.35">
      <c r="A324" t="s">
        <v>977</v>
      </c>
      <c r="B324" t="s">
        <v>978</v>
      </c>
      <c r="C324">
        <v>63</v>
      </c>
      <c r="D324" t="s">
        <v>38</v>
      </c>
      <c r="E324" t="s">
        <v>39</v>
      </c>
      <c r="F324" t="s">
        <v>59</v>
      </c>
      <c r="G324">
        <v>36533</v>
      </c>
      <c r="H324">
        <v>531</v>
      </c>
      <c r="I324">
        <v>31326</v>
      </c>
      <c r="J324">
        <v>20.350000000000001</v>
      </c>
      <c r="K324">
        <v>36</v>
      </c>
      <c r="L324" t="s">
        <v>25</v>
      </c>
      <c r="M324">
        <v>48.31</v>
      </c>
      <c r="N324">
        <v>55838</v>
      </c>
      <c r="O324">
        <v>228565</v>
      </c>
      <c r="P324" t="s">
        <v>979</v>
      </c>
      <c r="Q324" t="s">
        <v>42</v>
      </c>
      <c r="R324" t="s">
        <v>48</v>
      </c>
      <c r="S324" t="s">
        <v>29</v>
      </c>
      <c r="T324">
        <v>1047.25</v>
      </c>
      <c r="U324">
        <f t="shared" si="70"/>
        <v>1678</v>
      </c>
      <c r="V324">
        <f t="shared" si="71"/>
        <v>602</v>
      </c>
      <c r="W324">
        <f t="shared" si="72"/>
        <v>531</v>
      </c>
      <c r="X324">
        <f t="shared" si="73"/>
        <v>0.35149999999999998</v>
      </c>
      <c r="Y324" s="1">
        <f t="shared" si="74"/>
        <v>86699937</v>
      </c>
      <c r="Z324">
        <f t="shared" si="75"/>
        <v>51668.615613825983</v>
      </c>
      <c r="AA324">
        <f t="shared" si="76"/>
        <v>99996</v>
      </c>
      <c r="AB324">
        <f t="shared" si="77"/>
        <v>5091</v>
      </c>
      <c r="AC324">
        <f t="shared" si="78"/>
        <v>2252157.4800000009</v>
      </c>
      <c r="AD324">
        <f t="shared" si="79"/>
        <v>1342.1677473182365</v>
      </c>
      <c r="AE324">
        <f t="shared" si="80"/>
        <v>0.35149999999999998</v>
      </c>
      <c r="AF324">
        <f t="shared" si="81"/>
        <v>1891647302.650003</v>
      </c>
      <c r="AG324" t="str">
        <f t="shared" si="82"/>
        <v>Active</v>
      </c>
      <c r="AH324">
        <f t="shared" si="83"/>
        <v>12567</v>
      </c>
    </row>
    <row r="325" spans="1:34" x14ac:dyDescent="0.35">
      <c r="A325" t="s">
        <v>980</v>
      </c>
      <c r="B325" t="s">
        <v>981</v>
      </c>
      <c r="C325">
        <v>38</v>
      </c>
      <c r="D325" t="s">
        <v>38</v>
      </c>
      <c r="E325" t="s">
        <v>32</v>
      </c>
      <c r="F325" t="s">
        <v>59</v>
      </c>
      <c r="G325">
        <v>87008</v>
      </c>
      <c r="H325">
        <v>472</v>
      </c>
      <c r="I325">
        <v>99902</v>
      </c>
      <c r="J325">
        <v>6.89</v>
      </c>
      <c r="K325">
        <v>24</v>
      </c>
      <c r="L325" t="s">
        <v>40</v>
      </c>
      <c r="M325">
        <v>42.58</v>
      </c>
      <c r="N325">
        <v>8305</v>
      </c>
      <c r="O325">
        <v>188064</v>
      </c>
      <c r="P325" t="s">
        <v>982</v>
      </c>
      <c r="Q325" t="s">
        <v>61</v>
      </c>
      <c r="R325" t="s">
        <v>48</v>
      </c>
      <c r="S325" t="s">
        <v>29</v>
      </c>
      <c r="T325">
        <v>4449.3900000000003</v>
      </c>
      <c r="U325">
        <f t="shared" si="70"/>
        <v>1677</v>
      </c>
      <c r="V325">
        <f t="shared" si="71"/>
        <v>601</v>
      </c>
      <c r="W325">
        <f t="shared" si="72"/>
        <v>531</v>
      </c>
      <c r="X325">
        <f t="shared" si="73"/>
        <v>0.35149999999999998</v>
      </c>
      <c r="Y325" s="1">
        <f t="shared" si="74"/>
        <v>86668611</v>
      </c>
      <c r="Z325">
        <f t="shared" si="75"/>
        <v>51680.74597495528</v>
      </c>
      <c r="AA325">
        <f t="shared" si="76"/>
        <v>99996</v>
      </c>
      <c r="AB325">
        <f t="shared" si="77"/>
        <v>5091</v>
      </c>
      <c r="AC325">
        <f t="shared" si="78"/>
        <v>2251110.2300000009</v>
      </c>
      <c r="AD325">
        <f t="shared" si="79"/>
        <v>1342.343607632678</v>
      </c>
      <c r="AE325">
        <f t="shared" si="80"/>
        <v>0.35149999999999998</v>
      </c>
      <c r="AF325">
        <f t="shared" si="81"/>
        <v>1889395145.1700029</v>
      </c>
      <c r="AG325" t="str">
        <f t="shared" si="82"/>
        <v>Active</v>
      </c>
      <c r="AH325">
        <f t="shared" si="83"/>
        <v>53392.680000000008</v>
      </c>
    </row>
    <row r="326" spans="1:34" x14ac:dyDescent="0.35">
      <c r="A326" t="s">
        <v>983</v>
      </c>
      <c r="B326" t="s">
        <v>984</v>
      </c>
      <c r="C326">
        <v>45</v>
      </c>
      <c r="D326" t="s">
        <v>38</v>
      </c>
      <c r="E326" t="s">
        <v>39</v>
      </c>
      <c r="F326" t="s">
        <v>59</v>
      </c>
      <c r="G326">
        <v>162862</v>
      </c>
      <c r="H326">
        <v>382</v>
      </c>
      <c r="I326">
        <v>7640</v>
      </c>
      <c r="J326">
        <v>13.82</v>
      </c>
      <c r="K326">
        <v>360</v>
      </c>
      <c r="L326" t="s">
        <v>25</v>
      </c>
      <c r="M326">
        <v>15.52</v>
      </c>
      <c r="N326">
        <v>53903</v>
      </c>
      <c r="O326">
        <v>191747</v>
      </c>
      <c r="P326" t="s">
        <v>985</v>
      </c>
      <c r="Q326" t="s">
        <v>61</v>
      </c>
      <c r="R326" t="s">
        <v>28</v>
      </c>
      <c r="S326" t="s">
        <v>35</v>
      </c>
      <c r="T326">
        <v>24.16</v>
      </c>
      <c r="U326">
        <f t="shared" si="70"/>
        <v>1676</v>
      </c>
      <c r="V326">
        <f t="shared" si="71"/>
        <v>601</v>
      </c>
      <c r="W326">
        <f t="shared" si="72"/>
        <v>530</v>
      </c>
      <c r="X326">
        <f t="shared" si="73"/>
        <v>0.35149999999999998</v>
      </c>
      <c r="Y326" s="1">
        <f t="shared" si="74"/>
        <v>86568709</v>
      </c>
      <c r="Z326">
        <f t="shared" si="75"/>
        <v>51651.974343675414</v>
      </c>
      <c r="AA326">
        <f t="shared" si="76"/>
        <v>99996</v>
      </c>
      <c r="AB326">
        <f t="shared" si="77"/>
        <v>5091</v>
      </c>
      <c r="AC326">
        <f t="shared" si="78"/>
        <v>2246660.8400000008</v>
      </c>
      <c r="AD326">
        <f t="shared" si="79"/>
        <v>1340.489761336516</v>
      </c>
      <c r="AE326">
        <f t="shared" si="80"/>
        <v>0.35149999999999998</v>
      </c>
      <c r="AF326">
        <f t="shared" si="81"/>
        <v>1887144034.9400029</v>
      </c>
      <c r="AG326" t="str">
        <f t="shared" si="82"/>
        <v>Active</v>
      </c>
      <c r="AH326">
        <f t="shared" si="83"/>
        <v>289.92</v>
      </c>
    </row>
    <row r="327" spans="1:34" x14ac:dyDescent="0.35">
      <c r="A327" t="s">
        <v>986</v>
      </c>
      <c r="B327" t="s">
        <v>987</v>
      </c>
      <c r="C327">
        <v>21</v>
      </c>
      <c r="D327" t="s">
        <v>38</v>
      </c>
      <c r="E327" t="s">
        <v>23</v>
      </c>
      <c r="F327" t="s">
        <v>59</v>
      </c>
      <c r="G327">
        <v>193089</v>
      </c>
      <c r="H327">
        <v>337</v>
      </c>
      <c r="I327">
        <v>85574</v>
      </c>
      <c r="J327">
        <v>22.22</v>
      </c>
      <c r="K327">
        <v>240</v>
      </c>
      <c r="L327" t="s">
        <v>86</v>
      </c>
      <c r="M327">
        <v>21.13</v>
      </c>
      <c r="N327">
        <v>68204</v>
      </c>
      <c r="O327">
        <v>39910</v>
      </c>
      <c r="P327" t="s">
        <v>988</v>
      </c>
      <c r="Q327" t="s">
        <v>61</v>
      </c>
      <c r="R327" t="s">
        <v>48</v>
      </c>
      <c r="S327" t="s">
        <v>29</v>
      </c>
      <c r="T327">
        <v>435.79</v>
      </c>
      <c r="U327">
        <f t="shared" si="70"/>
        <v>1675</v>
      </c>
      <c r="V327">
        <f t="shared" si="71"/>
        <v>601</v>
      </c>
      <c r="W327">
        <f t="shared" si="72"/>
        <v>529</v>
      </c>
      <c r="X327">
        <f t="shared" si="73"/>
        <v>0.35149999999999998</v>
      </c>
      <c r="Y327" s="1">
        <f t="shared" si="74"/>
        <v>86561069</v>
      </c>
      <c r="Z327">
        <f t="shared" si="75"/>
        <v>51678.250149253734</v>
      </c>
      <c r="AA327">
        <f t="shared" si="76"/>
        <v>99996</v>
      </c>
      <c r="AB327">
        <f t="shared" si="77"/>
        <v>5091</v>
      </c>
      <c r="AC327">
        <f t="shared" si="78"/>
        <v>2246636.6800000011</v>
      </c>
      <c r="AD327">
        <f t="shared" si="79"/>
        <v>1341.275629850747</v>
      </c>
      <c r="AE327">
        <f t="shared" si="80"/>
        <v>0.35149999999999998</v>
      </c>
      <c r="AF327">
        <f t="shared" si="81"/>
        <v>1884897374.100003</v>
      </c>
      <c r="AG327" t="str">
        <f t="shared" si="82"/>
        <v>Active</v>
      </c>
      <c r="AH327">
        <f t="shared" si="83"/>
        <v>5229.4800000000005</v>
      </c>
    </row>
    <row r="328" spans="1:34" x14ac:dyDescent="0.35">
      <c r="A328" t="s">
        <v>989</v>
      </c>
      <c r="B328" t="s">
        <v>990</v>
      </c>
      <c r="C328">
        <v>56</v>
      </c>
      <c r="D328" t="s">
        <v>38</v>
      </c>
      <c r="E328" t="s">
        <v>23</v>
      </c>
      <c r="F328" t="s">
        <v>24</v>
      </c>
      <c r="G328">
        <v>84884</v>
      </c>
      <c r="H328">
        <v>807</v>
      </c>
      <c r="I328">
        <v>54293</v>
      </c>
      <c r="J328">
        <v>15.7</v>
      </c>
      <c r="K328">
        <v>360</v>
      </c>
      <c r="L328" t="s">
        <v>25</v>
      </c>
      <c r="M328">
        <v>25.78</v>
      </c>
      <c r="N328">
        <v>5991</v>
      </c>
      <c r="O328">
        <v>108682</v>
      </c>
      <c r="P328" t="s">
        <v>991</v>
      </c>
      <c r="Q328" t="s">
        <v>61</v>
      </c>
      <c r="R328" t="s">
        <v>48</v>
      </c>
      <c r="S328" t="s">
        <v>35</v>
      </c>
      <c r="T328">
        <v>174.49</v>
      </c>
      <c r="U328">
        <f t="shared" si="70"/>
        <v>1674</v>
      </c>
      <c r="V328">
        <f t="shared" si="71"/>
        <v>601</v>
      </c>
      <c r="W328">
        <f t="shared" si="72"/>
        <v>528</v>
      </c>
      <c r="X328">
        <f t="shared" si="73"/>
        <v>0.35149999999999998</v>
      </c>
      <c r="Y328" s="1">
        <f t="shared" si="74"/>
        <v>86475495</v>
      </c>
      <c r="Z328">
        <f t="shared" si="75"/>
        <v>51658.001792114694</v>
      </c>
      <c r="AA328">
        <f t="shared" si="76"/>
        <v>99996</v>
      </c>
      <c r="AB328">
        <f t="shared" si="77"/>
        <v>5091</v>
      </c>
      <c r="AC328">
        <f t="shared" si="78"/>
        <v>2246200.8900000011</v>
      </c>
      <c r="AD328">
        <f t="shared" si="79"/>
        <v>1341.8165412186386</v>
      </c>
      <c r="AE328">
        <f t="shared" si="80"/>
        <v>0.35149999999999998</v>
      </c>
      <c r="AF328">
        <f t="shared" si="81"/>
        <v>1882650737.4200029</v>
      </c>
      <c r="AG328" t="str">
        <f t="shared" si="82"/>
        <v>Active</v>
      </c>
      <c r="AH328">
        <f t="shared" si="83"/>
        <v>2093.88</v>
      </c>
    </row>
    <row r="329" spans="1:34" x14ac:dyDescent="0.35">
      <c r="A329" t="s">
        <v>992</v>
      </c>
      <c r="B329" t="s">
        <v>993</v>
      </c>
      <c r="C329">
        <v>50</v>
      </c>
      <c r="D329" t="s">
        <v>22</v>
      </c>
      <c r="E329" t="s">
        <v>39</v>
      </c>
      <c r="F329" t="s">
        <v>46</v>
      </c>
      <c r="G329">
        <v>78192</v>
      </c>
      <c r="H329">
        <v>831</v>
      </c>
      <c r="I329">
        <v>16781</v>
      </c>
      <c r="J329">
        <v>6.77</v>
      </c>
      <c r="K329">
        <v>120</v>
      </c>
      <c r="L329" t="s">
        <v>33</v>
      </c>
      <c r="M329">
        <v>34.82</v>
      </c>
      <c r="N329">
        <v>39547</v>
      </c>
      <c r="O329">
        <v>133372</v>
      </c>
      <c r="P329" t="s">
        <v>994</v>
      </c>
      <c r="Q329" t="s">
        <v>27</v>
      </c>
      <c r="R329" t="s">
        <v>48</v>
      </c>
      <c r="S329" t="s">
        <v>43</v>
      </c>
      <c r="T329">
        <v>149.31</v>
      </c>
      <c r="U329">
        <f t="shared" si="70"/>
        <v>1673</v>
      </c>
      <c r="V329">
        <f t="shared" si="71"/>
        <v>601</v>
      </c>
      <c r="W329">
        <f t="shared" si="72"/>
        <v>527</v>
      </c>
      <c r="X329">
        <f t="shared" si="73"/>
        <v>0.35149999999999998</v>
      </c>
      <c r="Y329" s="1">
        <f t="shared" si="74"/>
        <v>86421202</v>
      </c>
      <c r="Z329">
        <f t="shared" si="75"/>
        <v>51656.426778242676</v>
      </c>
      <c r="AA329">
        <f t="shared" si="76"/>
        <v>99996</v>
      </c>
      <c r="AB329">
        <f t="shared" si="77"/>
        <v>5091</v>
      </c>
      <c r="AC329">
        <f t="shared" si="78"/>
        <v>2246026.4000000008</v>
      </c>
      <c r="AD329">
        <f t="shared" si="79"/>
        <v>1342.5142857142862</v>
      </c>
      <c r="AE329">
        <f t="shared" si="80"/>
        <v>0.35149999999999998</v>
      </c>
      <c r="AF329">
        <f t="shared" si="81"/>
        <v>1880404536.5300031</v>
      </c>
      <c r="AG329" t="str">
        <f t="shared" si="82"/>
        <v>Active</v>
      </c>
      <c r="AH329">
        <f t="shared" si="83"/>
        <v>1791.72</v>
      </c>
    </row>
    <row r="330" spans="1:34" x14ac:dyDescent="0.35">
      <c r="A330" t="s">
        <v>995</v>
      </c>
      <c r="B330" t="s">
        <v>996</v>
      </c>
      <c r="C330">
        <v>31</v>
      </c>
      <c r="D330" t="s">
        <v>22</v>
      </c>
      <c r="E330" t="s">
        <v>23</v>
      </c>
      <c r="F330" t="s">
        <v>24</v>
      </c>
      <c r="G330">
        <v>52066</v>
      </c>
      <c r="H330">
        <v>571</v>
      </c>
      <c r="I330">
        <v>66014</v>
      </c>
      <c r="J330">
        <v>18.63</v>
      </c>
      <c r="K330">
        <v>180</v>
      </c>
      <c r="L330" t="s">
        <v>33</v>
      </c>
      <c r="M330">
        <v>44.54</v>
      </c>
      <c r="N330">
        <v>52679</v>
      </c>
      <c r="O330">
        <v>24703</v>
      </c>
      <c r="P330" t="s">
        <v>997</v>
      </c>
      <c r="Q330" t="s">
        <v>42</v>
      </c>
      <c r="R330" t="s">
        <v>28</v>
      </c>
      <c r="S330" t="s">
        <v>35</v>
      </c>
      <c r="T330">
        <v>435.07</v>
      </c>
      <c r="U330">
        <f t="shared" si="70"/>
        <v>1672</v>
      </c>
      <c r="V330">
        <f t="shared" si="71"/>
        <v>601</v>
      </c>
      <c r="W330">
        <f t="shared" si="72"/>
        <v>527</v>
      </c>
      <c r="X330">
        <f t="shared" si="73"/>
        <v>0.35149999999999998</v>
      </c>
      <c r="Y330" s="1">
        <f t="shared" si="74"/>
        <v>86404421</v>
      </c>
      <c r="Z330">
        <f t="shared" si="75"/>
        <v>51677.285287081337</v>
      </c>
      <c r="AA330">
        <f t="shared" si="76"/>
        <v>99996</v>
      </c>
      <c r="AB330">
        <f t="shared" si="77"/>
        <v>5091</v>
      </c>
      <c r="AC330">
        <f t="shared" si="78"/>
        <v>2245877.0900000008</v>
      </c>
      <c r="AD330">
        <f t="shared" si="79"/>
        <v>1343.2279246411488</v>
      </c>
      <c r="AE330">
        <f t="shared" si="80"/>
        <v>0.35149999999999998</v>
      </c>
      <c r="AF330">
        <f t="shared" si="81"/>
        <v>1878158510.130003</v>
      </c>
      <c r="AG330" t="str">
        <f t="shared" si="82"/>
        <v>Active</v>
      </c>
      <c r="AH330">
        <f t="shared" si="83"/>
        <v>5220.84</v>
      </c>
    </row>
    <row r="331" spans="1:34" x14ac:dyDescent="0.35">
      <c r="A331" t="s">
        <v>998</v>
      </c>
      <c r="B331" t="s">
        <v>999</v>
      </c>
      <c r="C331">
        <v>33</v>
      </c>
      <c r="D331" t="s">
        <v>38</v>
      </c>
      <c r="E331" t="s">
        <v>39</v>
      </c>
      <c r="F331" t="s">
        <v>46</v>
      </c>
      <c r="G331">
        <v>175160</v>
      </c>
      <c r="H331">
        <v>551</v>
      </c>
      <c r="I331">
        <v>20038</v>
      </c>
      <c r="J331">
        <v>20.57</v>
      </c>
      <c r="K331">
        <v>60</v>
      </c>
      <c r="L331" t="s">
        <v>33</v>
      </c>
      <c r="M331">
        <v>18.48</v>
      </c>
      <c r="N331">
        <v>76585</v>
      </c>
      <c r="O331">
        <v>179001</v>
      </c>
      <c r="P331" t="s">
        <v>1000</v>
      </c>
      <c r="Q331" t="s">
        <v>27</v>
      </c>
      <c r="R331" t="s">
        <v>28</v>
      </c>
      <c r="S331" t="s">
        <v>68</v>
      </c>
      <c r="T331">
        <v>402.66</v>
      </c>
      <c r="U331">
        <f t="shared" si="70"/>
        <v>1671</v>
      </c>
      <c r="V331">
        <f t="shared" si="71"/>
        <v>600</v>
      </c>
      <c r="W331">
        <f t="shared" si="72"/>
        <v>527</v>
      </c>
      <c r="X331">
        <f t="shared" si="73"/>
        <v>0.35149999999999998</v>
      </c>
      <c r="Y331" s="1">
        <f t="shared" si="74"/>
        <v>86338407</v>
      </c>
      <c r="Z331">
        <f t="shared" si="75"/>
        <v>51668.705565529621</v>
      </c>
      <c r="AA331">
        <f t="shared" si="76"/>
        <v>99996</v>
      </c>
      <c r="AB331">
        <f t="shared" si="77"/>
        <v>5091</v>
      </c>
      <c r="AC331">
        <f t="shared" si="78"/>
        <v>2245442.0200000009</v>
      </c>
      <c r="AD331">
        <f t="shared" si="79"/>
        <v>1343.7714063435074</v>
      </c>
      <c r="AE331">
        <f t="shared" si="80"/>
        <v>0.35149999999999998</v>
      </c>
      <c r="AF331">
        <f t="shared" si="81"/>
        <v>1875912633.0400031</v>
      </c>
      <c r="AG331" t="str">
        <f t="shared" si="82"/>
        <v>Active</v>
      </c>
      <c r="AH331">
        <f t="shared" si="83"/>
        <v>4831.92</v>
      </c>
    </row>
    <row r="332" spans="1:34" x14ac:dyDescent="0.35">
      <c r="A332" t="s">
        <v>1001</v>
      </c>
      <c r="B332" t="s">
        <v>1002</v>
      </c>
      <c r="C332">
        <v>23</v>
      </c>
      <c r="D332" t="s">
        <v>38</v>
      </c>
      <c r="E332" t="s">
        <v>39</v>
      </c>
      <c r="F332" t="s">
        <v>24</v>
      </c>
      <c r="G332">
        <v>162657</v>
      </c>
      <c r="H332">
        <v>473</v>
      </c>
      <c r="I332">
        <v>87503</v>
      </c>
      <c r="J332">
        <v>15.63</v>
      </c>
      <c r="K332">
        <v>360</v>
      </c>
      <c r="L332" t="s">
        <v>86</v>
      </c>
      <c r="M332">
        <v>13.53</v>
      </c>
      <c r="N332">
        <v>4576</v>
      </c>
      <c r="O332">
        <v>100491</v>
      </c>
      <c r="P332" t="s">
        <v>1003</v>
      </c>
      <c r="Q332" t="s">
        <v>27</v>
      </c>
      <c r="R332" t="s">
        <v>28</v>
      </c>
      <c r="S332" t="s">
        <v>35</v>
      </c>
      <c r="T332">
        <v>281.05</v>
      </c>
      <c r="U332">
        <f t="shared" si="70"/>
        <v>1670</v>
      </c>
      <c r="V332">
        <f t="shared" si="71"/>
        <v>600</v>
      </c>
      <c r="W332">
        <f t="shared" si="72"/>
        <v>527</v>
      </c>
      <c r="X332">
        <f t="shared" si="73"/>
        <v>0.35149999999999998</v>
      </c>
      <c r="Y332" s="1">
        <f t="shared" si="74"/>
        <v>86318369</v>
      </c>
      <c r="Z332">
        <f t="shared" si="75"/>
        <v>51687.646107784429</v>
      </c>
      <c r="AA332">
        <f t="shared" si="76"/>
        <v>99996</v>
      </c>
      <c r="AB332">
        <f t="shared" si="77"/>
        <v>5091</v>
      </c>
      <c r="AC332">
        <f t="shared" si="78"/>
        <v>2245039.3600000008</v>
      </c>
      <c r="AD332">
        <f t="shared" si="79"/>
        <v>1344.3349461077848</v>
      </c>
      <c r="AE332">
        <f t="shared" si="80"/>
        <v>0.35149999999999998</v>
      </c>
      <c r="AF332">
        <f t="shared" si="81"/>
        <v>1873667191.0200031</v>
      </c>
      <c r="AG332" t="str">
        <f t="shared" si="82"/>
        <v>Active</v>
      </c>
      <c r="AH332">
        <f t="shared" si="83"/>
        <v>3372.6000000000004</v>
      </c>
    </row>
    <row r="333" spans="1:34" x14ac:dyDescent="0.35">
      <c r="A333" t="s">
        <v>1004</v>
      </c>
      <c r="B333" t="s">
        <v>1005</v>
      </c>
      <c r="C333">
        <v>22</v>
      </c>
      <c r="D333" t="s">
        <v>22</v>
      </c>
      <c r="E333" t="s">
        <v>39</v>
      </c>
      <c r="F333" t="s">
        <v>24</v>
      </c>
      <c r="G333">
        <v>84659</v>
      </c>
      <c r="H333">
        <v>378</v>
      </c>
      <c r="I333">
        <v>39177</v>
      </c>
      <c r="J333">
        <v>18.77</v>
      </c>
      <c r="K333">
        <v>180</v>
      </c>
      <c r="L333" t="s">
        <v>40</v>
      </c>
      <c r="M333">
        <v>29.2</v>
      </c>
      <c r="N333">
        <v>43893</v>
      </c>
      <c r="O333">
        <v>13142</v>
      </c>
      <c r="P333" t="s">
        <v>1006</v>
      </c>
      <c r="Q333" t="s">
        <v>27</v>
      </c>
      <c r="R333" t="s">
        <v>48</v>
      </c>
      <c r="S333" t="s">
        <v>29</v>
      </c>
      <c r="T333">
        <v>258.5</v>
      </c>
      <c r="U333">
        <f t="shared" si="70"/>
        <v>1669</v>
      </c>
      <c r="V333">
        <f t="shared" si="71"/>
        <v>600</v>
      </c>
      <c r="W333">
        <f t="shared" si="72"/>
        <v>527</v>
      </c>
      <c r="X333">
        <f t="shared" si="73"/>
        <v>0.35149999999999998</v>
      </c>
      <c r="Y333" s="1">
        <f t="shared" si="74"/>
        <v>86230866</v>
      </c>
      <c r="Z333">
        <f t="shared" si="75"/>
        <v>51666.186938286402</v>
      </c>
      <c r="AA333">
        <f t="shared" si="76"/>
        <v>99996</v>
      </c>
      <c r="AB333">
        <f t="shared" si="77"/>
        <v>5091</v>
      </c>
      <c r="AC333">
        <f t="shared" si="78"/>
        <v>2244758.310000001</v>
      </c>
      <c r="AD333">
        <f t="shared" si="79"/>
        <v>1344.97202516477</v>
      </c>
      <c r="AE333">
        <f t="shared" si="80"/>
        <v>0.35149999999999998</v>
      </c>
      <c r="AF333">
        <f t="shared" si="81"/>
        <v>1871422151.6600029</v>
      </c>
      <c r="AG333" t="str">
        <f t="shared" si="82"/>
        <v>Active</v>
      </c>
      <c r="AH333">
        <f t="shared" si="83"/>
        <v>3102</v>
      </c>
    </row>
    <row r="334" spans="1:34" x14ac:dyDescent="0.35">
      <c r="A334" t="s">
        <v>1007</v>
      </c>
      <c r="B334" t="s">
        <v>1008</v>
      </c>
      <c r="C334">
        <v>35</v>
      </c>
      <c r="D334" t="s">
        <v>38</v>
      </c>
      <c r="E334" t="s">
        <v>23</v>
      </c>
      <c r="F334" t="s">
        <v>24</v>
      </c>
      <c r="G334">
        <v>70583</v>
      </c>
      <c r="H334">
        <v>367</v>
      </c>
      <c r="I334">
        <v>30003</v>
      </c>
      <c r="J334">
        <v>16.04</v>
      </c>
      <c r="K334">
        <v>180</v>
      </c>
      <c r="L334" t="s">
        <v>40</v>
      </c>
      <c r="M334">
        <v>40.64</v>
      </c>
      <c r="N334">
        <v>31274</v>
      </c>
      <c r="O334">
        <v>33511</v>
      </c>
      <c r="P334" t="s">
        <v>1009</v>
      </c>
      <c r="Q334" t="s">
        <v>42</v>
      </c>
      <c r="R334" t="s">
        <v>28</v>
      </c>
      <c r="S334" t="s">
        <v>35</v>
      </c>
      <c r="T334">
        <v>193.42</v>
      </c>
      <c r="U334">
        <f t="shared" si="70"/>
        <v>1668</v>
      </c>
      <c r="V334">
        <f t="shared" si="71"/>
        <v>600</v>
      </c>
      <c r="W334">
        <f t="shared" si="72"/>
        <v>527</v>
      </c>
      <c r="X334">
        <f t="shared" si="73"/>
        <v>0.35149999999999998</v>
      </c>
      <c r="Y334" s="1">
        <f t="shared" si="74"/>
        <v>86191689</v>
      </c>
      <c r="Z334">
        <f t="shared" si="75"/>
        <v>51673.674460431655</v>
      </c>
      <c r="AA334">
        <f t="shared" si="76"/>
        <v>99996</v>
      </c>
      <c r="AB334">
        <f t="shared" si="77"/>
        <v>5091</v>
      </c>
      <c r="AC334">
        <f t="shared" si="78"/>
        <v>2244499.810000001</v>
      </c>
      <c r="AD334">
        <f t="shared" si="79"/>
        <v>1345.6233872901685</v>
      </c>
      <c r="AE334">
        <f t="shared" si="80"/>
        <v>0.35149999999999998</v>
      </c>
      <c r="AF334">
        <f t="shared" si="81"/>
        <v>1869177393.350003</v>
      </c>
      <c r="AG334" t="str">
        <f t="shared" si="82"/>
        <v>Active</v>
      </c>
      <c r="AH334">
        <f t="shared" si="83"/>
        <v>2321.04</v>
      </c>
    </row>
    <row r="335" spans="1:34" x14ac:dyDescent="0.35">
      <c r="A335" t="s">
        <v>1010</v>
      </c>
      <c r="B335" t="s">
        <v>1011</v>
      </c>
      <c r="C335">
        <v>37</v>
      </c>
      <c r="D335" t="s">
        <v>22</v>
      </c>
      <c r="E335" t="s">
        <v>23</v>
      </c>
      <c r="F335" t="s">
        <v>46</v>
      </c>
      <c r="G335">
        <v>163834</v>
      </c>
      <c r="H335">
        <v>529</v>
      </c>
      <c r="I335">
        <v>70470</v>
      </c>
      <c r="J335">
        <v>18.809999999999999</v>
      </c>
      <c r="K335">
        <v>36</v>
      </c>
      <c r="L335" t="s">
        <v>25</v>
      </c>
      <c r="M335">
        <v>53.81</v>
      </c>
      <c r="N335">
        <v>46528</v>
      </c>
      <c r="O335">
        <v>109414</v>
      </c>
      <c r="P335" t="s">
        <v>1012</v>
      </c>
      <c r="Q335" t="s">
        <v>27</v>
      </c>
      <c r="R335" t="s">
        <v>48</v>
      </c>
      <c r="S335" t="s">
        <v>68</v>
      </c>
      <c r="T335">
        <v>2325.71</v>
      </c>
      <c r="U335">
        <f t="shared" si="70"/>
        <v>1667</v>
      </c>
      <c r="V335">
        <f t="shared" si="71"/>
        <v>599</v>
      </c>
      <c r="W335">
        <f t="shared" si="72"/>
        <v>527</v>
      </c>
      <c r="X335">
        <f t="shared" si="73"/>
        <v>0.35149999999999998</v>
      </c>
      <c r="Y335" s="1">
        <f t="shared" si="74"/>
        <v>86161686</v>
      </c>
      <c r="Z335">
        <f t="shared" si="75"/>
        <v>51686.674265146969</v>
      </c>
      <c r="AA335">
        <f t="shared" si="76"/>
        <v>99996</v>
      </c>
      <c r="AB335">
        <f t="shared" si="77"/>
        <v>5091</v>
      </c>
      <c r="AC335">
        <f t="shared" si="78"/>
        <v>2244306.3900000006</v>
      </c>
      <c r="AD335">
        <f t="shared" si="79"/>
        <v>1346.3145710857832</v>
      </c>
      <c r="AE335">
        <f t="shared" si="80"/>
        <v>0.35149999999999998</v>
      </c>
      <c r="AF335">
        <f t="shared" si="81"/>
        <v>1866932893.5400028</v>
      </c>
      <c r="AG335" t="str">
        <f t="shared" si="82"/>
        <v>Active</v>
      </c>
      <c r="AH335">
        <f t="shared" si="83"/>
        <v>27908.52</v>
      </c>
    </row>
    <row r="336" spans="1:34" x14ac:dyDescent="0.35">
      <c r="A336" t="s">
        <v>1013</v>
      </c>
      <c r="B336" t="s">
        <v>1014</v>
      </c>
      <c r="C336">
        <v>56</v>
      </c>
      <c r="D336" t="s">
        <v>38</v>
      </c>
      <c r="E336" t="s">
        <v>39</v>
      </c>
      <c r="F336" t="s">
        <v>59</v>
      </c>
      <c r="G336">
        <v>170914</v>
      </c>
      <c r="H336">
        <v>331</v>
      </c>
      <c r="I336">
        <v>45890</v>
      </c>
      <c r="J336">
        <v>12.16</v>
      </c>
      <c r="K336">
        <v>120</v>
      </c>
      <c r="L336" t="s">
        <v>33</v>
      </c>
      <c r="M336">
        <v>44.55</v>
      </c>
      <c r="N336">
        <v>24028</v>
      </c>
      <c r="O336">
        <v>243948</v>
      </c>
      <c r="P336" t="s">
        <v>1015</v>
      </c>
      <c r="Q336" t="s">
        <v>61</v>
      </c>
      <c r="R336" t="s">
        <v>48</v>
      </c>
      <c r="S336" t="s">
        <v>68</v>
      </c>
      <c r="T336">
        <v>428.92</v>
      </c>
      <c r="U336">
        <f t="shared" si="70"/>
        <v>1666</v>
      </c>
      <c r="V336">
        <f t="shared" si="71"/>
        <v>599</v>
      </c>
      <c r="W336">
        <f t="shared" si="72"/>
        <v>527</v>
      </c>
      <c r="X336">
        <f t="shared" si="73"/>
        <v>0.35149999999999998</v>
      </c>
      <c r="Y336" s="1">
        <f t="shared" si="74"/>
        <v>86091216</v>
      </c>
      <c r="Z336">
        <f t="shared" si="75"/>
        <v>51675.399759903965</v>
      </c>
      <c r="AA336">
        <f t="shared" si="76"/>
        <v>99996</v>
      </c>
      <c r="AB336">
        <f t="shared" si="77"/>
        <v>5091</v>
      </c>
      <c r="AC336">
        <f t="shared" si="78"/>
        <v>2241980.6800000006</v>
      </c>
      <c r="AD336">
        <f t="shared" si="79"/>
        <v>1345.7266986794721</v>
      </c>
      <c r="AE336">
        <f t="shared" si="80"/>
        <v>0.35149999999999998</v>
      </c>
      <c r="AF336">
        <f t="shared" si="81"/>
        <v>1864688587.150003</v>
      </c>
      <c r="AG336" t="str">
        <f t="shared" si="82"/>
        <v>Active</v>
      </c>
      <c r="AH336">
        <f t="shared" si="83"/>
        <v>5147.04</v>
      </c>
    </row>
    <row r="337" spans="1:34" x14ac:dyDescent="0.35">
      <c r="A337" t="s">
        <v>1016</v>
      </c>
      <c r="B337" t="s">
        <v>1017</v>
      </c>
      <c r="C337">
        <v>58</v>
      </c>
      <c r="D337" t="s">
        <v>22</v>
      </c>
      <c r="E337" t="s">
        <v>23</v>
      </c>
      <c r="F337" t="s">
        <v>24</v>
      </c>
      <c r="G337">
        <v>124726</v>
      </c>
      <c r="H337">
        <v>799</v>
      </c>
      <c r="I337">
        <v>85925</v>
      </c>
      <c r="J337">
        <v>17.57</v>
      </c>
      <c r="K337">
        <v>24</v>
      </c>
      <c r="L337" t="s">
        <v>40</v>
      </c>
      <c r="M337">
        <v>7.59</v>
      </c>
      <c r="N337">
        <v>29477</v>
      </c>
      <c r="O337">
        <v>238223</v>
      </c>
      <c r="P337" t="s">
        <v>1018</v>
      </c>
      <c r="Q337" t="s">
        <v>27</v>
      </c>
      <c r="R337" t="s">
        <v>48</v>
      </c>
      <c r="S337" t="s">
        <v>49</v>
      </c>
      <c r="T337">
        <v>4209.25</v>
      </c>
      <c r="U337">
        <f t="shared" si="70"/>
        <v>1665</v>
      </c>
      <c r="V337">
        <f t="shared" si="71"/>
        <v>599</v>
      </c>
      <c r="W337">
        <f t="shared" si="72"/>
        <v>526</v>
      </c>
      <c r="X337">
        <f t="shared" si="73"/>
        <v>0.35149999999999998</v>
      </c>
      <c r="Y337" s="1">
        <f t="shared" si="74"/>
        <v>86045326</v>
      </c>
      <c r="Z337">
        <f t="shared" si="75"/>
        <v>51678.874474474476</v>
      </c>
      <c r="AA337">
        <f t="shared" si="76"/>
        <v>99996</v>
      </c>
      <c r="AB337">
        <f t="shared" si="77"/>
        <v>5091</v>
      </c>
      <c r="AC337">
        <f t="shared" si="78"/>
        <v>2241551.7600000007</v>
      </c>
      <c r="AD337">
        <f t="shared" si="79"/>
        <v>1346.2773333333337</v>
      </c>
      <c r="AE337">
        <f t="shared" si="80"/>
        <v>0.35149999999999998</v>
      </c>
      <c r="AF337">
        <f t="shared" si="81"/>
        <v>1862446606.4700029</v>
      </c>
      <c r="AG337" t="str">
        <f t="shared" si="82"/>
        <v>Active</v>
      </c>
      <c r="AH337">
        <f t="shared" si="83"/>
        <v>50511</v>
      </c>
    </row>
    <row r="338" spans="1:34" x14ac:dyDescent="0.35">
      <c r="A338" t="s">
        <v>1019</v>
      </c>
      <c r="B338" t="s">
        <v>1020</v>
      </c>
      <c r="C338">
        <v>32</v>
      </c>
      <c r="D338" t="s">
        <v>38</v>
      </c>
      <c r="E338" t="s">
        <v>23</v>
      </c>
      <c r="F338" t="s">
        <v>46</v>
      </c>
      <c r="G338">
        <v>31521</v>
      </c>
      <c r="H338">
        <v>650</v>
      </c>
      <c r="I338">
        <v>75190</v>
      </c>
      <c r="J338">
        <v>15.31</v>
      </c>
      <c r="K338">
        <v>120</v>
      </c>
      <c r="L338" t="s">
        <v>40</v>
      </c>
      <c r="M338">
        <v>19.93</v>
      </c>
      <c r="N338">
        <v>13949</v>
      </c>
      <c r="O338">
        <v>32667</v>
      </c>
      <c r="P338" t="s">
        <v>1021</v>
      </c>
      <c r="Q338" t="s">
        <v>61</v>
      </c>
      <c r="R338" t="s">
        <v>48</v>
      </c>
      <c r="S338" t="s">
        <v>29</v>
      </c>
      <c r="T338">
        <v>722.51</v>
      </c>
      <c r="U338">
        <f t="shared" si="70"/>
        <v>1664</v>
      </c>
      <c r="V338">
        <f t="shared" si="71"/>
        <v>599</v>
      </c>
      <c r="W338">
        <f t="shared" si="72"/>
        <v>526</v>
      </c>
      <c r="X338">
        <f t="shared" si="73"/>
        <v>0.35149999999999998</v>
      </c>
      <c r="Y338" s="1">
        <f t="shared" si="74"/>
        <v>85959401</v>
      </c>
      <c r="Z338">
        <f t="shared" si="75"/>
        <v>51658.293870192305</v>
      </c>
      <c r="AA338">
        <f t="shared" si="76"/>
        <v>99996</v>
      </c>
      <c r="AB338">
        <f t="shared" si="77"/>
        <v>5091</v>
      </c>
      <c r="AC338">
        <f t="shared" si="78"/>
        <v>2237342.5100000007</v>
      </c>
      <c r="AD338">
        <f t="shared" si="79"/>
        <v>1344.5567968750004</v>
      </c>
      <c r="AE338">
        <f t="shared" si="80"/>
        <v>0.35149999999999998</v>
      </c>
      <c r="AF338">
        <f t="shared" si="81"/>
        <v>1860205054.7100031</v>
      </c>
      <c r="AG338" t="str">
        <f t="shared" si="82"/>
        <v>Active</v>
      </c>
      <c r="AH338">
        <f t="shared" si="83"/>
        <v>8670.119999999999</v>
      </c>
    </row>
    <row r="339" spans="1:34" x14ac:dyDescent="0.35">
      <c r="A339" t="s">
        <v>1022</v>
      </c>
      <c r="B339" t="s">
        <v>1023</v>
      </c>
      <c r="C339">
        <v>34</v>
      </c>
      <c r="D339" t="s">
        <v>22</v>
      </c>
      <c r="E339" t="s">
        <v>39</v>
      </c>
      <c r="F339" t="s">
        <v>59</v>
      </c>
      <c r="G339">
        <v>41316</v>
      </c>
      <c r="H339">
        <v>826</v>
      </c>
      <c r="I339">
        <v>56410</v>
      </c>
      <c r="J339">
        <v>6.83</v>
      </c>
      <c r="K339">
        <v>60</v>
      </c>
      <c r="L339" t="s">
        <v>25</v>
      </c>
      <c r="M339">
        <v>27.43</v>
      </c>
      <c r="N339">
        <v>43817</v>
      </c>
      <c r="O339">
        <v>112352</v>
      </c>
      <c r="P339" t="s">
        <v>1024</v>
      </c>
      <c r="Q339" t="s">
        <v>27</v>
      </c>
      <c r="R339" t="s">
        <v>28</v>
      </c>
      <c r="S339" t="s">
        <v>43</v>
      </c>
      <c r="T339">
        <v>1004.38</v>
      </c>
      <c r="U339">
        <f t="shared" si="70"/>
        <v>1663</v>
      </c>
      <c r="V339">
        <f t="shared" si="71"/>
        <v>599</v>
      </c>
      <c r="W339">
        <f t="shared" si="72"/>
        <v>525</v>
      </c>
      <c r="X339">
        <f t="shared" si="73"/>
        <v>0.35149999999999998</v>
      </c>
      <c r="Y339" s="1">
        <f t="shared" si="74"/>
        <v>85884211</v>
      </c>
      <c r="Z339">
        <f t="shared" si="75"/>
        <v>51644.143716175589</v>
      </c>
      <c r="AA339">
        <f t="shared" si="76"/>
        <v>99996</v>
      </c>
      <c r="AB339">
        <f t="shared" si="77"/>
        <v>5091</v>
      </c>
      <c r="AC339">
        <f t="shared" si="78"/>
        <v>2236620.0000000009</v>
      </c>
      <c r="AD339">
        <f t="shared" si="79"/>
        <v>1344.9308478653043</v>
      </c>
      <c r="AE339">
        <f t="shared" si="80"/>
        <v>0.35149999999999998</v>
      </c>
      <c r="AF339">
        <f t="shared" si="81"/>
        <v>1857967712.2000031</v>
      </c>
      <c r="AG339" t="str">
        <f t="shared" si="82"/>
        <v>Active</v>
      </c>
      <c r="AH339">
        <f t="shared" si="83"/>
        <v>12052.56</v>
      </c>
    </row>
    <row r="340" spans="1:34" x14ac:dyDescent="0.35">
      <c r="A340" t="s">
        <v>1025</v>
      </c>
      <c r="B340" t="s">
        <v>1026</v>
      </c>
      <c r="C340">
        <v>65</v>
      </c>
      <c r="D340" t="s">
        <v>22</v>
      </c>
      <c r="E340" t="s">
        <v>32</v>
      </c>
      <c r="F340" t="s">
        <v>46</v>
      </c>
      <c r="G340">
        <v>118988</v>
      </c>
      <c r="H340">
        <v>494</v>
      </c>
      <c r="I340">
        <v>54472</v>
      </c>
      <c r="J340">
        <v>20.02</v>
      </c>
      <c r="K340">
        <v>24</v>
      </c>
      <c r="L340" t="s">
        <v>33</v>
      </c>
      <c r="M340">
        <v>59.25</v>
      </c>
      <c r="N340">
        <v>17597</v>
      </c>
      <c r="O340">
        <v>188097</v>
      </c>
      <c r="P340" t="s">
        <v>872</v>
      </c>
      <c r="Q340" t="s">
        <v>61</v>
      </c>
      <c r="R340" t="s">
        <v>48</v>
      </c>
      <c r="S340" t="s">
        <v>49</v>
      </c>
      <c r="T340">
        <v>2724.05</v>
      </c>
      <c r="U340">
        <f t="shared" si="70"/>
        <v>1662</v>
      </c>
      <c r="V340">
        <f t="shared" si="71"/>
        <v>599</v>
      </c>
      <c r="W340">
        <f t="shared" si="72"/>
        <v>525</v>
      </c>
      <c r="X340">
        <f t="shared" si="73"/>
        <v>0.35149999999999998</v>
      </c>
      <c r="Y340" s="1">
        <f t="shared" si="74"/>
        <v>85827801</v>
      </c>
      <c r="Z340">
        <f t="shared" si="75"/>
        <v>51641.276173285201</v>
      </c>
      <c r="AA340">
        <f t="shared" si="76"/>
        <v>99996</v>
      </c>
      <c r="AB340">
        <f t="shared" si="77"/>
        <v>5091</v>
      </c>
      <c r="AC340">
        <f t="shared" si="78"/>
        <v>2235615.6200000006</v>
      </c>
      <c r="AD340">
        <f t="shared" si="79"/>
        <v>1345.1357521058969</v>
      </c>
      <c r="AE340">
        <f t="shared" si="80"/>
        <v>0.35149999999999998</v>
      </c>
      <c r="AF340">
        <f t="shared" si="81"/>
        <v>1855731092.2000031</v>
      </c>
      <c r="AG340" t="str">
        <f t="shared" si="82"/>
        <v>Active</v>
      </c>
      <c r="AH340">
        <f t="shared" si="83"/>
        <v>32688.600000000002</v>
      </c>
    </row>
    <row r="341" spans="1:34" x14ac:dyDescent="0.35">
      <c r="A341" t="s">
        <v>1027</v>
      </c>
      <c r="B341" t="s">
        <v>1028</v>
      </c>
      <c r="C341">
        <v>33</v>
      </c>
      <c r="D341" t="s">
        <v>38</v>
      </c>
      <c r="E341" t="s">
        <v>32</v>
      </c>
      <c r="F341" t="s">
        <v>59</v>
      </c>
      <c r="G341">
        <v>47461</v>
      </c>
      <c r="H341">
        <v>485</v>
      </c>
      <c r="I341">
        <v>53738</v>
      </c>
      <c r="J341">
        <v>7.25</v>
      </c>
      <c r="K341">
        <v>48</v>
      </c>
      <c r="L341" t="s">
        <v>40</v>
      </c>
      <c r="M341">
        <v>36.58</v>
      </c>
      <c r="N341">
        <v>58571</v>
      </c>
      <c r="O341">
        <v>55417</v>
      </c>
      <c r="P341" t="s">
        <v>666</v>
      </c>
      <c r="Q341" t="s">
        <v>27</v>
      </c>
      <c r="R341" t="s">
        <v>28</v>
      </c>
      <c r="S341" t="s">
        <v>49</v>
      </c>
      <c r="T341">
        <v>1200.71</v>
      </c>
      <c r="U341">
        <f t="shared" si="70"/>
        <v>1661</v>
      </c>
      <c r="V341">
        <f t="shared" si="71"/>
        <v>599</v>
      </c>
      <c r="W341">
        <f t="shared" si="72"/>
        <v>524</v>
      </c>
      <c r="X341">
        <f t="shared" si="73"/>
        <v>0.35149999999999998</v>
      </c>
      <c r="Y341" s="1">
        <f t="shared" si="74"/>
        <v>85773329</v>
      </c>
      <c r="Z341">
        <f t="shared" si="75"/>
        <v>51639.571944611678</v>
      </c>
      <c r="AA341">
        <f t="shared" si="76"/>
        <v>99996</v>
      </c>
      <c r="AB341">
        <f t="shared" si="77"/>
        <v>5091</v>
      </c>
      <c r="AC341">
        <f t="shared" si="78"/>
        <v>2232891.5700000008</v>
      </c>
      <c r="AD341">
        <f t="shared" si="79"/>
        <v>1344.3055809753166</v>
      </c>
      <c r="AE341">
        <f t="shared" si="80"/>
        <v>0.35149999999999998</v>
      </c>
      <c r="AF341">
        <f t="shared" si="81"/>
        <v>1853495476.5800033</v>
      </c>
      <c r="AG341" t="str">
        <f t="shared" si="82"/>
        <v>Active</v>
      </c>
      <c r="AH341">
        <f t="shared" si="83"/>
        <v>14408.52</v>
      </c>
    </row>
    <row r="342" spans="1:34" x14ac:dyDescent="0.35">
      <c r="A342" t="s">
        <v>1029</v>
      </c>
      <c r="B342" t="s">
        <v>1030</v>
      </c>
      <c r="C342">
        <v>44</v>
      </c>
      <c r="D342" t="s">
        <v>38</v>
      </c>
      <c r="E342" t="s">
        <v>39</v>
      </c>
      <c r="F342" t="s">
        <v>59</v>
      </c>
      <c r="G342">
        <v>55809</v>
      </c>
      <c r="H342">
        <v>501</v>
      </c>
      <c r="I342">
        <v>22024</v>
      </c>
      <c r="J342">
        <v>5.99</v>
      </c>
      <c r="K342">
        <v>36</v>
      </c>
      <c r="L342" t="s">
        <v>86</v>
      </c>
      <c r="M342">
        <v>19.62</v>
      </c>
      <c r="N342">
        <v>30204</v>
      </c>
      <c r="O342">
        <v>174230</v>
      </c>
      <c r="P342" t="s">
        <v>1031</v>
      </c>
      <c r="Q342" t="s">
        <v>61</v>
      </c>
      <c r="R342" t="s">
        <v>48</v>
      </c>
      <c r="S342" t="s">
        <v>49</v>
      </c>
      <c r="T342">
        <v>648.41999999999996</v>
      </c>
      <c r="U342">
        <f t="shared" si="70"/>
        <v>1660</v>
      </c>
      <c r="V342">
        <f t="shared" si="71"/>
        <v>599</v>
      </c>
      <c r="W342">
        <f t="shared" si="72"/>
        <v>524</v>
      </c>
      <c r="X342">
        <f t="shared" si="73"/>
        <v>0.35149999999999998</v>
      </c>
      <c r="Y342" s="1">
        <f t="shared" si="74"/>
        <v>85719591</v>
      </c>
      <c r="Z342">
        <f t="shared" si="75"/>
        <v>51638.307831325299</v>
      </c>
      <c r="AA342">
        <f t="shared" si="76"/>
        <v>99996</v>
      </c>
      <c r="AB342">
        <f t="shared" si="77"/>
        <v>5091</v>
      </c>
      <c r="AC342">
        <f t="shared" si="78"/>
        <v>2231690.8600000008</v>
      </c>
      <c r="AD342">
        <f t="shared" si="79"/>
        <v>1344.3920843373498</v>
      </c>
      <c r="AE342">
        <f t="shared" si="80"/>
        <v>0.35149999999999998</v>
      </c>
      <c r="AF342">
        <f t="shared" si="81"/>
        <v>1851262585.0100033</v>
      </c>
      <c r="AG342" t="str">
        <f t="shared" si="82"/>
        <v>Active</v>
      </c>
      <c r="AH342">
        <f t="shared" si="83"/>
        <v>7781.0399999999991</v>
      </c>
    </row>
    <row r="343" spans="1:34" x14ac:dyDescent="0.35">
      <c r="A343" t="s">
        <v>1032</v>
      </c>
      <c r="B343" t="s">
        <v>1033</v>
      </c>
      <c r="C343">
        <v>55</v>
      </c>
      <c r="D343" t="s">
        <v>22</v>
      </c>
      <c r="E343" t="s">
        <v>32</v>
      </c>
      <c r="F343" t="s">
        <v>59</v>
      </c>
      <c r="G343">
        <v>77992</v>
      </c>
      <c r="H343">
        <v>777</v>
      </c>
      <c r="I343">
        <v>12534</v>
      </c>
      <c r="J343">
        <v>12.91</v>
      </c>
      <c r="K343">
        <v>240</v>
      </c>
      <c r="L343" t="s">
        <v>40</v>
      </c>
      <c r="M343">
        <v>23.15</v>
      </c>
      <c r="N343">
        <v>37238</v>
      </c>
      <c r="O343">
        <v>241895</v>
      </c>
      <c r="P343" t="s">
        <v>1034</v>
      </c>
      <c r="Q343" t="s">
        <v>27</v>
      </c>
      <c r="R343" t="s">
        <v>28</v>
      </c>
      <c r="S343" t="s">
        <v>29</v>
      </c>
      <c r="T343">
        <v>58.97</v>
      </c>
      <c r="U343">
        <f t="shared" si="70"/>
        <v>1659</v>
      </c>
      <c r="V343">
        <f t="shared" si="71"/>
        <v>599</v>
      </c>
      <c r="W343">
        <f t="shared" si="72"/>
        <v>523</v>
      </c>
      <c r="X343">
        <f t="shared" si="73"/>
        <v>0.35149999999999998</v>
      </c>
      <c r="Y343" s="1">
        <f t="shared" si="74"/>
        <v>85697567</v>
      </c>
      <c r="Z343">
        <f t="shared" si="75"/>
        <v>51656.158529234475</v>
      </c>
      <c r="AA343">
        <f t="shared" si="76"/>
        <v>99996</v>
      </c>
      <c r="AB343">
        <f t="shared" si="77"/>
        <v>5091</v>
      </c>
      <c r="AC343">
        <f t="shared" si="78"/>
        <v>2231042.4400000009</v>
      </c>
      <c r="AD343">
        <f t="shared" si="79"/>
        <v>1344.8115973478004</v>
      </c>
      <c r="AE343">
        <f t="shared" si="80"/>
        <v>0.35149999999999998</v>
      </c>
      <c r="AF343">
        <f t="shared" si="81"/>
        <v>1849030894.1500034</v>
      </c>
      <c r="AG343" t="str">
        <f t="shared" si="82"/>
        <v>Active</v>
      </c>
      <c r="AH343">
        <f t="shared" si="83"/>
        <v>707.64</v>
      </c>
    </row>
    <row r="344" spans="1:34" x14ac:dyDescent="0.35">
      <c r="A344" t="s">
        <v>1035</v>
      </c>
      <c r="B344" t="s">
        <v>1036</v>
      </c>
      <c r="C344">
        <v>49</v>
      </c>
      <c r="D344" t="s">
        <v>22</v>
      </c>
      <c r="E344" t="s">
        <v>23</v>
      </c>
      <c r="F344" t="s">
        <v>59</v>
      </c>
      <c r="G344">
        <v>156383</v>
      </c>
      <c r="H344">
        <v>653</v>
      </c>
      <c r="I344">
        <v>6833</v>
      </c>
      <c r="J344">
        <v>12.28</v>
      </c>
      <c r="K344">
        <v>360</v>
      </c>
      <c r="L344" t="s">
        <v>86</v>
      </c>
      <c r="M344">
        <v>43.78</v>
      </c>
      <c r="N344">
        <v>57639</v>
      </c>
      <c r="O344">
        <v>32294</v>
      </c>
      <c r="P344" t="s">
        <v>1037</v>
      </c>
      <c r="Q344" t="s">
        <v>27</v>
      </c>
      <c r="R344" t="s">
        <v>28</v>
      </c>
      <c r="S344" t="s">
        <v>43</v>
      </c>
      <c r="T344">
        <v>21.31</v>
      </c>
      <c r="U344">
        <f t="shared" si="70"/>
        <v>1658</v>
      </c>
      <c r="V344">
        <f t="shared" si="71"/>
        <v>599</v>
      </c>
      <c r="W344">
        <f t="shared" si="72"/>
        <v>523</v>
      </c>
      <c r="X344">
        <f t="shared" si="73"/>
        <v>0.35149999999999998</v>
      </c>
      <c r="Y344" s="1">
        <f t="shared" si="74"/>
        <v>85685033</v>
      </c>
      <c r="Z344">
        <f t="shared" si="75"/>
        <v>51679.754523522315</v>
      </c>
      <c r="AA344">
        <f t="shared" si="76"/>
        <v>99996</v>
      </c>
      <c r="AB344">
        <f t="shared" si="77"/>
        <v>5091</v>
      </c>
      <c r="AC344">
        <f t="shared" si="78"/>
        <v>2230983.4700000011</v>
      </c>
      <c r="AD344">
        <f t="shared" si="79"/>
        <v>1345.5871351025339</v>
      </c>
      <c r="AE344">
        <f t="shared" si="80"/>
        <v>0.35149999999999998</v>
      </c>
      <c r="AF344">
        <f t="shared" si="81"/>
        <v>1846799851.7100036</v>
      </c>
      <c r="AG344" t="str">
        <f t="shared" si="82"/>
        <v>Active</v>
      </c>
      <c r="AH344">
        <f t="shared" si="83"/>
        <v>255.71999999999997</v>
      </c>
    </row>
    <row r="345" spans="1:34" x14ac:dyDescent="0.35">
      <c r="A345" t="s">
        <v>1038</v>
      </c>
      <c r="B345" t="s">
        <v>1039</v>
      </c>
      <c r="C345">
        <v>33</v>
      </c>
      <c r="D345" t="s">
        <v>22</v>
      </c>
      <c r="E345" t="s">
        <v>39</v>
      </c>
      <c r="F345" t="s">
        <v>24</v>
      </c>
      <c r="G345">
        <v>73539</v>
      </c>
      <c r="H345">
        <v>350</v>
      </c>
      <c r="I345">
        <v>80293</v>
      </c>
      <c r="J345">
        <v>12.13</v>
      </c>
      <c r="K345">
        <v>360</v>
      </c>
      <c r="L345" t="s">
        <v>52</v>
      </c>
      <c r="M345">
        <v>24.78</v>
      </c>
      <c r="N345">
        <v>29088</v>
      </c>
      <c r="O345">
        <v>65199</v>
      </c>
      <c r="P345" t="s">
        <v>1040</v>
      </c>
      <c r="Q345" t="s">
        <v>42</v>
      </c>
      <c r="R345" t="s">
        <v>28</v>
      </c>
      <c r="S345" t="s">
        <v>49</v>
      </c>
      <c r="T345">
        <v>250.09</v>
      </c>
      <c r="U345">
        <f t="shared" si="70"/>
        <v>1657</v>
      </c>
      <c r="V345">
        <f t="shared" si="71"/>
        <v>599</v>
      </c>
      <c r="W345">
        <f t="shared" si="72"/>
        <v>523</v>
      </c>
      <c r="X345">
        <f t="shared" si="73"/>
        <v>0.35149999999999998</v>
      </c>
      <c r="Y345" s="1">
        <f t="shared" si="74"/>
        <v>85678200</v>
      </c>
      <c r="Z345">
        <f t="shared" si="75"/>
        <v>51706.819553409776</v>
      </c>
      <c r="AA345">
        <f t="shared" si="76"/>
        <v>99996</v>
      </c>
      <c r="AB345">
        <f t="shared" si="77"/>
        <v>5091</v>
      </c>
      <c r="AC345">
        <f t="shared" si="78"/>
        <v>2230962.1600000011</v>
      </c>
      <c r="AD345">
        <f t="shared" si="79"/>
        <v>1346.386336753169</v>
      </c>
      <c r="AE345">
        <f t="shared" si="80"/>
        <v>0.35149999999999998</v>
      </c>
      <c r="AF345">
        <f t="shared" si="81"/>
        <v>1844568868.2400033</v>
      </c>
      <c r="AG345" t="str">
        <f t="shared" si="82"/>
        <v>Active</v>
      </c>
      <c r="AH345">
        <f t="shared" si="83"/>
        <v>3001.08</v>
      </c>
    </row>
    <row r="346" spans="1:34" x14ac:dyDescent="0.35">
      <c r="A346" t="s">
        <v>1041</v>
      </c>
      <c r="B346" t="s">
        <v>1042</v>
      </c>
      <c r="C346">
        <v>61</v>
      </c>
      <c r="D346" t="s">
        <v>22</v>
      </c>
      <c r="E346" t="s">
        <v>32</v>
      </c>
      <c r="F346" t="s">
        <v>24</v>
      </c>
      <c r="G346">
        <v>61212</v>
      </c>
      <c r="H346">
        <v>488</v>
      </c>
      <c r="I346">
        <v>60910</v>
      </c>
      <c r="J346">
        <v>7.19</v>
      </c>
      <c r="K346">
        <v>240</v>
      </c>
      <c r="L346" t="s">
        <v>86</v>
      </c>
      <c r="M346">
        <v>27.68</v>
      </c>
      <c r="N346">
        <v>41413</v>
      </c>
      <c r="O346">
        <v>80182</v>
      </c>
      <c r="P346" t="s">
        <v>1043</v>
      </c>
      <c r="Q346" t="s">
        <v>61</v>
      </c>
      <c r="R346" t="s">
        <v>48</v>
      </c>
      <c r="S346" t="s">
        <v>68</v>
      </c>
      <c r="T346">
        <v>272.04000000000002</v>
      </c>
      <c r="U346">
        <f t="shared" si="70"/>
        <v>1656</v>
      </c>
      <c r="V346">
        <f t="shared" si="71"/>
        <v>598</v>
      </c>
      <c r="W346">
        <f t="shared" si="72"/>
        <v>523</v>
      </c>
      <c r="X346">
        <f t="shared" si="73"/>
        <v>0.35149999999999998</v>
      </c>
      <c r="Y346" s="1">
        <f t="shared" si="74"/>
        <v>85597907</v>
      </c>
      <c r="Z346">
        <f t="shared" si="75"/>
        <v>51689.557367149755</v>
      </c>
      <c r="AA346">
        <f t="shared" si="76"/>
        <v>99996</v>
      </c>
      <c r="AB346">
        <f t="shared" si="77"/>
        <v>5091</v>
      </c>
      <c r="AC346">
        <f t="shared" si="78"/>
        <v>2230712.0700000012</v>
      </c>
      <c r="AD346">
        <f t="shared" si="79"/>
        <v>1347.0483514492762</v>
      </c>
      <c r="AE346">
        <f t="shared" si="80"/>
        <v>0.35149999999999998</v>
      </c>
      <c r="AF346">
        <f t="shared" si="81"/>
        <v>1842337906.0800035</v>
      </c>
      <c r="AG346" t="str">
        <f t="shared" si="82"/>
        <v>Active</v>
      </c>
      <c r="AH346">
        <f t="shared" si="83"/>
        <v>3264.4800000000005</v>
      </c>
    </row>
    <row r="347" spans="1:34" x14ac:dyDescent="0.35">
      <c r="A347" t="s">
        <v>1044</v>
      </c>
      <c r="B347" t="s">
        <v>1045</v>
      </c>
      <c r="C347">
        <v>22</v>
      </c>
      <c r="D347" t="s">
        <v>38</v>
      </c>
      <c r="E347" t="s">
        <v>23</v>
      </c>
      <c r="F347" t="s">
        <v>24</v>
      </c>
      <c r="G347">
        <v>123691</v>
      </c>
      <c r="H347">
        <v>540</v>
      </c>
      <c r="I347">
        <v>47399</v>
      </c>
      <c r="J347">
        <v>18.489999999999998</v>
      </c>
      <c r="K347">
        <v>12</v>
      </c>
      <c r="L347" t="s">
        <v>86</v>
      </c>
      <c r="M347">
        <v>16.07</v>
      </c>
      <c r="N347">
        <v>65225</v>
      </c>
      <c r="O347">
        <v>133500</v>
      </c>
      <c r="P347" t="s">
        <v>1046</v>
      </c>
      <c r="Q347" t="s">
        <v>27</v>
      </c>
      <c r="R347" t="s">
        <v>28</v>
      </c>
      <c r="S347" t="s">
        <v>29</v>
      </c>
      <c r="T347">
        <v>4680.26</v>
      </c>
      <c r="U347">
        <f t="shared" si="70"/>
        <v>1655</v>
      </c>
      <c r="V347">
        <f t="shared" si="71"/>
        <v>598</v>
      </c>
      <c r="W347">
        <f t="shared" si="72"/>
        <v>522</v>
      </c>
      <c r="X347">
        <f t="shared" si="73"/>
        <v>0.35149999999999998</v>
      </c>
      <c r="Y347" s="1">
        <f t="shared" si="74"/>
        <v>85536997</v>
      </c>
      <c r="Z347">
        <f t="shared" si="75"/>
        <v>51683.986102719035</v>
      </c>
      <c r="AA347">
        <f t="shared" si="76"/>
        <v>99996</v>
      </c>
      <c r="AB347">
        <f t="shared" si="77"/>
        <v>5091</v>
      </c>
      <c r="AC347">
        <f t="shared" si="78"/>
        <v>2230440.0300000012</v>
      </c>
      <c r="AD347">
        <f t="shared" si="79"/>
        <v>1347.6979033232635</v>
      </c>
      <c r="AE347">
        <f t="shared" si="80"/>
        <v>0.35149999999999998</v>
      </c>
      <c r="AF347">
        <f t="shared" si="81"/>
        <v>1840107194.0100033</v>
      </c>
      <c r="AG347" t="str">
        <f t="shared" si="82"/>
        <v>Active</v>
      </c>
      <c r="AH347">
        <f t="shared" si="83"/>
        <v>56163.12</v>
      </c>
    </row>
    <row r="348" spans="1:34" x14ac:dyDescent="0.35">
      <c r="A348" t="s">
        <v>1047</v>
      </c>
      <c r="B348" t="s">
        <v>1048</v>
      </c>
      <c r="C348">
        <v>37</v>
      </c>
      <c r="D348" t="s">
        <v>38</v>
      </c>
      <c r="E348" t="s">
        <v>32</v>
      </c>
      <c r="F348" t="s">
        <v>59</v>
      </c>
      <c r="G348">
        <v>197200</v>
      </c>
      <c r="H348">
        <v>630</v>
      </c>
      <c r="I348">
        <v>80508</v>
      </c>
      <c r="J348">
        <v>19.13</v>
      </c>
      <c r="K348">
        <v>60</v>
      </c>
      <c r="L348" t="s">
        <v>40</v>
      </c>
      <c r="M348">
        <v>18.57</v>
      </c>
      <c r="N348">
        <v>27713</v>
      </c>
      <c r="O348">
        <v>4545</v>
      </c>
      <c r="P348" t="s">
        <v>1015</v>
      </c>
      <c r="Q348" t="s">
        <v>27</v>
      </c>
      <c r="R348" t="s">
        <v>48</v>
      </c>
      <c r="S348" t="s">
        <v>29</v>
      </c>
      <c r="T348">
        <v>1598.49</v>
      </c>
      <c r="U348">
        <f t="shared" si="70"/>
        <v>1654</v>
      </c>
      <c r="V348">
        <f t="shared" si="71"/>
        <v>598</v>
      </c>
      <c r="W348">
        <f t="shared" si="72"/>
        <v>522</v>
      </c>
      <c r="X348">
        <f t="shared" si="73"/>
        <v>0.35149999999999998</v>
      </c>
      <c r="Y348" s="1">
        <f t="shared" si="74"/>
        <v>85489598</v>
      </c>
      <c r="Z348">
        <f t="shared" si="75"/>
        <v>51686.576783555021</v>
      </c>
      <c r="AA348">
        <f t="shared" si="76"/>
        <v>99996</v>
      </c>
      <c r="AB348">
        <f t="shared" si="77"/>
        <v>5091</v>
      </c>
      <c r="AC348">
        <f t="shared" si="78"/>
        <v>2225759.7700000014</v>
      </c>
      <c r="AD348">
        <f t="shared" si="79"/>
        <v>1345.6830532043539</v>
      </c>
      <c r="AE348">
        <f t="shared" si="80"/>
        <v>0.35149999999999998</v>
      </c>
      <c r="AF348">
        <f t="shared" si="81"/>
        <v>1837876753.9800034</v>
      </c>
      <c r="AG348" t="str">
        <f t="shared" si="82"/>
        <v>Over Paid</v>
      </c>
      <c r="AH348">
        <f t="shared" si="83"/>
        <v>19181.88</v>
      </c>
    </row>
    <row r="349" spans="1:34" x14ac:dyDescent="0.35">
      <c r="A349" t="s">
        <v>1049</v>
      </c>
      <c r="B349" t="s">
        <v>1050</v>
      </c>
      <c r="C349">
        <v>64</v>
      </c>
      <c r="D349" t="s">
        <v>38</v>
      </c>
      <c r="E349" t="s">
        <v>32</v>
      </c>
      <c r="F349" t="s">
        <v>46</v>
      </c>
      <c r="G349">
        <v>185250</v>
      </c>
      <c r="H349">
        <v>365</v>
      </c>
      <c r="I349">
        <v>78116</v>
      </c>
      <c r="J349">
        <v>13.73</v>
      </c>
      <c r="K349">
        <v>48</v>
      </c>
      <c r="L349" t="s">
        <v>86</v>
      </c>
      <c r="M349">
        <v>49.38</v>
      </c>
      <c r="N349">
        <v>48122</v>
      </c>
      <c r="O349">
        <v>182263</v>
      </c>
      <c r="P349" t="s">
        <v>1051</v>
      </c>
      <c r="Q349" t="s">
        <v>42</v>
      </c>
      <c r="R349" t="s">
        <v>28</v>
      </c>
      <c r="S349" t="s">
        <v>35</v>
      </c>
      <c r="T349">
        <v>1850.86</v>
      </c>
      <c r="U349">
        <f t="shared" si="70"/>
        <v>1653</v>
      </c>
      <c r="V349">
        <f t="shared" si="71"/>
        <v>598</v>
      </c>
      <c r="W349">
        <f t="shared" si="72"/>
        <v>522</v>
      </c>
      <c r="X349">
        <f t="shared" si="73"/>
        <v>0.35149999999999998</v>
      </c>
      <c r="Y349" s="1">
        <f t="shared" si="74"/>
        <v>85409090</v>
      </c>
      <c r="Z349">
        <f t="shared" si="75"/>
        <v>51669.140955837873</v>
      </c>
      <c r="AA349">
        <f t="shared" si="76"/>
        <v>99996</v>
      </c>
      <c r="AB349">
        <f t="shared" si="77"/>
        <v>5091</v>
      </c>
      <c r="AC349">
        <f t="shared" si="78"/>
        <v>2224161.2800000012</v>
      </c>
      <c r="AD349">
        <f t="shared" si="79"/>
        <v>1345.5301149425295</v>
      </c>
      <c r="AE349">
        <f t="shared" si="80"/>
        <v>0.35149999999999998</v>
      </c>
      <c r="AF349">
        <f t="shared" si="81"/>
        <v>1835650994.2100034</v>
      </c>
      <c r="AG349" t="str">
        <f t="shared" si="82"/>
        <v>Active</v>
      </c>
      <c r="AH349">
        <f t="shared" si="83"/>
        <v>22210.32</v>
      </c>
    </row>
    <row r="350" spans="1:34" x14ac:dyDescent="0.35">
      <c r="A350" t="s">
        <v>1052</v>
      </c>
      <c r="B350" t="s">
        <v>1053</v>
      </c>
      <c r="C350">
        <v>25</v>
      </c>
      <c r="D350" t="s">
        <v>22</v>
      </c>
      <c r="E350" t="s">
        <v>23</v>
      </c>
      <c r="F350" t="s">
        <v>59</v>
      </c>
      <c r="G350">
        <v>161161</v>
      </c>
      <c r="H350">
        <v>527</v>
      </c>
      <c r="I350">
        <v>82035</v>
      </c>
      <c r="J350">
        <v>21.05</v>
      </c>
      <c r="K350">
        <v>180</v>
      </c>
      <c r="L350" t="s">
        <v>52</v>
      </c>
      <c r="M350">
        <v>49.56</v>
      </c>
      <c r="N350">
        <v>38089</v>
      </c>
      <c r="O350">
        <v>22739</v>
      </c>
      <c r="P350" t="s">
        <v>1054</v>
      </c>
      <c r="Q350" t="s">
        <v>42</v>
      </c>
      <c r="R350" t="s">
        <v>48</v>
      </c>
      <c r="S350" t="s">
        <v>68</v>
      </c>
      <c r="T350">
        <v>551.69000000000005</v>
      </c>
      <c r="U350">
        <f t="shared" si="70"/>
        <v>1652</v>
      </c>
      <c r="V350">
        <f t="shared" si="71"/>
        <v>597</v>
      </c>
      <c r="W350">
        <f t="shared" si="72"/>
        <v>522</v>
      </c>
      <c r="X350">
        <f t="shared" si="73"/>
        <v>0.35149999999999998</v>
      </c>
      <c r="Y350" s="1">
        <f t="shared" si="74"/>
        <v>85330974</v>
      </c>
      <c r="Z350">
        <f t="shared" si="75"/>
        <v>51653.131961259081</v>
      </c>
      <c r="AA350">
        <f t="shared" si="76"/>
        <v>99996</v>
      </c>
      <c r="AB350">
        <f t="shared" si="77"/>
        <v>5091</v>
      </c>
      <c r="AC350">
        <f t="shared" si="78"/>
        <v>2222310.4200000013</v>
      </c>
      <c r="AD350">
        <f t="shared" si="79"/>
        <v>1345.224225181599</v>
      </c>
      <c r="AE350">
        <f t="shared" si="80"/>
        <v>0.35149999999999998</v>
      </c>
      <c r="AF350">
        <f t="shared" si="81"/>
        <v>1833426832.9300032</v>
      </c>
      <c r="AG350" t="str">
        <f t="shared" si="82"/>
        <v>Active</v>
      </c>
      <c r="AH350">
        <f t="shared" si="83"/>
        <v>6620.2800000000007</v>
      </c>
    </row>
    <row r="351" spans="1:34" x14ac:dyDescent="0.35">
      <c r="A351" t="s">
        <v>1055</v>
      </c>
      <c r="B351" t="s">
        <v>1056</v>
      </c>
      <c r="C351">
        <v>38</v>
      </c>
      <c r="D351" t="s">
        <v>22</v>
      </c>
      <c r="E351" t="s">
        <v>39</v>
      </c>
      <c r="F351" t="s">
        <v>46</v>
      </c>
      <c r="G351">
        <v>94511</v>
      </c>
      <c r="H351">
        <v>805</v>
      </c>
      <c r="I351">
        <v>56720</v>
      </c>
      <c r="J351">
        <v>13.86</v>
      </c>
      <c r="K351">
        <v>360</v>
      </c>
      <c r="L351" t="s">
        <v>33</v>
      </c>
      <c r="M351">
        <v>47.1</v>
      </c>
      <c r="N351">
        <v>3783</v>
      </c>
      <c r="O351">
        <v>125588</v>
      </c>
      <c r="P351" t="s">
        <v>1057</v>
      </c>
      <c r="Q351" t="s">
        <v>27</v>
      </c>
      <c r="R351" t="s">
        <v>48</v>
      </c>
      <c r="S351" t="s">
        <v>49</v>
      </c>
      <c r="T351">
        <v>179.39</v>
      </c>
      <c r="U351">
        <f t="shared" si="70"/>
        <v>1651</v>
      </c>
      <c r="V351">
        <f t="shared" si="71"/>
        <v>596</v>
      </c>
      <c r="W351">
        <f t="shared" si="72"/>
        <v>522</v>
      </c>
      <c r="X351">
        <f t="shared" si="73"/>
        <v>0.35149999999999998</v>
      </c>
      <c r="Y351" s="1">
        <f t="shared" si="74"/>
        <v>85248939</v>
      </c>
      <c r="Z351">
        <f t="shared" si="75"/>
        <v>51634.729860690488</v>
      </c>
      <c r="AA351">
        <f t="shared" si="76"/>
        <v>99996</v>
      </c>
      <c r="AB351">
        <f t="shared" si="77"/>
        <v>5091</v>
      </c>
      <c r="AC351">
        <f t="shared" si="78"/>
        <v>2221758.7300000014</v>
      </c>
      <c r="AD351">
        <f t="shared" si="79"/>
        <v>1345.7048637189591</v>
      </c>
      <c r="AE351">
        <f t="shared" si="80"/>
        <v>0.35149999999999998</v>
      </c>
      <c r="AF351">
        <f t="shared" si="81"/>
        <v>1831204522.5100033</v>
      </c>
      <c r="AG351" t="str">
        <f t="shared" si="82"/>
        <v>Active</v>
      </c>
      <c r="AH351">
        <f t="shared" si="83"/>
        <v>2152.6799999999998</v>
      </c>
    </row>
    <row r="352" spans="1:34" x14ac:dyDescent="0.35">
      <c r="A352" t="s">
        <v>1058</v>
      </c>
      <c r="B352" t="s">
        <v>1059</v>
      </c>
      <c r="C352">
        <v>48</v>
      </c>
      <c r="D352" t="s">
        <v>38</v>
      </c>
      <c r="E352" t="s">
        <v>39</v>
      </c>
      <c r="F352" t="s">
        <v>59</v>
      </c>
      <c r="G352">
        <v>107269</v>
      </c>
      <c r="H352">
        <v>695</v>
      </c>
      <c r="I352">
        <v>23353</v>
      </c>
      <c r="J352">
        <v>6.64</v>
      </c>
      <c r="K352">
        <v>120</v>
      </c>
      <c r="L352" t="s">
        <v>52</v>
      </c>
      <c r="M352">
        <v>41.1</v>
      </c>
      <c r="N352">
        <v>24966</v>
      </c>
      <c r="O352">
        <v>137177</v>
      </c>
      <c r="P352" t="s">
        <v>1060</v>
      </c>
      <c r="Q352" t="s">
        <v>42</v>
      </c>
      <c r="R352" t="s">
        <v>48</v>
      </c>
      <c r="S352" t="s">
        <v>49</v>
      </c>
      <c r="T352">
        <v>207.53</v>
      </c>
      <c r="U352">
        <f t="shared" si="70"/>
        <v>1650</v>
      </c>
      <c r="V352">
        <f t="shared" si="71"/>
        <v>596</v>
      </c>
      <c r="W352">
        <f t="shared" si="72"/>
        <v>522</v>
      </c>
      <c r="X352">
        <f t="shared" si="73"/>
        <v>0.35149999999999998</v>
      </c>
      <c r="Y352" s="1">
        <f t="shared" si="74"/>
        <v>85192219</v>
      </c>
      <c r="Z352">
        <f t="shared" si="75"/>
        <v>51631.64787878788</v>
      </c>
      <c r="AA352">
        <f t="shared" si="76"/>
        <v>99996</v>
      </c>
      <c r="AB352">
        <f t="shared" si="77"/>
        <v>5091</v>
      </c>
      <c r="AC352">
        <f t="shared" si="78"/>
        <v>2221579.3400000012</v>
      </c>
      <c r="AD352">
        <f t="shared" si="79"/>
        <v>1346.4117212121221</v>
      </c>
      <c r="AE352">
        <f t="shared" si="80"/>
        <v>0.35149999999999998</v>
      </c>
      <c r="AF352">
        <f t="shared" si="81"/>
        <v>1828982763.7800033</v>
      </c>
      <c r="AG352" t="str">
        <f t="shared" si="82"/>
        <v>Active</v>
      </c>
      <c r="AH352">
        <f t="shared" si="83"/>
        <v>2490.36</v>
      </c>
    </row>
    <row r="353" spans="1:34" x14ac:dyDescent="0.35">
      <c r="A353" t="s">
        <v>1061</v>
      </c>
      <c r="B353" t="s">
        <v>1062</v>
      </c>
      <c r="C353">
        <v>28</v>
      </c>
      <c r="D353" t="s">
        <v>38</v>
      </c>
      <c r="E353" t="s">
        <v>32</v>
      </c>
      <c r="F353" t="s">
        <v>24</v>
      </c>
      <c r="G353">
        <v>72170</v>
      </c>
      <c r="H353">
        <v>711</v>
      </c>
      <c r="I353">
        <v>55995</v>
      </c>
      <c r="J353">
        <v>8.18</v>
      </c>
      <c r="K353">
        <v>360</v>
      </c>
      <c r="L353" t="s">
        <v>25</v>
      </c>
      <c r="M353">
        <v>55.79</v>
      </c>
      <c r="N353">
        <v>17960</v>
      </c>
      <c r="O353">
        <v>201511</v>
      </c>
      <c r="P353" t="s">
        <v>1063</v>
      </c>
      <c r="Q353" t="s">
        <v>42</v>
      </c>
      <c r="R353" t="s">
        <v>28</v>
      </c>
      <c r="S353" t="s">
        <v>35</v>
      </c>
      <c r="T353">
        <v>168.26</v>
      </c>
      <c r="U353">
        <f t="shared" si="70"/>
        <v>1649</v>
      </c>
      <c r="V353">
        <f t="shared" si="71"/>
        <v>595</v>
      </c>
      <c r="W353">
        <f t="shared" si="72"/>
        <v>522</v>
      </c>
      <c r="X353">
        <f t="shared" si="73"/>
        <v>0.35149999999999998</v>
      </c>
      <c r="Y353" s="1">
        <f t="shared" si="74"/>
        <v>85168866</v>
      </c>
      <c r="Z353">
        <f t="shared" si="75"/>
        <v>51648.796846573678</v>
      </c>
      <c r="AA353">
        <f t="shared" si="76"/>
        <v>99996</v>
      </c>
      <c r="AB353">
        <f t="shared" si="77"/>
        <v>5091</v>
      </c>
      <c r="AC353">
        <f t="shared" si="78"/>
        <v>2221371.8100000015</v>
      </c>
      <c r="AD353">
        <f t="shared" si="79"/>
        <v>1347.1023711340215</v>
      </c>
      <c r="AE353">
        <f t="shared" si="80"/>
        <v>0.35149999999999998</v>
      </c>
      <c r="AF353">
        <f t="shared" si="81"/>
        <v>1826761184.4400034</v>
      </c>
      <c r="AG353" t="str">
        <f t="shared" si="82"/>
        <v>Active</v>
      </c>
      <c r="AH353">
        <f t="shared" si="83"/>
        <v>2019.12</v>
      </c>
    </row>
    <row r="354" spans="1:34" x14ac:dyDescent="0.35">
      <c r="A354" t="s">
        <v>1064</v>
      </c>
      <c r="B354" t="s">
        <v>1065</v>
      </c>
      <c r="C354">
        <v>41</v>
      </c>
      <c r="D354" t="s">
        <v>22</v>
      </c>
      <c r="E354" t="s">
        <v>32</v>
      </c>
      <c r="F354" t="s">
        <v>59</v>
      </c>
      <c r="G354">
        <v>162044</v>
      </c>
      <c r="H354">
        <v>594</v>
      </c>
      <c r="I354">
        <v>82961</v>
      </c>
      <c r="J354">
        <v>9.56</v>
      </c>
      <c r="K354">
        <v>36</v>
      </c>
      <c r="L354" t="s">
        <v>33</v>
      </c>
      <c r="M354">
        <v>40.869999999999997</v>
      </c>
      <c r="N354">
        <v>11346</v>
      </c>
      <c r="O354">
        <v>173717</v>
      </c>
      <c r="P354" t="s">
        <v>526</v>
      </c>
      <c r="Q354" t="s">
        <v>61</v>
      </c>
      <c r="R354" t="s">
        <v>28</v>
      </c>
      <c r="S354" t="s">
        <v>68</v>
      </c>
      <c r="T354">
        <v>2524.7800000000002</v>
      </c>
      <c r="U354">
        <f t="shared" si="70"/>
        <v>1648</v>
      </c>
      <c r="V354">
        <f t="shared" si="71"/>
        <v>594</v>
      </c>
      <c r="W354">
        <f t="shared" si="72"/>
        <v>522</v>
      </c>
      <c r="X354">
        <f t="shared" si="73"/>
        <v>0.35149999999999998</v>
      </c>
      <c r="Y354" s="1">
        <f t="shared" si="74"/>
        <v>85112871</v>
      </c>
      <c r="Z354">
        <f t="shared" si="75"/>
        <v>51646.159587378643</v>
      </c>
      <c r="AA354">
        <f t="shared" si="76"/>
        <v>99996</v>
      </c>
      <c r="AB354">
        <f t="shared" si="77"/>
        <v>5091</v>
      </c>
      <c r="AC354">
        <f t="shared" si="78"/>
        <v>2221203.5500000012</v>
      </c>
      <c r="AD354">
        <f t="shared" si="79"/>
        <v>1347.8176881067968</v>
      </c>
      <c r="AE354">
        <f t="shared" si="80"/>
        <v>0.35149999999999998</v>
      </c>
      <c r="AF354">
        <f t="shared" si="81"/>
        <v>1824539812.6300032</v>
      </c>
      <c r="AG354" t="str">
        <f t="shared" si="82"/>
        <v>Active</v>
      </c>
      <c r="AH354">
        <f t="shared" si="83"/>
        <v>30297.360000000001</v>
      </c>
    </row>
    <row r="355" spans="1:34" x14ac:dyDescent="0.35">
      <c r="A355" t="s">
        <v>1066</v>
      </c>
      <c r="B355" t="s">
        <v>1067</v>
      </c>
      <c r="C355">
        <v>27</v>
      </c>
      <c r="D355" t="s">
        <v>38</v>
      </c>
      <c r="E355" t="s">
        <v>32</v>
      </c>
      <c r="F355" t="s">
        <v>59</v>
      </c>
      <c r="G355">
        <v>154211</v>
      </c>
      <c r="H355">
        <v>346</v>
      </c>
      <c r="I355">
        <v>72392</v>
      </c>
      <c r="J355">
        <v>6.55</v>
      </c>
      <c r="K355">
        <v>240</v>
      </c>
      <c r="L355" t="s">
        <v>25</v>
      </c>
      <c r="M355">
        <v>30.21</v>
      </c>
      <c r="N355">
        <v>4897</v>
      </c>
      <c r="O355">
        <v>163364</v>
      </c>
      <c r="P355" t="s">
        <v>1068</v>
      </c>
      <c r="Q355" t="s">
        <v>27</v>
      </c>
      <c r="R355" t="s">
        <v>48</v>
      </c>
      <c r="S355" t="s">
        <v>35</v>
      </c>
      <c r="T355">
        <v>321.39</v>
      </c>
      <c r="U355">
        <f t="shared" si="70"/>
        <v>1647</v>
      </c>
      <c r="V355">
        <f t="shared" si="71"/>
        <v>594</v>
      </c>
      <c r="W355">
        <f t="shared" si="72"/>
        <v>521</v>
      </c>
      <c r="X355">
        <f t="shared" si="73"/>
        <v>0.35149999999999998</v>
      </c>
      <c r="Y355" s="1">
        <f t="shared" si="74"/>
        <v>85029910</v>
      </c>
      <c r="Z355">
        <f t="shared" si="75"/>
        <v>51627.146326654525</v>
      </c>
      <c r="AA355">
        <f t="shared" si="76"/>
        <v>99996</v>
      </c>
      <c r="AB355">
        <f t="shared" si="77"/>
        <v>5091</v>
      </c>
      <c r="AC355">
        <f t="shared" si="78"/>
        <v>2218678.7700000014</v>
      </c>
      <c r="AD355">
        <f t="shared" si="79"/>
        <v>1347.1030783242268</v>
      </c>
      <c r="AE355">
        <f t="shared" si="80"/>
        <v>0.35149999999999998</v>
      </c>
      <c r="AF355">
        <f t="shared" si="81"/>
        <v>1822318609.0800033</v>
      </c>
      <c r="AG355" t="str">
        <f t="shared" si="82"/>
        <v>Active</v>
      </c>
      <c r="AH355">
        <f t="shared" si="83"/>
        <v>3856.68</v>
      </c>
    </row>
    <row r="356" spans="1:34" x14ac:dyDescent="0.35">
      <c r="A356" t="s">
        <v>1069</v>
      </c>
      <c r="B356" t="s">
        <v>1070</v>
      </c>
      <c r="C356">
        <v>63</v>
      </c>
      <c r="D356" t="s">
        <v>22</v>
      </c>
      <c r="E356" t="s">
        <v>23</v>
      </c>
      <c r="F356" t="s">
        <v>46</v>
      </c>
      <c r="G356">
        <v>113157</v>
      </c>
      <c r="H356">
        <v>813</v>
      </c>
      <c r="I356">
        <v>91793</v>
      </c>
      <c r="J356">
        <v>6.2</v>
      </c>
      <c r="K356">
        <v>240</v>
      </c>
      <c r="L356" t="s">
        <v>33</v>
      </c>
      <c r="M356">
        <v>35.56</v>
      </c>
      <c r="N356">
        <v>30087</v>
      </c>
      <c r="O356">
        <v>67034</v>
      </c>
      <c r="P356" t="s">
        <v>162</v>
      </c>
      <c r="Q356" t="s">
        <v>27</v>
      </c>
      <c r="R356" t="s">
        <v>48</v>
      </c>
      <c r="S356" t="s">
        <v>68</v>
      </c>
      <c r="T356">
        <v>406.18</v>
      </c>
      <c r="U356">
        <f t="shared" si="70"/>
        <v>1646</v>
      </c>
      <c r="V356">
        <f t="shared" si="71"/>
        <v>594</v>
      </c>
      <c r="W356">
        <f t="shared" si="72"/>
        <v>521</v>
      </c>
      <c r="X356">
        <f t="shared" si="73"/>
        <v>0.35149999999999998</v>
      </c>
      <c r="Y356" s="1">
        <f t="shared" si="74"/>
        <v>84957518</v>
      </c>
      <c r="Z356">
        <f t="shared" si="75"/>
        <v>51614.530984204132</v>
      </c>
      <c r="AA356">
        <f t="shared" si="76"/>
        <v>99996</v>
      </c>
      <c r="AB356">
        <f t="shared" si="77"/>
        <v>5091</v>
      </c>
      <c r="AC356">
        <f t="shared" si="78"/>
        <v>2218357.3800000013</v>
      </c>
      <c r="AD356">
        <f t="shared" si="79"/>
        <v>1347.7262332928319</v>
      </c>
      <c r="AE356">
        <f t="shared" si="80"/>
        <v>0.35149999999999998</v>
      </c>
      <c r="AF356">
        <f t="shared" si="81"/>
        <v>1820099930.310003</v>
      </c>
      <c r="AG356" t="str">
        <f t="shared" si="82"/>
        <v>Active</v>
      </c>
      <c r="AH356">
        <f t="shared" si="83"/>
        <v>4874.16</v>
      </c>
    </row>
    <row r="357" spans="1:34" x14ac:dyDescent="0.35">
      <c r="A357" t="s">
        <v>1071</v>
      </c>
      <c r="B357" t="s">
        <v>1072</v>
      </c>
      <c r="C357">
        <v>33</v>
      </c>
      <c r="D357" t="s">
        <v>22</v>
      </c>
      <c r="E357" t="s">
        <v>23</v>
      </c>
      <c r="F357" t="s">
        <v>24</v>
      </c>
      <c r="G357">
        <v>51159</v>
      </c>
      <c r="H357">
        <v>486</v>
      </c>
      <c r="I357">
        <v>17306</v>
      </c>
      <c r="J357">
        <v>19.940000000000001</v>
      </c>
      <c r="K357">
        <v>12</v>
      </c>
      <c r="L357" t="s">
        <v>25</v>
      </c>
      <c r="M357">
        <v>13.12</v>
      </c>
      <c r="N357">
        <v>60054</v>
      </c>
      <c r="O357">
        <v>137118</v>
      </c>
      <c r="P357" t="s">
        <v>1073</v>
      </c>
      <c r="Q357" t="s">
        <v>27</v>
      </c>
      <c r="R357" t="s">
        <v>48</v>
      </c>
      <c r="S357" t="s">
        <v>29</v>
      </c>
      <c r="T357">
        <v>1729.73</v>
      </c>
      <c r="U357">
        <f t="shared" si="70"/>
        <v>1645</v>
      </c>
      <c r="V357">
        <f t="shared" si="71"/>
        <v>594</v>
      </c>
      <c r="W357">
        <f t="shared" si="72"/>
        <v>521</v>
      </c>
      <c r="X357">
        <f t="shared" si="73"/>
        <v>0.35149999999999998</v>
      </c>
      <c r="Y357" s="1">
        <f t="shared" si="74"/>
        <v>84865725</v>
      </c>
      <c r="Z357">
        <f t="shared" si="75"/>
        <v>51590.106382978724</v>
      </c>
      <c r="AA357">
        <f t="shared" si="76"/>
        <v>99996</v>
      </c>
      <c r="AB357">
        <f t="shared" si="77"/>
        <v>5091</v>
      </c>
      <c r="AC357">
        <f t="shared" si="78"/>
        <v>2217951.2000000011</v>
      </c>
      <c r="AD357">
        <f t="shared" si="79"/>
        <v>1348.2986018237089</v>
      </c>
      <c r="AE357">
        <f t="shared" si="80"/>
        <v>0.35149999999999998</v>
      </c>
      <c r="AF357">
        <f t="shared" si="81"/>
        <v>1817881572.9300027</v>
      </c>
      <c r="AG357" t="str">
        <f t="shared" si="82"/>
        <v>Active</v>
      </c>
      <c r="AH357">
        <f t="shared" si="83"/>
        <v>20756.760000000002</v>
      </c>
    </row>
    <row r="358" spans="1:34" x14ac:dyDescent="0.35">
      <c r="A358" t="s">
        <v>1074</v>
      </c>
      <c r="B358" t="s">
        <v>1075</v>
      </c>
      <c r="C358">
        <v>35</v>
      </c>
      <c r="D358" t="s">
        <v>38</v>
      </c>
      <c r="E358" t="s">
        <v>23</v>
      </c>
      <c r="F358" t="s">
        <v>24</v>
      </c>
      <c r="G358">
        <v>64667</v>
      </c>
      <c r="H358">
        <v>619</v>
      </c>
      <c r="I358">
        <v>78278</v>
      </c>
      <c r="J358">
        <v>21.45</v>
      </c>
      <c r="K358">
        <v>24</v>
      </c>
      <c r="L358" t="s">
        <v>33</v>
      </c>
      <c r="M358">
        <v>18.559999999999999</v>
      </c>
      <c r="N358">
        <v>53522</v>
      </c>
      <c r="O358">
        <v>20031</v>
      </c>
      <c r="P358" t="s">
        <v>1076</v>
      </c>
      <c r="Q358" t="s">
        <v>42</v>
      </c>
      <c r="R358" t="s">
        <v>28</v>
      </c>
      <c r="S358" t="s">
        <v>29</v>
      </c>
      <c r="T358">
        <v>3961.19</v>
      </c>
      <c r="U358">
        <f t="shared" si="70"/>
        <v>1644</v>
      </c>
      <c r="V358">
        <f t="shared" si="71"/>
        <v>594</v>
      </c>
      <c r="W358">
        <f t="shared" si="72"/>
        <v>521</v>
      </c>
      <c r="X358">
        <f t="shared" si="73"/>
        <v>0.35149999999999998</v>
      </c>
      <c r="Y358" s="1">
        <f t="shared" si="74"/>
        <v>84848419</v>
      </c>
      <c r="Z358">
        <f t="shared" si="75"/>
        <v>51610.960462287105</v>
      </c>
      <c r="AA358">
        <f t="shared" si="76"/>
        <v>99996</v>
      </c>
      <c r="AB358">
        <f t="shared" si="77"/>
        <v>5091</v>
      </c>
      <c r="AC358">
        <f t="shared" si="78"/>
        <v>2216221.4700000011</v>
      </c>
      <c r="AD358">
        <f t="shared" si="79"/>
        <v>1348.0665875912416</v>
      </c>
      <c r="AE358">
        <f t="shared" si="80"/>
        <v>0.35149999999999998</v>
      </c>
      <c r="AF358">
        <f t="shared" si="81"/>
        <v>1815663621.7300026</v>
      </c>
      <c r="AG358" t="str">
        <f t="shared" si="82"/>
        <v>Over Paid</v>
      </c>
      <c r="AH358">
        <f t="shared" si="83"/>
        <v>47534.28</v>
      </c>
    </row>
    <row r="359" spans="1:34" x14ac:dyDescent="0.35">
      <c r="A359" t="s">
        <v>1077</v>
      </c>
      <c r="B359" t="s">
        <v>1078</v>
      </c>
      <c r="C359">
        <v>30</v>
      </c>
      <c r="D359" t="s">
        <v>22</v>
      </c>
      <c r="E359" t="s">
        <v>39</v>
      </c>
      <c r="F359" t="s">
        <v>46</v>
      </c>
      <c r="G359">
        <v>184749</v>
      </c>
      <c r="H359">
        <v>493</v>
      </c>
      <c r="I359">
        <v>15648</v>
      </c>
      <c r="J359">
        <v>12.93</v>
      </c>
      <c r="K359">
        <v>60</v>
      </c>
      <c r="L359" t="s">
        <v>40</v>
      </c>
      <c r="M359">
        <v>26.27</v>
      </c>
      <c r="N359">
        <v>16502</v>
      </c>
      <c r="O359">
        <v>6574</v>
      </c>
      <c r="P359" t="s">
        <v>1079</v>
      </c>
      <c r="Q359" t="s">
        <v>61</v>
      </c>
      <c r="R359" t="s">
        <v>48</v>
      </c>
      <c r="S359" t="s">
        <v>29</v>
      </c>
      <c r="T359">
        <v>294.52</v>
      </c>
      <c r="U359">
        <f t="shared" si="70"/>
        <v>1643</v>
      </c>
      <c r="V359">
        <f t="shared" si="71"/>
        <v>593</v>
      </c>
      <c r="W359">
        <f t="shared" si="72"/>
        <v>521</v>
      </c>
      <c r="X359">
        <f t="shared" si="73"/>
        <v>0.35149999999999998</v>
      </c>
      <c r="Y359" s="1">
        <f t="shared" si="74"/>
        <v>84770141</v>
      </c>
      <c r="Z359">
        <f t="shared" si="75"/>
        <v>51594.729762629337</v>
      </c>
      <c r="AA359">
        <f t="shared" si="76"/>
        <v>99996</v>
      </c>
      <c r="AB359">
        <f t="shared" si="77"/>
        <v>5091</v>
      </c>
      <c r="AC359">
        <f t="shared" si="78"/>
        <v>2212260.2800000012</v>
      </c>
      <c r="AD359">
        <f t="shared" si="79"/>
        <v>1346.4761290322588</v>
      </c>
      <c r="AE359">
        <f t="shared" si="80"/>
        <v>0.35149999999999998</v>
      </c>
      <c r="AF359">
        <f t="shared" si="81"/>
        <v>1813447400.2600026</v>
      </c>
      <c r="AG359" t="str">
        <f t="shared" si="82"/>
        <v>Active</v>
      </c>
      <c r="AH359">
        <f t="shared" si="83"/>
        <v>3534.24</v>
      </c>
    </row>
    <row r="360" spans="1:34" x14ac:dyDescent="0.35">
      <c r="A360" t="s">
        <v>1080</v>
      </c>
      <c r="B360" t="s">
        <v>1081</v>
      </c>
      <c r="C360">
        <v>38</v>
      </c>
      <c r="D360" t="s">
        <v>22</v>
      </c>
      <c r="E360" t="s">
        <v>23</v>
      </c>
      <c r="F360" t="s">
        <v>59</v>
      </c>
      <c r="G360">
        <v>183496</v>
      </c>
      <c r="H360">
        <v>514</v>
      </c>
      <c r="I360">
        <v>9285</v>
      </c>
      <c r="J360">
        <v>21.64</v>
      </c>
      <c r="K360">
        <v>12</v>
      </c>
      <c r="L360" t="s">
        <v>33</v>
      </c>
      <c r="M360">
        <v>40.15</v>
      </c>
      <c r="N360">
        <v>3085</v>
      </c>
      <c r="O360">
        <v>157645</v>
      </c>
      <c r="P360" t="s">
        <v>1082</v>
      </c>
      <c r="Q360" t="s">
        <v>61</v>
      </c>
      <c r="R360" t="s">
        <v>28</v>
      </c>
      <c r="S360" t="s">
        <v>68</v>
      </c>
      <c r="T360">
        <v>941.19</v>
      </c>
      <c r="U360">
        <f t="shared" si="70"/>
        <v>1642</v>
      </c>
      <c r="V360">
        <f t="shared" si="71"/>
        <v>593</v>
      </c>
      <c r="W360">
        <f t="shared" si="72"/>
        <v>520</v>
      </c>
      <c r="X360">
        <f t="shared" si="73"/>
        <v>0.35149999999999998</v>
      </c>
      <c r="Y360" s="1">
        <f t="shared" si="74"/>
        <v>84754493</v>
      </c>
      <c r="Z360">
        <f t="shared" si="75"/>
        <v>51616.621802679656</v>
      </c>
      <c r="AA360">
        <f t="shared" si="76"/>
        <v>99996</v>
      </c>
      <c r="AB360">
        <f t="shared" si="77"/>
        <v>5091</v>
      </c>
      <c r="AC360">
        <f t="shared" si="78"/>
        <v>2211965.7600000012</v>
      </c>
      <c r="AD360">
        <f t="shared" si="79"/>
        <v>1347.1167844092577</v>
      </c>
      <c r="AE360">
        <f t="shared" si="80"/>
        <v>0.35149999999999998</v>
      </c>
      <c r="AF360">
        <f t="shared" si="81"/>
        <v>1811235139.9800029</v>
      </c>
      <c r="AG360" t="str">
        <f t="shared" si="82"/>
        <v>Active</v>
      </c>
      <c r="AH360">
        <f t="shared" si="83"/>
        <v>11294.28</v>
      </c>
    </row>
    <row r="361" spans="1:34" x14ac:dyDescent="0.35">
      <c r="A361" t="s">
        <v>1083</v>
      </c>
      <c r="B361" t="s">
        <v>1084</v>
      </c>
      <c r="C361">
        <v>54</v>
      </c>
      <c r="D361" t="s">
        <v>38</v>
      </c>
      <c r="E361" t="s">
        <v>23</v>
      </c>
      <c r="F361" t="s">
        <v>46</v>
      </c>
      <c r="G361">
        <v>150820</v>
      </c>
      <c r="H361">
        <v>845</v>
      </c>
      <c r="I361">
        <v>95705</v>
      </c>
      <c r="J361">
        <v>12.52</v>
      </c>
      <c r="K361">
        <v>240</v>
      </c>
      <c r="L361" t="s">
        <v>25</v>
      </c>
      <c r="M361">
        <v>47.14</v>
      </c>
      <c r="N361">
        <v>41592</v>
      </c>
      <c r="O361">
        <v>68587</v>
      </c>
      <c r="P361" t="s">
        <v>702</v>
      </c>
      <c r="Q361" t="s">
        <v>27</v>
      </c>
      <c r="R361" t="s">
        <v>28</v>
      </c>
      <c r="S361" t="s">
        <v>68</v>
      </c>
      <c r="T361">
        <v>448.7</v>
      </c>
      <c r="U361">
        <f t="shared" si="70"/>
        <v>1641</v>
      </c>
      <c r="V361">
        <f t="shared" si="71"/>
        <v>593</v>
      </c>
      <c r="W361">
        <f t="shared" si="72"/>
        <v>519</v>
      </c>
      <c r="X361">
        <f t="shared" si="73"/>
        <v>0.35149999999999998</v>
      </c>
      <c r="Y361" s="1">
        <f t="shared" si="74"/>
        <v>84745208</v>
      </c>
      <c r="Z361">
        <f t="shared" si="75"/>
        <v>51642.418037781841</v>
      </c>
      <c r="AA361">
        <f t="shared" si="76"/>
        <v>99996</v>
      </c>
      <c r="AB361">
        <f t="shared" si="77"/>
        <v>5091</v>
      </c>
      <c r="AC361">
        <f t="shared" si="78"/>
        <v>2211024.5700000008</v>
      </c>
      <c r="AD361">
        <f t="shared" si="79"/>
        <v>1347.3641499085927</v>
      </c>
      <c r="AE361">
        <f t="shared" si="80"/>
        <v>0.35149999999999998</v>
      </c>
      <c r="AF361">
        <f t="shared" si="81"/>
        <v>1809023174.2200027</v>
      </c>
      <c r="AG361" t="str">
        <f t="shared" si="82"/>
        <v>Over Paid</v>
      </c>
      <c r="AH361">
        <f t="shared" si="83"/>
        <v>5384.4</v>
      </c>
    </row>
    <row r="362" spans="1:34" x14ac:dyDescent="0.35">
      <c r="A362" t="s">
        <v>1085</v>
      </c>
      <c r="B362" t="s">
        <v>1086</v>
      </c>
      <c r="C362">
        <v>36</v>
      </c>
      <c r="D362" t="s">
        <v>22</v>
      </c>
      <c r="E362" t="s">
        <v>39</v>
      </c>
      <c r="F362" t="s">
        <v>59</v>
      </c>
      <c r="G362">
        <v>38556</v>
      </c>
      <c r="H362">
        <v>504</v>
      </c>
      <c r="I362">
        <v>17609</v>
      </c>
      <c r="J362">
        <v>5.54</v>
      </c>
      <c r="K362">
        <v>12</v>
      </c>
      <c r="L362" t="s">
        <v>40</v>
      </c>
      <c r="M362">
        <v>54.02</v>
      </c>
      <c r="N362">
        <v>36849</v>
      </c>
      <c r="O362">
        <v>123320</v>
      </c>
      <c r="P362" t="s">
        <v>1087</v>
      </c>
      <c r="Q362" t="s">
        <v>42</v>
      </c>
      <c r="R362" t="s">
        <v>28</v>
      </c>
      <c r="S362" t="s">
        <v>68</v>
      </c>
      <c r="T362">
        <v>1548.71</v>
      </c>
      <c r="U362">
        <f t="shared" si="70"/>
        <v>1640</v>
      </c>
      <c r="V362">
        <f t="shared" si="71"/>
        <v>593</v>
      </c>
      <c r="W362">
        <f t="shared" si="72"/>
        <v>519</v>
      </c>
      <c r="X362">
        <f t="shared" si="73"/>
        <v>0.35149999999999998</v>
      </c>
      <c r="Y362" s="1">
        <f t="shared" si="74"/>
        <v>84649503</v>
      </c>
      <c r="Z362">
        <f t="shared" si="75"/>
        <v>51615.550609756101</v>
      </c>
      <c r="AA362">
        <f t="shared" si="76"/>
        <v>99996</v>
      </c>
      <c r="AB362">
        <f t="shared" si="77"/>
        <v>5091</v>
      </c>
      <c r="AC362">
        <f t="shared" si="78"/>
        <v>2210575.8700000006</v>
      </c>
      <c r="AD362">
        <f t="shared" si="79"/>
        <v>1347.9121158536589</v>
      </c>
      <c r="AE362">
        <f t="shared" si="80"/>
        <v>0.35149999999999998</v>
      </c>
      <c r="AF362">
        <f t="shared" si="81"/>
        <v>1806812149.6500025</v>
      </c>
      <c r="AG362" t="str">
        <f t="shared" si="82"/>
        <v>Active</v>
      </c>
      <c r="AH362">
        <f t="shared" si="83"/>
        <v>18584.52</v>
      </c>
    </row>
    <row r="363" spans="1:34" x14ac:dyDescent="0.35">
      <c r="A363" t="s">
        <v>1088</v>
      </c>
      <c r="B363" t="s">
        <v>1089</v>
      </c>
      <c r="C363">
        <v>58</v>
      </c>
      <c r="D363" t="s">
        <v>38</v>
      </c>
      <c r="E363" t="s">
        <v>32</v>
      </c>
      <c r="F363" t="s">
        <v>24</v>
      </c>
      <c r="G363">
        <v>125640</v>
      </c>
      <c r="H363">
        <v>313</v>
      </c>
      <c r="I363">
        <v>70356</v>
      </c>
      <c r="J363">
        <v>7.23</v>
      </c>
      <c r="K363">
        <v>180</v>
      </c>
      <c r="L363" t="s">
        <v>86</v>
      </c>
      <c r="M363">
        <v>19.809999999999999</v>
      </c>
      <c r="N363">
        <v>70268</v>
      </c>
      <c r="O363">
        <v>79438</v>
      </c>
      <c r="P363" t="s">
        <v>1090</v>
      </c>
      <c r="Q363" t="s">
        <v>42</v>
      </c>
      <c r="R363" t="s">
        <v>48</v>
      </c>
      <c r="S363" t="s">
        <v>43</v>
      </c>
      <c r="T363">
        <v>419.13</v>
      </c>
      <c r="U363">
        <f t="shared" si="70"/>
        <v>1639</v>
      </c>
      <c r="V363">
        <f t="shared" si="71"/>
        <v>592</v>
      </c>
      <c r="W363">
        <f t="shared" si="72"/>
        <v>519</v>
      </c>
      <c r="X363">
        <f t="shared" si="73"/>
        <v>0.35149999999999998</v>
      </c>
      <c r="Y363" s="1">
        <f t="shared" si="74"/>
        <v>84631894</v>
      </c>
      <c r="Z363">
        <f t="shared" si="75"/>
        <v>51636.298962782181</v>
      </c>
      <c r="AA363">
        <f t="shared" si="76"/>
        <v>99996</v>
      </c>
      <c r="AB363">
        <f t="shared" si="77"/>
        <v>5091</v>
      </c>
      <c r="AC363">
        <f t="shared" si="78"/>
        <v>2209027.1600000006</v>
      </c>
      <c r="AD363">
        <f t="shared" si="79"/>
        <v>1347.7896034167179</v>
      </c>
      <c r="AE363">
        <f t="shared" si="80"/>
        <v>0.35149999999999998</v>
      </c>
      <c r="AF363">
        <f t="shared" si="81"/>
        <v>1804601573.7800026</v>
      </c>
      <c r="AG363" t="str">
        <f t="shared" si="82"/>
        <v>Over Paid</v>
      </c>
      <c r="AH363">
        <f t="shared" si="83"/>
        <v>5029.5599999999995</v>
      </c>
    </row>
    <row r="364" spans="1:34" x14ac:dyDescent="0.35">
      <c r="A364" t="s">
        <v>1091</v>
      </c>
      <c r="B364" t="s">
        <v>1092</v>
      </c>
      <c r="C364">
        <v>37</v>
      </c>
      <c r="D364" t="s">
        <v>22</v>
      </c>
      <c r="E364" t="s">
        <v>32</v>
      </c>
      <c r="F364" t="s">
        <v>24</v>
      </c>
      <c r="G364">
        <v>56570</v>
      </c>
      <c r="H364">
        <v>804</v>
      </c>
      <c r="I364">
        <v>68052</v>
      </c>
      <c r="J364">
        <v>9.5500000000000007</v>
      </c>
      <c r="K364">
        <v>60</v>
      </c>
      <c r="L364" t="s">
        <v>25</v>
      </c>
      <c r="M364">
        <v>47.59</v>
      </c>
      <c r="N364">
        <v>63403</v>
      </c>
      <c r="O364">
        <v>128144</v>
      </c>
      <c r="P364" t="s">
        <v>1093</v>
      </c>
      <c r="Q364" t="s">
        <v>42</v>
      </c>
      <c r="R364" t="s">
        <v>28</v>
      </c>
      <c r="S364" t="s">
        <v>43</v>
      </c>
      <c r="T364">
        <v>1242.52</v>
      </c>
      <c r="U364">
        <f t="shared" si="70"/>
        <v>1638</v>
      </c>
      <c r="V364">
        <f t="shared" si="71"/>
        <v>591</v>
      </c>
      <c r="W364">
        <f t="shared" si="72"/>
        <v>519</v>
      </c>
      <c r="X364">
        <f t="shared" si="73"/>
        <v>0.35149999999999998</v>
      </c>
      <c r="Y364" s="1">
        <f t="shared" si="74"/>
        <v>84561538</v>
      </c>
      <c r="Z364">
        <f t="shared" si="75"/>
        <v>51624.870573870576</v>
      </c>
      <c r="AA364">
        <f t="shared" si="76"/>
        <v>99996</v>
      </c>
      <c r="AB364">
        <f t="shared" si="77"/>
        <v>5091</v>
      </c>
      <c r="AC364">
        <f t="shared" si="78"/>
        <v>2208608.0300000007</v>
      </c>
      <c r="AD364">
        <f t="shared" si="79"/>
        <v>1348.3565506715511</v>
      </c>
      <c r="AE364">
        <f t="shared" si="80"/>
        <v>0.35149999999999998</v>
      </c>
      <c r="AF364">
        <f t="shared" si="81"/>
        <v>1802392546.6200025</v>
      </c>
      <c r="AG364" t="str">
        <f t="shared" si="82"/>
        <v>Active</v>
      </c>
      <c r="AH364">
        <f t="shared" si="83"/>
        <v>14910.24</v>
      </c>
    </row>
    <row r="365" spans="1:34" x14ac:dyDescent="0.35">
      <c r="A365" t="s">
        <v>1094</v>
      </c>
      <c r="B365" t="s">
        <v>1095</v>
      </c>
      <c r="C365">
        <v>30</v>
      </c>
      <c r="D365" t="s">
        <v>38</v>
      </c>
      <c r="E365" t="s">
        <v>23</v>
      </c>
      <c r="F365" t="s">
        <v>59</v>
      </c>
      <c r="G365">
        <v>86611</v>
      </c>
      <c r="H365">
        <v>387</v>
      </c>
      <c r="I365">
        <v>5433</v>
      </c>
      <c r="J365">
        <v>22.54</v>
      </c>
      <c r="K365">
        <v>36</v>
      </c>
      <c r="L365" t="s">
        <v>33</v>
      </c>
      <c r="M365">
        <v>34.729999999999997</v>
      </c>
      <c r="N365">
        <v>10241</v>
      </c>
      <c r="O365">
        <v>126811</v>
      </c>
      <c r="P365" t="s">
        <v>1096</v>
      </c>
      <c r="Q365" t="s">
        <v>27</v>
      </c>
      <c r="R365" t="s">
        <v>28</v>
      </c>
      <c r="S365" t="s">
        <v>43</v>
      </c>
      <c r="T365">
        <v>184.93</v>
      </c>
      <c r="U365">
        <f t="shared" si="70"/>
        <v>1637</v>
      </c>
      <c r="V365">
        <f t="shared" si="71"/>
        <v>590</v>
      </c>
      <c r="W365">
        <f t="shared" si="72"/>
        <v>519</v>
      </c>
      <c r="X365">
        <f t="shared" si="73"/>
        <v>0.35149999999999998</v>
      </c>
      <c r="Y365" s="1">
        <f t="shared" si="74"/>
        <v>84493486</v>
      </c>
      <c r="Z365">
        <f t="shared" si="75"/>
        <v>51614.835675015274</v>
      </c>
      <c r="AA365">
        <f t="shared" si="76"/>
        <v>99996</v>
      </c>
      <c r="AB365">
        <f t="shared" si="77"/>
        <v>5091</v>
      </c>
      <c r="AC365">
        <f t="shared" si="78"/>
        <v>2207365.5100000002</v>
      </c>
      <c r="AD365">
        <f t="shared" si="79"/>
        <v>1348.421203420892</v>
      </c>
      <c r="AE365">
        <f t="shared" si="80"/>
        <v>0.35149999999999998</v>
      </c>
      <c r="AF365">
        <f t="shared" si="81"/>
        <v>1800183938.5900023</v>
      </c>
      <c r="AG365" t="str">
        <f t="shared" si="82"/>
        <v>Active</v>
      </c>
      <c r="AH365">
        <f t="shared" si="83"/>
        <v>2219.16</v>
      </c>
    </row>
    <row r="366" spans="1:34" x14ac:dyDescent="0.35">
      <c r="A366" t="s">
        <v>1097</v>
      </c>
      <c r="B366" t="s">
        <v>1098</v>
      </c>
      <c r="C366">
        <v>23</v>
      </c>
      <c r="D366" t="s">
        <v>22</v>
      </c>
      <c r="E366" t="s">
        <v>23</v>
      </c>
      <c r="F366" t="s">
        <v>59</v>
      </c>
      <c r="G366">
        <v>94043</v>
      </c>
      <c r="H366">
        <v>525</v>
      </c>
      <c r="I366">
        <v>70557</v>
      </c>
      <c r="J366">
        <v>19.63</v>
      </c>
      <c r="K366">
        <v>36</v>
      </c>
      <c r="L366" t="s">
        <v>52</v>
      </c>
      <c r="M366">
        <v>59.01</v>
      </c>
      <c r="N366">
        <v>17602</v>
      </c>
      <c r="O366">
        <v>143499</v>
      </c>
      <c r="P366" t="s">
        <v>933</v>
      </c>
      <c r="Q366" t="s">
        <v>42</v>
      </c>
      <c r="R366" t="s">
        <v>28</v>
      </c>
      <c r="S366" t="s">
        <v>49</v>
      </c>
      <c r="T366">
        <v>2344.65</v>
      </c>
      <c r="U366">
        <f t="shared" si="70"/>
        <v>1636</v>
      </c>
      <c r="V366">
        <f t="shared" si="71"/>
        <v>590</v>
      </c>
      <c r="W366">
        <f t="shared" si="72"/>
        <v>519</v>
      </c>
      <c r="X366">
        <f t="shared" si="73"/>
        <v>0.35149999999999998</v>
      </c>
      <c r="Y366" s="1">
        <f t="shared" si="74"/>
        <v>84488053</v>
      </c>
      <c r="Z366">
        <f t="shared" si="75"/>
        <v>51643.064180929097</v>
      </c>
      <c r="AA366">
        <f t="shared" si="76"/>
        <v>99996</v>
      </c>
      <c r="AB366">
        <f t="shared" si="77"/>
        <v>5091</v>
      </c>
      <c r="AC366">
        <f t="shared" si="78"/>
        <v>2207180.58</v>
      </c>
      <c r="AD366">
        <f t="shared" si="79"/>
        <v>1349.1323838630808</v>
      </c>
      <c r="AE366">
        <f t="shared" si="80"/>
        <v>0.35149999999999998</v>
      </c>
      <c r="AF366">
        <f t="shared" si="81"/>
        <v>1797976573.0800023</v>
      </c>
      <c r="AG366" t="str">
        <f t="shared" si="82"/>
        <v>Active</v>
      </c>
      <c r="AH366">
        <f t="shared" si="83"/>
        <v>28135.800000000003</v>
      </c>
    </row>
    <row r="367" spans="1:34" x14ac:dyDescent="0.35">
      <c r="A367" t="s">
        <v>1099</v>
      </c>
      <c r="B367" t="s">
        <v>1100</v>
      </c>
      <c r="C367">
        <v>39</v>
      </c>
      <c r="D367" t="s">
        <v>38</v>
      </c>
      <c r="E367" t="s">
        <v>32</v>
      </c>
      <c r="F367" t="s">
        <v>59</v>
      </c>
      <c r="G367">
        <v>70277</v>
      </c>
      <c r="H367">
        <v>455</v>
      </c>
      <c r="I367">
        <v>75741</v>
      </c>
      <c r="J367">
        <v>21.43</v>
      </c>
      <c r="K367">
        <v>180</v>
      </c>
      <c r="L367" t="s">
        <v>86</v>
      </c>
      <c r="M367">
        <v>38.42</v>
      </c>
      <c r="N367">
        <v>43161</v>
      </c>
      <c r="O367">
        <v>41284</v>
      </c>
      <c r="P367" t="s">
        <v>1101</v>
      </c>
      <c r="Q367" t="s">
        <v>42</v>
      </c>
      <c r="R367" t="s">
        <v>28</v>
      </c>
      <c r="S367" t="s">
        <v>49</v>
      </c>
      <c r="T367">
        <v>510.96</v>
      </c>
      <c r="U367">
        <f t="shared" si="70"/>
        <v>1635</v>
      </c>
      <c r="V367">
        <f t="shared" si="71"/>
        <v>589</v>
      </c>
      <c r="W367">
        <f t="shared" si="72"/>
        <v>519</v>
      </c>
      <c r="X367">
        <f t="shared" si="73"/>
        <v>0.35149999999999998</v>
      </c>
      <c r="Y367" s="1">
        <f t="shared" si="74"/>
        <v>84417496</v>
      </c>
      <c r="Z367">
        <f t="shared" si="75"/>
        <v>51631.496024464832</v>
      </c>
      <c r="AA367">
        <f t="shared" si="76"/>
        <v>99996</v>
      </c>
      <c r="AB367">
        <f t="shared" si="77"/>
        <v>5091</v>
      </c>
      <c r="AC367">
        <f t="shared" si="78"/>
        <v>2204835.9300000002</v>
      </c>
      <c r="AD367">
        <f t="shared" si="79"/>
        <v>1348.5235045871561</v>
      </c>
      <c r="AE367">
        <f t="shared" si="80"/>
        <v>0.35149999999999998</v>
      </c>
      <c r="AF367">
        <f t="shared" si="81"/>
        <v>1795769392.5000021</v>
      </c>
      <c r="AG367" t="str">
        <f t="shared" si="82"/>
        <v>Active</v>
      </c>
      <c r="AH367">
        <f t="shared" si="83"/>
        <v>6131.5199999999995</v>
      </c>
    </row>
    <row r="368" spans="1:34" x14ac:dyDescent="0.35">
      <c r="A368" t="s">
        <v>1102</v>
      </c>
      <c r="B368" t="s">
        <v>1103</v>
      </c>
      <c r="C368">
        <v>28</v>
      </c>
      <c r="D368" t="s">
        <v>38</v>
      </c>
      <c r="E368" t="s">
        <v>23</v>
      </c>
      <c r="F368" t="s">
        <v>46</v>
      </c>
      <c r="G368">
        <v>119201</v>
      </c>
      <c r="H368">
        <v>511</v>
      </c>
      <c r="I368">
        <v>69019</v>
      </c>
      <c r="J368">
        <v>6.39</v>
      </c>
      <c r="K368">
        <v>180</v>
      </c>
      <c r="L368" t="s">
        <v>86</v>
      </c>
      <c r="M368">
        <v>16.059999999999999</v>
      </c>
      <c r="N368">
        <v>78267</v>
      </c>
      <c r="O368">
        <v>179240</v>
      </c>
      <c r="P368" t="s">
        <v>618</v>
      </c>
      <c r="Q368" t="s">
        <v>27</v>
      </c>
      <c r="R368" t="s">
        <v>28</v>
      </c>
      <c r="S368" t="s">
        <v>68</v>
      </c>
      <c r="T368">
        <v>407.94</v>
      </c>
      <c r="U368">
        <f t="shared" si="70"/>
        <v>1634</v>
      </c>
      <c r="V368">
        <f t="shared" si="71"/>
        <v>588</v>
      </c>
      <c r="W368">
        <f t="shared" si="72"/>
        <v>519</v>
      </c>
      <c r="X368">
        <f t="shared" si="73"/>
        <v>0.35149999999999998</v>
      </c>
      <c r="Y368" s="1">
        <f t="shared" si="74"/>
        <v>84341755</v>
      </c>
      <c r="Z368">
        <f t="shared" si="75"/>
        <v>51616.741126070992</v>
      </c>
      <c r="AA368">
        <f t="shared" si="76"/>
        <v>99996</v>
      </c>
      <c r="AB368">
        <f t="shared" si="77"/>
        <v>5091</v>
      </c>
      <c r="AC368">
        <f t="shared" si="78"/>
        <v>2204324.9700000002</v>
      </c>
      <c r="AD368">
        <f t="shared" si="79"/>
        <v>1349.0360893512852</v>
      </c>
      <c r="AE368">
        <f t="shared" si="80"/>
        <v>0.35149999999999998</v>
      </c>
      <c r="AF368">
        <f t="shared" si="81"/>
        <v>1793564556.5700021</v>
      </c>
      <c r="AG368" t="str">
        <f t="shared" si="82"/>
        <v>Active</v>
      </c>
      <c r="AH368">
        <f t="shared" si="83"/>
        <v>4895.28</v>
      </c>
    </row>
    <row r="369" spans="1:34" x14ac:dyDescent="0.35">
      <c r="A369" t="s">
        <v>1104</v>
      </c>
      <c r="B369" t="s">
        <v>1105</v>
      </c>
      <c r="C369">
        <v>63</v>
      </c>
      <c r="D369" t="s">
        <v>22</v>
      </c>
      <c r="E369" t="s">
        <v>32</v>
      </c>
      <c r="F369" t="s">
        <v>59</v>
      </c>
      <c r="G369">
        <v>169649</v>
      </c>
      <c r="H369">
        <v>713</v>
      </c>
      <c r="I369">
        <v>82185</v>
      </c>
      <c r="J369">
        <v>3.5</v>
      </c>
      <c r="K369">
        <v>24</v>
      </c>
      <c r="L369" t="s">
        <v>33</v>
      </c>
      <c r="M369">
        <v>25.01</v>
      </c>
      <c r="N369">
        <v>41731</v>
      </c>
      <c r="O369">
        <v>16799</v>
      </c>
      <c r="P369" t="s">
        <v>1106</v>
      </c>
      <c r="Q369" t="s">
        <v>61</v>
      </c>
      <c r="R369" t="s">
        <v>28</v>
      </c>
      <c r="S369" t="s">
        <v>43</v>
      </c>
      <c r="T369">
        <v>3544.23</v>
      </c>
      <c r="U369">
        <f t="shared" si="70"/>
        <v>1633</v>
      </c>
      <c r="V369">
        <f t="shared" si="71"/>
        <v>588</v>
      </c>
      <c r="W369">
        <f t="shared" si="72"/>
        <v>519</v>
      </c>
      <c r="X369">
        <f t="shared" si="73"/>
        <v>0.35149999999999998</v>
      </c>
      <c r="Y369" s="1">
        <f t="shared" si="74"/>
        <v>84272736</v>
      </c>
      <c r="Z369">
        <f t="shared" si="75"/>
        <v>51606.084507042251</v>
      </c>
      <c r="AA369">
        <f t="shared" si="76"/>
        <v>99996</v>
      </c>
      <c r="AB369">
        <f t="shared" si="77"/>
        <v>5091</v>
      </c>
      <c r="AC369">
        <f t="shared" si="78"/>
        <v>2203917.0299999998</v>
      </c>
      <c r="AD369">
        <f t="shared" si="79"/>
        <v>1349.6123882424984</v>
      </c>
      <c r="AE369">
        <f t="shared" si="80"/>
        <v>0.35149999999999998</v>
      </c>
      <c r="AF369">
        <f t="shared" si="81"/>
        <v>1791360231.6000021</v>
      </c>
      <c r="AG369" t="str">
        <f t="shared" si="82"/>
        <v>Active</v>
      </c>
      <c r="AH369">
        <f t="shared" si="83"/>
        <v>42530.76</v>
      </c>
    </row>
    <row r="370" spans="1:34" x14ac:dyDescent="0.35">
      <c r="A370" t="s">
        <v>1107</v>
      </c>
      <c r="B370" t="s">
        <v>1108</v>
      </c>
      <c r="C370">
        <v>44</v>
      </c>
      <c r="D370" t="s">
        <v>22</v>
      </c>
      <c r="E370" t="s">
        <v>39</v>
      </c>
      <c r="F370" t="s">
        <v>46</v>
      </c>
      <c r="G370">
        <v>169289</v>
      </c>
      <c r="H370">
        <v>525</v>
      </c>
      <c r="I370">
        <v>79650</v>
      </c>
      <c r="J370">
        <v>4.3499999999999996</v>
      </c>
      <c r="K370">
        <v>36</v>
      </c>
      <c r="L370" t="s">
        <v>40</v>
      </c>
      <c r="M370">
        <v>35.15</v>
      </c>
      <c r="N370">
        <v>43296</v>
      </c>
      <c r="O370">
        <v>169521</v>
      </c>
      <c r="P370" t="s">
        <v>1109</v>
      </c>
      <c r="Q370" t="s">
        <v>27</v>
      </c>
      <c r="R370" t="s">
        <v>28</v>
      </c>
      <c r="S370" t="s">
        <v>35</v>
      </c>
      <c r="T370">
        <v>2308.7399999999998</v>
      </c>
      <c r="U370">
        <f t="shared" si="70"/>
        <v>1632</v>
      </c>
      <c r="V370">
        <f t="shared" si="71"/>
        <v>588</v>
      </c>
      <c r="W370">
        <f t="shared" si="72"/>
        <v>518</v>
      </c>
      <c r="X370">
        <f t="shared" si="73"/>
        <v>0.35149999999999998</v>
      </c>
      <c r="Y370" s="1">
        <f t="shared" si="74"/>
        <v>84190551</v>
      </c>
      <c r="Z370">
        <f t="shared" si="75"/>
        <v>51587.347426470587</v>
      </c>
      <c r="AA370">
        <f t="shared" si="76"/>
        <v>99996</v>
      </c>
      <c r="AB370">
        <f t="shared" si="77"/>
        <v>5091</v>
      </c>
      <c r="AC370">
        <f t="shared" si="78"/>
        <v>2200372.7999999998</v>
      </c>
      <c r="AD370">
        <f t="shared" si="79"/>
        <v>1348.2676470588235</v>
      </c>
      <c r="AE370">
        <f t="shared" si="80"/>
        <v>0.35149999999999998</v>
      </c>
      <c r="AF370">
        <f t="shared" si="81"/>
        <v>1789156314.5700021</v>
      </c>
      <c r="AG370" t="str">
        <f t="shared" si="82"/>
        <v>Active</v>
      </c>
      <c r="AH370">
        <f t="shared" si="83"/>
        <v>27704.879999999997</v>
      </c>
    </row>
    <row r="371" spans="1:34" x14ac:dyDescent="0.35">
      <c r="A371" t="s">
        <v>1110</v>
      </c>
      <c r="B371" t="s">
        <v>1111</v>
      </c>
      <c r="C371">
        <v>30</v>
      </c>
      <c r="D371" t="s">
        <v>38</v>
      </c>
      <c r="E371" t="s">
        <v>23</v>
      </c>
      <c r="F371" t="s">
        <v>46</v>
      </c>
      <c r="G371">
        <v>163720</v>
      </c>
      <c r="H371">
        <v>425</v>
      </c>
      <c r="I371">
        <v>29700</v>
      </c>
      <c r="J371">
        <v>11.19</v>
      </c>
      <c r="K371">
        <v>12</v>
      </c>
      <c r="L371" t="s">
        <v>40</v>
      </c>
      <c r="M371">
        <v>38.92</v>
      </c>
      <c r="N371">
        <v>31642</v>
      </c>
      <c r="O371">
        <v>218605</v>
      </c>
      <c r="P371" t="s">
        <v>1112</v>
      </c>
      <c r="Q371" t="s">
        <v>42</v>
      </c>
      <c r="R371" t="s">
        <v>48</v>
      </c>
      <c r="S371" t="s">
        <v>35</v>
      </c>
      <c r="T371">
        <v>2751.95</v>
      </c>
      <c r="U371">
        <f t="shared" si="70"/>
        <v>1631</v>
      </c>
      <c r="V371">
        <f t="shared" si="71"/>
        <v>588</v>
      </c>
      <c r="W371">
        <f t="shared" si="72"/>
        <v>518</v>
      </c>
      <c r="X371">
        <f t="shared" si="73"/>
        <v>0.35149999999999998</v>
      </c>
      <c r="Y371" s="1">
        <f t="shared" si="74"/>
        <v>84110901</v>
      </c>
      <c r="Z371">
        <f t="shared" si="75"/>
        <v>51570.141630901286</v>
      </c>
      <c r="AA371">
        <f t="shared" si="76"/>
        <v>99996</v>
      </c>
      <c r="AB371">
        <f t="shared" si="77"/>
        <v>5091</v>
      </c>
      <c r="AC371">
        <f t="shared" si="78"/>
        <v>2198064.0599999996</v>
      </c>
      <c r="AD371">
        <f t="shared" si="79"/>
        <v>1347.6787614960144</v>
      </c>
      <c r="AE371">
        <f t="shared" si="80"/>
        <v>0.35149999999999998</v>
      </c>
      <c r="AF371">
        <f t="shared" si="81"/>
        <v>1786955941.7700021</v>
      </c>
      <c r="AG371" t="str">
        <f t="shared" si="82"/>
        <v>Active</v>
      </c>
      <c r="AH371">
        <f t="shared" si="83"/>
        <v>33023.399999999994</v>
      </c>
    </row>
    <row r="372" spans="1:34" x14ac:dyDescent="0.35">
      <c r="A372" t="s">
        <v>1113</v>
      </c>
      <c r="B372" t="s">
        <v>1114</v>
      </c>
      <c r="C372">
        <v>36</v>
      </c>
      <c r="D372" t="s">
        <v>38</v>
      </c>
      <c r="E372" t="s">
        <v>23</v>
      </c>
      <c r="F372" t="s">
        <v>59</v>
      </c>
      <c r="G372">
        <v>152547</v>
      </c>
      <c r="H372">
        <v>307</v>
      </c>
      <c r="I372">
        <v>90412</v>
      </c>
      <c r="J372">
        <v>23.25</v>
      </c>
      <c r="K372">
        <v>120</v>
      </c>
      <c r="L372" t="s">
        <v>25</v>
      </c>
      <c r="M372">
        <v>32.840000000000003</v>
      </c>
      <c r="N372">
        <v>75012</v>
      </c>
      <c r="O372">
        <v>77627</v>
      </c>
      <c r="P372" t="s">
        <v>1115</v>
      </c>
      <c r="Q372" t="s">
        <v>42</v>
      </c>
      <c r="R372" t="s">
        <v>48</v>
      </c>
      <c r="S372" t="s">
        <v>35</v>
      </c>
      <c r="T372">
        <v>928.61</v>
      </c>
      <c r="U372">
        <f t="shared" si="70"/>
        <v>1630</v>
      </c>
      <c r="V372">
        <f t="shared" si="71"/>
        <v>587</v>
      </c>
      <c r="W372">
        <f t="shared" si="72"/>
        <v>518</v>
      </c>
      <c r="X372">
        <f t="shared" si="73"/>
        <v>0.35149999999999998</v>
      </c>
      <c r="Y372" s="1">
        <f t="shared" si="74"/>
        <v>84081201</v>
      </c>
      <c r="Z372">
        <f t="shared" si="75"/>
        <v>51583.558895705522</v>
      </c>
      <c r="AA372">
        <f t="shared" si="76"/>
        <v>99996</v>
      </c>
      <c r="AB372">
        <f t="shared" si="77"/>
        <v>5091</v>
      </c>
      <c r="AC372">
        <f t="shared" si="78"/>
        <v>2195312.11</v>
      </c>
      <c r="AD372">
        <f t="shared" si="79"/>
        <v>1346.8172453987729</v>
      </c>
      <c r="AE372">
        <f t="shared" si="80"/>
        <v>0.35149999999999998</v>
      </c>
      <c r="AF372">
        <f t="shared" si="81"/>
        <v>1784757877.7100019</v>
      </c>
      <c r="AG372" t="str">
        <f t="shared" si="82"/>
        <v>Over Paid</v>
      </c>
      <c r="AH372">
        <f t="shared" si="83"/>
        <v>11143.32</v>
      </c>
    </row>
    <row r="373" spans="1:34" x14ac:dyDescent="0.35">
      <c r="A373" t="s">
        <v>1116</v>
      </c>
      <c r="B373" t="s">
        <v>1117</v>
      </c>
      <c r="C373">
        <v>63</v>
      </c>
      <c r="D373" t="s">
        <v>22</v>
      </c>
      <c r="E373" t="s">
        <v>32</v>
      </c>
      <c r="F373" t="s">
        <v>59</v>
      </c>
      <c r="G373">
        <v>65965</v>
      </c>
      <c r="H373">
        <v>347</v>
      </c>
      <c r="I373">
        <v>40526</v>
      </c>
      <c r="J373">
        <v>19.89</v>
      </c>
      <c r="K373">
        <v>36</v>
      </c>
      <c r="L373" t="s">
        <v>86</v>
      </c>
      <c r="M373">
        <v>38.68</v>
      </c>
      <c r="N373">
        <v>40679</v>
      </c>
      <c r="O373">
        <v>231520</v>
      </c>
      <c r="P373" t="s">
        <v>1118</v>
      </c>
      <c r="Q373" t="s">
        <v>61</v>
      </c>
      <c r="R373" t="s">
        <v>48</v>
      </c>
      <c r="S373" t="s">
        <v>29</v>
      </c>
      <c r="T373">
        <v>1349.63</v>
      </c>
      <c r="U373">
        <f t="shared" si="70"/>
        <v>1629</v>
      </c>
      <c r="V373">
        <f t="shared" si="71"/>
        <v>586</v>
      </c>
      <c r="W373">
        <f t="shared" si="72"/>
        <v>518</v>
      </c>
      <c r="X373">
        <f t="shared" si="73"/>
        <v>0.35149999999999998</v>
      </c>
      <c r="Y373" s="1">
        <f t="shared" si="74"/>
        <v>83990789</v>
      </c>
      <c r="Z373">
        <f t="shared" si="75"/>
        <v>51559.723143032534</v>
      </c>
      <c r="AA373">
        <f t="shared" si="76"/>
        <v>99996</v>
      </c>
      <c r="AB373">
        <f t="shared" si="77"/>
        <v>5091</v>
      </c>
      <c r="AC373">
        <f t="shared" si="78"/>
        <v>2194383.5</v>
      </c>
      <c r="AD373">
        <f t="shared" si="79"/>
        <v>1347.0739717618171</v>
      </c>
      <c r="AE373">
        <f t="shared" si="80"/>
        <v>0.35149999999999998</v>
      </c>
      <c r="AF373">
        <f t="shared" si="81"/>
        <v>1782562565.6000021</v>
      </c>
      <c r="AG373" t="str">
        <f t="shared" si="82"/>
        <v>Active</v>
      </c>
      <c r="AH373">
        <f t="shared" si="83"/>
        <v>16195.560000000001</v>
      </c>
    </row>
    <row r="374" spans="1:34" x14ac:dyDescent="0.35">
      <c r="A374" t="s">
        <v>1119</v>
      </c>
      <c r="B374" t="s">
        <v>1120</v>
      </c>
      <c r="C374">
        <v>53</v>
      </c>
      <c r="D374" t="s">
        <v>22</v>
      </c>
      <c r="E374" t="s">
        <v>32</v>
      </c>
      <c r="F374" t="s">
        <v>46</v>
      </c>
      <c r="G374">
        <v>60223</v>
      </c>
      <c r="H374">
        <v>682</v>
      </c>
      <c r="I374">
        <v>46156</v>
      </c>
      <c r="J374">
        <v>4.8499999999999996</v>
      </c>
      <c r="K374">
        <v>60</v>
      </c>
      <c r="L374" t="s">
        <v>86</v>
      </c>
      <c r="M374">
        <v>16.190000000000001</v>
      </c>
      <c r="N374">
        <v>22116</v>
      </c>
      <c r="O374">
        <v>184904</v>
      </c>
      <c r="P374" t="s">
        <v>1121</v>
      </c>
      <c r="Q374" t="s">
        <v>27</v>
      </c>
      <c r="R374" t="s">
        <v>48</v>
      </c>
      <c r="S374" t="s">
        <v>49</v>
      </c>
      <c r="T374">
        <v>806.58</v>
      </c>
      <c r="U374">
        <f t="shared" si="70"/>
        <v>1628</v>
      </c>
      <c r="V374">
        <f t="shared" si="71"/>
        <v>586</v>
      </c>
      <c r="W374">
        <f t="shared" si="72"/>
        <v>517</v>
      </c>
      <c r="X374">
        <f t="shared" si="73"/>
        <v>0.35149999999999998</v>
      </c>
      <c r="Y374" s="1">
        <f t="shared" si="74"/>
        <v>83950263</v>
      </c>
      <c r="Z374">
        <f t="shared" si="75"/>
        <v>51566.500614250617</v>
      </c>
      <c r="AA374">
        <f t="shared" si="76"/>
        <v>99996</v>
      </c>
      <c r="AB374">
        <f t="shared" si="77"/>
        <v>5091</v>
      </c>
      <c r="AC374">
        <f t="shared" si="78"/>
        <v>2193033.87</v>
      </c>
      <c r="AD374">
        <f t="shared" si="79"/>
        <v>1347.0724017199018</v>
      </c>
      <c r="AE374">
        <f t="shared" si="80"/>
        <v>0.35149999999999998</v>
      </c>
      <c r="AF374">
        <f t="shared" si="81"/>
        <v>1780368182.1000021</v>
      </c>
      <c r="AG374" t="str">
        <f t="shared" si="82"/>
        <v>Active</v>
      </c>
      <c r="AH374">
        <f t="shared" si="83"/>
        <v>9678.9600000000009</v>
      </c>
    </row>
    <row r="375" spans="1:34" x14ac:dyDescent="0.35">
      <c r="A375" t="s">
        <v>1122</v>
      </c>
      <c r="B375" t="s">
        <v>1123</v>
      </c>
      <c r="C375">
        <v>62</v>
      </c>
      <c r="D375" t="s">
        <v>22</v>
      </c>
      <c r="E375" t="s">
        <v>39</v>
      </c>
      <c r="F375" t="s">
        <v>46</v>
      </c>
      <c r="G375">
        <v>66077</v>
      </c>
      <c r="H375">
        <v>447</v>
      </c>
      <c r="I375">
        <v>36685</v>
      </c>
      <c r="J375">
        <v>7.11</v>
      </c>
      <c r="K375">
        <v>36</v>
      </c>
      <c r="L375" t="s">
        <v>25</v>
      </c>
      <c r="M375">
        <v>43.13</v>
      </c>
      <c r="N375">
        <v>32287</v>
      </c>
      <c r="O375">
        <v>62251</v>
      </c>
      <c r="P375" t="s">
        <v>492</v>
      </c>
      <c r="Q375" t="s">
        <v>42</v>
      </c>
      <c r="R375" t="s">
        <v>28</v>
      </c>
      <c r="S375" t="s">
        <v>35</v>
      </c>
      <c r="T375">
        <v>1091.48</v>
      </c>
      <c r="U375">
        <f t="shared" si="70"/>
        <v>1627</v>
      </c>
      <c r="V375">
        <f t="shared" si="71"/>
        <v>586</v>
      </c>
      <c r="W375">
        <f t="shared" si="72"/>
        <v>517</v>
      </c>
      <c r="X375">
        <f t="shared" si="73"/>
        <v>0.35149999999999998</v>
      </c>
      <c r="Y375" s="1">
        <f t="shared" si="74"/>
        <v>83904107</v>
      </c>
      <c r="Z375">
        <f t="shared" si="75"/>
        <v>51569.826060233558</v>
      </c>
      <c r="AA375">
        <f t="shared" si="76"/>
        <v>99996</v>
      </c>
      <c r="AB375">
        <f t="shared" si="77"/>
        <v>5091</v>
      </c>
      <c r="AC375">
        <f t="shared" si="78"/>
        <v>2192227.2900000005</v>
      </c>
      <c r="AD375">
        <f t="shared" si="79"/>
        <v>1347.4046035648437</v>
      </c>
      <c r="AE375">
        <f t="shared" si="80"/>
        <v>0.35149999999999998</v>
      </c>
      <c r="AF375">
        <f t="shared" si="81"/>
        <v>1778175148.2300022</v>
      </c>
      <c r="AG375" t="str">
        <f t="shared" si="82"/>
        <v>Active</v>
      </c>
      <c r="AH375">
        <f t="shared" si="83"/>
        <v>13097.76</v>
      </c>
    </row>
    <row r="376" spans="1:34" x14ac:dyDescent="0.35">
      <c r="A376" t="s">
        <v>1124</v>
      </c>
      <c r="B376" t="s">
        <v>1125</v>
      </c>
      <c r="C376">
        <v>41</v>
      </c>
      <c r="D376" t="s">
        <v>22</v>
      </c>
      <c r="E376" t="s">
        <v>23</v>
      </c>
      <c r="F376" t="s">
        <v>46</v>
      </c>
      <c r="G376">
        <v>100797</v>
      </c>
      <c r="H376">
        <v>411</v>
      </c>
      <c r="I376">
        <v>78306</v>
      </c>
      <c r="J376">
        <v>19</v>
      </c>
      <c r="K376">
        <v>180</v>
      </c>
      <c r="L376" t="s">
        <v>86</v>
      </c>
      <c r="M376">
        <v>22.41</v>
      </c>
      <c r="N376">
        <v>54603</v>
      </c>
      <c r="O376">
        <v>210076</v>
      </c>
      <c r="P376" t="s">
        <v>1126</v>
      </c>
      <c r="Q376" t="s">
        <v>42</v>
      </c>
      <c r="R376" t="s">
        <v>48</v>
      </c>
      <c r="S376" t="s">
        <v>49</v>
      </c>
      <c r="T376">
        <v>517.69000000000005</v>
      </c>
      <c r="U376">
        <f t="shared" si="70"/>
        <v>1626</v>
      </c>
      <c r="V376">
        <f t="shared" si="71"/>
        <v>585</v>
      </c>
      <c r="W376">
        <f t="shared" si="72"/>
        <v>517</v>
      </c>
      <c r="X376">
        <f t="shared" si="73"/>
        <v>0.35149999999999998</v>
      </c>
      <c r="Y376" s="1">
        <f t="shared" si="74"/>
        <v>83867422</v>
      </c>
      <c r="Z376">
        <f t="shared" si="75"/>
        <v>51578.980319803195</v>
      </c>
      <c r="AA376">
        <f t="shared" si="76"/>
        <v>99996</v>
      </c>
      <c r="AB376">
        <f t="shared" si="77"/>
        <v>5091</v>
      </c>
      <c r="AC376">
        <f t="shared" si="78"/>
        <v>2191135.8100000005</v>
      </c>
      <c r="AD376">
        <f t="shared" si="79"/>
        <v>1347.5619987699881</v>
      </c>
      <c r="AE376">
        <f t="shared" si="80"/>
        <v>0.35149999999999998</v>
      </c>
      <c r="AF376">
        <f t="shared" si="81"/>
        <v>1775982920.9400022</v>
      </c>
      <c r="AG376" t="str">
        <f t="shared" si="82"/>
        <v>Active</v>
      </c>
      <c r="AH376">
        <f t="shared" si="83"/>
        <v>6212.2800000000007</v>
      </c>
    </row>
    <row r="377" spans="1:34" x14ac:dyDescent="0.35">
      <c r="A377" t="s">
        <v>1127</v>
      </c>
      <c r="B377" t="s">
        <v>1128</v>
      </c>
      <c r="C377">
        <v>41</v>
      </c>
      <c r="D377" t="s">
        <v>22</v>
      </c>
      <c r="E377" t="s">
        <v>32</v>
      </c>
      <c r="F377" t="s">
        <v>59</v>
      </c>
      <c r="G377">
        <v>39337</v>
      </c>
      <c r="H377">
        <v>515</v>
      </c>
      <c r="I377">
        <v>63527</v>
      </c>
      <c r="J377">
        <v>4.2699999999999996</v>
      </c>
      <c r="K377">
        <v>240</v>
      </c>
      <c r="L377" t="s">
        <v>33</v>
      </c>
      <c r="M377">
        <v>16.850000000000001</v>
      </c>
      <c r="N377">
        <v>72064</v>
      </c>
      <c r="O377">
        <v>56913</v>
      </c>
      <c r="P377" t="s">
        <v>1129</v>
      </c>
      <c r="Q377" t="s">
        <v>27</v>
      </c>
      <c r="R377" t="s">
        <v>48</v>
      </c>
      <c r="S377" t="s">
        <v>43</v>
      </c>
      <c r="T377">
        <v>276</v>
      </c>
      <c r="U377">
        <f t="shared" si="70"/>
        <v>1625</v>
      </c>
      <c r="V377">
        <f t="shared" si="71"/>
        <v>584</v>
      </c>
      <c r="W377">
        <f t="shared" si="72"/>
        <v>517</v>
      </c>
      <c r="X377">
        <f t="shared" si="73"/>
        <v>0.35149999999999998</v>
      </c>
      <c r="Y377" s="1">
        <f t="shared" si="74"/>
        <v>83789116</v>
      </c>
      <c r="Z377">
        <f t="shared" si="75"/>
        <v>51562.53292307692</v>
      </c>
      <c r="AA377">
        <f t="shared" si="76"/>
        <v>99996</v>
      </c>
      <c r="AB377">
        <f t="shared" si="77"/>
        <v>5091</v>
      </c>
      <c r="AC377">
        <f t="shared" si="78"/>
        <v>2190618.12</v>
      </c>
      <c r="AD377">
        <f t="shared" si="79"/>
        <v>1348.0726892307694</v>
      </c>
      <c r="AE377">
        <f t="shared" si="80"/>
        <v>0.35149999999999998</v>
      </c>
      <c r="AF377">
        <f t="shared" si="81"/>
        <v>1773791785.1300023</v>
      </c>
      <c r="AG377" t="str">
        <f t="shared" si="82"/>
        <v>Active</v>
      </c>
      <c r="AH377">
        <f t="shared" si="83"/>
        <v>3312</v>
      </c>
    </row>
    <row r="378" spans="1:34" x14ac:dyDescent="0.35">
      <c r="A378" t="s">
        <v>1130</v>
      </c>
      <c r="B378" t="s">
        <v>1131</v>
      </c>
      <c r="C378">
        <v>32</v>
      </c>
      <c r="D378" t="s">
        <v>22</v>
      </c>
      <c r="E378" t="s">
        <v>23</v>
      </c>
      <c r="F378" t="s">
        <v>59</v>
      </c>
      <c r="G378">
        <v>94293</v>
      </c>
      <c r="H378">
        <v>606</v>
      </c>
      <c r="I378">
        <v>26667</v>
      </c>
      <c r="J378">
        <v>6.24</v>
      </c>
      <c r="K378">
        <v>12</v>
      </c>
      <c r="L378" t="s">
        <v>40</v>
      </c>
      <c r="M378">
        <v>35.28</v>
      </c>
      <c r="N378">
        <v>23692</v>
      </c>
      <c r="O378">
        <v>181437</v>
      </c>
      <c r="P378" t="s">
        <v>1132</v>
      </c>
      <c r="Q378" t="s">
        <v>27</v>
      </c>
      <c r="R378" t="s">
        <v>28</v>
      </c>
      <c r="S378" t="s">
        <v>29</v>
      </c>
      <c r="T378">
        <v>2360.92</v>
      </c>
      <c r="U378">
        <f t="shared" si="70"/>
        <v>1624</v>
      </c>
      <c r="V378">
        <f t="shared" si="71"/>
        <v>584</v>
      </c>
      <c r="W378">
        <f t="shared" si="72"/>
        <v>517</v>
      </c>
      <c r="X378">
        <f t="shared" si="73"/>
        <v>0.35149999999999998</v>
      </c>
      <c r="Y378" s="1">
        <f t="shared" si="74"/>
        <v>83725589</v>
      </c>
      <c r="Z378">
        <f t="shared" si="75"/>
        <v>51555.165640394087</v>
      </c>
      <c r="AA378">
        <f t="shared" si="76"/>
        <v>99996</v>
      </c>
      <c r="AB378">
        <f t="shared" si="77"/>
        <v>5091</v>
      </c>
      <c r="AC378">
        <f t="shared" si="78"/>
        <v>2190342.12</v>
      </c>
      <c r="AD378">
        <f t="shared" si="79"/>
        <v>1348.7328325123153</v>
      </c>
      <c r="AE378">
        <f t="shared" si="80"/>
        <v>0.35149999999999998</v>
      </c>
      <c r="AF378">
        <f t="shared" si="81"/>
        <v>1771601167.0100021</v>
      </c>
      <c r="AG378" t="str">
        <f t="shared" si="82"/>
        <v>Active</v>
      </c>
      <c r="AH378">
        <f t="shared" si="83"/>
        <v>28331.040000000001</v>
      </c>
    </row>
    <row r="379" spans="1:34" x14ac:dyDescent="0.35">
      <c r="A379" t="s">
        <v>1133</v>
      </c>
      <c r="B379" t="s">
        <v>1134</v>
      </c>
      <c r="C379">
        <v>64</v>
      </c>
      <c r="D379" t="s">
        <v>22</v>
      </c>
      <c r="E379" t="s">
        <v>39</v>
      </c>
      <c r="F379" t="s">
        <v>24</v>
      </c>
      <c r="G379">
        <v>34176</v>
      </c>
      <c r="H379">
        <v>750</v>
      </c>
      <c r="I379">
        <v>48669</v>
      </c>
      <c r="J379">
        <v>7.66</v>
      </c>
      <c r="K379">
        <v>120</v>
      </c>
      <c r="L379" t="s">
        <v>40</v>
      </c>
      <c r="M379">
        <v>14.69</v>
      </c>
      <c r="N379">
        <v>68274</v>
      </c>
      <c r="O379">
        <v>23683</v>
      </c>
      <c r="P379" t="s">
        <v>1135</v>
      </c>
      <c r="Q379" t="s">
        <v>42</v>
      </c>
      <c r="R379" t="s">
        <v>48</v>
      </c>
      <c r="S379" t="s">
        <v>35</v>
      </c>
      <c r="T379">
        <v>436.64</v>
      </c>
      <c r="U379">
        <f t="shared" si="70"/>
        <v>1623</v>
      </c>
      <c r="V379">
        <f t="shared" si="71"/>
        <v>584</v>
      </c>
      <c r="W379">
        <f t="shared" si="72"/>
        <v>517</v>
      </c>
      <c r="X379">
        <f t="shared" si="73"/>
        <v>0.35149999999999998</v>
      </c>
      <c r="Y379" s="1">
        <f t="shared" si="74"/>
        <v>83698922</v>
      </c>
      <c r="Z379">
        <f t="shared" si="75"/>
        <v>51570.500308071474</v>
      </c>
      <c r="AA379">
        <f t="shared" si="76"/>
        <v>99996</v>
      </c>
      <c r="AB379">
        <f t="shared" si="77"/>
        <v>5091</v>
      </c>
      <c r="AC379">
        <f t="shared" si="78"/>
        <v>2187981.1999999997</v>
      </c>
      <c r="AD379">
        <f t="shared" si="79"/>
        <v>1348.1091805298827</v>
      </c>
      <c r="AE379">
        <f t="shared" si="80"/>
        <v>0.35149999999999998</v>
      </c>
      <c r="AF379">
        <f t="shared" si="81"/>
        <v>1769410824.8900023</v>
      </c>
      <c r="AG379" t="str">
        <f t="shared" si="82"/>
        <v>Over Paid</v>
      </c>
      <c r="AH379">
        <f t="shared" si="83"/>
        <v>5239.68</v>
      </c>
    </row>
    <row r="380" spans="1:34" x14ac:dyDescent="0.35">
      <c r="A380" t="s">
        <v>1136</v>
      </c>
      <c r="B380" t="s">
        <v>1137</v>
      </c>
      <c r="C380">
        <v>34</v>
      </c>
      <c r="D380" t="s">
        <v>22</v>
      </c>
      <c r="E380" t="s">
        <v>39</v>
      </c>
      <c r="F380" t="s">
        <v>46</v>
      </c>
      <c r="G380">
        <v>23585</v>
      </c>
      <c r="H380">
        <v>380</v>
      </c>
      <c r="I380">
        <v>34574</v>
      </c>
      <c r="J380">
        <v>5.9</v>
      </c>
      <c r="K380">
        <v>60</v>
      </c>
      <c r="L380" t="s">
        <v>33</v>
      </c>
      <c r="M380">
        <v>55.81</v>
      </c>
      <c r="N380">
        <v>3645</v>
      </c>
      <c r="O380">
        <v>55740</v>
      </c>
      <c r="P380" t="s">
        <v>1138</v>
      </c>
      <c r="Q380" t="s">
        <v>42</v>
      </c>
      <c r="R380" t="s">
        <v>48</v>
      </c>
      <c r="S380" t="s">
        <v>29</v>
      </c>
      <c r="T380">
        <v>610.23</v>
      </c>
      <c r="U380">
        <f t="shared" si="70"/>
        <v>1622</v>
      </c>
      <c r="V380">
        <f t="shared" si="71"/>
        <v>583</v>
      </c>
      <c r="W380">
        <f t="shared" si="72"/>
        <v>517</v>
      </c>
      <c r="X380">
        <f t="shared" si="73"/>
        <v>0.35149999999999998</v>
      </c>
      <c r="Y380" s="1">
        <f t="shared" si="74"/>
        <v>83650253</v>
      </c>
      <c r="Z380">
        <f t="shared" si="75"/>
        <v>51572.289149198521</v>
      </c>
      <c r="AA380">
        <f t="shared" si="76"/>
        <v>99996</v>
      </c>
      <c r="AB380">
        <f t="shared" si="77"/>
        <v>5091</v>
      </c>
      <c r="AC380">
        <f t="shared" si="78"/>
        <v>2187544.5599999996</v>
      </c>
      <c r="AD380">
        <f t="shared" si="79"/>
        <v>1348.6711220715165</v>
      </c>
      <c r="AE380">
        <f t="shared" si="80"/>
        <v>0.35149999999999998</v>
      </c>
      <c r="AF380">
        <f t="shared" si="81"/>
        <v>1767222843.690002</v>
      </c>
      <c r="AG380" t="str">
        <f t="shared" si="82"/>
        <v>Active</v>
      </c>
      <c r="AH380">
        <f t="shared" si="83"/>
        <v>7322.76</v>
      </c>
    </row>
    <row r="381" spans="1:34" x14ac:dyDescent="0.35">
      <c r="A381" t="s">
        <v>1139</v>
      </c>
      <c r="B381" t="s">
        <v>1140</v>
      </c>
      <c r="C381">
        <v>26</v>
      </c>
      <c r="D381" t="s">
        <v>22</v>
      </c>
      <c r="E381" t="s">
        <v>32</v>
      </c>
      <c r="F381" t="s">
        <v>46</v>
      </c>
      <c r="G381">
        <v>87206</v>
      </c>
      <c r="H381">
        <v>844</v>
      </c>
      <c r="I381">
        <v>13178</v>
      </c>
      <c r="J381">
        <v>10.52</v>
      </c>
      <c r="K381">
        <v>48</v>
      </c>
      <c r="L381" t="s">
        <v>40</v>
      </c>
      <c r="M381">
        <v>42.72</v>
      </c>
      <c r="N381">
        <v>40326</v>
      </c>
      <c r="O381">
        <v>21491</v>
      </c>
      <c r="P381" t="s">
        <v>1141</v>
      </c>
      <c r="Q381" t="s">
        <v>61</v>
      </c>
      <c r="R381" t="s">
        <v>28</v>
      </c>
      <c r="S381" t="s">
        <v>35</v>
      </c>
      <c r="T381">
        <v>303.42</v>
      </c>
      <c r="U381">
        <f t="shared" si="70"/>
        <v>1621</v>
      </c>
      <c r="V381">
        <f t="shared" si="71"/>
        <v>582</v>
      </c>
      <c r="W381">
        <f t="shared" si="72"/>
        <v>517</v>
      </c>
      <c r="X381">
        <f t="shared" si="73"/>
        <v>0.35149999999999998</v>
      </c>
      <c r="Y381" s="1">
        <f t="shared" si="74"/>
        <v>83615679</v>
      </c>
      <c r="Z381">
        <f t="shared" si="75"/>
        <v>51582.775447254782</v>
      </c>
      <c r="AA381">
        <f t="shared" si="76"/>
        <v>99996</v>
      </c>
      <c r="AB381">
        <f t="shared" si="77"/>
        <v>5091</v>
      </c>
      <c r="AC381">
        <f t="shared" si="78"/>
        <v>2186934.3299999996</v>
      </c>
      <c r="AD381">
        <f t="shared" si="79"/>
        <v>1349.1266687230102</v>
      </c>
      <c r="AE381">
        <f t="shared" si="80"/>
        <v>0.35149999999999998</v>
      </c>
      <c r="AF381">
        <f t="shared" si="81"/>
        <v>1765035299.130002</v>
      </c>
      <c r="AG381" t="str">
        <f t="shared" si="82"/>
        <v>Active</v>
      </c>
      <c r="AH381">
        <f t="shared" si="83"/>
        <v>3641.04</v>
      </c>
    </row>
    <row r="382" spans="1:34" x14ac:dyDescent="0.35">
      <c r="A382" t="s">
        <v>1142</v>
      </c>
      <c r="B382" t="s">
        <v>1143</v>
      </c>
      <c r="C382">
        <v>46</v>
      </c>
      <c r="D382" t="s">
        <v>22</v>
      </c>
      <c r="E382" t="s">
        <v>39</v>
      </c>
      <c r="F382" t="s">
        <v>46</v>
      </c>
      <c r="G382">
        <v>143309</v>
      </c>
      <c r="H382">
        <v>680</v>
      </c>
      <c r="I382">
        <v>37712</v>
      </c>
      <c r="J382">
        <v>12.33</v>
      </c>
      <c r="K382">
        <v>180</v>
      </c>
      <c r="L382" t="s">
        <v>25</v>
      </c>
      <c r="M382">
        <v>18.239999999999998</v>
      </c>
      <c r="N382">
        <v>78519</v>
      </c>
      <c r="O382">
        <v>185354</v>
      </c>
      <c r="P382" t="s">
        <v>1144</v>
      </c>
      <c r="Q382" t="s">
        <v>42</v>
      </c>
      <c r="R382" t="s">
        <v>48</v>
      </c>
      <c r="S382" t="s">
        <v>68</v>
      </c>
      <c r="T382">
        <v>235.34</v>
      </c>
      <c r="U382">
        <f t="shared" si="70"/>
        <v>1620</v>
      </c>
      <c r="V382">
        <f t="shared" si="71"/>
        <v>582</v>
      </c>
      <c r="W382">
        <f t="shared" si="72"/>
        <v>516</v>
      </c>
      <c r="X382">
        <f t="shared" si="73"/>
        <v>0.35149999999999998</v>
      </c>
      <c r="Y382" s="1">
        <f t="shared" si="74"/>
        <v>83602501</v>
      </c>
      <c r="Z382">
        <f t="shared" si="75"/>
        <v>51606.482098765431</v>
      </c>
      <c r="AA382">
        <f t="shared" si="76"/>
        <v>99996</v>
      </c>
      <c r="AB382">
        <f t="shared" si="77"/>
        <v>5091</v>
      </c>
      <c r="AC382">
        <f t="shared" si="78"/>
        <v>2186630.9099999997</v>
      </c>
      <c r="AD382">
        <f t="shared" si="79"/>
        <v>1349.7721666666664</v>
      </c>
      <c r="AE382">
        <f t="shared" si="80"/>
        <v>0.35149999999999998</v>
      </c>
      <c r="AF382">
        <f t="shared" si="81"/>
        <v>1762848364.8000019</v>
      </c>
      <c r="AG382" t="str">
        <f t="shared" si="82"/>
        <v>Active</v>
      </c>
      <c r="AH382">
        <f t="shared" si="83"/>
        <v>2824.08</v>
      </c>
    </row>
    <row r="383" spans="1:34" x14ac:dyDescent="0.35">
      <c r="A383" t="s">
        <v>1145</v>
      </c>
      <c r="B383" t="s">
        <v>1146</v>
      </c>
      <c r="C383">
        <v>27</v>
      </c>
      <c r="D383" t="s">
        <v>22</v>
      </c>
      <c r="E383" t="s">
        <v>32</v>
      </c>
      <c r="F383" t="s">
        <v>59</v>
      </c>
      <c r="G383">
        <v>88235</v>
      </c>
      <c r="H383">
        <v>501</v>
      </c>
      <c r="I383">
        <v>73638</v>
      </c>
      <c r="J383">
        <v>7.43</v>
      </c>
      <c r="K383">
        <v>120</v>
      </c>
      <c r="L383" t="s">
        <v>33</v>
      </c>
      <c r="M383">
        <v>21.48</v>
      </c>
      <c r="N383">
        <v>25793</v>
      </c>
      <c r="O383">
        <v>51557</v>
      </c>
      <c r="P383" t="s">
        <v>1147</v>
      </c>
      <c r="Q383" t="s">
        <v>27</v>
      </c>
      <c r="R383" t="s">
        <v>48</v>
      </c>
      <c r="S383" t="s">
        <v>68</v>
      </c>
      <c r="T383">
        <v>659.24</v>
      </c>
      <c r="U383">
        <f t="shared" si="70"/>
        <v>1619</v>
      </c>
      <c r="V383">
        <f t="shared" si="71"/>
        <v>581</v>
      </c>
      <c r="W383">
        <f t="shared" si="72"/>
        <v>516</v>
      </c>
      <c r="X383">
        <f t="shared" si="73"/>
        <v>0.35149999999999998</v>
      </c>
      <c r="Y383" s="1">
        <f t="shared" si="74"/>
        <v>83564789</v>
      </c>
      <c r="Z383">
        <f t="shared" si="75"/>
        <v>51615.064237183447</v>
      </c>
      <c r="AA383">
        <f t="shared" si="76"/>
        <v>99996</v>
      </c>
      <c r="AB383">
        <f t="shared" si="77"/>
        <v>5091</v>
      </c>
      <c r="AC383">
        <f t="shared" si="78"/>
        <v>2186395.5699999998</v>
      </c>
      <c r="AD383">
        <f t="shared" si="79"/>
        <v>1350.460512662137</v>
      </c>
      <c r="AE383">
        <f t="shared" si="80"/>
        <v>0.35149999999999998</v>
      </c>
      <c r="AF383">
        <f t="shared" si="81"/>
        <v>1760661733.8900018</v>
      </c>
      <c r="AG383" t="str">
        <f t="shared" si="82"/>
        <v>Active</v>
      </c>
      <c r="AH383">
        <f t="shared" si="83"/>
        <v>7910.88</v>
      </c>
    </row>
    <row r="384" spans="1:34" x14ac:dyDescent="0.35">
      <c r="A384" t="s">
        <v>1148</v>
      </c>
      <c r="B384" t="s">
        <v>1149</v>
      </c>
      <c r="C384">
        <v>54</v>
      </c>
      <c r="D384" t="s">
        <v>22</v>
      </c>
      <c r="E384" t="s">
        <v>39</v>
      </c>
      <c r="F384" t="s">
        <v>24</v>
      </c>
      <c r="G384">
        <v>67042</v>
      </c>
      <c r="H384">
        <v>696</v>
      </c>
      <c r="I384">
        <v>86423</v>
      </c>
      <c r="J384">
        <v>9.68</v>
      </c>
      <c r="K384">
        <v>36</v>
      </c>
      <c r="L384" t="s">
        <v>25</v>
      </c>
      <c r="M384">
        <v>50.05</v>
      </c>
      <c r="N384">
        <v>29866</v>
      </c>
      <c r="O384">
        <v>61175</v>
      </c>
      <c r="P384" t="s">
        <v>1150</v>
      </c>
      <c r="Q384" t="s">
        <v>42</v>
      </c>
      <c r="R384" t="s">
        <v>28</v>
      </c>
      <c r="S384" t="s">
        <v>29</v>
      </c>
      <c r="T384">
        <v>2633.02</v>
      </c>
      <c r="U384">
        <f t="shared" si="70"/>
        <v>1618</v>
      </c>
      <c r="V384">
        <f t="shared" si="71"/>
        <v>581</v>
      </c>
      <c r="W384">
        <f t="shared" si="72"/>
        <v>516</v>
      </c>
      <c r="X384">
        <f t="shared" si="73"/>
        <v>0.35149999999999998</v>
      </c>
      <c r="Y384" s="1">
        <f t="shared" si="74"/>
        <v>83491151</v>
      </c>
      <c r="Z384">
        <f t="shared" si="75"/>
        <v>51601.453028430158</v>
      </c>
      <c r="AA384">
        <f t="shared" si="76"/>
        <v>99996</v>
      </c>
      <c r="AB384">
        <f t="shared" si="77"/>
        <v>5091</v>
      </c>
      <c r="AC384">
        <f t="shared" si="78"/>
        <v>2185736.3299999996</v>
      </c>
      <c r="AD384">
        <f t="shared" si="79"/>
        <v>1350.8877194066747</v>
      </c>
      <c r="AE384">
        <f t="shared" si="80"/>
        <v>0.35149999999999998</v>
      </c>
      <c r="AF384">
        <f t="shared" si="81"/>
        <v>1758475338.3200018</v>
      </c>
      <c r="AG384" t="str">
        <f t="shared" si="82"/>
        <v>Active</v>
      </c>
      <c r="AH384">
        <f t="shared" si="83"/>
        <v>31596.239999999998</v>
      </c>
    </row>
    <row r="385" spans="1:34" x14ac:dyDescent="0.35">
      <c r="A385" t="s">
        <v>1151</v>
      </c>
      <c r="B385" t="s">
        <v>1152</v>
      </c>
      <c r="C385">
        <v>32</v>
      </c>
      <c r="D385" t="s">
        <v>22</v>
      </c>
      <c r="E385" t="s">
        <v>32</v>
      </c>
      <c r="F385" t="s">
        <v>24</v>
      </c>
      <c r="G385">
        <v>58282</v>
      </c>
      <c r="H385">
        <v>756</v>
      </c>
      <c r="I385">
        <v>29970</v>
      </c>
      <c r="J385">
        <v>9.39</v>
      </c>
      <c r="K385">
        <v>240</v>
      </c>
      <c r="L385" t="s">
        <v>40</v>
      </c>
      <c r="M385">
        <v>40.47</v>
      </c>
      <c r="N385">
        <v>76517</v>
      </c>
      <c r="O385">
        <v>150542</v>
      </c>
      <c r="P385" t="s">
        <v>436</v>
      </c>
      <c r="Q385" t="s">
        <v>27</v>
      </c>
      <c r="R385" t="s">
        <v>48</v>
      </c>
      <c r="S385" t="s">
        <v>35</v>
      </c>
      <c r="T385">
        <v>136.6</v>
      </c>
      <c r="U385">
        <f t="shared" si="70"/>
        <v>1617</v>
      </c>
      <c r="V385">
        <f t="shared" si="71"/>
        <v>580</v>
      </c>
      <c r="W385">
        <f t="shared" si="72"/>
        <v>516</v>
      </c>
      <c r="X385">
        <f t="shared" si="73"/>
        <v>0.35149999999999998</v>
      </c>
      <c r="Y385" s="1">
        <f t="shared" si="74"/>
        <v>83404728</v>
      </c>
      <c r="Z385">
        <f t="shared" si="75"/>
        <v>51579.918367346938</v>
      </c>
      <c r="AA385">
        <f t="shared" si="76"/>
        <v>99996</v>
      </c>
      <c r="AB385">
        <f t="shared" si="77"/>
        <v>5091</v>
      </c>
      <c r="AC385">
        <f t="shared" si="78"/>
        <v>2183103.31</v>
      </c>
      <c r="AD385">
        <f t="shared" si="79"/>
        <v>1350.0948113790971</v>
      </c>
      <c r="AE385">
        <f t="shared" si="80"/>
        <v>0.35149999999999998</v>
      </c>
      <c r="AF385">
        <f t="shared" si="81"/>
        <v>1756289601.9900019</v>
      </c>
      <c r="AG385" t="str">
        <f t="shared" si="82"/>
        <v>Active</v>
      </c>
      <c r="AH385">
        <f t="shared" si="83"/>
        <v>1639.1999999999998</v>
      </c>
    </row>
    <row r="386" spans="1:34" x14ac:dyDescent="0.35">
      <c r="A386" t="s">
        <v>1153</v>
      </c>
      <c r="B386" t="s">
        <v>1154</v>
      </c>
      <c r="C386">
        <v>41</v>
      </c>
      <c r="D386" t="s">
        <v>38</v>
      </c>
      <c r="E386" t="s">
        <v>32</v>
      </c>
      <c r="F386" t="s">
        <v>24</v>
      </c>
      <c r="G386">
        <v>178937</v>
      </c>
      <c r="H386">
        <v>347</v>
      </c>
      <c r="I386">
        <v>42176</v>
      </c>
      <c r="J386">
        <v>9.7100000000000009</v>
      </c>
      <c r="K386">
        <v>360</v>
      </c>
      <c r="L386" t="s">
        <v>86</v>
      </c>
      <c r="M386">
        <v>11.62</v>
      </c>
      <c r="N386">
        <v>21240</v>
      </c>
      <c r="O386">
        <v>39013</v>
      </c>
      <c r="P386" t="s">
        <v>1155</v>
      </c>
      <c r="Q386" t="s">
        <v>61</v>
      </c>
      <c r="R386" t="s">
        <v>28</v>
      </c>
      <c r="S386" t="s">
        <v>43</v>
      </c>
      <c r="T386">
        <v>128.53</v>
      </c>
      <c r="U386">
        <f t="shared" ref="U386:U449" si="84">COUNTA(A386:A2385)</f>
        <v>1616</v>
      </c>
      <c r="V386">
        <f t="shared" ref="V386:V449" si="85">COUNTIF(Q386:Q2385,"APPROVED")</f>
        <v>580</v>
      </c>
      <c r="W386">
        <f t="shared" ref="W386:W449" si="86">COUNTIF(Q386:Q2386,"Rejected")</f>
        <v>516</v>
      </c>
      <c r="X386">
        <f t="shared" ref="X386:X449" si="87">703/2000</f>
        <v>0.35149999999999998</v>
      </c>
      <c r="Y386" s="1">
        <f t="shared" ref="Y386:Y449" si="88">SUM(I386:I2385)</f>
        <v>83374758</v>
      </c>
      <c r="Z386">
        <f t="shared" ref="Z386:Z449" si="89">AVERAGE(I386:I20385)</f>
        <v>51593.290841584159</v>
      </c>
      <c r="AA386">
        <f t="shared" ref="AA386:AA449" si="90">MAX(I386:I2385)</f>
        <v>99996</v>
      </c>
      <c r="AB386">
        <f t="shared" ref="AB386:AB449" si="91">MIN(I386:I2385)</f>
        <v>5091</v>
      </c>
      <c r="AC386">
        <f t="shared" ref="AC386:AC449" si="92">SUM(T386:T2385)</f>
        <v>2182966.71</v>
      </c>
      <c r="AD386">
        <f t="shared" ref="AD386:AD449" si="93">AVERAGE(T386:T2385)</f>
        <v>1350.8457363861387</v>
      </c>
      <c r="AE386">
        <f t="shared" ref="AE386:AE449" si="94">703/2000</f>
        <v>0.35149999999999998</v>
      </c>
      <c r="AF386">
        <f t="shared" ref="AF386:AF449" si="95">SUM(AC386:AC2385)</f>
        <v>1754106498.680002</v>
      </c>
      <c r="AG386" t="str">
        <f t="shared" ref="AG386:AG449" si="96">IF(AH386=0,"Bad", IF(AH385&lt;I385, "Active", IF(AH385=I385, "Good", "Over Paid")))</f>
        <v>Active</v>
      </c>
      <c r="AH386">
        <f t="shared" ref="AH386:AH449" si="97">T386*12</f>
        <v>1542.3600000000001</v>
      </c>
    </row>
    <row r="387" spans="1:34" x14ac:dyDescent="0.35">
      <c r="A387" t="s">
        <v>1156</v>
      </c>
      <c r="B387" t="s">
        <v>1157</v>
      </c>
      <c r="C387">
        <v>36</v>
      </c>
      <c r="D387" t="s">
        <v>22</v>
      </c>
      <c r="E387" t="s">
        <v>32</v>
      </c>
      <c r="F387" t="s">
        <v>46</v>
      </c>
      <c r="G387">
        <v>116173</v>
      </c>
      <c r="H387">
        <v>506</v>
      </c>
      <c r="I387">
        <v>32680</v>
      </c>
      <c r="J387">
        <v>13.86</v>
      </c>
      <c r="K387">
        <v>24</v>
      </c>
      <c r="L387" t="s">
        <v>40</v>
      </c>
      <c r="M387">
        <v>48.23</v>
      </c>
      <c r="N387">
        <v>41998</v>
      </c>
      <c r="O387">
        <v>242119</v>
      </c>
      <c r="P387" t="s">
        <v>1158</v>
      </c>
      <c r="Q387" t="s">
        <v>27</v>
      </c>
      <c r="R387" t="s">
        <v>48</v>
      </c>
      <c r="S387" t="s">
        <v>43</v>
      </c>
      <c r="T387">
        <v>1550.39</v>
      </c>
      <c r="U387">
        <f t="shared" si="84"/>
        <v>1615</v>
      </c>
      <c r="V387">
        <f t="shared" si="85"/>
        <v>580</v>
      </c>
      <c r="W387">
        <f t="shared" si="86"/>
        <v>515</v>
      </c>
      <c r="X387">
        <f t="shared" si="87"/>
        <v>0.35149999999999998</v>
      </c>
      <c r="Y387" s="1">
        <f t="shared" si="88"/>
        <v>83332582</v>
      </c>
      <c r="Z387">
        <f t="shared" si="89"/>
        <v>51599.121981424149</v>
      </c>
      <c r="AA387">
        <f t="shared" si="90"/>
        <v>99996</v>
      </c>
      <c r="AB387">
        <f t="shared" si="91"/>
        <v>5091</v>
      </c>
      <c r="AC387">
        <f t="shared" si="92"/>
        <v>2182838.1799999997</v>
      </c>
      <c r="AD387">
        <f t="shared" si="93"/>
        <v>1351.602588235294</v>
      </c>
      <c r="AE387">
        <f t="shared" si="94"/>
        <v>0.35149999999999998</v>
      </c>
      <c r="AF387">
        <f t="shared" si="95"/>
        <v>1751923531.9700019</v>
      </c>
      <c r="AG387" t="str">
        <f t="shared" si="96"/>
        <v>Active</v>
      </c>
      <c r="AH387">
        <f t="shared" si="97"/>
        <v>18604.68</v>
      </c>
    </row>
    <row r="388" spans="1:34" x14ac:dyDescent="0.35">
      <c r="A388" t="s">
        <v>1159</v>
      </c>
      <c r="B388" t="s">
        <v>1160</v>
      </c>
      <c r="C388">
        <v>45</v>
      </c>
      <c r="D388" t="s">
        <v>22</v>
      </c>
      <c r="E388" t="s">
        <v>39</v>
      </c>
      <c r="F388" t="s">
        <v>59</v>
      </c>
      <c r="G388">
        <v>73995</v>
      </c>
      <c r="H388">
        <v>739</v>
      </c>
      <c r="I388">
        <v>71809</v>
      </c>
      <c r="J388">
        <v>16.989999999999998</v>
      </c>
      <c r="K388">
        <v>36</v>
      </c>
      <c r="L388" t="s">
        <v>25</v>
      </c>
      <c r="M388">
        <v>52.47</v>
      </c>
      <c r="N388">
        <v>60643</v>
      </c>
      <c r="O388">
        <v>51414</v>
      </c>
      <c r="P388" t="s">
        <v>1161</v>
      </c>
      <c r="Q388" t="s">
        <v>61</v>
      </c>
      <c r="R388" t="s">
        <v>48</v>
      </c>
      <c r="S388" t="s">
        <v>49</v>
      </c>
      <c r="T388">
        <v>2333.59</v>
      </c>
      <c r="U388">
        <f t="shared" si="84"/>
        <v>1614</v>
      </c>
      <c r="V388">
        <f t="shared" si="85"/>
        <v>580</v>
      </c>
      <c r="W388">
        <f t="shared" si="86"/>
        <v>515</v>
      </c>
      <c r="X388">
        <f t="shared" si="87"/>
        <v>0.35149999999999998</v>
      </c>
      <c r="Y388" s="1">
        <f t="shared" si="88"/>
        <v>83299902</v>
      </c>
      <c r="Z388">
        <f t="shared" si="89"/>
        <v>51610.843866171002</v>
      </c>
      <c r="AA388">
        <f t="shared" si="90"/>
        <v>99996</v>
      </c>
      <c r="AB388">
        <f t="shared" si="91"/>
        <v>5091</v>
      </c>
      <c r="AC388">
        <f t="shared" si="92"/>
        <v>2181287.79</v>
      </c>
      <c r="AD388">
        <f t="shared" si="93"/>
        <v>1351.4794237918215</v>
      </c>
      <c r="AE388">
        <f t="shared" si="94"/>
        <v>0.35149999999999998</v>
      </c>
      <c r="AF388">
        <f t="shared" si="95"/>
        <v>1749740693.7900019</v>
      </c>
      <c r="AG388" t="str">
        <f t="shared" si="96"/>
        <v>Active</v>
      </c>
      <c r="AH388">
        <f t="shared" si="97"/>
        <v>28003.08</v>
      </c>
    </row>
    <row r="389" spans="1:34" x14ac:dyDescent="0.35">
      <c r="A389" t="s">
        <v>1162</v>
      </c>
      <c r="B389" t="s">
        <v>1163</v>
      </c>
      <c r="C389">
        <v>45</v>
      </c>
      <c r="D389" t="s">
        <v>38</v>
      </c>
      <c r="E389" t="s">
        <v>23</v>
      </c>
      <c r="F389" t="s">
        <v>24</v>
      </c>
      <c r="G389">
        <v>143926</v>
      </c>
      <c r="H389">
        <v>676</v>
      </c>
      <c r="I389">
        <v>30168</v>
      </c>
      <c r="J389">
        <v>22.77</v>
      </c>
      <c r="K389">
        <v>60</v>
      </c>
      <c r="L389" t="s">
        <v>52</v>
      </c>
      <c r="M389">
        <v>43.95</v>
      </c>
      <c r="N389">
        <v>67952</v>
      </c>
      <c r="O389">
        <v>234172</v>
      </c>
      <c r="P389" t="s">
        <v>1164</v>
      </c>
      <c r="Q389" t="s">
        <v>27</v>
      </c>
      <c r="R389" t="s">
        <v>48</v>
      </c>
      <c r="S389" t="s">
        <v>35</v>
      </c>
      <c r="T389">
        <v>617.29</v>
      </c>
      <c r="U389">
        <f t="shared" si="84"/>
        <v>1613</v>
      </c>
      <c r="V389">
        <f t="shared" si="85"/>
        <v>580</v>
      </c>
      <c r="W389">
        <f t="shared" si="86"/>
        <v>514</v>
      </c>
      <c r="X389">
        <f t="shared" si="87"/>
        <v>0.35149999999999998</v>
      </c>
      <c r="Y389" s="1">
        <f t="shared" si="88"/>
        <v>83228093</v>
      </c>
      <c r="Z389">
        <f t="shared" si="89"/>
        <v>51598.321760694358</v>
      </c>
      <c r="AA389">
        <f t="shared" si="90"/>
        <v>99996</v>
      </c>
      <c r="AB389">
        <f t="shared" si="91"/>
        <v>5091</v>
      </c>
      <c r="AC389">
        <f t="shared" si="92"/>
        <v>2178954.1999999997</v>
      </c>
      <c r="AD389">
        <f t="shared" si="93"/>
        <v>1350.8705517668939</v>
      </c>
      <c r="AE389">
        <f t="shared" si="94"/>
        <v>0.35149999999999998</v>
      </c>
      <c r="AF389">
        <f t="shared" si="95"/>
        <v>1747559406.0000019</v>
      </c>
      <c r="AG389" t="str">
        <f t="shared" si="96"/>
        <v>Active</v>
      </c>
      <c r="AH389">
        <f t="shared" si="97"/>
        <v>7407.48</v>
      </c>
    </row>
    <row r="390" spans="1:34" x14ac:dyDescent="0.35">
      <c r="A390" t="s">
        <v>1165</v>
      </c>
      <c r="B390" t="s">
        <v>1166</v>
      </c>
      <c r="C390">
        <v>37</v>
      </c>
      <c r="D390" t="s">
        <v>22</v>
      </c>
      <c r="E390" t="s">
        <v>32</v>
      </c>
      <c r="F390" t="s">
        <v>59</v>
      </c>
      <c r="G390">
        <v>84121</v>
      </c>
      <c r="H390">
        <v>721</v>
      </c>
      <c r="I390">
        <v>39473</v>
      </c>
      <c r="J390">
        <v>15.93</v>
      </c>
      <c r="K390">
        <v>360</v>
      </c>
      <c r="L390" t="s">
        <v>52</v>
      </c>
      <c r="M390">
        <v>26.84</v>
      </c>
      <c r="N390">
        <v>10932</v>
      </c>
      <c r="O390">
        <v>190895</v>
      </c>
      <c r="P390" t="s">
        <v>1167</v>
      </c>
      <c r="Q390" t="s">
        <v>42</v>
      </c>
      <c r="R390" t="s">
        <v>28</v>
      </c>
      <c r="S390" t="s">
        <v>68</v>
      </c>
      <c r="T390">
        <v>127.11</v>
      </c>
      <c r="U390">
        <f t="shared" si="84"/>
        <v>1612</v>
      </c>
      <c r="V390">
        <f t="shared" si="85"/>
        <v>580</v>
      </c>
      <c r="W390">
        <f t="shared" si="86"/>
        <v>514</v>
      </c>
      <c r="X390">
        <f t="shared" si="87"/>
        <v>0.35149999999999998</v>
      </c>
      <c r="Y390" s="1">
        <f t="shared" si="88"/>
        <v>83197925</v>
      </c>
      <c r="Z390">
        <f t="shared" si="89"/>
        <v>51611.61600496278</v>
      </c>
      <c r="AA390">
        <f t="shared" si="90"/>
        <v>99996</v>
      </c>
      <c r="AB390">
        <f t="shared" si="91"/>
        <v>5091</v>
      </c>
      <c r="AC390">
        <f t="shared" si="92"/>
        <v>2178336.9099999997</v>
      </c>
      <c r="AD390">
        <f t="shared" si="93"/>
        <v>1351.3256265508683</v>
      </c>
      <c r="AE390">
        <f t="shared" si="94"/>
        <v>0.35149999999999998</v>
      </c>
      <c r="AF390">
        <f t="shared" si="95"/>
        <v>1745380451.8000016</v>
      </c>
      <c r="AG390" t="str">
        <f t="shared" si="96"/>
        <v>Active</v>
      </c>
      <c r="AH390">
        <f t="shared" si="97"/>
        <v>1525.32</v>
      </c>
    </row>
    <row r="391" spans="1:34" x14ac:dyDescent="0.35">
      <c r="A391" t="s">
        <v>1168</v>
      </c>
      <c r="B391" t="s">
        <v>1169</v>
      </c>
      <c r="C391">
        <v>34</v>
      </c>
      <c r="D391" t="s">
        <v>38</v>
      </c>
      <c r="E391" t="s">
        <v>23</v>
      </c>
      <c r="F391" t="s">
        <v>24</v>
      </c>
      <c r="G391">
        <v>68538</v>
      </c>
      <c r="H391">
        <v>391</v>
      </c>
      <c r="I391">
        <v>82862</v>
      </c>
      <c r="J391">
        <v>4.84</v>
      </c>
      <c r="K391">
        <v>360</v>
      </c>
      <c r="L391" t="s">
        <v>52</v>
      </c>
      <c r="M391">
        <v>10.1</v>
      </c>
      <c r="N391">
        <v>50899</v>
      </c>
      <c r="O391">
        <v>172497</v>
      </c>
      <c r="P391" t="s">
        <v>1170</v>
      </c>
      <c r="Q391" t="s">
        <v>27</v>
      </c>
      <c r="R391" t="s">
        <v>28</v>
      </c>
      <c r="S391" t="s">
        <v>35</v>
      </c>
      <c r="T391">
        <v>241.31</v>
      </c>
      <c r="U391">
        <f t="shared" si="84"/>
        <v>1611</v>
      </c>
      <c r="V391">
        <f t="shared" si="85"/>
        <v>579</v>
      </c>
      <c r="W391">
        <f t="shared" si="86"/>
        <v>514</v>
      </c>
      <c r="X391">
        <f t="shared" si="87"/>
        <v>0.35149999999999998</v>
      </c>
      <c r="Y391" s="1">
        <f t="shared" si="88"/>
        <v>83158452</v>
      </c>
      <c r="Z391">
        <f t="shared" si="89"/>
        <v>51619.150837988826</v>
      </c>
      <c r="AA391">
        <f t="shared" si="90"/>
        <v>99996</v>
      </c>
      <c r="AB391">
        <f t="shared" si="91"/>
        <v>5091</v>
      </c>
      <c r="AC391">
        <f t="shared" si="92"/>
        <v>2178209.7999999998</v>
      </c>
      <c r="AD391">
        <f t="shared" si="93"/>
        <v>1352.0855369335816</v>
      </c>
      <c r="AE391">
        <f t="shared" si="94"/>
        <v>0.35149999999999998</v>
      </c>
      <c r="AF391">
        <f t="shared" si="95"/>
        <v>1743202114.8900015</v>
      </c>
      <c r="AG391" t="str">
        <f t="shared" si="96"/>
        <v>Active</v>
      </c>
      <c r="AH391">
        <f t="shared" si="97"/>
        <v>2895.7200000000003</v>
      </c>
    </row>
    <row r="392" spans="1:34" x14ac:dyDescent="0.35">
      <c r="A392" t="s">
        <v>1171</v>
      </c>
      <c r="B392" t="s">
        <v>1172</v>
      </c>
      <c r="C392">
        <v>58</v>
      </c>
      <c r="D392" t="s">
        <v>38</v>
      </c>
      <c r="E392" t="s">
        <v>39</v>
      </c>
      <c r="F392" t="s">
        <v>59</v>
      </c>
      <c r="G392">
        <v>177317</v>
      </c>
      <c r="H392">
        <v>550</v>
      </c>
      <c r="I392">
        <v>25419</v>
      </c>
      <c r="J392">
        <v>13.21</v>
      </c>
      <c r="K392">
        <v>360</v>
      </c>
      <c r="L392" t="s">
        <v>33</v>
      </c>
      <c r="M392">
        <v>8.75</v>
      </c>
      <c r="N392">
        <v>60235</v>
      </c>
      <c r="O392">
        <v>2106</v>
      </c>
      <c r="P392" t="s">
        <v>1173</v>
      </c>
      <c r="Q392" t="s">
        <v>27</v>
      </c>
      <c r="R392" t="s">
        <v>28</v>
      </c>
      <c r="S392" t="s">
        <v>35</v>
      </c>
      <c r="T392">
        <v>79.94</v>
      </c>
      <c r="U392">
        <f t="shared" si="84"/>
        <v>1610</v>
      </c>
      <c r="V392">
        <f t="shared" si="85"/>
        <v>579</v>
      </c>
      <c r="W392">
        <f t="shared" si="86"/>
        <v>514</v>
      </c>
      <c r="X392">
        <f t="shared" si="87"/>
        <v>0.35149999999999998</v>
      </c>
      <c r="Y392" s="1">
        <f t="shared" si="88"/>
        <v>83075590</v>
      </c>
      <c r="Z392">
        <f t="shared" si="89"/>
        <v>51599.745341614907</v>
      </c>
      <c r="AA392">
        <f t="shared" si="90"/>
        <v>99996</v>
      </c>
      <c r="AB392">
        <f t="shared" si="91"/>
        <v>5091</v>
      </c>
      <c r="AC392">
        <f t="shared" si="92"/>
        <v>2177968.4899999998</v>
      </c>
      <c r="AD392">
        <f t="shared" si="93"/>
        <v>1352.7754596273292</v>
      </c>
      <c r="AE392">
        <f t="shared" si="94"/>
        <v>0.35149999999999998</v>
      </c>
      <c r="AF392">
        <f t="shared" si="95"/>
        <v>1741023905.0900016</v>
      </c>
      <c r="AG392" t="str">
        <f t="shared" si="96"/>
        <v>Active</v>
      </c>
      <c r="AH392">
        <f t="shared" si="97"/>
        <v>959.28</v>
      </c>
    </row>
    <row r="393" spans="1:34" x14ac:dyDescent="0.35">
      <c r="A393" t="s">
        <v>1174</v>
      </c>
      <c r="B393" t="s">
        <v>1175</v>
      </c>
      <c r="C393">
        <v>30</v>
      </c>
      <c r="D393" t="s">
        <v>22</v>
      </c>
      <c r="E393" t="s">
        <v>32</v>
      </c>
      <c r="F393" t="s">
        <v>59</v>
      </c>
      <c r="G393">
        <v>36507</v>
      </c>
      <c r="H393">
        <v>486</v>
      </c>
      <c r="I393">
        <v>83076</v>
      </c>
      <c r="J393">
        <v>13.74</v>
      </c>
      <c r="K393">
        <v>48</v>
      </c>
      <c r="L393" t="s">
        <v>25</v>
      </c>
      <c r="M393">
        <v>24.32</v>
      </c>
      <c r="N393">
        <v>21691</v>
      </c>
      <c r="O393">
        <v>249843</v>
      </c>
      <c r="P393" t="s">
        <v>1176</v>
      </c>
      <c r="Q393" t="s">
        <v>42</v>
      </c>
      <c r="R393" t="s">
        <v>48</v>
      </c>
      <c r="S393" t="s">
        <v>43</v>
      </c>
      <c r="T393">
        <v>1968.56</v>
      </c>
      <c r="U393">
        <f t="shared" si="84"/>
        <v>1609</v>
      </c>
      <c r="V393">
        <f t="shared" si="85"/>
        <v>579</v>
      </c>
      <c r="W393">
        <f t="shared" si="86"/>
        <v>514</v>
      </c>
      <c r="X393">
        <f t="shared" si="87"/>
        <v>0.35149999999999998</v>
      </c>
      <c r="Y393" s="1">
        <f t="shared" si="88"/>
        <v>83050171</v>
      </c>
      <c r="Z393">
        <f t="shared" si="89"/>
        <v>51616.016780609076</v>
      </c>
      <c r="AA393">
        <f t="shared" si="90"/>
        <v>99996</v>
      </c>
      <c r="AB393">
        <f t="shared" si="91"/>
        <v>5091</v>
      </c>
      <c r="AC393">
        <f t="shared" si="92"/>
        <v>2177888.5499999993</v>
      </c>
      <c r="AD393">
        <f t="shared" si="93"/>
        <v>1353.5665320074577</v>
      </c>
      <c r="AE393">
        <f t="shared" si="94"/>
        <v>0.35149999999999998</v>
      </c>
      <c r="AF393">
        <f t="shared" si="95"/>
        <v>1738845936.6000013</v>
      </c>
      <c r="AG393" t="str">
        <f t="shared" si="96"/>
        <v>Active</v>
      </c>
      <c r="AH393">
        <f t="shared" si="97"/>
        <v>23622.720000000001</v>
      </c>
    </row>
    <row r="394" spans="1:34" x14ac:dyDescent="0.35">
      <c r="A394" t="s">
        <v>1177</v>
      </c>
      <c r="B394" t="s">
        <v>1178</v>
      </c>
      <c r="C394">
        <v>53</v>
      </c>
      <c r="D394" t="s">
        <v>22</v>
      </c>
      <c r="E394" t="s">
        <v>23</v>
      </c>
      <c r="F394" t="s">
        <v>24</v>
      </c>
      <c r="G394">
        <v>154806</v>
      </c>
      <c r="H394">
        <v>549</v>
      </c>
      <c r="I394">
        <v>31977</v>
      </c>
      <c r="J394">
        <v>8.83</v>
      </c>
      <c r="K394">
        <v>48</v>
      </c>
      <c r="L394" t="s">
        <v>33</v>
      </c>
      <c r="M394">
        <v>23.9</v>
      </c>
      <c r="N394">
        <v>42917</v>
      </c>
      <c r="O394">
        <v>153063</v>
      </c>
      <c r="P394" t="s">
        <v>1179</v>
      </c>
      <c r="Q394" t="s">
        <v>42</v>
      </c>
      <c r="R394" t="s">
        <v>28</v>
      </c>
      <c r="S394" t="s">
        <v>35</v>
      </c>
      <c r="T394">
        <v>725.01</v>
      </c>
      <c r="U394">
        <f t="shared" si="84"/>
        <v>1608</v>
      </c>
      <c r="V394">
        <f t="shared" si="85"/>
        <v>578</v>
      </c>
      <c r="W394">
        <f t="shared" si="86"/>
        <v>514</v>
      </c>
      <c r="X394">
        <f t="shared" si="87"/>
        <v>0.35149999999999998</v>
      </c>
      <c r="Y394" s="1">
        <f t="shared" si="88"/>
        <v>82967095</v>
      </c>
      <c r="Z394">
        <f t="shared" si="89"/>
        <v>51596.452114427862</v>
      </c>
      <c r="AA394">
        <f t="shared" si="90"/>
        <v>99996</v>
      </c>
      <c r="AB394">
        <f t="shared" si="91"/>
        <v>5091</v>
      </c>
      <c r="AC394">
        <f t="shared" si="92"/>
        <v>2175919.9899999993</v>
      </c>
      <c r="AD394">
        <f t="shared" si="93"/>
        <v>1353.1840733830841</v>
      </c>
      <c r="AE394">
        <f t="shared" si="94"/>
        <v>0.35149999999999998</v>
      </c>
      <c r="AF394">
        <f t="shared" si="95"/>
        <v>1736668048.0500014</v>
      </c>
      <c r="AG394" t="str">
        <f t="shared" si="96"/>
        <v>Active</v>
      </c>
      <c r="AH394">
        <f t="shared" si="97"/>
        <v>8700.119999999999</v>
      </c>
    </row>
    <row r="395" spans="1:34" x14ac:dyDescent="0.35">
      <c r="A395" t="s">
        <v>1180</v>
      </c>
      <c r="B395" t="s">
        <v>1181</v>
      </c>
      <c r="C395">
        <v>51</v>
      </c>
      <c r="D395" t="s">
        <v>22</v>
      </c>
      <c r="E395" t="s">
        <v>39</v>
      </c>
      <c r="F395" t="s">
        <v>46</v>
      </c>
      <c r="G395">
        <v>183398</v>
      </c>
      <c r="H395">
        <v>486</v>
      </c>
      <c r="I395">
        <v>58768</v>
      </c>
      <c r="J395">
        <v>16.04</v>
      </c>
      <c r="K395">
        <v>360</v>
      </c>
      <c r="L395" t="s">
        <v>33</v>
      </c>
      <c r="M395">
        <v>58.77</v>
      </c>
      <c r="N395">
        <v>53306</v>
      </c>
      <c r="O395">
        <v>87021</v>
      </c>
      <c r="P395" t="s">
        <v>1182</v>
      </c>
      <c r="Q395" t="s">
        <v>42</v>
      </c>
      <c r="R395" t="s">
        <v>28</v>
      </c>
      <c r="S395" t="s">
        <v>68</v>
      </c>
      <c r="T395">
        <v>189.43</v>
      </c>
      <c r="U395">
        <f t="shared" si="84"/>
        <v>1607</v>
      </c>
      <c r="V395">
        <f t="shared" si="85"/>
        <v>577</v>
      </c>
      <c r="W395">
        <f t="shared" si="86"/>
        <v>514</v>
      </c>
      <c r="X395">
        <f t="shared" si="87"/>
        <v>0.35149999999999998</v>
      </c>
      <c r="Y395" s="1">
        <f t="shared" si="88"/>
        <v>82935118</v>
      </c>
      <c r="Z395">
        <f t="shared" si="89"/>
        <v>51608.660858743002</v>
      </c>
      <c r="AA395">
        <f t="shared" si="90"/>
        <v>99996</v>
      </c>
      <c r="AB395">
        <f t="shared" si="91"/>
        <v>5091</v>
      </c>
      <c r="AC395">
        <f t="shared" si="92"/>
        <v>2175194.9799999995</v>
      </c>
      <c r="AD395">
        <f t="shared" si="93"/>
        <v>1353.5749719975106</v>
      </c>
      <c r="AE395">
        <f t="shared" si="94"/>
        <v>0.35149999999999998</v>
      </c>
      <c r="AF395">
        <f t="shared" si="95"/>
        <v>1734492128.0600014</v>
      </c>
      <c r="AG395" t="str">
        <f t="shared" si="96"/>
        <v>Active</v>
      </c>
      <c r="AH395">
        <f t="shared" si="97"/>
        <v>2273.16</v>
      </c>
    </row>
    <row r="396" spans="1:34" x14ac:dyDescent="0.35">
      <c r="A396" t="s">
        <v>1183</v>
      </c>
      <c r="B396" t="s">
        <v>1184</v>
      </c>
      <c r="C396">
        <v>49</v>
      </c>
      <c r="D396" t="s">
        <v>38</v>
      </c>
      <c r="E396" t="s">
        <v>32</v>
      </c>
      <c r="F396" t="s">
        <v>59</v>
      </c>
      <c r="G396">
        <v>86519</v>
      </c>
      <c r="H396">
        <v>357</v>
      </c>
      <c r="I396">
        <v>36523</v>
      </c>
      <c r="J396">
        <v>15.82</v>
      </c>
      <c r="K396">
        <v>36</v>
      </c>
      <c r="L396" t="s">
        <v>33</v>
      </c>
      <c r="M396">
        <v>41.11</v>
      </c>
      <c r="N396">
        <v>59121</v>
      </c>
      <c r="O396">
        <v>43139</v>
      </c>
      <c r="P396" t="s">
        <v>1185</v>
      </c>
      <c r="Q396" t="s">
        <v>42</v>
      </c>
      <c r="R396" t="s">
        <v>48</v>
      </c>
      <c r="S396" t="s">
        <v>43</v>
      </c>
      <c r="T396">
        <v>1175.03</v>
      </c>
      <c r="U396">
        <f t="shared" si="84"/>
        <v>1606</v>
      </c>
      <c r="V396">
        <f t="shared" si="85"/>
        <v>576</v>
      </c>
      <c r="W396">
        <f t="shared" si="86"/>
        <v>514</v>
      </c>
      <c r="X396">
        <f t="shared" si="87"/>
        <v>0.35149999999999998</v>
      </c>
      <c r="Y396" s="1">
        <f t="shared" si="88"/>
        <v>82876350</v>
      </c>
      <c r="Z396">
        <f t="shared" si="89"/>
        <v>51604.202988792029</v>
      </c>
      <c r="AA396">
        <f t="shared" si="90"/>
        <v>99996</v>
      </c>
      <c r="AB396">
        <f t="shared" si="91"/>
        <v>5091</v>
      </c>
      <c r="AC396">
        <f t="shared" si="92"/>
        <v>2175005.5499999993</v>
      </c>
      <c r="AD396">
        <f t="shared" si="93"/>
        <v>1354.2998443337481</v>
      </c>
      <c r="AE396">
        <f t="shared" si="94"/>
        <v>0.35149999999999998</v>
      </c>
      <c r="AF396">
        <f t="shared" si="95"/>
        <v>1732316933.0800014</v>
      </c>
      <c r="AG396" t="str">
        <f t="shared" si="96"/>
        <v>Active</v>
      </c>
      <c r="AH396">
        <f t="shared" si="97"/>
        <v>14100.36</v>
      </c>
    </row>
    <row r="397" spans="1:34" x14ac:dyDescent="0.35">
      <c r="A397" t="s">
        <v>1186</v>
      </c>
      <c r="B397" t="s">
        <v>1187</v>
      </c>
      <c r="C397">
        <v>38</v>
      </c>
      <c r="D397" t="s">
        <v>22</v>
      </c>
      <c r="E397" t="s">
        <v>39</v>
      </c>
      <c r="F397" t="s">
        <v>59</v>
      </c>
      <c r="G397">
        <v>139743</v>
      </c>
      <c r="H397">
        <v>644</v>
      </c>
      <c r="I397">
        <v>99071</v>
      </c>
      <c r="J397">
        <v>9.48</v>
      </c>
      <c r="K397">
        <v>360</v>
      </c>
      <c r="L397" t="s">
        <v>86</v>
      </c>
      <c r="M397">
        <v>8.9700000000000006</v>
      </c>
      <c r="N397">
        <v>35876</v>
      </c>
      <c r="O397">
        <v>5990</v>
      </c>
      <c r="P397" t="s">
        <v>1188</v>
      </c>
      <c r="Q397" t="s">
        <v>42</v>
      </c>
      <c r="R397" t="s">
        <v>48</v>
      </c>
      <c r="S397" t="s">
        <v>43</v>
      </c>
      <c r="T397">
        <v>301.29000000000002</v>
      </c>
      <c r="U397">
        <f t="shared" si="84"/>
        <v>1605</v>
      </c>
      <c r="V397">
        <f t="shared" si="85"/>
        <v>575</v>
      </c>
      <c r="W397">
        <f t="shared" si="86"/>
        <v>514</v>
      </c>
      <c r="X397">
        <f t="shared" si="87"/>
        <v>0.35149999999999998</v>
      </c>
      <c r="Y397" s="1">
        <f t="shared" si="88"/>
        <v>82839827</v>
      </c>
      <c r="Z397">
        <f t="shared" si="89"/>
        <v>51613.599376947037</v>
      </c>
      <c r="AA397">
        <f t="shared" si="90"/>
        <v>99996</v>
      </c>
      <c r="AB397">
        <f t="shared" si="91"/>
        <v>5091</v>
      </c>
      <c r="AC397">
        <f t="shared" si="92"/>
        <v>2173830.5199999996</v>
      </c>
      <c r="AD397">
        <f t="shared" si="93"/>
        <v>1354.4115389408096</v>
      </c>
      <c r="AE397">
        <f t="shared" si="94"/>
        <v>0.35149999999999998</v>
      </c>
      <c r="AF397">
        <f t="shared" si="95"/>
        <v>1730141927.5300014</v>
      </c>
      <c r="AG397" t="str">
        <f t="shared" si="96"/>
        <v>Active</v>
      </c>
      <c r="AH397">
        <f t="shared" si="97"/>
        <v>3615.4800000000005</v>
      </c>
    </row>
    <row r="398" spans="1:34" x14ac:dyDescent="0.35">
      <c r="A398" t="s">
        <v>1189</v>
      </c>
      <c r="B398" t="s">
        <v>1190</v>
      </c>
      <c r="C398">
        <v>38</v>
      </c>
      <c r="D398" t="s">
        <v>22</v>
      </c>
      <c r="E398" t="s">
        <v>32</v>
      </c>
      <c r="F398" t="s">
        <v>24</v>
      </c>
      <c r="G398">
        <v>129178</v>
      </c>
      <c r="H398">
        <v>617</v>
      </c>
      <c r="I398">
        <v>14831</v>
      </c>
      <c r="J398">
        <v>6.47</v>
      </c>
      <c r="K398">
        <v>48</v>
      </c>
      <c r="L398" t="s">
        <v>52</v>
      </c>
      <c r="M398">
        <v>58.39</v>
      </c>
      <c r="N398">
        <v>16500</v>
      </c>
      <c r="O398">
        <v>173446</v>
      </c>
      <c r="P398" t="s">
        <v>1191</v>
      </c>
      <c r="Q398" t="s">
        <v>42</v>
      </c>
      <c r="R398" t="s">
        <v>28</v>
      </c>
      <c r="S398" t="s">
        <v>29</v>
      </c>
      <c r="T398">
        <v>328.97</v>
      </c>
      <c r="U398">
        <f t="shared" si="84"/>
        <v>1604</v>
      </c>
      <c r="V398">
        <f t="shared" si="85"/>
        <v>574</v>
      </c>
      <c r="W398">
        <f t="shared" si="86"/>
        <v>514</v>
      </c>
      <c r="X398">
        <f t="shared" si="87"/>
        <v>0.35149999999999998</v>
      </c>
      <c r="Y398" s="1">
        <f t="shared" si="88"/>
        <v>82740756</v>
      </c>
      <c r="Z398">
        <f t="shared" si="89"/>
        <v>51584.012468827932</v>
      </c>
      <c r="AA398">
        <f t="shared" si="90"/>
        <v>99996</v>
      </c>
      <c r="AB398">
        <f t="shared" si="91"/>
        <v>5091</v>
      </c>
      <c r="AC398">
        <f t="shared" si="92"/>
        <v>2173529.2299999995</v>
      </c>
      <c r="AD398">
        <f t="shared" si="93"/>
        <v>1355.0680985037404</v>
      </c>
      <c r="AE398">
        <f t="shared" si="94"/>
        <v>0.35149999999999998</v>
      </c>
      <c r="AF398">
        <f t="shared" si="95"/>
        <v>1727968097.0100014</v>
      </c>
      <c r="AG398" t="str">
        <f t="shared" si="96"/>
        <v>Active</v>
      </c>
      <c r="AH398">
        <f t="shared" si="97"/>
        <v>3947.6400000000003</v>
      </c>
    </row>
    <row r="399" spans="1:34" x14ac:dyDescent="0.35">
      <c r="A399" t="s">
        <v>1192</v>
      </c>
      <c r="B399" t="s">
        <v>1193</v>
      </c>
      <c r="C399">
        <v>43</v>
      </c>
      <c r="D399" t="s">
        <v>22</v>
      </c>
      <c r="E399" t="s">
        <v>32</v>
      </c>
      <c r="F399" t="s">
        <v>59</v>
      </c>
      <c r="G399">
        <v>163888</v>
      </c>
      <c r="H399">
        <v>806</v>
      </c>
      <c r="I399">
        <v>38482</v>
      </c>
      <c r="J399">
        <v>9.75</v>
      </c>
      <c r="K399">
        <v>240</v>
      </c>
      <c r="L399" t="s">
        <v>33</v>
      </c>
      <c r="M399">
        <v>7.53</v>
      </c>
      <c r="N399">
        <v>61497</v>
      </c>
      <c r="O399">
        <v>141091</v>
      </c>
      <c r="P399" t="s">
        <v>400</v>
      </c>
      <c r="Q399" t="s">
        <v>27</v>
      </c>
      <c r="R399" t="s">
        <v>28</v>
      </c>
      <c r="S399" t="s">
        <v>29</v>
      </c>
      <c r="T399">
        <v>175.97</v>
      </c>
      <c r="U399">
        <f t="shared" si="84"/>
        <v>1603</v>
      </c>
      <c r="V399">
        <f t="shared" si="85"/>
        <v>573</v>
      </c>
      <c r="W399">
        <f t="shared" si="86"/>
        <v>514</v>
      </c>
      <c r="X399">
        <f t="shared" si="87"/>
        <v>0.35149999999999998</v>
      </c>
      <c r="Y399" s="1">
        <f t="shared" si="88"/>
        <v>82725925</v>
      </c>
      <c r="Z399">
        <f t="shared" si="89"/>
        <v>51606.940112289456</v>
      </c>
      <c r="AA399">
        <f t="shared" si="90"/>
        <v>99996</v>
      </c>
      <c r="AB399">
        <f t="shared" si="91"/>
        <v>5091</v>
      </c>
      <c r="AC399">
        <f t="shared" si="92"/>
        <v>2173200.2599999998</v>
      </c>
      <c r="AD399">
        <f t="shared" si="93"/>
        <v>1355.7082096069867</v>
      </c>
      <c r="AE399">
        <f t="shared" si="94"/>
        <v>0.35149999999999998</v>
      </c>
      <c r="AF399">
        <f t="shared" si="95"/>
        <v>1725794567.7800014</v>
      </c>
      <c r="AG399" t="str">
        <f t="shared" si="96"/>
        <v>Active</v>
      </c>
      <c r="AH399">
        <f t="shared" si="97"/>
        <v>2111.64</v>
      </c>
    </row>
    <row r="400" spans="1:34" x14ac:dyDescent="0.35">
      <c r="A400" t="s">
        <v>1194</v>
      </c>
      <c r="B400" t="s">
        <v>1195</v>
      </c>
      <c r="C400">
        <v>55</v>
      </c>
      <c r="D400" t="s">
        <v>38</v>
      </c>
      <c r="E400" t="s">
        <v>32</v>
      </c>
      <c r="F400" t="s">
        <v>59</v>
      </c>
      <c r="G400">
        <v>130422</v>
      </c>
      <c r="H400">
        <v>462</v>
      </c>
      <c r="I400">
        <v>55555</v>
      </c>
      <c r="J400">
        <v>14.13</v>
      </c>
      <c r="K400">
        <v>360</v>
      </c>
      <c r="L400" t="s">
        <v>40</v>
      </c>
      <c r="M400">
        <v>32.96</v>
      </c>
      <c r="N400">
        <v>27794</v>
      </c>
      <c r="O400">
        <v>97720</v>
      </c>
      <c r="P400" t="s">
        <v>281</v>
      </c>
      <c r="Q400" t="s">
        <v>61</v>
      </c>
      <c r="R400" t="s">
        <v>48</v>
      </c>
      <c r="S400" t="s">
        <v>29</v>
      </c>
      <c r="T400">
        <v>176.12</v>
      </c>
      <c r="U400">
        <f t="shared" si="84"/>
        <v>1602</v>
      </c>
      <c r="V400">
        <f t="shared" si="85"/>
        <v>573</v>
      </c>
      <c r="W400">
        <f t="shared" si="86"/>
        <v>514</v>
      </c>
      <c r="X400">
        <f t="shared" si="87"/>
        <v>0.35149999999999998</v>
      </c>
      <c r="Y400" s="1">
        <f t="shared" si="88"/>
        <v>82687443</v>
      </c>
      <c r="Z400">
        <f t="shared" si="89"/>
        <v>51615.1329588015</v>
      </c>
      <c r="AA400">
        <f t="shared" si="90"/>
        <v>99996</v>
      </c>
      <c r="AB400">
        <f t="shared" si="91"/>
        <v>5091</v>
      </c>
      <c r="AC400">
        <f t="shared" si="92"/>
        <v>2173024.2899999996</v>
      </c>
      <c r="AD400">
        <f t="shared" si="93"/>
        <v>1356.4446254681645</v>
      </c>
      <c r="AE400">
        <f t="shared" si="94"/>
        <v>0.35149999999999998</v>
      </c>
      <c r="AF400">
        <f t="shared" si="95"/>
        <v>1723621367.5200014</v>
      </c>
      <c r="AG400" t="str">
        <f t="shared" si="96"/>
        <v>Active</v>
      </c>
      <c r="AH400">
        <f t="shared" si="97"/>
        <v>2113.44</v>
      </c>
    </row>
    <row r="401" spans="1:34" x14ac:dyDescent="0.35">
      <c r="A401" t="s">
        <v>1196</v>
      </c>
      <c r="B401" t="s">
        <v>1197</v>
      </c>
      <c r="C401">
        <v>29</v>
      </c>
      <c r="D401" t="s">
        <v>38</v>
      </c>
      <c r="E401" t="s">
        <v>32</v>
      </c>
      <c r="F401" t="s">
        <v>24</v>
      </c>
      <c r="G401">
        <v>28155</v>
      </c>
      <c r="H401">
        <v>633</v>
      </c>
      <c r="I401">
        <v>99497</v>
      </c>
      <c r="J401">
        <v>13.47</v>
      </c>
      <c r="K401">
        <v>240</v>
      </c>
      <c r="L401" t="s">
        <v>25</v>
      </c>
      <c r="M401">
        <v>58.13</v>
      </c>
      <c r="N401">
        <v>1137</v>
      </c>
      <c r="O401">
        <v>119213</v>
      </c>
      <c r="P401" t="s">
        <v>1198</v>
      </c>
      <c r="Q401" t="s">
        <v>42</v>
      </c>
      <c r="R401" t="s">
        <v>28</v>
      </c>
      <c r="S401" t="s">
        <v>68</v>
      </c>
      <c r="T401">
        <v>470.41</v>
      </c>
      <c r="U401">
        <f t="shared" si="84"/>
        <v>1601</v>
      </c>
      <c r="V401">
        <f t="shared" si="85"/>
        <v>573</v>
      </c>
      <c r="W401">
        <f t="shared" si="86"/>
        <v>513</v>
      </c>
      <c r="X401">
        <f t="shared" si="87"/>
        <v>0.35149999999999998</v>
      </c>
      <c r="Y401" s="1">
        <f t="shared" si="88"/>
        <v>82631888</v>
      </c>
      <c r="Z401">
        <f t="shared" si="89"/>
        <v>51612.672079950033</v>
      </c>
      <c r="AA401">
        <f t="shared" si="90"/>
        <v>99996</v>
      </c>
      <c r="AB401">
        <f t="shared" si="91"/>
        <v>5091</v>
      </c>
      <c r="AC401">
        <f t="shared" si="92"/>
        <v>2172848.17</v>
      </c>
      <c r="AD401">
        <f t="shared" si="93"/>
        <v>1357.1818675827608</v>
      </c>
      <c r="AE401">
        <f t="shared" si="94"/>
        <v>0.35149999999999998</v>
      </c>
      <c r="AF401">
        <f t="shared" si="95"/>
        <v>1721448343.2300014</v>
      </c>
      <c r="AG401" t="str">
        <f t="shared" si="96"/>
        <v>Active</v>
      </c>
      <c r="AH401">
        <f t="shared" si="97"/>
        <v>5644.92</v>
      </c>
    </row>
    <row r="402" spans="1:34" x14ac:dyDescent="0.35">
      <c r="A402" t="s">
        <v>1199</v>
      </c>
      <c r="B402" t="s">
        <v>1200</v>
      </c>
      <c r="C402">
        <v>53</v>
      </c>
      <c r="D402" t="s">
        <v>22</v>
      </c>
      <c r="E402" t="s">
        <v>23</v>
      </c>
      <c r="F402" t="s">
        <v>46</v>
      </c>
      <c r="G402">
        <v>178164</v>
      </c>
      <c r="H402">
        <v>730</v>
      </c>
      <c r="I402">
        <v>31640</v>
      </c>
      <c r="J402">
        <v>11.44</v>
      </c>
      <c r="K402">
        <v>48</v>
      </c>
      <c r="L402" t="s">
        <v>25</v>
      </c>
      <c r="M402">
        <v>28.48</v>
      </c>
      <c r="N402">
        <v>29065</v>
      </c>
      <c r="O402">
        <v>77459</v>
      </c>
      <c r="P402" t="s">
        <v>1201</v>
      </c>
      <c r="Q402" t="s">
        <v>42</v>
      </c>
      <c r="R402" t="s">
        <v>28</v>
      </c>
      <c r="S402" t="s">
        <v>43</v>
      </c>
      <c r="T402">
        <v>734.58</v>
      </c>
      <c r="U402">
        <f t="shared" si="84"/>
        <v>1600</v>
      </c>
      <c r="V402">
        <f t="shared" si="85"/>
        <v>572</v>
      </c>
      <c r="W402">
        <f t="shared" si="86"/>
        <v>513</v>
      </c>
      <c r="X402">
        <f t="shared" si="87"/>
        <v>0.35149999999999998</v>
      </c>
      <c r="Y402" s="1">
        <f t="shared" si="88"/>
        <v>82532391</v>
      </c>
      <c r="Z402">
        <f t="shared" si="89"/>
        <v>51582.744375000002</v>
      </c>
      <c r="AA402">
        <f t="shared" si="90"/>
        <v>99996</v>
      </c>
      <c r="AB402">
        <f t="shared" si="91"/>
        <v>5091</v>
      </c>
      <c r="AC402">
        <f t="shared" si="92"/>
        <v>2172377.7599999998</v>
      </c>
      <c r="AD402">
        <f t="shared" si="93"/>
        <v>1357.7360999999999</v>
      </c>
      <c r="AE402">
        <f t="shared" si="94"/>
        <v>0.35149999999999998</v>
      </c>
      <c r="AF402">
        <f t="shared" si="95"/>
        <v>1719275495.0600014</v>
      </c>
      <c r="AG402" t="str">
        <f t="shared" si="96"/>
        <v>Active</v>
      </c>
      <c r="AH402">
        <f t="shared" si="97"/>
        <v>8814.9600000000009</v>
      </c>
    </row>
    <row r="403" spans="1:34" x14ac:dyDescent="0.35">
      <c r="A403" t="s">
        <v>1202</v>
      </c>
      <c r="B403" t="s">
        <v>1203</v>
      </c>
      <c r="C403">
        <v>38</v>
      </c>
      <c r="D403" t="s">
        <v>22</v>
      </c>
      <c r="E403" t="s">
        <v>39</v>
      </c>
      <c r="F403" t="s">
        <v>46</v>
      </c>
      <c r="G403">
        <v>129314</v>
      </c>
      <c r="H403">
        <v>740</v>
      </c>
      <c r="I403">
        <v>41068</v>
      </c>
      <c r="J403">
        <v>16.88</v>
      </c>
      <c r="K403">
        <v>48</v>
      </c>
      <c r="L403" t="s">
        <v>25</v>
      </c>
      <c r="M403">
        <v>57.33</v>
      </c>
      <c r="N403">
        <v>52009</v>
      </c>
      <c r="O403">
        <v>146092</v>
      </c>
      <c r="P403" t="s">
        <v>971</v>
      </c>
      <c r="Q403" t="s">
        <v>61</v>
      </c>
      <c r="R403" t="s">
        <v>28</v>
      </c>
      <c r="S403" t="s">
        <v>49</v>
      </c>
      <c r="T403">
        <v>1000.01</v>
      </c>
      <c r="U403">
        <f t="shared" si="84"/>
        <v>1599</v>
      </c>
      <c r="V403">
        <f t="shared" si="85"/>
        <v>571</v>
      </c>
      <c r="W403">
        <f t="shared" si="86"/>
        <v>513</v>
      </c>
      <c r="X403">
        <f t="shared" si="87"/>
        <v>0.35149999999999998</v>
      </c>
      <c r="Y403" s="1">
        <f t="shared" si="88"/>
        <v>82500751</v>
      </c>
      <c r="Z403">
        <f t="shared" si="89"/>
        <v>51595.216385240776</v>
      </c>
      <c r="AA403">
        <f t="shared" si="90"/>
        <v>99996</v>
      </c>
      <c r="AB403">
        <f t="shared" si="91"/>
        <v>5091</v>
      </c>
      <c r="AC403">
        <f t="shared" si="92"/>
        <v>2171643.1799999997</v>
      </c>
      <c r="AD403">
        <f t="shared" si="93"/>
        <v>1358.1258161350843</v>
      </c>
      <c r="AE403">
        <f t="shared" si="94"/>
        <v>0.35149999999999998</v>
      </c>
      <c r="AF403">
        <f t="shared" si="95"/>
        <v>1717103117.3000014</v>
      </c>
      <c r="AG403" t="str">
        <f t="shared" si="96"/>
        <v>Active</v>
      </c>
      <c r="AH403">
        <f t="shared" si="97"/>
        <v>12000.119999999999</v>
      </c>
    </row>
    <row r="404" spans="1:34" x14ac:dyDescent="0.35">
      <c r="A404" t="s">
        <v>1204</v>
      </c>
      <c r="B404" t="s">
        <v>1205</v>
      </c>
      <c r="C404">
        <v>63</v>
      </c>
      <c r="D404" t="s">
        <v>38</v>
      </c>
      <c r="E404" t="s">
        <v>39</v>
      </c>
      <c r="F404" t="s">
        <v>24</v>
      </c>
      <c r="G404">
        <v>160589</v>
      </c>
      <c r="H404">
        <v>359</v>
      </c>
      <c r="I404">
        <v>30018</v>
      </c>
      <c r="J404">
        <v>15.96</v>
      </c>
      <c r="K404">
        <v>24</v>
      </c>
      <c r="L404" t="s">
        <v>40</v>
      </c>
      <c r="M404">
        <v>18.68</v>
      </c>
      <c r="N404">
        <v>12623</v>
      </c>
      <c r="O404">
        <v>107239</v>
      </c>
      <c r="P404" t="s">
        <v>1206</v>
      </c>
      <c r="Q404" t="s">
        <v>27</v>
      </c>
      <c r="R404" t="s">
        <v>48</v>
      </c>
      <c r="S404" t="s">
        <v>29</v>
      </c>
      <c r="T404">
        <v>1450.37</v>
      </c>
      <c r="U404">
        <f t="shared" si="84"/>
        <v>1598</v>
      </c>
      <c r="V404">
        <f t="shared" si="85"/>
        <v>571</v>
      </c>
      <c r="W404">
        <f t="shared" si="86"/>
        <v>512</v>
      </c>
      <c r="X404">
        <f t="shared" si="87"/>
        <v>0.35149999999999998</v>
      </c>
      <c r="Y404" s="1">
        <f t="shared" si="88"/>
        <v>82459683</v>
      </c>
      <c r="Z404">
        <f t="shared" si="89"/>
        <v>51601.804130162702</v>
      </c>
      <c r="AA404">
        <f t="shared" si="90"/>
        <v>99996</v>
      </c>
      <c r="AB404">
        <f t="shared" si="91"/>
        <v>5091</v>
      </c>
      <c r="AC404">
        <f t="shared" si="92"/>
        <v>2170643.1699999995</v>
      </c>
      <c r="AD404">
        <f t="shared" si="93"/>
        <v>1358.34991864831</v>
      </c>
      <c r="AE404">
        <f t="shared" si="94"/>
        <v>0.35149999999999998</v>
      </c>
      <c r="AF404">
        <f t="shared" si="95"/>
        <v>1714931474.1200011</v>
      </c>
      <c r="AG404" t="str">
        <f t="shared" si="96"/>
        <v>Active</v>
      </c>
      <c r="AH404">
        <f t="shared" si="97"/>
        <v>17404.439999999999</v>
      </c>
    </row>
    <row r="405" spans="1:34" x14ac:dyDescent="0.35">
      <c r="A405" t="s">
        <v>1207</v>
      </c>
      <c r="B405" t="s">
        <v>1208</v>
      </c>
      <c r="C405">
        <v>50</v>
      </c>
      <c r="D405" t="s">
        <v>38</v>
      </c>
      <c r="E405" t="s">
        <v>39</v>
      </c>
      <c r="F405" t="s">
        <v>46</v>
      </c>
      <c r="G405">
        <v>148626</v>
      </c>
      <c r="H405">
        <v>672</v>
      </c>
      <c r="I405">
        <v>61690</v>
      </c>
      <c r="J405">
        <v>19.79</v>
      </c>
      <c r="K405">
        <v>240</v>
      </c>
      <c r="L405" t="s">
        <v>52</v>
      </c>
      <c r="M405">
        <v>30.86</v>
      </c>
      <c r="N405">
        <v>77350</v>
      </c>
      <c r="O405">
        <v>159272</v>
      </c>
      <c r="P405" t="s">
        <v>1209</v>
      </c>
      <c r="Q405" t="s">
        <v>61</v>
      </c>
      <c r="R405" t="s">
        <v>48</v>
      </c>
      <c r="S405" t="s">
        <v>29</v>
      </c>
      <c r="T405">
        <v>307.91000000000003</v>
      </c>
      <c r="U405">
        <f t="shared" si="84"/>
        <v>1597</v>
      </c>
      <c r="V405">
        <f t="shared" si="85"/>
        <v>571</v>
      </c>
      <c r="W405">
        <f t="shared" si="86"/>
        <v>512</v>
      </c>
      <c r="X405">
        <f t="shared" si="87"/>
        <v>0.35149999999999998</v>
      </c>
      <c r="Y405" s="1">
        <f t="shared" si="88"/>
        <v>82429665</v>
      </c>
      <c r="Z405">
        <f t="shared" si="89"/>
        <v>51615.319348778961</v>
      </c>
      <c r="AA405">
        <f t="shared" si="90"/>
        <v>99996</v>
      </c>
      <c r="AB405">
        <f t="shared" si="91"/>
        <v>5091</v>
      </c>
      <c r="AC405">
        <f t="shared" si="92"/>
        <v>2169192.7999999998</v>
      </c>
      <c r="AD405">
        <f t="shared" si="93"/>
        <v>1358.2922980588603</v>
      </c>
      <c r="AE405">
        <f t="shared" si="94"/>
        <v>0.35149999999999998</v>
      </c>
      <c r="AF405">
        <f t="shared" si="95"/>
        <v>1712760830.9500012</v>
      </c>
      <c r="AG405" t="str">
        <f t="shared" si="96"/>
        <v>Active</v>
      </c>
      <c r="AH405">
        <f t="shared" si="97"/>
        <v>3694.92</v>
      </c>
    </row>
    <row r="406" spans="1:34" x14ac:dyDescent="0.35">
      <c r="A406" t="s">
        <v>1210</v>
      </c>
      <c r="B406" t="s">
        <v>1211</v>
      </c>
      <c r="C406">
        <v>35</v>
      </c>
      <c r="D406" t="s">
        <v>22</v>
      </c>
      <c r="E406" t="s">
        <v>32</v>
      </c>
      <c r="F406" t="s">
        <v>24</v>
      </c>
      <c r="G406">
        <v>58236</v>
      </c>
      <c r="H406">
        <v>687</v>
      </c>
      <c r="I406">
        <v>57119</v>
      </c>
      <c r="J406">
        <v>13.24</v>
      </c>
      <c r="K406">
        <v>360</v>
      </c>
      <c r="L406" t="s">
        <v>86</v>
      </c>
      <c r="M406">
        <v>9.5</v>
      </c>
      <c r="N406">
        <v>5580</v>
      </c>
      <c r="O406">
        <v>231676</v>
      </c>
      <c r="P406" t="s">
        <v>1212</v>
      </c>
      <c r="Q406" t="s">
        <v>42</v>
      </c>
      <c r="R406" t="s">
        <v>48</v>
      </c>
      <c r="S406" t="s">
        <v>29</v>
      </c>
      <c r="T406">
        <v>179.67</v>
      </c>
      <c r="U406">
        <f t="shared" si="84"/>
        <v>1596</v>
      </c>
      <c r="V406">
        <f t="shared" si="85"/>
        <v>571</v>
      </c>
      <c r="W406">
        <f t="shared" si="86"/>
        <v>511</v>
      </c>
      <c r="X406">
        <f t="shared" si="87"/>
        <v>0.35149999999999998</v>
      </c>
      <c r="Y406" s="1">
        <f t="shared" si="88"/>
        <v>82367975</v>
      </c>
      <c r="Z406">
        <f t="shared" si="89"/>
        <v>51609.00689223058</v>
      </c>
      <c r="AA406">
        <f t="shared" si="90"/>
        <v>99996</v>
      </c>
      <c r="AB406">
        <f t="shared" si="91"/>
        <v>5091</v>
      </c>
      <c r="AC406">
        <f t="shared" si="92"/>
        <v>2168884.89</v>
      </c>
      <c r="AD406">
        <f t="shared" si="93"/>
        <v>1358.9504323308272</v>
      </c>
      <c r="AE406">
        <f t="shared" si="94"/>
        <v>0.35149999999999998</v>
      </c>
      <c r="AF406">
        <f t="shared" si="95"/>
        <v>1710591638.150001</v>
      </c>
      <c r="AG406" t="str">
        <f t="shared" si="96"/>
        <v>Active</v>
      </c>
      <c r="AH406">
        <f t="shared" si="97"/>
        <v>2156.04</v>
      </c>
    </row>
    <row r="407" spans="1:34" x14ac:dyDescent="0.35">
      <c r="A407" t="s">
        <v>1213</v>
      </c>
      <c r="B407" t="s">
        <v>1214</v>
      </c>
      <c r="C407">
        <v>61</v>
      </c>
      <c r="D407" t="s">
        <v>38</v>
      </c>
      <c r="E407" t="s">
        <v>39</v>
      </c>
      <c r="F407" t="s">
        <v>46</v>
      </c>
      <c r="G407">
        <v>112880</v>
      </c>
      <c r="H407">
        <v>373</v>
      </c>
      <c r="I407">
        <v>19327</v>
      </c>
      <c r="J407">
        <v>18.36</v>
      </c>
      <c r="K407">
        <v>360</v>
      </c>
      <c r="L407" t="s">
        <v>40</v>
      </c>
      <c r="M407">
        <v>28.98</v>
      </c>
      <c r="N407">
        <v>62378</v>
      </c>
      <c r="O407">
        <v>130643</v>
      </c>
      <c r="P407" t="s">
        <v>1215</v>
      </c>
      <c r="Q407" t="s">
        <v>27</v>
      </c>
      <c r="R407" t="s">
        <v>28</v>
      </c>
      <c r="S407" t="s">
        <v>68</v>
      </c>
      <c r="T407">
        <v>63.54</v>
      </c>
      <c r="U407">
        <f t="shared" si="84"/>
        <v>1595</v>
      </c>
      <c r="V407">
        <f t="shared" si="85"/>
        <v>570</v>
      </c>
      <c r="W407">
        <f t="shared" si="86"/>
        <v>511</v>
      </c>
      <c r="X407">
        <f t="shared" si="87"/>
        <v>0.35149999999999998</v>
      </c>
      <c r="Y407" s="1">
        <f t="shared" si="88"/>
        <v>82310856</v>
      </c>
      <c r="Z407">
        <f t="shared" si="89"/>
        <v>51605.552351097176</v>
      </c>
      <c r="AA407">
        <f t="shared" si="90"/>
        <v>99996</v>
      </c>
      <c r="AB407">
        <f t="shared" si="91"/>
        <v>5091</v>
      </c>
      <c r="AC407">
        <f t="shared" si="92"/>
        <v>2168705.2200000002</v>
      </c>
      <c r="AD407">
        <f t="shared" si="93"/>
        <v>1359.6897931034484</v>
      </c>
      <c r="AE407">
        <f t="shared" si="94"/>
        <v>0.35149999999999998</v>
      </c>
      <c r="AF407">
        <f t="shared" si="95"/>
        <v>1708422753.2600012</v>
      </c>
      <c r="AG407" t="str">
        <f t="shared" si="96"/>
        <v>Active</v>
      </c>
      <c r="AH407">
        <f t="shared" si="97"/>
        <v>762.48</v>
      </c>
    </row>
    <row r="408" spans="1:34" x14ac:dyDescent="0.35">
      <c r="A408" t="s">
        <v>1216</v>
      </c>
      <c r="B408" t="s">
        <v>1217</v>
      </c>
      <c r="C408">
        <v>62</v>
      </c>
      <c r="D408" t="s">
        <v>22</v>
      </c>
      <c r="E408" t="s">
        <v>39</v>
      </c>
      <c r="F408" t="s">
        <v>46</v>
      </c>
      <c r="G408">
        <v>62231</v>
      </c>
      <c r="H408">
        <v>380</v>
      </c>
      <c r="I408">
        <v>68613</v>
      </c>
      <c r="J408">
        <v>18.96</v>
      </c>
      <c r="K408">
        <v>180</v>
      </c>
      <c r="L408" t="s">
        <v>86</v>
      </c>
      <c r="M408">
        <v>48.46</v>
      </c>
      <c r="N408">
        <v>62561</v>
      </c>
      <c r="O408">
        <v>214601</v>
      </c>
      <c r="P408" t="s">
        <v>1218</v>
      </c>
      <c r="Q408" t="s">
        <v>27</v>
      </c>
      <c r="R408" t="s">
        <v>28</v>
      </c>
      <c r="S408" t="s">
        <v>68</v>
      </c>
      <c r="T408">
        <v>453.46</v>
      </c>
      <c r="U408">
        <f t="shared" si="84"/>
        <v>1594</v>
      </c>
      <c r="V408">
        <f t="shared" si="85"/>
        <v>570</v>
      </c>
      <c r="W408">
        <f t="shared" si="86"/>
        <v>511</v>
      </c>
      <c r="X408">
        <f t="shared" si="87"/>
        <v>0.35149999999999998</v>
      </c>
      <c r="Y408" s="1">
        <f t="shared" si="88"/>
        <v>82291529</v>
      </c>
      <c r="Z408">
        <f t="shared" si="89"/>
        <v>51625.802383939772</v>
      </c>
      <c r="AA408">
        <f t="shared" si="90"/>
        <v>99996</v>
      </c>
      <c r="AB408">
        <f t="shared" si="91"/>
        <v>5091</v>
      </c>
      <c r="AC408">
        <f t="shared" si="92"/>
        <v>2168641.6800000002</v>
      </c>
      <c r="AD408">
        <f t="shared" si="93"/>
        <v>1360.5029360100377</v>
      </c>
      <c r="AE408">
        <f t="shared" si="94"/>
        <v>0.35149999999999998</v>
      </c>
      <c r="AF408">
        <f t="shared" si="95"/>
        <v>1706254048.0400009</v>
      </c>
      <c r="AG408" t="str">
        <f t="shared" si="96"/>
        <v>Active</v>
      </c>
      <c r="AH408">
        <f t="shared" si="97"/>
        <v>5441.5199999999995</v>
      </c>
    </row>
    <row r="409" spans="1:34" x14ac:dyDescent="0.35">
      <c r="A409" t="s">
        <v>1219</v>
      </c>
      <c r="B409" t="s">
        <v>1220</v>
      </c>
      <c r="C409">
        <v>56</v>
      </c>
      <c r="D409" t="s">
        <v>38</v>
      </c>
      <c r="E409" t="s">
        <v>39</v>
      </c>
      <c r="F409" t="s">
        <v>24</v>
      </c>
      <c r="G409">
        <v>154916</v>
      </c>
      <c r="H409">
        <v>576</v>
      </c>
      <c r="I409">
        <v>81515</v>
      </c>
      <c r="J409">
        <v>17.09</v>
      </c>
      <c r="K409">
        <v>120</v>
      </c>
      <c r="L409" t="s">
        <v>86</v>
      </c>
      <c r="M409">
        <v>34.58</v>
      </c>
      <c r="N409">
        <v>73569</v>
      </c>
      <c r="O409">
        <v>67134</v>
      </c>
      <c r="P409" t="s">
        <v>590</v>
      </c>
      <c r="Q409" t="s">
        <v>27</v>
      </c>
      <c r="R409" t="s">
        <v>48</v>
      </c>
      <c r="S409" t="s">
        <v>35</v>
      </c>
      <c r="T409">
        <v>795.38</v>
      </c>
      <c r="U409">
        <f t="shared" si="84"/>
        <v>1593</v>
      </c>
      <c r="V409">
        <f t="shared" si="85"/>
        <v>570</v>
      </c>
      <c r="W409">
        <f t="shared" si="86"/>
        <v>511</v>
      </c>
      <c r="X409">
        <f t="shared" si="87"/>
        <v>0.35149999999999998</v>
      </c>
      <c r="Y409" s="1">
        <f t="shared" si="88"/>
        <v>82222916</v>
      </c>
      <c r="Z409">
        <f t="shared" si="89"/>
        <v>51615.138731952291</v>
      </c>
      <c r="AA409">
        <f t="shared" si="90"/>
        <v>99996</v>
      </c>
      <c r="AB409">
        <f t="shared" si="91"/>
        <v>5091</v>
      </c>
      <c r="AC409">
        <f t="shared" si="92"/>
        <v>2168188.2200000002</v>
      </c>
      <c r="AD409">
        <f t="shared" si="93"/>
        <v>1361.0723289391087</v>
      </c>
      <c r="AE409">
        <f t="shared" si="94"/>
        <v>0.35149999999999998</v>
      </c>
      <c r="AF409">
        <f t="shared" si="95"/>
        <v>1704085406.3600011</v>
      </c>
      <c r="AG409" t="str">
        <f t="shared" si="96"/>
        <v>Active</v>
      </c>
      <c r="AH409">
        <f t="shared" si="97"/>
        <v>9544.56</v>
      </c>
    </row>
    <row r="410" spans="1:34" x14ac:dyDescent="0.35">
      <c r="A410" t="s">
        <v>1221</v>
      </c>
      <c r="B410" t="s">
        <v>1222</v>
      </c>
      <c r="C410">
        <v>54</v>
      </c>
      <c r="D410" t="s">
        <v>38</v>
      </c>
      <c r="E410" t="s">
        <v>23</v>
      </c>
      <c r="F410" t="s">
        <v>59</v>
      </c>
      <c r="G410">
        <v>189120</v>
      </c>
      <c r="H410">
        <v>498</v>
      </c>
      <c r="I410">
        <v>60968</v>
      </c>
      <c r="J410">
        <v>4.3499999999999996</v>
      </c>
      <c r="K410">
        <v>36</v>
      </c>
      <c r="L410" t="s">
        <v>25</v>
      </c>
      <c r="M410">
        <v>9.32</v>
      </c>
      <c r="N410">
        <v>63554</v>
      </c>
      <c r="O410">
        <v>98657</v>
      </c>
      <c r="P410" t="s">
        <v>1223</v>
      </c>
      <c r="Q410" t="s">
        <v>27</v>
      </c>
      <c r="R410" t="s">
        <v>28</v>
      </c>
      <c r="S410" t="s">
        <v>49</v>
      </c>
      <c r="T410">
        <v>1767.23</v>
      </c>
      <c r="U410">
        <f t="shared" si="84"/>
        <v>1592</v>
      </c>
      <c r="V410">
        <f t="shared" si="85"/>
        <v>570</v>
      </c>
      <c r="W410">
        <f t="shared" si="86"/>
        <v>511</v>
      </c>
      <c r="X410">
        <f t="shared" si="87"/>
        <v>0.35149999999999998</v>
      </c>
      <c r="Y410" s="1">
        <f t="shared" si="88"/>
        <v>82141401</v>
      </c>
      <c r="Z410">
        <f t="shared" si="89"/>
        <v>51596.357412060301</v>
      </c>
      <c r="AA410">
        <f t="shared" si="90"/>
        <v>99996</v>
      </c>
      <c r="AB410">
        <f t="shared" si="91"/>
        <v>5091</v>
      </c>
      <c r="AC410">
        <f t="shared" si="92"/>
        <v>2167392.84</v>
      </c>
      <c r="AD410">
        <f t="shared" si="93"/>
        <v>1361.4276633165828</v>
      </c>
      <c r="AE410">
        <f t="shared" si="94"/>
        <v>0.35149999999999998</v>
      </c>
      <c r="AF410">
        <f t="shared" si="95"/>
        <v>1701917218.1400011</v>
      </c>
      <c r="AG410" t="str">
        <f t="shared" si="96"/>
        <v>Active</v>
      </c>
      <c r="AH410">
        <f t="shared" si="97"/>
        <v>21206.760000000002</v>
      </c>
    </row>
    <row r="411" spans="1:34" x14ac:dyDescent="0.35">
      <c r="A411" t="s">
        <v>1224</v>
      </c>
      <c r="B411" t="s">
        <v>1225</v>
      </c>
      <c r="C411">
        <v>37</v>
      </c>
      <c r="D411" t="s">
        <v>38</v>
      </c>
      <c r="E411" t="s">
        <v>23</v>
      </c>
      <c r="F411" t="s">
        <v>24</v>
      </c>
      <c r="G411">
        <v>31160</v>
      </c>
      <c r="H411">
        <v>477</v>
      </c>
      <c r="I411">
        <v>61583</v>
      </c>
      <c r="J411">
        <v>4.29</v>
      </c>
      <c r="K411">
        <v>12</v>
      </c>
      <c r="L411" t="s">
        <v>52</v>
      </c>
      <c r="M411">
        <v>20.13</v>
      </c>
      <c r="N411">
        <v>36182</v>
      </c>
      <c r="O411">
        <v>103454</v>
      </c>
      <c r="P411" t="s">
        <v>1226</v>
      </c>
      <c r="Q411" t="s">
        <v>27</v>
      </c>
      <c r="R411" t="s">
        <v>28</v>
      </c>
      <c r="S411" t="s">
        <v>43</v>
      </c>
      <c r="T411">
        <v>5352.08</v>
      </c>
      <c r="U411">
        <f t="shared" si="84"/>
        <v>1591</v>
      </c>
      <c r="V411">
        <f t="shared" si="85"/>
        <v>570</v>
      </c>
      <c r="W411">
        <f t="shared" si="86"/>
        <v>511</v>
      </c>
      <c r="X411">
        <f t="shared" si="87"/>
        <v>0.35149999999999998</v>
      </c>
      <c r="Y411" s="1">
        <f t="shared" si="88"/>
        <v>82080433</v>
      </c>
      <c r="Z411">
        <f t="shared" si="89"/>
        <v>51590.467001885605</v>
      </c>
      <c r="AA411">
        <f t="shared" si="90"/>
        <v>99996</v>
      </c>
      <c r="AB411">
        <f t="shared" si="91"/>
        <v>5091</v>
      </c>
      <c r="AC411">
        <f t="shared" si="92"/>
        <v>2165625.6100000003</v>
      </c>
      <c r="AD411">
        <f t="shared" si="93"/>
        <v>1361.1726021370209</v>
      </c>
      <c r="AE411">
        <f t="shared" si="94"/>
        <v>0.35149999999999998</v>
      </c>
      <c r="AF411">
        <f t="shared" si="95"/>
        <v>1699749825.3000009</v>
      </c>
      <c r="AG411" t="str">
        <f t="shared" si="96"/>
        <v>Active</v>
      </c>
      <c r="AH411">
        <f t="shared" si="97"/>
        <v>64224.959999999999</v>
      </c>
    </row>
    <row r="412" spans="1:34" x14ac:dyDescent="0.35">
      <c r="A412" t="s">
        <v>1227</v>
      </c>
      <c r="B412" t="s">
        <v>1228</v>
      </c>
      <c r="C412">
        <v>59</v>
      </c>
      <c r="D412" t="s">
        <v>38</v>
      </c>
      <c r="E412" t="s">
        <v>32</v>
      </c>
      <c r="F412" t="s">
        <v>59</v>
      </c>
      <c r="G412">
        <v>191253</v>
      </c>
      <c r="H412">
        <v>390</v>
      </c>
      <c r="I412">
        <v>16379</v>
      </c>
      <c r="J412">
        <v>13.06</v>
      </c>
      <c r="K412">
        <v>12</v>
      </c>
      <c r="L412" t="s">
        <v>33</v>
      </c>
      <c r="M412">
        <v>18.260000000000002</v>
      </c>
      <c r="N412">
        <v>5305</v>
      </c>
      <c r="O412">
        <v>246578</v>
      </c>
      <c r="P412" t="s">
        <v>829</v>
      </c>
      <c r="Q412" t="s">
        <v>27</v>
      </c>
      <c r="R412" t="s">
        <v>28</v>
      </c>
      <c r="S412" t="s">
        <v>43</v>
      </c>
      <c r="T412">
        <v>1543.17</v>
      </c>
      <c r="U412">
        <f t="shared" si="84"/>
        <v>1590</v>
      </c>
      <c r="V412">
        <f t="shared" si="85"/>
        <v>570</v>
      </c>
      <c r="W412">
        <f t="shared" si="86"/>
        <v>511</v>
      </c>
      <c r="X412">
        <f t="shared" si="87"/>
        <v>0.35149999999999998</v>
      </c>
      <c r="Y412" s="1">
        <f t="shared" si="88"/>
        <v>82018850</v>
      </c>
      <c r="Z412">
        <f t="shared" si="89"/>
        <v>51584.182389937108</v>
      </c>
      <c r="AA412">
        <f t="shared" si="90"/>
        <v>99996</v>
      </c>
      <c r="AB412">
        <f t="shared" si="91"/>
        <v>5091</v>
      </c>
      <c r="AC412">
        <f t="shared" si="92"/>
        <v>2160273.5300000003</v>
      </c>
      <c r="AD412">
        <f t="shared" si="93"/>
        <v>1358.6625974842768</v>
      </c>
      <c r="AE412">
        <f t="shared" si="94"/>
        <v>0.35149999999999998</v>
      </c>
      <c r="AF412">
        <f t="shared" si="95"/>
        <v>1697584199.690001</v>
      </c>
      <c r="AG412" t="str">
        <f t="shared" si="96"/>
        <v>Over Paid</v>
      </c>
      <c r="AH412">
        <f t="shared" si="97"/>
        <v>18518.04</v>
      </c>
    </row>
    <row r="413" spans="1:34" x14ac:dyDescent="0.35">
      <c r="A413" t="s">
        <v>1229</v>
      </c>
      <c r="B413" t="s">
        <v>1230</v>
      </c>
      <c r="C413">
        <v>36</v>
      </c>
      <c r="D413" t="s">
        <v>22</v>
      </c>
      <c r="E413" t="s">
        <v>32</v>
      </c>
      <c r="F413" t="s">
        <v>24</v>
      </c>
      <c r="G413">
        <v>141964</v>
      </c>
      <c r="H413">
        <v>425</v>
      </c>
      <c r="I413">
        <v>21042</v>
      </c>
      <c r="J413">
        <v>13.54</v>
      </c>
      <c r="K413">
        <v>36</v>
      </c>
      <c r="L413" t="s">
        <v>86</v>
      </c>
      <c r="M413">
        <v>36.340000000000003</v>
      </c>
      <c r="N413">
        <v>73519</v>
      </c>
      <c r="O413">
        <v>142171</v>
      </c>
      <c r="P413" t="s">
        <v>1231</v>
      </c>
      <c r="Q413" t="s">
        <v>27</v>
      </c>
      <c r="R413" t="s">
        <v>48</v>
      </c>
      <c r="S413" t="s">
        <v>35</v>
      </c>
      <c r="T413">
        <v>663.64</v>
      </c>
      <c r="U413">
        <f t="shared" si="84"/>
        <v>1589</v>
      </c>
      <c r="V413">
        <f t="shared" si="85"/>
        <v>570</v>
      </c>
      <c r="W413">
        <f t="shared" si="86"/>
        <v>511</v>
      </c>
      <c r="X413">
        <f t="shared" si="87"/>
        <v>0.35149999999999998</v>
      </c>
      <c r="Y413" s="1">
        <f t="shared" si="88"/>
        <v>82002471</v>
      </c>
      <c r="Z413">
        <f t="shared" si="89"/>
        <v>51606.337948395216</v>
      </c>
      <c r="AA413">
        <f t="shared" si="90"/>
        <v>99996</v>
      </c>
      <c r="AB413">
        <f t="shared" si="91"/>
        <v>5091</v>
      </c>
      <c r="AC413">
        <f t="shared" si="92"/>
        <v>2158730.36</v>
      </c>
      <c r="AD413">
        <f t="shared" si="93"/>
        <v>1358.5464820641912</v>
      </c>
      <c r="AE413">
        <f t="shared" si="94"/>
        <v>0.35149999999999998</v>
      </c>
      <c r="AF413">
        <f t="shared" si="95"/>
        <v>1695423926.1600008</v>
      </c>
      <c r="AG413" t="str">
        <f t="shared" si="96"/>
        <v>Over Paid</v>
      </c>
      <c r="AH413">
        <f t="shared" si="97"/>
        <v>7963.68</v>
      </c>
    </row>
    <row r="414" spans="1:34" x14ac:dyDescent="0.35">
      <c r="A414" t="s">
        <v>1232</v>
      </c>
      <c r="B414" t="s">
        <v>1233</v>
      </c>
      <c r="C414">
        <v>56</v>
      </c>
      <c r="D414" t="s">
        <v>38</v>
      </c>
      <c r="E414" t="s">
        <v>23</v>
      </c>
      <c r="F414" t="s">
        <v>46</v>
      </c>
      <c r="G414">
        <v>93260</v>
      </c>
      <c r="H414">
        <v>309</v>
      </c>
      <c r="I414">
        <v>93626</v>
      </c>
      <c r="J414">
        <v>9.64</v>
      </c>
      <c r="K414">
        <v>36</v>
      </c>
      <c r="L414" t="s">
        <v>40</v>
      </c>
      <c r="M414">
        <v>32.549999999999997</v>
      </c>
      <c r="N414">
        <v>42206</v>
      </c>
      <c r="O414">
        <v>219873</v>
      </c>
      <c r="P414" t="s">
        <v>465</v>
      </c>
      <c r="Q414" t="s">
        <v>61</v>
      </c>
      <c r="R414" t="s">
        <v>48</v>
      </c>
      <c r="S414" t="s">
        <v>29</v>
      </c>
      <c r="T414">
        <v>2851.43</v>
      </c>
      <c r="U414">
        <f t="shared" si="84"/>
        <v>1588</v>
      </c>
      <c r="V414">
        <f t="shared" si="85"/>
        <v>570</v>
      </c>
      <c r="W414">
        <f t="shared" si="86"/>
        <v>511</v>
      </c>
      <c r="X414">
        <f t="shared" si="87"/>
        <v>0.35149999999999998</v>
      </c>
      <c r="Y414" s="1">
        <f t="shared" si="88"/>
        <v>81981429</v>
      </c>
      <c r="Z414">
        <f t="shared" si="89"/>
        <v>51625.585012594456</v>
      </c>
      <c r="AA414">
        <f t="shared" si="90"/>
        <v>99996</v>
      </c>
      <c r="AB414">
        <f t="shared" si="91"/>
        <v>5091</v>
      </c>
      <c r="AC414">
        <f t="shared" si="92"/>
        <v>2158066.7199999997</v>
      </c>
      <c r="AD414">
        <f t="shared" si="93"/>
        <v>1358.9840806045338</v>
      </c>
      <c r="AE414">
        <f t="shared" si="94"/>
        <v>0.35149999999999998</v>
      </c>
      <c r="AF414">
        <f t="shared" si="95"/>
        <v>1693265195.8000011</v>
      </c>
      <c r="AG414" t="str">
        <f t="shared" si="96"/>
        <v>Active</v>
      </c>
      <c r="AH414">
        <f t="shared" si="97"/>
        <v>34217.159999999996</v>
      </c>
    </row>
    <row r="415" spans="1:34" x14ac:dyDescent="0.35">
      <c r="A415" t="s">
        <v>1234</v>
      </c>
      <c r="B415" t="s">
        <v>1235</v>
      </c>
      <c r="C415">
        <v>47</v>
      </c>
      <c r="D415" t="s">
        <v>22</v>
      </c>
      <c r="E415" t="s">
        <v>23</v>
      </c>
      <c r="F415" t="s">
        <v>24</v>
      </c>
      <c r="G415">
        <v>177977</v>
      </c>
      <c r="H415">
        <v>468</v>
      </c>
      <c r="I415">
        <v>12012</v>
      </c>
      <c r="J415">
        <v>8.0399999999999991</v>
      </c>
      <c r="K415">
        <v>360</v>
      </c>
      <c r="L415" t="s">
        <v>25</v>
      </c>
      <c r="M415">
        <v>24.02</v>
      </c>
      <c r="N415">
        <v>66371</v>
      </c>
      <c r="O415">
        <v>187416</v>
      </c>
      <c r="P415" t="s">
        <v>1236</v>
      </c>
      <c r="Q415" t="s">
        <v>61</v>
      </c>
      <c r="R415" t="s">
        <v>28</v>
      </c>
      <c r="S415" t="s">
        <v>29</v>
      </c>
      <c r="T415">
        <v>36.049999999999997</v>
      </c>
      <c r="U415">
        <f t="shared" si="84"/>
        <v>1587</v>
      </c>
      <c r="V415">
        <f t="shared" si="85"/>
        <v>570</v>
      </c>
      <c r="W415">
        <f t="shared" si="86"/>
        <v>510</v>
      </c>
      <c r="X415">
        <f t="shared" si="87"/>
        <v>0.35149999999999998</v>
      </c>
      <c r="Y415" s="1">
        <f t="shared" si="88"/>
        <v>81887803</v>
      </c>
      <c r="Z415">
        <f t="shared" si="89"/>
        <v>51599.119722747324</v>
      </c>
      <c r="AA415">
        <f t="shared" si="90"/>
        <v>99996</v>
      </c>
      <c r="AB415">
        <f t="shared" si="91"/>
        <v>5091</v>
      </c>
      <c r="AC415">
        <f t="shared" si="92"/>
        <v>2155215.29</v>
      </c>
      <c r="AD415">
        <f t="shared" si="93"/>
        <v>1358.0436609955891</v>
      </c>
      <c r="AE415">
        <f t="shared" si="94"/>
        <v>0.35149999999999998</v>
      </c>
      <c r="AF415">
        <f t="shared" si="95"/>
        <v>1691107129.0800011</v>
      </c>
      <c r="AG415" t="str">
        <f t="shared" si="96"/>
        <v>Active</v>
      </c>
      <c r="AH415">
        <f t="shared" si="97"/>
        <v>432.59999999999997</v>
      </c>
    </row>
    <row r="416" spans="1:34" x14ac:dyDescent="0.35">
      <c r="A416" t="s">
        <v>1237</v>
      </c>
      <c r="B416" t="s">
        <v>1238</v>
      </c>
      <c r="C416">
        <v>31</v>
      </c>
      <c r="D416" t="s">
        <v>38</v>
      </c>
      <c r="E416" t="s">
        <v>39</v>
      </c>
      <c r="F416" t="s">
        <v>46</v>
      </c>
      <c r="G416">
        <v>197864</v>
      </c>
      <c r="H416">
        <v>536</v>
      </c>
      <c r="I416">
        <v>7855</v>
      </c>
      <c r="J416">
        <v>23.76</v>
      </c>
      <c r="K416">
        <v>48</v>
      </c>
      <c r="L416" t="s">
        <v>86</v>
      </c>
      <c r="M416">
        <v>58.93</v>
      </c>
      <c r="N416">
        <v>51491</v>
      </c>
      <c r="O416">
        <v>224944</v>
      </c>
      <c r="P416" t="s">
        <v>1239</v>
      </c>
      <c r="Q416" t="s">
        <v>42</v>
      </c>
      <c r="R416" t="s">
        <v>48</v>
      </c>
      <c r="S416" t="s">
        <v>35</v>
      </c>
      <c r="T416">
        <v>202.53</v>
      </c>
      <c r="U416">
        <f t="shared" si="84"/>
        <v>1586</v>
      </c>
      <c r="V416">
        <f t="shared" si="85"/>
        <v>570</v>
      </c>
      <c r="W416">
        <f t="shared" si="86"/>
        <v>509</v>
      </c>
      <c r="X416">
        <f t="shared" si="87"/>
        <v>0.35149999999999998</v>
      </c>
      <c r="Y416" s="1">
        <f t="shared" si="88"/>
        <v>81875791</v>
      </c>
      <c r="Z416">
        <f t="shared" si="89"/>
        <v>51624.080075662045</v>
      </c>
      <c r="AA416">
        <f t="shared" si="90"/>
        <v>99996</v>
      </c>
      <c r="AB416">
        <f t="shared" si="91"/>
        <v>5091</v>
      </c>
      <c r="AC416">
        <f t="shared" si="92"/>
        <v>2155179.2399999998</v>
      </c>
      <c r="AD416">
        <f t="shared" si="93"/>
        <v>1358.8772005044134</v>
      </c>
      <c r="AE416">
        <f t="shared" si="94"/>
        <v>0.35149999999999998</v>
      </c>
      <c r="AF416">
        <f t="shared" si="95"/>
        <v>1688951913.7900009</v>
      </c>
      <c r="AG416" t="str">
        <f t="shared" si="96"/>
        <v>Active</v>
      </c>
      <c r="AH416">
        <f t="shared" si="97"/>
        <v>2430.36</v>
      </c>
    </row>
    <row r="417" spans="1:34" x14ac:dyDescent="0.35">
      <c r="A417" t="s">
        <v>1240</v>
      </c>
      <c r="B417" t="s">
        <v>1241</v>
      </c>
      <c r="C417">
        <v>50</v>
      </c>
      <c r="D417" t="s">
        <v>22</v>
      </c>
      <c r="E417" t="s">
        <v>32</v>
      </c>
      <c r="F417" t="s">
        <v>24</v>
      </c>
      <c r="G417">
        <v>131419</v>
      </c>
      <c r="H417">
        <v>750</v>
      </c>
      <c r="I417">
        <v>50332</v>
      </c>
      <c r="J417">
        <v>10.33</v>
      </c>
      <c r="K417">
        <v>180</v>
      </c>
      <c r="L417" t="s">
        <v>86</v>
      </c>
      <c r="M417">
        <v>15.87</v>
      </c>
      <c r="N417">
        <v>22343</v>
      </c>
      <c r="O417">
        <v>185856</v>
      </c>
      <c r="P417" t="s">
        <v>1242</v>
      </c>
      <c r="Q417" t="s">
        <v>61</v>
      </c>
      <c r="R417" t="s">
        <v>28</v>
      </c>
      <c r="S417" t="s">
        <v>49</v>
      </c>
      <c r="T417">
        <v>308.51</v>
      </c>
      <c r="U417">
        <f t="shared" si="84"/>
        <v>1585</v>
      </c>
      <c r="V417">
        <f t="shared" si="85"/>
        <v>569</v>
      </c>
      <c r="W417">
        <f t="shared" si="86"/>
        <v>509</v>
      </c>
      <c r="X417">
        <f t="shared" si="87"/>
        <v>0.35149999999999998</v>
      </c>
      <c r="Y417" s="1">
        <f t="shared" si="88"/>
        <v>81867936</v>
      </c>
      <c r="Z417">
        <f t="shared" si="89"/>
        <v>51651.694637223976</v>
      </c>
      <c r="AA417">
        <f t="shared" si="90"/>
        <v>99996</v>
      </c>
      <c r="AB417">
        <f t="shared" si="91"/>
        <v>5091</v>
      </c>
      <c r="AC417">
        <f t="shared" si="92"/>
        <v>2154976.71</v>
      </c>
      <c r="AD417">
        <f t="shared" si="93"/>
        <v>1359.6067570977918</v>
      </c>
      <c r="AE417">
        <f t="shared" si="94"/>
        <v>0.35149999999999998</v>
      </c>
      <c r="AF417">
        <f t="shared" si="95"/>
        <v>1686796734.5500009</v>
      </c>
      <c r="AG417" t="str">
        <f t="shared" si="96"/>
        <v>Active</v>
      </c>
      <c r="AH417">
        <f t="shared" si="97"/>
        <v>3702.12</v>
      </c>
    </row>
    <row r="418" spans="1:34" x14ac:dyDescent="0.35">
      <c r="A418" t="s">
        <v>1243</v>
      </c>
      <c r="B418" t="s">
        <v>1244</v>
      </c>
      <c r="C418">
        <v>44</v>
      </c>
      <c r="D418" t="s">
        <v>38</v>
      </c>
      <c r="E418" t="s">
        <v>39</v>
      </c>
      <c r="F418" t="s">
        <v>24</v>
      </c>
      <c r="G418">
        <v>89739</v>
      </c>
      <c r="H418">
        <v>499</v>
      </c>
      <c r="I418">
        <v>99494</v>
      </c>
      <c r="J418">
        <v>14.55</v>
      </c>
      <c r="K418">
        <v>360</v>
      </c>
      <c r="L418" t="s">
        <v>52</v>
      </c>
      <c r="M418">
        <v>35.36</v>
      </c>
      <c r="N418">
        <v>28366</v>
      </c>
      <c r="O418">
        <v>111476</v>
      </c>
      <c r="P418" t="s">
        <v>693</v>
      </c>
      <c r="Q418" t="s">
        <v>42</v>
      </c>
      <c r="R418" t="s">
        <v>28</v>
      </c>
      <c r="S418" t="s">
        <v>43</v>
      </c>
      <c r="T418">
        <v>316.58</v>
      </c>
      <c r="U418">
        <f t="shared" si="84"/>
        <v>1584</v>
      </c>
      <c r="V418">
        <f t="shared" si="85"/>
        <v>569</v>
      </c>
      <c r="W418">
        <f t="shared" si="86"/>
        <v>508</v>
      </c>
      <c r="X418">
        <f t="shared" si="87"/>
        <v>0.35149999999999998</v>
      </c>
      <c r="Y418" s="1">
        <f t="shared" si="88"/>
        <v>81817604</v>
      </c>
      <c r="Z418">
        <f t="shared" si="89"/>
        <v>51652.527777777781</v>
      </c>
      <c r="AA418">
        <f t="shared" si="90"/>
        <v>99996</v>
      </c>
      <c r="AB418">
        <f t="shared" si="91"/>
        <v>5091</v>
      </c>
      <c r="AC418">
        <f t="shared" si="92"/>
        <v>2154668.1999999997</v>
      </c>
      <c r="AD418">
        <f t="shared" si="93"/>
        <v>1360.2703282828281</v>
      </c>
      <c r="AE418">
        <f t="shared" si="94"/>
        <v>0.35149999999999998</v>
      </c>
      <c r="AF418">
        <f t="shared" si="95"/>
        <v>1684641757.8400009</v>
      </c>
      <c r="AG418" t="str">
        <f t="shared" si="96"/>
        <v>Active</v>
      </c>
      <c r="AH418">
        <f t="shared" si="97"/>
        <v>3798.96</v>
      </c>
    </row>
    <row r="419" spans="1:34" x14ac:dyDescent="0.35">
      <c r="A419" t="s">
        <v>1245</v>
      </c>
      <c r="B419" t="s">
        <v>1246</v>
      </c>
      <c r="C419">
        <v>50</v>
      </c>
      <c r="D419" t="s">
        <v>38</v>
      </c>
      <c r="E419" t="s">
        <v>23</v>
      </c>
      <c r="F419" t="s">
        <v>46</v>
      </c>
      <c r="G419">
        <v>169445</v>
      </c>
      <c r="H419">
        <v>434</v>
      </c>
      <c r="I419">
        <v>34735</v>
      </c>
      <c r="J419">
        <v>4.47</v>
      </c>
      <c r="K419">
        <v>24</v>
      </c>
      <c r="L419" t="s">
        <v>86</v>
      </c>
      <c r="M419">
        <v>46.22</v>
      </c>
      <c r="N419">
        <v>64873</v>
      </c>
      <c r="O419">
        <v>105040</v>
      </c>
      <c r="P419" t="s">
        <v>1247</v>
      </c>
      <c r="Q419" t="s">
        <v>61</v>
      </c>
      <c r="R419" t="s">
        <v>48</v>
      </c>
      <c r="S419" t="s">
        <v>68</v>
      </c>
      <c r="T419">
        <v>1511.99</v>
      </c>
      <c r="U419">
        <f t="shared" si="84"/>
        <v>1583</v>
      </c>
      <c r="V419">
        <f t="shared" si="85"/>
        <v>568</v>
      </c>
      <c r="W419">
        <f t="shared" si="86"/>
        <v>508</v>
      </c>
      <c r="X419">
        <f t="shared" si="87"/>
        <v>0.35149999999999998</v>
      </c>
      <c r="Y419" s="1">
        <f t="shared" si="88"/>
        <v>81718110</v>
      </c>
      <c r="Z419">
        <f t="shared" si="89"/>
        <v>51622.305748578648</v>
      </c>
      <c r="AA419">
        <f t="shared" si="90"/>
        <v>99996</v>
      </c>
      <c r="AB419">
        <f t="shared" si="91"/>
        <v>5091</v>
      </c>
      <c r="AC419">
        <f t="shared" si="92"/>
        <v>2154351.6199999996</v>
      </c>
      <c r="AD419">
        <f t="shared" si="93"/>
        <v>1360.9296399241944</v>
      </c>
      <c r="AE419">
        <f t="shared" si="94"/>
        <v>0.35149999999999998</v>
      </c>
      <c r="AF419">
        <f t="shared" si="95"/>
        <v>1682487089.6400008</v>
      </c>
      <c r="AG419" t="str">
        <f t="shared" si="96"/>
        <v>Active</v>
      </c>
      <c r="AH419">
        <f t="shared" si="97"/>
        <v>18143.88</v>
      </c>
    </row>
    <row r="420" spans="1:34" x14ac:dyDescent="0.35">
      <c r="A420" t="s">
        <v>1248</v>
      </c>
      <c r="B420" t="s">
        <v>1249</v>
      </c>
      <c r="C420">
        <v>41</v>
      </c>
      <c r="D420" t="s">
        <v>38</v>
      </c>
      <c r="E420" t="s">
        <v>32</v>
      </c>
      <c r="F420" t="s">
        <v>59</v>
      </c>
      <c r="G420">
        <v>196930</v>
      </c>
      <c r="H420">
        <v>733</v>
      </c>
      <c r="I420">
        <v>24036</v>
      </c>
      <c r="J420">
        <v>17.239999999999998</v>
      </c>
      <c r="K420">
        <v>36</v>
      </c>
      <c r="L420" t="s">
        <v>25</v>
      </c>
      <c r="M420">
        <v>28.12</v>
      </c>
      <c r="N420">
        <v>46727</v>
      </c>
      <c r="O420">
        <v>65988</v>
      </c>
      <c r="P420" t="s">
        <v>1250</v>
      </c>
      <c r="Q420" t="s">
        <v>27</v>
      </c>
      <c r="R420" t="s">
        <v>28</v>
      </c>
      <c r="S420" t="s">
        <v>35</v>
      </c>
      <c r="T420">
        <v>782.77</v>
      </c>
      <c r="U420">
        <f t="shared" si="84"/>
        <v>1582</v>
      </c>
      <c r="V420">
        <f t="shared" si="85"/>
        <v>568</v>
      </c>
      <c r="W420">
        <f t="shared" si="86"/>
        <v>507</v>
      </c>
      <c r="X420">
        <f t="shared" si="87"/>
        <v>0.35149999999999998</v>
      </c>
      <c r="Y420" s="1">
        <f t="shared" si="88"/>
        <v>81683375</v>
      </c>
      <c r="Z420">
        <f t="shared" si="89"/>
        <v>51632.980404551199</v>
      </c>
      <c r="AA420">
        <f t="shared" si="90"/>
        <v>99996</v>
      </c>
      <c r="AB420">
        <f t="shared" si="91"/>
        <v>5091</v>
      </c>
      <c r="AC420">
        <f t="shared" si="92"/>
        <v>2152839.6299999994</v>
      </c>
      <c r="AD420">
        <f t="shared" si="93"/>
        <v>1360.8341529709226</v>
      </c>
      <c r="AE420">
        <f t="shared" si="94"/>
        <v>0.35149999999999998</v>
      </c>
      <c r="AF420">
        <f t="shared" si="95"/>
        <v>1680332738.0200009</v>
      </c>
      <c r="AG420" t="str">
        <f t="shared" si="96"/>
        <v>Active</v>
      </c>
      <c r="AH420">
        <f t="shared" si="97"/>
        <v>9393.24</v>
      </c>
    </row>
    <row r="421" spans="1:34" x14ac:dyDescent="0.35">
      <c r="A421" t="s">
        <v>1251</v>
      </c>
      <c r="B421" t="s">
        <v>1252</v>
      </c>
      <c r="C421">
        <v>56</v>
      </c>
      <c r="D421" t="s">
        <v>38</v>
      </c>
      <c r="E421" t="s">
        <v>32</v>
      </c>
      <c r="F421" t="s">
        <v>46</v>
      </c>
      <c r="G421">
        <v>112896</v>
      </c>
      <c r="H421">
        <v>840</v>
      </c>
      <c r="I421">
        <v>43571</v>
      </c>
      <c r="J421">
        <v>11.02</v>
      </c>
      <c r="K421">
        <v>12</v>
      </c>
      <c r="L421" t="s">
        <v>25</v>
      </c>
      <c r="M421">
        <v>10.45</v>
      </c>
      <c r="N421">
        <v>59684</v>
      </c>
      <c r="O421">
        <v>86347</v>
      </c>
      <c r="P421" t="s">
        <v>1253</v>
      </c>
      <c r="Q421" t="s">
        <v>42</v>
      </c>
      <c r="R421" t="s">
        <v>48</v>
      </c>
      <c r="S421" t="s">
        <v>29</v>
      </c>
      <c r="T421">
        <v>4031.04</v>
      </c>
      <c r="U421">
        <f t="shared" si="84"/>
        <v>1581</v>
      </c>
      <c r="V421">
        <f t="shared" si="85"/>
        <v>568</v>
      </c>
      <c r="W421">
        <f t="shared" si="86"/>
        <v>507</v>
      </c>
      <c r="X421">
        <f t="shared" si="87"/>
        <v>0.35149999999999998</v>
      </c>
      <c r="Y421" s="1">
        <f t="shared" si="88"/>
        <v>81659339</v>
      </c>
      <c r="Z421">
        <f t="shared" si="89"/>
        <v>51650.435800126499</v>
      </c>
      <c r="AA421">
        <f t="shared" si="90"/>
        <v>99996</v>
      </c>
      <c r="AB421">
        <f t="shared" si="91"/>
        <v>5091</v>
      </c>
      <c r="AC421">
        <f t="shared" si="92"/>
        <v>2152056.8599999994</v>
      </c>
      <c r="AD421">
        <f t="shared" si="93"/>
        <v>1361.1997849462362</v>
      </c>
      <c r="AE421">
        <f t="shared" si="94"/>
        <v>0.35149999999999998</v>
      </c>
      <c r="AF421">
        <f t="shared" si="95"/>
        <v>1678179898.3900008</v>
      </c>
      <c r="AG421" t="str">
        <f t="shared" si="96"/>
        <v>Active</v>
      </c>
      <c r="AH421">
        <f t="shared" si="97"/>
        <v>48372.479999999996</v>
      </c>
    </row>
    <row r="422" spans="1:34" x14ac:dyDescent="0.35">
      <c r="A422" t="s">
        <v>1254</v>
      </c>
      <c r="B422" t="s">
        <v>1255</v>
      </c>
      <c r="C422">
        <v>60</v>
      </c>
      <c r="D422" t="s">
        <v>38</v>
      </c>
      <c r="E422" t="s">
        <v>23</v>
      </c>
      <c r="F422" t="s">
        <v>24</v>
      </c>
      <c r="G422">
        <v>151133</v>
      </c>
      <c r="H422">
        <v>521</v>
      </c>
      <c r="I422">
        <v>98310</v>
      </c>
      <c r="J422">
        <v>20.49</v>
      </c>
      <c r="K422">
        <v>120</v>
      </c>
      <c r="L422" t="s">
        <v>40</v>
      </c>
      <c r="M422">
        <v>37.46</v>
      </c>
      <c r="N422">
        <v>55954</v>
      </c>
      <c r="O422">
        <v>162537</v>
      </c>
      <c r="P422" t="s">
        <v>1256</v>
      </c>
      <c r="Q422" t="s">
        <v>61</v>
      </c>
      <c r="R422" t="s">
        <v>28</v>
      </c>
      <c r="S422" t="s">
        <v>35</v>
      </c>
      <c r="T422">
        <v>987.11</v>
      </c>
      <c r="U422">
        <f t="shared" si="84"/>
        <v>1580</v>
      </c>
      <c r="V422">
        <f t="shared" si="85"/>
        <v>567</v>
      </c>
      <c r="W422">
        <f t="shared" si="86"/>
        <v>507</v>
      </c>
      <c r="X422">
        <f t="shared" si="87"/>
        <v>0.35149999999999998</v>
      </c>
      <c r="Y422" s="1">
        <f t="shared" si="88"/>
        <v>81615768</v>
      </c>
      <c r="Z422">
        <f t="shared" si="89"/>
        <v>51655.549367088606</v>
      </c>
      <c r="AA422">
        <f t="shared" si="90"/>
        <v>99996</v>
      </c>
      <c r="AB422">
        <f t="shared" si="91"/>
        <v>5091</v>
      </c>
      <c r="AC422">
        <f t="shared" si="92"/>
        <v>2148025.8199999998</v>
      </c>
      <c r="AD422">
        <f t="shared" si="93"/>
        <v>1359.5100126582277</v>
      </c>
      <c r="AE422">
        <f t="shared" si="94"/>
        <v>0.35149999999999998</v>
      </c>
      <c r="AF422">
        <f t="shared" si="95"/>
        <v>1676027841.5300009</v>
      </c>
      <c r="AG422" t="str">
        <f t="shared" si="96"/>
        <v>Over Paid</v>
      </c>
      <c r="AH422">
        <f t="shared" si="97"/>
        <v>11845.32</v>
      </c>
    </row>
    <row r="423" spans="1:34" x14ac:dyDescent="0.35">
      <c r="A423" t="s">
        <v>1257</v>
      </c>
      <c r="B423" t="s">
        <v>1258</v>
      </c>
      <c r="C423">
        <v>58</v>
      </c>
      <c r="D423" t="s">
        <v>38</v>
      </c>
      <c r="E423" t="s">
        <v>39</v>
      </c>
      <c r="F423" t="s">
        <v>46</v>
      </c>
      <c r="G423">
        <v>100297</v>
      </c>
      <c r="H423">
        <v>648</v>
      </c>
      <c r="I423">
        <v>12760</v>
      </c>
      <c r="J423">
        <v>10.88</v>
      </c>
      <c r="K423">
        <v>60</v>
      </c>
      <c r="L423" t="s">
        <v>52</v>
      </c>
      <c r="M423">
        <v>57.62</v>
      </c>
      <c r="N423">
        <v>42870</v>
      </c>
      <c r="O423">
        <v>174427</v>
      </c>
      <c r="P423" t="s">
        <v>872</v>
      </c>
      <c r="Q423" t="s">
        <v>27</v>
      </c>
      <c r="R423" t="s">
        <v>48</v>
      </c>
      <c r="S423" t="s">
        <v>43</v>
      </c>
      <c r="T423">
        <v>235.8</v>
      </c>
      <c r="U423">
        <f t="shared" si="84"/>
        <v>1579</v>
      </c>
      <c r="V423">
        <f t="shared" si="85"/>
        <v>567</v>
      </c>
      <c r="W423">
        <f t="shared" si="86"/>
        <v>506</v>
      </c>
      <c r="X423">
        <f t="shared" si="87"/>
        <v>0.35149999999999998</v>
      </c>
      <c r="Y423" s="1">
        <f t="shared" si="88"/>
        <v>81517458</v>
      </c>
      <c r="Z423">
        <f t="shared" si="89"/>
        <v>51626.002533248895</v>
      </c>
      <c r="AA423">
        <f t="shared" si="90"/>
        <v>99996</v>
      </c>
      <c r="AB423">
        <f t="shared" si="91"/>
        <v>5091</v>
      </c>
      <c r="AC423">
        <f t="shared" si="92"/>
        <v>2147038.7099999995</v>
      </c>
      <c r="AD423">
        <f t="shared" si="93"/>
        <v>1359.7458581380617</v>
      </c>
      <c r="AE423">
        <f t="shared" si="94"/>
        <v>0.35149999999999998</v>
      </c>
      <c r="AF423">
        <f t="shared" si="95"/>
        <v>1673879815.710001</v>
      </c>
      <c r="AG423" t="str">
        <f t="shared" si="96"/>
        <v>Active</v>
      </c>
      <c r="AH423">
        <f t="shared" si="97"/>
        <v>2829.6000000000004</v>
      </c>
    </row>
    <row r="424" spans="1:34" x14ac:dyDescent="0.35">
      <c r="A424" t="s">
        <v>1259</v>
      </c>
      <c r="B424" t="s">
        <v>1260</v>
      </c>
      <c r="C424">
        <v>59</v>
      </c>
      <c r="D424" t="s">
        <v>38</v>
      </c>
      <c r="E424" t="s">
        <v>23</v>
      </c>
      <c r="F424" t="s">
        <v>24</v>
      </c>
      <c r="G424">
        <v>101030</v>
      </c>
      <c r="H424">
        <v>590</v>
      </c>
      <c r="I424">
        <v>72460</v>
      </c>
      <c r="J424">
        <v>8.1999999999999993</v>
      </c>
      <c r="K424">
        <v>240</v>
      </c>
      <c r="L424" t="s">
        <v>52</v>
      </c>
      <c r="M424">
        <v>22.46</v>
      </c>
      <c r="N424">
        <v>42545</v>
      </c>
      <c r="O424">
        <v>39661</v>
      </c>
      <c r="P424" t="s">
        <v>1261</v>
      </c>
      <c r="Q424" t="s">
        <v>42</v>
      </c>
      <c r="R424" t="s">
        <v>48</v>
      </c>
      <c r="S424" t="s">
        <v>43</v>
      </c>
      <c r="T424">
        <v>326.67</v>
      </c>
      <c r="U424">
        <f t="shared" si="84"/>
        <v>1578</v>
      </c>
      <c r="V424">
        <f t="shared" si="85"/>
        <v>567</v>
      </c>
      <c r="W424">
        <f t="shared" si="86"/>
        <v>506</v>
      </c>
      <c r="X424">
        <f t="shared" si="87"/>
        <v>0.35149999999999998</v>
      </c>
      <c r="Y424" s="1">
        <f t="shared" si="88"/>
        <v>81504698</v>
      </c>
      <c r="Z424">
        <f t="shared" si="89"/>
        <v>51650.632446134347</v>
      </c>
      <c r="AA424">
        <f t="shared" si="90"/>
        <v>99996</v>
      </c>
      <c r="AB424">
        <f t="shared" si="91"/>
        <v>5091</v>
      </c>
      <c r="AC424">
        <f t="shared" si="92"/>
        <v>2146802.9099999992</v>
      </c>
      <c r="AD424">
        <f t="shared" si="93"/>
        <v>1360.4581178707219</v>
      </c>
      <c r="AE424">
        <f t="shared" si="94"/>
        <v>0.35149999999999998</v>
      </c>
      <c r="AF424">
        <f t="shared" si="95"/>
        <v>1671732777.000001</v>
      </c>
      <c r="AG424" t="str">
        <f t="shared" si="96"/>
        <v>Active</v>
      </c>
      <c r="AH424">
        <f t="shared" si="97"/>
        <v>3920.04</v>
      </c>
    </row>
    <row r="425" spans="1:34" x14ac:dyDescent="0.35">
      <c r="A425" t="s">
        <v>1262</v>
      </c>
      <c r="B425" t="s">
        <v>1263</v>
      </c>
      <c r="C425">
        <v>43</v>
      </c>
      <c r="D425" t="s">
        <v>38</v>
      </c>
      <c r="E425" t="s">
        <v>39</v>
      </c>
      <c r="F425" t="s">
        <v>59</v>
      </c>
      <c r="G425">
        <v>71083</v>
      </c>
      <c r="H425">
        <v>636</v>
      </c>
      <c r="I425">
        <v>67983</v>
      </c>
      <c r="J425">
        <v>10.61</v>
      </c>
      <c r="K425">
        <v>36</v>
      </c>
      <c r="L425" t="s">
        <v>52</v>
      </c>
      <c r="M425">
        <v>20.28</v>
      </c>
      <c r="N425">
        <v>63710</v>
      </c>
      <c r="O425">
        <v>208541</v>
      </c>
      <c r="P425" t="s">
        <v>424</v>
      </c>
      <c r="Q425" t="s">
        <v>61</v>
      </c>
      <c r="R425" t="s">
        <v>48</v>
      </c>
      <c r="S425" t="s">
        <v>49</v>
      </c>
      <c r="T425">
        <v>2088.7800000000002</v>
      </c>
      <c r="U425">
        <f t="shared" si="84"/>
        <v>1577</v>
      </c>
      <c r="V425">
        <f t="shared" si="85"/>
        <v>566</v>
      </c>
      <c r="W425">
        <f t="shared" si="86"/>
        <v>506</v>
      </c>
      <c r="X425">
        <f t="shared" si="87"/>
        <v>0.35149999999999998</v>
      </c>
      <c r="Y425" s="1">
        <f t="shared" si="88"/>
        <v>81432238</v>
      </c>
      <c r="Z425">
        <f t="shared" si="89"/>
        <v>51637.436905516806</v>
      </c>
      <c r="AA425">
        <f t="shared" si="90"/>
        <v>99996</v>
      </c>
      <c r="AB425">
        <f t="shared" si="91"/>
        <v>5091</v>
      </c>
      <c r="AC425">
        <f t="shared" si="92"/>
        <v>2146476.2399999993</v>
      </c>
      <c r="AD425">
        <f t="shared" si="93"/>
        <v>1361.1136588459094</v>
      </c>
      <c r="AE425">
        <f t="shared" si="94"/>
        <v>0.35149999999999998</v>
      </c>
      <c r="AF425">
        <f t="shared" si="95"/>
        <v>1669585974.0900009</v>
      </c>
      <c r="AG425" t="str">
        <f t="shared" si="96"/>
        <v>Active</v>
      </c>
      <c r="AH425">
        <f t="shared" si="97"/>
        <v>25065.360000000001</v>
      </c>
    </row>
    <row r="426" spans="1:34" x14ac:dyDescent="0.35">
      <c r="A426" t="s">
        <v>1264</v>
      </c>
      <c r="B426" t="s">
        <v>1265</v>
      </c>
      <c r="C426">
        <v>40</v>
      </c>
      <c r="D426" t="s">
        <v>38</v>
      </c>
      <c r="E426" t="s">
        <v>32</v>
      </c>
      <c r="F426" t="s">
        <v>59</v>
      </c>
      <c r="G426">
        <v>143094</v>
      </c>
      <c r="H426">
        <v>716</v>
      </c>
      <c r="I426">
        <v>96857</v>
      </c>
      <c r="J426">
        <v>14.49</v>
      </c>
      <c r="K426">
        <v>24</v>
      </c>
      <c r="L426" t="s">
        <v>40</v>
      </c>
      <c r="M426">
        <v>31.8</v>
      </c>
      <c r="N426">
        <v>45786</v>
      </c>
      <c r="O426">
        <v>210208</v>
      </c>
      <c r="P426" t="s">
        <v>1266</v>
      </c>
      <c r="Q426" t="s">
        <v>42</v>
      </c>
      <c r="R426" t="s">
        <v>28</v>
      </c>
      <c r="S426" t="s">
        <v>43</v>
      </c>
      <c r="T426">
        <v>4620.4799999999996</v>
      </c>
      <c r="U426">
        <f t="shared" si="84"/>
        <v>1576</v>
      </c>
      <c r="V426">
        <f t="shared" si="85"/>
        <v>566</v>
      </c>
      <c r="W426">
        <f t="shared" si="86"/>
        <v>505</v>
      </c>
      <c r="X426">
        <f t="shared" si="87"/>
        <v>0.35149999999999998</v>
      </c>
      <c r="Y426" s="1">
        <f t="shared" si="88"/>
        <v>81364255</v>
      </c>
      <c r="Z426">
        <f t="shared" si="89"/>
        <v>51627.065355329949</v>
      </c>
      <c r="AA426">
        <f t="shared" si="90"/>
        <v>99996</v>
      </c>
      <c r="AB426">
        <f t="shared" si="91"/>
        <v>5091</v>
      </c>
      <c r="AC426">
        <f t="shared" si="92"/>
        <v>2144387.4599999995</v>
      </c>
      <c r="AD426">
        <f t="shared" si="93"/>
        <v>1360.6519416243652</v>
      </c>
      <c r="AE426">
        <f t="shared" si="94"/>
        <v>0.35149999999999998</v>
      </c>
      <c r="AF426">
        <f t="shared" si="95"/>
        <v>1667439497.8500011</v>
      </c>
      <c r="AG426" t="str">
        <f t="shared" si="96"/>
        <v>Active</v>
      </c>
      <c r="AH426">
        <f t="shared" si="97"/>
        <v>55445.759999999995</v>
      </c>
    </row>
    <row r="427" spans="1:34" x14ac:dyDescent="0.35">
      <c r="A427" t="s">
        <v>1267</v>
      </c>
      <c r="B427" t="s">
        <v>1268</v>
      </c>
      <c r="C427">
        <v>55</v>
      </c>
      <c r="D427" t="s">
        <v>38</v>
      </c>
      <c r="E427" t="s">
        <v>39</v>
      </c>
      <c r="F427" t="s">
        <v>24</v>
      </c>
      <c r="G427">
        <v>136099</v>
      </c>
      <c r="H427">
        <v>517</v>
      </c>
      <c r="I427">
        <v>68211</v>
      </c>
      <c r="J427">
        <v>9.0399999999999991</v>
      </c>
      <c r="K427">
        <v>120</v>
      </c>
      <c r="L427" t="s">
        <v>86</v>
      </c>
      <c r="M427">
        <v>12.07</v>
      </c>
      <c r="N427">
        <v>38832</v>
      </c>
      <c r="O427">
        <v>180004</v>
      </c>
      <c r="P427" t="s">
        <v>1269</v>
      </c>
      <c r="Q427" t="s">
        <v>61</v>
      </c>
      <c r="R427" t="s">
        <v>28</v>
      </c>
      <c r="S427" t="s">
        <v>49</v>
      </c>
      <c r="T427">
        <v>619.80999999999995</v>
      </c>
      <c r="U427">
        <f t="shared" si="84"/>
        <v>1575</v>
      </c>
      <c r="V427">
        <f t="shared" si="85"/>
        <v>565</v>
      </c>
      <c r="W427">
        <f t="shared" si="86"/>
        <v>505</v>
      </c>
      <c r="X427">
        <f t="shared" si="87"/>
        <v>0.35149999999999998</v>
      </c>
      <c r="Y427" s="1">
        <f t="shared" si="88"/>
        <v>81267398</v>
      </c>
      <c r="Z427">
        <f t="shared" si="89"/>
        <v>51598.347936507933</v>
      </c>
      <c r="AA427">
        <f t="shared" si="90"/>
        <v>99996</v>
      </c>
      <c r="AB427">
        <f t="shared" si="91"/>
        <v>5091</v>
      </c>
      <c r="AC427">
        <f t="shared" si="92"/>
        <v>2139766.98</v>
      </c>
      <c r="AD427">
        <f t="shared" si="93"/>
        <v>1358.5822095238095</v>
      </c>
      <c r="AE427">
        <f t="shared" si="94"/>
        <v>0.35149999999999998</v>
      </c>
      <c r="AF427">
        <f t="shared" si="95"/>
        <v>1665295110.3900008</v>
      </c>
      <c r="AG427" t="str">
        <f t="shared" si="96"/>
        <v>Active</v>
      </c>
      <c r="AH427">
        <f t="shared" si="97"/>
        <v>7437.7199999999993</v>
      </c>
    </row>
    <row r="428" spans="1:34" x14ac:dyDescent="0.35">
      <c r="A428" t="s">
        <v>1270</v>
      </c>
      <c r="B428" t="s">
        <v>1271</v>
      </c>
      <c r="C428">
        <v>22</v>
      </c>
      <c r="D428" t="s">
        <v>38</v>
      </c>
      <c r="E428" t="s">
        <v>23</v>
      </c>
      <c r="F428" t="s">
        <v>24</v>
      </c>
      <c r="G428">
        <v>198196</v>
      </c>
      <c r="H428">
        <v>456</v>
      </c>
      <c r="I428">
        <v>12918</v>
      </c>
      <c r="J428">
        <v>17.47</v>
      </c>
      <c r="K428">
        <v>240</v>
      </c>
      <c r="L428" t="s">
        <v>33</v>
      </c>
      <c r="M428">
        <v>44.42</v>
      </c>
      <c r="N428">
        <v>21515</v>
      </c>
      <c r="O428">
        <v>3998</v>
      </c>
      <c r="P428" t="s">
        <v>1272</v>
      </c>
      <c r="Q428" t="s">
        <v>27</v>
      </c>
      <c r="R428" t="s">
        <v>28</v>
      </c>
      <c r="S428" t="s">
        <v>68</v>
      </c>
      <c r="T428">
        <v>63.23</v>
      </c>
      <c r="U428">
        <f t="shared" si="84"/>
        <v>1574</v>
      </c>
      <c r="V428">
        <f t="shared" si="85"/>
        <v>565</v>
      </c>
      <c r="W428">
        <f t="shared" si="86"/>
        <v>504</v>
      </c>
      <c r="X428">
        <f t="shared" si="87"/>
        <v>0.35149999999999998</v>
      </c>
      <c r="Y428" s="1">
        <f t="shared" si="88"/>
        <v>81199187</v>
      </c>
      <c r="Z428">
        <f t="shared" si="89"/>
        <v>51587.793519695042</v>
      </c>
      <c r="AA428">
        <f t="shared" si="90"/>
        <v>99996</v>
      </c>
      <c r="AB428">
        <f t="shared" si="91"/>
        <v>5091</v>
      </c>
      <c r="AC428">
        <f t="shared" si="92"/>
        <v>2139147.17</v>
      </c>
      <c r="AD428">
        <f t="shared" si="93"/>
        <v>1359.0515692503177</v>
      </c>
      <c r="AE428">
        <f t="shared" si="94"/>
        <v>0.35149999999999998</v>
      </c>
      <c r="AF428">
        <f t="shared" si="95"/>
        <v>1663155343.4100006</v>
      </c>
      <c r="AG428" t="str">
        <f t="shared" si="96"/>
        <v>Active</v>
      </c>
      <c r="AH428">
        <f t="shared" si="97"/>
        <v>758.76</v>
      </c>
    </row>
    <row r="429" spans="1:34" x14ac:dyDescent="0.35">
      <c r="A429" t="s">
        <v>1273</v>
      </c>
      <c r="B429" t="s">
        <v>1274</v>
      </c>
      <c r="C429">
        <v>49</v>
      </c>
      <c r="D429" t="s">
        <v>22</v>
      </c>
      <c r="E429" t="s">
        <v>23</v>
      </c>
      <c r="F429" t="s">
        <v>24</v>
      </c>
      <c r="G429">
        <v>177007</v>
      </c>
      <c r="H429">
        <v>697</v>
      </c>
      <c r="I429">
        <v>11647</v>
      </c>
      <c r="J429">
        <v>4.3899999999999997</v>
      </c>
      <c r="K429">
        <v>360</v>
      </c>
      <c r="L429" t="s">
        <v>52</v>
      </c>
      <c r="M429">
        <v>28.93</v>
      </c>
      <c r="N429">
        <v>57395</v>
      </c>
      <c r="O429">
        <v>96505</v>
      </c>
      <c r="P429" t="s">
        <v>1275</v>
      </c>
      <c r="Q429" t="s">
        <v>42</v>
      </c>
      <c r="R429" t="s">
        <v>48</v>
      </c>
      <c r="S429" t="s">
        <v>49</v>
      </c>
      <c r="T429">
        <v>33.770000000000003</v>
      </c>
      <c r="U429">
        <f t="shared" si="84"/>
        <v>1573</v>
      </c>
      <c r="V429">
        <f t="shared" si="85"/>
        <v>565</v>
      </c>
      <c r="W429">
        <f t="shared" si="86"/>
        <v>504</v>
      </c>
      <c r="X429">
        <f t="shared" si="87"/>
        <v>0.35149999999999998</v>
      </c>
      <c r="Y429" s="1">
        <f t="shared" si="88"/>
        <v>81186269</v>
      </c>
      <c r="Z429">
        <f t="shared" si="89"/>
        <v>51612.376986649717</v>
      </c>
      <c r="AA429">
        <f t="shared" si="90"/>
        <v>99996</v>
      </c>
      <c r="AB429">
        <f t="shared" si="91"/>
        <v>5091</v>
      </c>
      <c r="AC429">
        <f t="shared" si="92"/>
        <v>2139083.94</v>
      </c>
      <c r="AD429">
        <f t="shared" si="93"/>
        <v>1359.8753591862683</v>
      </c>
      <c r="AE429">
        <f t="shared" si="94"/>
        <v>0.35149999999999998</v>
      </c>
      <c r="AF429">
        <f t="shared" si="95"/>
        <v>1661016196.2400005</v>
      </c>
      <c r="AG429" t="str">
        <f t="shared" si="96"/>
        <v>Active</v>
      </c>
      <c r="AH429">
        <f t="shared" si="97"/>
        <v>405.24</v>
      </c>
    </row>
    <row r="430" spans="1:34" x14ac:dyDescent="0.35">
      <c r="A430" t="s">
        <v>1276</v>
      </c>
      <c r="B430" t="s">
        <v>1277</v>
      </c>
      <c r="C430">
        <v>54</v>
      </c>
      <c r="D430" t="s">
        <v>22</v>
      </c>
      <c r="E430" t="s">
        <v>32</v>
      </c>
      <c r="F430" t="s">
        <v>59</v>
      </c>
      <c r="G430">
        <v>128768</v>
      </c>
      <c r="H430">
        <v>382</v>
      </c>
      <c r="I430">
        <v>85985</v>
      </c>
      <c r="J430">
        <v>16.010000000000002</v>
      </c>
      <c r="K430">
        <v>48</v>
      </c>
      <c r="L430" t="s">
        <v>25</v>
      </c>
      <c r="M430">
        <v>32.270000000000003</v>
      </c>
      <c r="N430">
        <v>5751</v>
      </c>
      <c r="O430">
        <v>180513</v>
      </c>
      <c r="P430" t="s">
        <v>632</v>
      </c>
      <c r="Q430" t="s">
        <v>61</v>
      </c>
      <c r="R430" t="s">
        <v>48</v>
      </c>
      <c r="S430" t="s">
        <v>35</v>
      </c>
      <c r="T430">
        <v>2078.15</v>
      </c>
      <c r="U430">
        <f t="shared" si="84"/>
        <v>1572</v>
      </c>
      <c r="V430">
        <f t="shared" si="85"/>
        <v>564</v>
      </c>
      <c r="W430">
        <f t="shared" si="86"/>
        <v>504</v>
      </c>
      <c r="X430">
        <f t="shared" si="87"/>
        <v>0.35149999999999998</v>
      </c>
      <c r="Y430" s="1">
        <f t="shared" si="88"/>
        <v>81174622</v>
      </c>
      <c r="Z430">
        <f t="shared" si="89"/>
        <v>51637.800254452923</v>
      </c>
      <c r="AA430">
        <f t="shared" si="90"/>
        <v>99996</v>
      </c>
      <c r="AB430">
        <f t="shared" si="91"/>
        <v>5091</v>
      </c>
      <c r="AC430">
        <f t="shared" si="92"/>
        <v>2139050.17</v>
      </c>
      <c r="AD430">
        <f t="shared" si="93"/>
        <v>1360.7189376590331</v>
      </c>
      <c r="AE430">
        <f t="shared" si="94"/>
        <v>0.35149999999999998</v>
      </c>
      <c r="AF430">
        <f t="shared" si="95"/>
        <v>1658877112.3000004</v>
      </c>
      <c r="AG430" t="str">
        <f t="shared" si="96"/>
        <v>Active</v>
      </c>
      <c r="AH430">
        <f t="shared" si="97"/>
        <v>24937.800000000003</v>
      </c>
    </row>
    <row r="431" spans="1:34" x14ac:dyDescent="0.35">
      <c r="A431" t="s">
        <v>1278</v>
      </c>
      <c r="B431" t="s">
        <v>1279</v>
      </c>
      <c r="C431">
        <v>41</v>
      </c>
      <c r="D431" t="s">
        <v>22</v>
      </c>
      <c r="E431" t="s">
        <v>39</v>
      </c>
      <c r="F431" t="s">
        <v>59</v>
      </c>
      <c r="G431">
        <v>46924</v>
      </c>
      <c r="H431">
        <v>306</v>
      </c>
      <c r="I431">
        <v>35159</v>
      </c>
      <c r="J431">
        <v>20.41</v>
      </c>
      <c r="K431">
        <v>240</v>
      </c>
      <c r="L431" t="s">
        <v>40</v>
      </c>
      <c r="M431">
        <v>58.64</v>
      </c>
      <c r="N431">
        <v>37127</v>
      </c>
      <c r="O431">
        <v>76066</v>
      </c>
      <c r="P431" t="s">
        <v>1280</v>
      </c>
      <c r="Q431" t="s">
        <v>61</v>
      </c>
      <c r="R431" t="s">
        <v>48</v>
      </c>
      <c r="S431" t="s">
        <v>43</v>
      </c>
      <c r="T431">
        <v>176.4</v>
      </c>
      <c r="U431">
        <f t="shared" si="84"/>
        <v>1571</v>
      </c>
      <c r="V431">
        <f t="shared" si="85"/>
        <v>564</v>
      </c>
      <c r="W431">
        <f t="shared" si="86"/>
        <v>503</v>
      </c>
      <c r="X431">
        <f t="shared" si="87"/>
        <v>0.35149999999999998</v>
      </c>
      <c r="Y431" s="1">
        <f t="shared" si="88"/>
        <v>81088637</v>
      </c>
      <c r="Z431">
        <f t="shared" si="89"/>
        <v>51615.936982813495</v>
      </c>
      <c r="AA431">
        <f t="shared" si="90"/>
        <v>99996</v>
      </c>
      <c r="AB431">
        <f t="shared" si="91"/>
        <v>5091</v>
      </c>
      <c r="AC431">
        <f t="shared" si="92"/>
        <v>2136972.0199999996</v>
      </c>
      <c r="AD431">
        <f t="shared" si="93"/>
        <v>1360.2622660725649</v>
      </c>
      <c r="AE431">
        <f t="shared" si="94"/>
        <v>0.35149999999999998</v>
      </c>
      <c r="AF431">
        <f t="shared" si="95"/>
        <v>1656738062.1300004</v>
      </c>
      <c r="AG431" t="str">
        <f t="shared" si="96"/>
        <v>Active</v>
      </c>
      <c r="AH431">
        <f t="shared" si="97"/>
        <v>2116.8000000000002</v>
      </c>
    </row>
    <row r="432" spans="1:34" x14ac:dyDescent="0.35">
      <c r="A432" t="s">
        <v>1281</v>
      </c>
      <c r="B432" t="s">
        <v>1282</v>
      </c>
      <c r="C432">
        <v>37</v>
      </c>
      <c r="D432" t="s">
        <v>22</v>
      </c>
      <c r="E432" t="s">
        <v>23</v>
      </c>
      <c r="F432" t="s">
        <v>59</v>
      </c>
      <c r="G432">
        <v>148392</v>
      </c>
      <c r="H432">
        <v>681</v>
      </c>
      <c r="I432">
        <v>19886</v>
      </c>
      <c r="J432">
        <v>13.35</v>
      </c>
      <c r="K432">
        <v>36</v>
      </c>
      <c r="L432" t="s">
        <v>86</v>
      </c>
      <c r="M432">
        <v>24.34</v>
      </c>
      <c r="N432">
        <v>35697</v>
      </c>
      <c r="O432">
        <v>171025</v>
      </c>
      <c r="P432" t="s">
        <v>1283</v>
      </c>
      <c r="Q432" t="s">
        <v>42</v>
      </c>
      <c r="R432" t="s">
        <v>48</v>
      </c>
      <c r="S432" t="s">
        <v>49</v>
      </c>
      <c r="T432">
        <v>626.13</v>
      </c>
      <c r="U432">
        <f t="shared" si="84"/>
        <v>1570</v>
      </c>
      <c r="V432">
        <f t="shared" si="85"/>
        <v>564</v>
      </c>
      <c r="W432">
        <f t="shared" si="86"/>
        <v>502</v>
      </c>
      <c r="X432">
        <f t="shared" si="87"/>
        <v>0.35149999999999998</v>
      </c>
      <c r="Y432" s="1">
        <f t="shared" si="88"/>
        <v>81053478</v>
      </c>
      <c r="Z432">
        <f t="shared" si="89"/>
        <v>51626.419108280257</v>
      </c>
      <c r="AA432">
        <f t="shared" si="90"/>
        <v>99996</v>
      </c>
      <c r="AB432">
        <f t="shared" si="91"/>
        <v>5091</v>
      </c>
      <c r="AC432">
        <f t="shared" si="92"/>
        <v>2136795.6199999996</v>
      </c>
      <c r="AD432">
        <f t="shared" si="93"/>
        <v>1361.0163184713374</v>
      </c>
      <c r="AE432">
        <f t="shared" si="94"/>
        <v>0.35149999999999998</v>
      </c>
      <c r="AF432">
        <f t="shared" si="95"/>
        <v>1654601090.1100004</v>
      </c>
      <c r="AG432" t="str">
        <f t="shared" si="96"/>
        <v>Active</v>
      </c>
      <c r="AH432">
        <f t="shared" si="97"/>
        <v>7513.5599999999995</v>
      </c>
    </row>
    <row r="433" spans="1:34" x14ac:dyDescent="0.35">
      <c r="A433" t="s">
        <v>1284</v>
      </c>
      <c r="B433" t="s">
        <v>1285</v>
      </c>
      <c r="C433">
        <v>36</v>
      </c>
      <c r="D433" t="s">
        <v>22</v>
      </c>
      <c r="E433" t="s">
        <v>23</v>
      </c>
      <c r="F433" t="s">
        <v>46</v>
      </c>
      <c r="G433">
        <v>44275</v>
      </c>
      <c r="H433">
        <v>440</v>
      </c>
      <c r="I433">
        <v>34086</v>
      </c>
      <c r="J433">
        <v>5.24</v>
      </c>
      <c r="K433">
        <v>60</v>
      </c>
      <c r="L433" t="s">
        <v>86</v>
      </c>
      <c r="M433">
        <v>10.33</v>
      </c>
      <c r="N433">
        <v>40519</v>
      </c>
      <c r="O433">
        <v>124930</v>
      </c>
      <c r="P433" t="s">
        <v>1286</v>
      </c>
      <c r="Q433" t="s">
        <v>42</v>
      </c>
      <c r="R433" t="s">
        <v>48</v>
      </c>
      <c r="S433" t="s">
        <v>29</v>
      </c>
      <c r="T433">
        <v>597.87</v>
      </c>
      <c r="U433">
        <f t="shared" si="84"/>
        <v>1569</v>
      </c>
      <c r="V433">
        <f t="shared" si="85"/>
        <v>563</v>
      </c>
      <c r="W433">
        <f t="shared" si="86"/>
        <v>502</v>
      </c>
      <c r="X433">
        <f t="shared" si="87"/>
        <v>0.35149999999999998</v>
      </c>
      <c r="Y433" s="1">
        <f t="shared" si="88"/>
        <v>81033592</v>
      </c>
      <c r="Z433">
        <f t="shared" si="89"/>
        <v>51646.648820905037</v>
      </c>
      <c r="AA433">
        <f t="shared" si="90"/>
        <v>99996</v>
      </c>
      <c r="AB433">
        <f t="shared" si="91"/>
        <v>5091</v>
      </c>
      <c r="AC433">
        <f t="shared" si="92"/>
        <v>2136169.4899999993</v>
      </c>
      <c r="AD433">
        <f t="shared" si="93"/>
        <v>1361.4846972594005</v>
      </c>
      <c r="AE433">
        <f t="shared" si="94"/>
        <v>0.35149999999999998</v>
      </c>
      <c r="AF433">
        <f t="shared" si="95"/>
        <v>1652464294.4900005</v>
      </c>
      <c r="AG433" t="str">
        <f t="shared" si="96"/>
        <v>Active</v>
      </c>
      <c r="AH433">
        <f t="shared" si="97"/>
        <v>7174.4400000000005</v>
      </c>
    </row>
    <row r="434" spans="1:34" x14ac:dyDescent="0.35">
      <c r="A434" t="s">
        <v>1287</v>
      </c>
      <c r="B434" t="s">
        <v>1288</v>
      </c>
      <c r="C434">
        <v>59</v>
      </c>
      <c r="D434" t="s">
        <v>22</v>
      </c>
      <c r="E434" t="s">
        <v>39</v>
      </c>
      <c r="F434" t="s">
        <v>24</v>
      </c>
      <c r="G434">
        <v>148179</v>
      </c>
      <c r="H434">
        <v>603</v>
      </c>
      <c r="I434">
        <v>96617</v>
      </c>
      <c r="J434">
        <v>6.23</v>
      </c>
      <c r="K434">
        <v>240</v>
      </c>
      <c r="L434" t="s">
        <v>52</v>
      </c>
      <c r="M434">
        <v>50.26</v>
      </c>
      <c r="N434">
        <v>36131</v>
      </c>
      <c r="O434">
        <v>148208</v>
      </c>
      <c r="P434" t="s">
        <v>1009</v>
      </c>
      <c r="Q434" t="s">
        <v>27</v>
      </c>
      <c r="R434" t="s">
        <v>28</v>
      </c>
      <c r="S434" t="s">
        <v>49</v>
      </c>
      <c r="T434">
        <v>427.65</v>
      </c>
      <c r="U434">
        <f t="shared" si="84"/>
        <v>1568</v>
      </c>
      <c r="V434">
        <f t="shared" si="85"/>
        <v>562</v>
      </c>
      <c r="W434">
        <f t="shared" si="86"/>
        <v>502</v>
      </c>
      <c r="X434">
        <f t="shared" si="87"/>
        <v>0.35149999999999998</v>
      </c>
      <c r="Y434" s="1">
        <f t="shared" si="88"/>
        <v>80999506</v>
      </c>
      <c r="Z434">
        <f t="shared" si="89"/>
        <v>51657.848214285717</v>
      </c>
      <c r="AA434">
        <f t="shared" si="90"/>
        <v>99996</v>
      </c>
      <c r="AB434">
        <f t="shared" si="91"/>
        <v>5091</v>
      </c>
      <c r="AC434">
        <f t="shared" si="92"/>
        <v>2135571.6199999996</v>
      </c>
      <c r="AD434">
        <f t="shared" si="93"/>
        <v>1361.9716964285712</v>
      </c>
      <c r="AE434">
        <f t="shared" si="94"/>
        <v>0.35149999999999998</v>
      </c>
      <c r="AF434">
        <f t="shared" si="95"/>
        <v>1650328125.0000002</v>
      </c>
      <c r="AG434" t="str">
        <f t="shared" si="96"/>
        <v>Active</v>
      </c>
      <c r="AH434">
        <f t="shared" si="97"/>
        <v>5131.7999999999993</v>
      </c>
    </row>
    <row r="435" spans="1:34" x14ac:dyDescent="0.35">
      <c r="A435" t="s">
        <v>1289</v>
      </c>
      <c r="B435" t="s">
        <v>1290</v>
      </c>
      <c r="C435">
        <v>49</v>
      </c>
      <c r="D435" t="s">
        <v>38</v>
      </c>
      <c r="E435" t="s">
        <v>39</v>
      </c>
      <c r="F435" t="s">
        <v>59</v>
      </c>
      <c r="G435">
        <v>138695</v>
      </c>
      <c r="H435">
        <v>452</v>
      </c>
      <c r="I435">
        <v>64997</v>
      </c>
      <c r="J435">
        <v>6.04</v>
      </c>
      <c r="K435">
        <v>24</v>
      </c>
      <c r="L435" t="s">
        <v>33</v>
      </c>
      <c r="M435">
        <v>43.18</v>
      </c>
      <c r="N435">
        <v>15196</v>
      </c>
      <c r="O435">
        <v>68998</v>
      </c>
      <c r="P435" t="s">
        <v>1291</v>
      </c>
      <c r="Q435" t="s">
        <v>42</v>
      </c>
      <c r="R435" t="s">
        <v>28</v>
      </c>
      <c r="S435" t="s">
        <v>29</v>
      </c>
      <c r="T435">
        <v>2871.78</v>
      </c>
      <c r="U435">
        <f t="shared" si="84"/>
        <v>1567</v>
      </c>
      <c r="V435">
        <f t="shared" si="85"/>
        <v>562</v>
      </c>
      <c r="W435">
        <f t="shared" si="86"/>
        <v>502</v>
      </c>
      <c r="X435">
        <f t="shared" si="87"/>
        <v>0.35149999999999998</v>
      </c>
      <c r="Y435" s="1">
        <f t="shared" si="88"/>
        <v>80902889</v>
      </c>
      <c r="Z435">
        <f t="shared" si="89"/>
        <v>51629.156987874921</v>
      </c>
      <c r="AA435">
        <f t="shared" si="90"/>
        <v>99996</v>
      </c>
      <c r="AB435">
        <f t="shared" si="91"/>
        <v>5091</v>
      </c>
      <c r="AC435">
        <f t="shared" si="92"/>
        <v>2135143.9699999993</v>
      </c>
      <c r="AD435">
        <f t="shared" si="93"/>
        <v>1362.5679451180595</v>
      </c>
      <c r="AE435">
        <f t="shared" si="94"/>
        <v>0.35149999999999998</v>
      </c>
      <c r="AF435">
        <f t="shared" si="95"/>
        <v>1648192553.3800004</v>
      </c>
      <c r="AG435" t="str">
        <f t="shared" si="96"/>
        <v>Active</v>
      </c>
      <c r="AH435">
        <f t="shared" si="97"/>
        <v>34461.360000000001</v>
      </c>
    </row>
    <row r="436" spans="1:34" x14ac:dyDescent="0.35">
      <c r="A436" t="s">
        <v>1292</v>
      </c>
      <c r="B436" t="s">
        <v>1293</v>
      </c>
      <c r="C436">
        <v>43</v>
      </c>
      <c r="D436" t="s">
        <v>38</v>
      </c>
      <c r="E436" t="s">
        <v>23</v>
      </c>
      <c r="F436" t="s">
        <v>24</v>
      </c>
      <c r="G436">
        <v>106525</v>
      </c>
      <c r="H436">
        <v>812</v>
      </c>
      <c r="I436">
        <v>46903</v>
      </c>
      <c r="J436">
        <v>18.62</v>
      </c>
      <c r="K436">
        <v>36</v>
      </c>
      <c r="L436" t="s">
        <v>40</v>
      </c>
      <c r="M436">
        <v>45.31</v>
      </c>
      <c r="N436">
        <v>65851</v>
      </c>
      <c r="O436">
        <v>79280</v>
      </c>
      <c r="P436" t="s">
        <v>1294</v>
      </c>
      <c r="Q436" t="s">
        <v>42</v>
      </c>
      <c r="R436" t="s">
        <v>28</v>
      </c>
      <c r="S436" t="s">
        <v>68</v>
      </c>
      <c r="T436">
        <v>1545.45</v>
      </c>
      <c r="U436">
        <f t="shared" si="84"/>
        <v>1566</v>
      </c>
      <c r="V436">
        <f t="shared" si="85"/>
        <v>561</v>
      </c>
      <c r="W436">
        <f t="shared" si="86"/>
        <v>502</v>
      </c>
      <c r="X436">
        <f t="shared" si="87"/>
        <v>0.35149999999999998</v>
      </c>
      <c r="Y436" s="1">
        <f t="shared" si="88"/>
        <v>80837892</v>
      </c>
      <c r="Z436">
        <f t="shared" si="89"/>
        <v>51620.620689655174</v>
      </c>
      <c r="AA436">
        <f t="shared" si="90"/>
        <v>99996</v>
      </c>
      <c r="AB436">
        <f t="shared" si="91"/>
        <v>5091</v>
      </c>
      <c r="AC436">
        <f t="shared" si="92"/>
        <v>2132272.1899999995</v>
      </c>
      <c r="AD436">
        <f t="shared" si="93"/>
        <v>1361.6042081736905</v>
      </c>
      <c r="AE436">
        <f t="shared" si="94"/>
        <v>0.35149999999999998</v>
      </c>
      <c r="AF436">
        <f t="shared" si="95"/>
        <v>1646057409.4100003</v>
      </c>
      <c r="AG436" t="str">
        <f t="shared" si="96"/>
        <v>Active</v>
      </c>
      <c r="AH436">
        <f t="shared" si="97"/>
        <v>18545.400000000001</v>
      </c>
    </row>
    <row r="437" spans="1:34" x14ac:dyDescent="0.35">
      <c r="A437" t="s">
        <v>1295</v>
      </c>
      <c r="B437" t="s">
        <v>1296</v>
      </c>
      <c r="C437">
        <v>65</v>
      </c>
      <c r="D437" t="s">
        <v>38</v>
      </c>
      <c r="E437" t="s">
        <v>32</v>
      </c>
      <c r="F437" t="s">
        <v>59</v>
      </c>
      <c r="G437">
        <v>27145</v>
      </c>
      <c r="H437">
        <v>637</v>
      </c>
      <c r="I437">
        <v>7515</v>
      </c>
      <c r="J437">
        <v>16.98</v>
      </c>
      <c r="K437">
        <v>36</v>
      </c>
      <c r="L437" t="s">
        <v>33</v>
      </c>
      <c r="M437">
        <v>24.24</v>
      </c>
      <c r="N437">
        <v>10034</v>
      </c>
      <c r="O437">
        <v>113283</v>
      </c>
      <c r="P437" t="s">
        <v>1297</v>
      </c>
      <c r="Q437" t="s">
        <v>61</v>
      </c>
      <c r="R437" t="s">
        <v>48</v>
      </c>
      <c r="S437" t="s">
        <v>43</v>
      </c>
      <c r="T437">
        <v>244.2</v>
      </c>
      <c r="U437">
        <f t="shared" si="84"/>
        <v>1565</v>
      </c>
      <c r="V437">
        <f t="shared" si="85"/>
        <v>560</v>
      </c>
      <c r="W437">
        <f t="shared" si="86"/>
        <v>502</v>
      </c>
      <c r="X437">
        <f t="shared" si="87"/>
        <v>0.35149999999999998</v>
      </c>
      <c r="Y437" s="1">
        <f t="shared" si="88"/>
        <v>80790989</v>
      </c>
      <c r="Z437">
        <f t="shared" si="89"/>
        <v>51623.63514376997</v>
      </c>
      <c r="AA437">
        <f t="shared" si="90"/>
        <v>99996</v>
      </c>
      <c r="AB437">
        <f t="shared" si="91"/>
        <v>5091</v>
      </c>
      <c r="AC437">
        <f t="shared" si="92"/>
        <v>2130726.7399999993</v>
      </c>
      <c r="AD437">
        <f t="shared" si="93"/>
        <v>1361.4867348242808</v>
      </c>
      <c r="AE437">
        <f t="shared" si="94"/>
        <v>0.35149999999999998</v>
      </c>
      <c r="AF437">
        <f t="shared" si="95"/>
        <v>1643925137.2200003</v>
      </c>
      <c r="AG437" t="str">
        <f t="shared" si="96"/>
        <v>Active</v>
      </c>
      <c r="AH437">
        <f t="shared" si="97"/>
        <v>2930.3999999999996</v>
      </c>
    </row>
    <row r="438" spans="1:34" x14ac:dyDescent="0.35">
      <c r="A438" t="s">
        <v>1298</v>
      </c>
      <c r="B438" t="s">
        <v>1299</v>
      </c>
      <c r="C438">
        <v>50</v>
      </c>
      <c r="D438" t="s">
        <v>22</v>
      </c>
      <c r="E438" t="s">
        <v>32</v>
      </c>
      <c r="F438" t="s">
        <v>59</v>
      </c>
      <c r="G438">
        <v>174012</v>
      </c>
      <c r="H438">
        <v>688</v>
      </c>
      <c r="I438">
        <v>27786</v>
      </c>
      <c r="J438">
        <v>7.74</v>
      </c>
      <c r="K438">
        <v>12</v>
      </c>
      <c r="L438" t="s">
        <v>25</v>
      </c>
      <c r="M438">
        <v>6.38</v>
      </c>
      <c r="N438">
        <v>56020</v>
      </c>
      <c r="O438">
        <v>224294</v>
      </c>
      <c r="P438" t="s">
        <v>1300</v>
      </c>
      <c r="Q438" t="s">
        <v>27</v>
      </c>
      <c r="R438" t="s">
        <v>28</v>
      </c>
      <c r="S438" t="s">
        <v>68</v>
      </c>
      <c r="T438">
        <v>2494.7199999999998</v>
      </c>
      <c r="U438">
        <f t="shared" si="84"/>
        <v>1564</v>
      </c>
      <c r="V438">
        <f t="shared" si="85"/>
        <v>560</v>
      </c>
      <c r="W438">
        <f t="shared" si="86"/>
        <v>501</v>
      </c>
      <c r="X438">
        <f t="shared" si="87"/>
        <v>0.35149999999999998</v>
      </c>
      <c r="Y438" s="1">
        <f t="shared" si="88"/>
        <v>80783474</v>
      </c>
      <c r="Z438">
        <f t="shared" si="89"/>
        <v>51651.837595907928</v>
      </c>
      <c r="AA438">
        <f t="shared" si="90"/>
        <v>99996</v>
      </c>
      <c r="AB438">
        <f t="shared" si="91"/>
        <v>5091</v>
      </c>
      <c r="AC438">
        <f t="shared" si="92"/>
        <v>2130482.5399999996</v>
      </c>
      <c r="AD438">
        <f t="shared" si="93"/>
        <v>1362.2011125319691</v>
      </c>
      <c r="AE438">
        <f t="shared" si="94"/>
        <v>0.35149999999999998</v>
      </c>
      <c r="AF438">
        <f t="shared" si="95"/>
        <v>1641794410.4800003</v>
      </c>
      <c r="AG438" t="str">
        <f t="shared" si="96"/>
        <v>Active</v>
      </c>
      <c r="AH438">
        <f t="shared" si="97"/>
        <v>29936.639999999999</v>
      </c>
    </row>
    <row r="439" spans="1:34" x14ac:dyDescent="0.35">
      <c r="A439" t="s">
        <v>1301</v>
      </c>
      <c r="B439" t="s">
        <v>1302</v>
      </c>
      <c r="C439">
        <v>23</v>
      </c>
      <c r="D439" t="s">
        <v>22</v>
      </c>
      <c r="E439" t="s">
        <v>23</v>
      </c>
      <c r="F439" t="s">
        <v>59</v>
      </c>
      <c r="G439">
        <v>78401</v>
      </c>
      <c r="H439">
        <v>834</v>
      </c>
      <c r="I439">
        <v>68096</v>
      </c>
      <c r="J439">
        <v>10.53</v>
      </c>
      <c r="K439">
        <v>240</v>
      </c>
      <c r="L439" t="s">
        <v>86</v>
      </c>
      <c r="M439">
        <v>45.45</v>
      </c>
      <c r="N439">
        <v>36137</v>
      </c>
      <c r="O439">
        <v>145911</v>
      </c>
      <c r="P439" t="s">
        <v>1303</v>
      </c>
      <c r="Q439" t="s">
        <v>42</v>
      </c>
      <c r="R439" t="s">
        <v>28</v>
      </c>
      <c r="S439" t="s">
        <v>35</v>
      </c>
      <c r="T439">
        <v>313.61</v>
      </c>
      <c r="U439">
        <f t="shared" si="84"/>
        <v>1563</v>
      </c>
      <c r="V439">
        <f t="shared" si="85"/>
        <v>560</v>
      </c>
      <c r="W439">
        <f t="shared" si="86"/>
        <v>501</v>
      </c>
      <c r="X439">
        <f t="shared" si="87"/>
        <v>0.35149999999999998</v>
      </c>
      <c r="Y439" s="1">
        <f t="shared" si="88"/>
        <v>80755688</v>
      </c>
      <c r="Z439">
        <f t="shared" si="89"/>
        <v>51667.106845809343</v>
      </c>
      <c r="AA439">
        <f t="shared" si="90"/>
        <v>99996</v>
      </c>
      <c r="AB439">
        <f t="shared" si="91"/>
        <v>5091</v>
      </c>
      <c r="AC439">
        <f t="shared" si="92"/>
        <v>2127987.8199999994</v>
      </c>
      <c r="AD439">
        <f t="shared" si="93"/>
        <v>1361.4765323096606</v>
      </c>
      <c r="AE439">
        <f t="shared" si="94"/>
        <v>0.35149999999999998</v>
      </c>
      <c r="AF439">
        <f t="shared" si="95"/>
        <v>1639663927.9400001</v>
      </c>
      <c r="AG439" t="str">
        <f t="shared" si="96"/>
        <v>Over Paid</v>
      </c>
      <c r="AH439">
        <f t="shared" si="97"/>
        <v>3763.32</v>
      </c>
    </row>
    <row r="440" spans="1:34" x14ac:dyDescent="0.35">
      <c r="A440" t="s">
        <v>1304</v>
      </c>
      <c r="B440" t="s">
        <v>1305</v>
      </c>
      <c r="C440">
        <v>46</v>
      </c>
      <c r="D440" t="s">
        <v>22</v>
      </c>
      <c r="E440" t="s">
        <v>23</v>
      </c>
      <c r="F440" t="s">
        <v>46</v>
      </c>
      <c r="G440">
        <v>22812</v>
      </c>
      <c r="H440">
        <v>402</v>
      </c>
      <c r="I440">
        <v>68637</v>
      </c>
      <c r="J440">
        <v>13.17</v>
      </c>
      <c r="K440">
        <v>24</v>
      </c>
      <c r="L440" t="s">
        <v>52</v>
      </c>
      <c r="M440">
        <v>43.31</v>
      </c>
      <c r="N440">
        <v>12770</v>
      </c>
      <c r="O440">
        <v>106645</v>
      </c>
      <c r="P440" t="s">
        <v>77</v>
      </c>
      <c r="Q440" t="s">
        <v>27</v>
      </c>
      <c r="R440" t="s">
        <v>28</v>
      </c>
      <c r="S440" t="s">
        <v>68</v>
      </c>
      <c r="T440">
        <v>3236.52</v>
      </c>
      <c r="U440">
        <f t="shared" si="84"/>
        <v>1562</v>
      </c>
      <c r="V440">
        <f t="shared" si="85"/>
        <v>559</v>
      </c>
      <c r="W440">
        <f t="shared" si="86"/>
        <v>501</v>
      </c>
      <c r="X440">
        <f t="shared" si="87"/>
        <v>0.35149999999999998</v>
      </c>
      <c r="Y440" s="1">
        <f t="shared" si="88"/>
        <v>80687592</v>
      </c>
      <c r="Z440">
        <f t="shared" si="89"/>
        <v>51656.588988476309</v>
      </c>
      <c r="AA440">
        <f t="shared" si="90"/>
        <v>99996</v>
      </c>
      <c r="AB440">
        <f t="shared" si="91"/>
        <v>5091</v>
      </c>
      <c r="AC440">
        <f t="shared" si="92"/>
        <v>2127674.2099999995</v>
      </c>
      <c r="AD440">
        <f t="shared" si="93"/>
        <v>1362.1473815620996</v>
      </c>
      <c r="AE440">
        <f t="shared" si="94"/>
        <v>0.35149999999999998</v>
      </c>
      <c r="AF440">
        <f t="shared" si="95"/>
        <v>1637535940.1199996</v>
      </c>
      <c r="AG440" t="str">
        <f t="shared" si="96"/>
        <v>Active</v>
      </c>
      <c r="AH440">
        <f t="shared" si="97"/>
        <v>38838.239999999998</v>
      </c>
    </row>
    <row r="441" spans="1:34" x14ac:dyDescent="0.35">
      <c r="A441" t="s">
        <v>1306</v>
      </c>
      <c r="B441" t="s">
        <v>1307</v>
      </c>
      <c r="C441">
        <v>59</v>
      </c>
      <c r="D441" t="s">
        <v>22</v>
      </c>
      <c r="E441" t="s">
        <v>39</v>
      </c>
      <c r="F441" t="s">
        <v>59</v>
      </c>
      <c r="G441">
        <v>93193</v>
      </c>
      <c r="H441">
        <v>780</v>
      </c>
      <c r="I441">
        <v>89867</v>
      </c>
      <c r="J441">
        <v>19.68</v>
      </c>
      <c r="K441">
        <v>360</v>
      </c>
      <c r="L441" t="s">
        <v>86</v>
      </c>
      <c r="M441">
        <v>11.19</v>
      </c>
      <c r="N441">
        <v>38370</v>
      </c>
      <c r="O441">
        <v>97125</v>
      </c>
      <c r="P441" t="s">
        <v>1308</v>
      </c>
      <c r="Q441" t="s">
        <v>42</v>
      </c>
      <c r="R441" t="s">
        <v>28</v>
      </c>
      <c r="S441" t="s">
        <v>29</v>
      </c>
      <c r="T441">
        <v>298.76</v>
      </c>
      <c r="U441">
        <f t="shared" si="84"/>
        <v>1561</v>
      </c>
      <c r="V441">
        <f t="shared" si="85"/>
        <v>559</v>
      </c>
      <c r="W441">
        <f t="shared" si="86"/>
        <v>501</v>
      </c>
      <c r="X441">
        <f t="shared" si="87"/>
        <v>0.35149999999999998</v>
      </c>
      <c r="Y441" s="1">
        <f t="shared" si="88"/>
        <v>80618955</v>
      </c>
      <c r="Z441">
        <f t="shared" si="89"/>
        <v>51645.711082639333</v>
      </c>
      <c r="AA441">
        <f t="shared" si="90"/>
        <v>99996</v>
      </c>
      <c r="AB441">
        <f t="shared" si="91"/>
        <v>5091</v>
      </c>
      <c r="AC441">
        <f t="shared" si="92"/>
        <v>2124437.6899999995</v>
      </c>
      <c r="AD441">
        <f t="shared" si="93"/>
        <v>1360.9466303651502</v>
      </c>
      <c r="AE441">
        <f t="shared" si="94"/>
        <v>0.35149999999999998</v>
      </c>
      <c r="AF441">
        <f t="shared" si="95"/>
        <v>1635408265.9099998</v>
      </c>
      <c r="AG441" t="str">
        <f t="shared" si="96"/>
        <v>Active</v>
      </c>
      <c r="AH441">
        <f t="shared" si="97"/>
        <v>3585.12</v>
      </c>
    </row>
    <row r="442" spans="1:34" x14ac:dyDescent="0.35">
      <c r="A442" t="s">
        <v>1309</v>
      </c>
      <c r="B442" t="s">
        <v>1310</v>
      </c>
      <c r="C442">
        <v>22</v>
      </c>
      <c r="D442" t="s">
        <v>38</v>
      </c>
      <c r="E442" t="s">
        <v>39</v>
      </c>
      <c r="F442" t="s">
        <v>59</v>
      </c>
      <c r="G442">
        <v>173770</v>
      </c>
      <c r="H442">
        <v>780</v>
      </c>
      <c r="I442">
        <v>13396</v>
      </c>
      <c r="J442">
        <v>5.17</v>
      </c>
      <c r="K442">
        <v>240</v>
      </c>
      <c r="L442" t="s">
        <v>86</v>
      </c>
      <c r="M442">
        <v>27.36</v>
      </c>
      <c r="N442">
        <v>48567</v>
      </c>
      <c r="O442">
        <v>172030</v>
      </c>
      <c r="P442" t="s">
        <v>1311</v>
      </c>
      <c r="Q442" t="s">
        <v>27</v>
      </c>
      <c r="R442" t="s">
        <v>48</v>
      </c>
      <c r="S442" t="s">
        <v>68</v>
      </c>
      <c r="T442">
        <v>58.7</v>
      </c>
      <c r="U442">
        <f t="shared" si="84"/>
        <v>1560</v>
      </c>
      <c r="V442">
        <f t="shared" si="85"/>
        <v>558</v>
      </c>
      <c r="W442">
        <f t="shared" si="86"/>
        <v>501</v>
      </c>
      <c r="X442">
        <f t="shared" si="87"/>
        <v>0.35149999999999998</v>
      </c>
      <c r="Y442" s="1">
        <f t="shared" si="88"/>
        <v>80529088</v>
      </c>
      <c r="Z442">
        <f t="shared" si="89"/>
        <v>51621.210256410253</v>
      </c>
      <c r="AA442">
        <f t="shared" si="90"/>
        <v>99996</v>
      </c>
      <c r="AB442">
        <f t="shared" si="91"/>
        <v>5091</v>
      </c>
      <c r="AC442">
        <f t="shared" si="92"/>
        <v>2124138.9299999992</v>
      </c>
      <c r="AD442">
        <f t="shared" si="93"/>
        <v>1361.6275192307687</v>
      </c>
      <c r="AE442">
        <f t="shared" si="94"/>
        <v>0.35149999999999998</v>
      </c>
      <c r="AF442">
        <f t="shared" si="95"/>
        <v>1633283828.2199998</v>
      </c>
      <c r="AG442" t="str">
        <f t="shared" si="96"/>
        <v>Active</v>
      </c>
      <c r="AH442">
        <f t="shared" si="97"/>
        <v>704.40000000000009</v>
      </c>
    </row>
    <row r="443" spans="1:34" x14ac:dyDescent="0.35">
      <c r="A443" t="s">
        <v>1312</v>
      </c>
      <c r="B443" t="s">
        <v>1313</v>
      </c>
      <c r="C443">
        <v>43</v>
      </c>
      <c r="D443" t="s">
        <v>22</v>
      </c>
      <c r="E443" t="s">
        <v>32</v>
      </c>
      <c r="F443" t="s">
        <v>46</v>
      </c>
      <c r="G443">
        <v>123503</v>
      </c>
      <c r="H443">
        <v>624</v>
      </c>
      <c r="I443">
        <v>96757</v>
      </c>
      <c r="J443">
        <v>11.61</v>
      </c>
      <c r="K443">
        <v>180</v>
      </c>
      <c r="L443" t="s">
        <v>86</v>
      </c>
      <c r="M443">
        <v>55.96</v>
      </c>
      <c r="N443">
        <v>12535</v>
      </c>
      <c r="O443">
        <v>235792</v>
      </c>
      <c r="P443" t="s">
        <v>731</v>
      </c>
      <c r="Q443" t="s">
        <v>27</v>
      </c>
      <c r="R443" t="s">
        <v>48</v>
      </c>
      <c r="S443" t="s">
        <v>43</v>
      </c>
      <c r="T443">
        <v>599.95000000000005</v>
      </c>
      <c r="U443">
        <f t="shared" si="84"/>
        <v>1559</v>
      </c>
      <c r="V443">
        <f t="shared" si="85"/>
        <v>558</v>
      </c>
      <c r="W443">
        <f t="shared" si="86"/>
        <v>501</v>
      </c>
      <c r="X443">
        <f t="shared" si="87"/>
        <v>0.35149999999999998</v>
      </c>
      <c r="Y443" s="1">
        <f t="shared" si="88"/>
        <v>80515692</v>
      </c>
      <c r="Z443">
        <f t="shared" si="89"/>
        <v>51645.729313662603</v>
      </c>
      <c r="AA443">
        <f t="shared" si="90"/>
        <v>99996</v>
      </c>
      <c r="AB443">
        <f t="shared" si="91"/>
        <v>5091</v>
      </c>
      <c r="AC443">
        <f t="shared" si="92"/>
        <v>2124080.2299999995</v>
      </c>
      <c r="AD443">
        <f t="shared" si="93"/>
        <v>1362.4632649134057</v>
      </c>
      <c r="AE443">
        <f t="shared" si="94"/>
        <v>0.35149999999999998</v>
      </c>
      <c r="AF443">
        <f t="shared" si="95"/>
        <v>1631159689.29</v>
      </c>
      <c r="AG443" t="str">
        <f t="shared" si="96"/>
        <v>Active</v>
      </c>
      <c r="AH443">
        <f t="shared" si="97"/>
        <v>7199.4000000000005</v>
      </c>
    </row>
    <row r="444" spans="1:34" x14ac:dyDescent="0.35">
      <c r="A444" t="s">
        <v>1314</v>
      </c>
      <c r="B444" t="s">
        <v>1315</v>
      </c>
      <c r="C444">
        <v>26</v>
      </c>
      <c r="D444" t="s">
        <v>38</v>
      </c>
      <c r="E444" t="s">
        <v>23</v>
      </c>
      <c r="F444" t="s">
        <v>46</v>
      </c>
      <c r="G444">
        <v>139208</v>
      </c>
      <c r="H444">
        <v>404</v>
      </c>
      <c r="I444">
        <v>74289</v>
      </c>
      <c r="J444">
        <v>5.53</v>
      </c>
      <c r="K444">
        <v>12</v>
      </c>
      <c r="L444" t="s">
        <v>33</v>
      </c>
      <c r="M444">
        <v>45.82</v>
      </c>
      <c r="N444">
        <v>75507</v>
      </c>
      <c r="O444">
        <v>77057</v>
      </c>
      <c r="P444" t="s">
        <v>1272</v>
      </c>
      <c r="Q444" t="s">
        <v>27</v>
      </c>
      <c r="R444" t="s">
        <v>48</v>
      </c>
      <c r="S444" t="s">
        <v>68</v>
      </c>
      <c r="T444">
        <v>6533.1</v>
      </c>
      <c r="U444">
        <f t="shared" si="84"/>
        <v>1558</v>
      </c>
      <c r="V444">
        <f t="shared" si="85"/>
        <v>558</v>
      </c>
      <c r="W444">
        <f t="shared" si="86"/>
        <v>501</v>
      </c>
      <c r="X444">
        <f t="shared" si="87"/>
        <v>0.35149999999999998</v>
      </c>
      <c r="Y444" s="1">
        <f t="shared" si="88"/>
        <v>80418935</v>
      </c>
      <c r="Z444">
        <f t="shared" si="89"/>
        <v>51616.774711168167</v>
      </c>
      <c r="AA444">
        <f t="shared" si="90"/>
        <v>99996</v>
      </c>
      <c r="AB444">
        <f t="shared" si="91"/>
        <v>5091</v>
      </c>
      <c r="AC444">
        <f t="shared" si="92"/>
        <v>2123480.2799999998</v>
      </c>
      <c r="AD444">
        <f t="shared" si="93"/>
        <v>1362.9526829268291</v>
      </c>
      <c r="AE444">
        <f t="shared" si="94"/>
        <v>0.35149999999999998</v>
      </c>
      <c r="AF444">
        <f t="shared" si="95"/>
        <v>1629035609.0599999</v>
      </c>
      <c r="AG444" t="str">
        <f t="shared" si="96"/>
        <v>Active</v>
      </c>
      <c r="AH444">
        <f t="shared" si="97"/>
        <v>78397.200000000012</v>
      </c>
    </row>
    <row r="445" spans="1:34" x14ac:dyDescent="0.35">
      <c r="A445" t="s">
        <v>1316</v>
      </c>
      <c r="B445" t="s">
        <v>1317</v>
      </c>
      <c r="C445">
        <v>41</v>
      </c>
      <c r="D445" t="s">
        <v>38</v>
      </c>
      <c r="E445" t="s">
        <v>23</v>
      </c>
      <c r="F445" t="s">
        <v>24</v>
      </c>
      <c r="G445">
        <v>126871</v>
      </c>
      <c r="H445">
        <v>813</v>
      </c>
      <c r="I445">
        <v>74653</v>
      </c>
      <c r="J445">
        <v>19.57</v>
      </c>
      <c r="K445">
        <v>60</v>
      </c>
      <c r="L445" t="s">
        <v>86</v>
      </c>
      <c r="M445">
        <v>19.96</v>
      </c>
      <c r="N445">
        <v>45924</v>
      </c>
      <c r="O445">
        <v>122627</v>
      </c>
      <c r="P445" t="s">
        <v>1318</v>
      </c>
      <c r="Q445" t="s">
        <v>42</v>
      </c>
      <c r="R445" t="s">
        <v>48</v>
      </c>
      <c r="S445" t="s">
        <v>68</v>
      </c>
      <c r="T445">
        <v>1487.71</v>
      </c>
      <c r="U445">
        <f t="shared" si="84"/>
        <v>1557</v>
      </c>
      <c r="V445">
        <f t="shared" si="85"/>
        <v>558</v>
      </c>
      <c r="W445">
        <f t="shared" si="86"/>
        <v>501</v>
      </c>
      <c r="X445">
        <f t="shared" si="87"/>
        <v>0.35149999999999998</v>
      </c>
      <c r="Y445" s="1">
        <f t="shared" si="88"/>
        <v>80344646</v>
      </c>
      <c r="Z445">
        <f t="shared" si="89"/>
        <v>51602.213230571615</v>
      </c>
      <c r="AA445">
        <f t="shared" si="90"/>
        <v>99996</v>
      </c>
      <c r="AB445">
        <f t="shared" si="91"/>
        <v>5091</v>
      </c>
      <c r="AC445">
        <f t="shared" si="92"/>
        <v>2116947.1799999997</v>
      </c>
      <c r="AD445">
        <f t="shared" si="93"/>
        <v>1359.6321001926781</v>
      </c>
      <c r="AE445">
        <f t="shared" si="94"/>
        <v>0.35149999999999998</v>
      </c>
      <c r="AF445">
        <f t="shared" si="95"/>
        <v>1626912128.7799997</v>
      </c>
      <c r="AG445" t="str">
        <f t="shared" si="96"/>
        <v>Over Paid</v>
      </c>
      <c r="AH445">
        <f t="shared" si="97"/>
        <v>17852.52</v>
      </c>
    </row>
    <row r="446" spans="1:34" x14ac:dyDescent="0.35">
      <c r="A446" t="s">
        <v>1319</v>
      </c>
      <c r="B446" t="s">
        <v>1320</v>
      </c>
      <c r="C446">
        <v>52</v>
      </c>
      <c r="D446" t="s">
        <v>22</v>
      </c>
      <c r="E446" t="s">
        <v>32</v>
      </c>
      <c r="F446" t="s">
        <v>59</v>
      </c>
      <c r="G446">
        <v>87194</v>
      </c>
      <c r="H446">
        <v>779</v>
      </c>
      <c r="I446">
        <v>48912</v>
      </c>
      <c r="J446">
        <v>5.98</v>
      </c>
      <c r="K446">
        <v>36</v>
      </c>
      <c r="L446" t="s">
        <v>86</v>
      </c>
      <c r="M446">
        <v>46.13</v>
      </c>
      <c r="N446">
        <v>64178</v>
      </c>
      <c r="O446">
        <v>37692</v>
      </c>
      <c r="P446" t="s">
        <v>1321</v>
      </c>
      <c r="Q446" t="s">
        <v>61</v>
      </c>
      <c r="R446" t="s">
        <v>28</v>
      </c>
      <c r="S446" t="s">
        <v>35</v>
      </c>
      <c r="T446">
        <v>1439.91</v>
      </c>
      <c r="U446">
        <f t="shared" si="84"/>
        <v>1556</v>
      </c>
      <c r="V446">
        <f t="shared" si="85"/>
        <v>557</v>
      </c>
      <c r="W446">
        <f t="shared" si="86"/>
        <v>501</v>
      </c>
      <c r="X446">
        <f t="shared" si="87"/>
        <v>0.35149999999999998</v>
      </c>
      <c r="Y446" s="1">
        <f t="shared" si="88"/>
        <v>80269993</v>
      </c>
      <c r="Z446">
        <f t="shared" si="89"/>
        <v>51587.399100257069</v>
      </c>
      <c r="AA446">
        <f t="shared" si="90"/>
        <v>99996</v>
      </c>
      <c r="AB446">
        <f t="shared" si="91"/>
        <v>5091</v>
      </c>
      <c r="AC446">
        <f t="shared" si="92"/>
        <v>2115459.4699999997</v>
      </c>
      <c r="AD446">
        <f t="shared" si="93"/>
        <v>1359.5497879177376</v>
      </c>
      <c r="AE446">
        <f t="shared" si="94"/>
        <v>0.35149999999999998</v>
      </c>
      <c r="AF446">
        <f t="shared" si="95"/>
        <v>1624795181.5999999</v>
      </c>
      <c r="AG446" t="str">
        <f t="shared" si="96"/>
        <v>Active</v>
      </c>
      <c r="AH446">
        <f t="shared" si="97"/>
        <v>17278.920000000002</v>
      </c>
    </row>
    <row r="447" spans="1:34" x14ac:dyDescent="0.35">
      <c r="A447" t="s">
        <v>1322</v>
      </c>
      <c r="B447" t="s">
        <v>1323</v>
      </c>
      <c r="C447">
        <v>33</v>
      </c>
      <c r="D447" t="s">
        <v>22</v>
      </c>
      <c r="E447" t="s">
        <v>39</v>
      </c>
      <c r="F447" t="s">
        <v>24</v>
      </c>
      <c r="G447">
        <v>165884</v>
      </c>
      <c r="H447">
        <v>308</v>
      </c>
      <c r="I447">
        <v>46802</v>
      </c>
      <c r="J447">
        <v>13.17</v>
      </c>
      <c r="K447">
        <v>12</v>
      </c>
      <c r="L447" t="s">
        <v>33</v>
      </c>
      <c r="M447">
        <v>35.6</v>
      </c>
      <c r="N447">
        <v>29756</v>
      </c>
      <c r="O447">
        <v>127785</v>
      </c>
      <c r="P447" t="s">
        <v>1109</v>
      </c>
      <c r="Q447" t="s">
        <v>61</v>
      </c>
      <c r="R447" t="s">
        <v>48</v>
      </c>
      <c r="S447" t="s">
        <v>35</v>
      </c>
      <c r="T447">
        <v>4413.82</v>
      </c>
      <c r="U447">
        <f t="shared" si="84"/>
        <v>1555</v>
      </c>
      <c r="V447">
        <f t="shared" si="85"/>
        <v>557</v>
      </c>
      <c r="W447">
        <f t="shared" si="86"/>
        <v>500</v>
      </c>
      <c r="X447">
        <f t="shared" si="87"/>
        <v>0.35149999999999998</v>
      </c>
      <c r="Y447" s="1">
        <f t="shared" si="88"/>
        <v>80221081</v>
      </c>
      <c r="Z447">
        <f t="shared" si="89"/>
        <v>51589.119614147909</v>
      </c>
      <c r="AA447">
        <f t="shared" si="90"/>
        <v>99996</v>
      </c>
      <c r="AB447">
        <f t="shared" si="91"/>
        <v>5091</v>
      </c>
      <c r="AC447">
        <f t="shared" si="92"/>
        <v>2114019.5599999996</v>
      </c>
      <c r="AD447">
        <f t="shared" si="93"/>
        <v>1359.4981093247586</v>
      </c>
      <c r="AE447">
        <f t="shared" si="94"/>
        <v>0.35149999999999998</v>
      </c>
      <c r="AF447">
        <f t="shared" si="95"/>
        <v>1622679722.1300001</v>
      </c>
      <c r="AG447" t="str">
        <f t="shared" si="96"/>
        <v>Active</v>
      </c>
      <c r="AH447">
        <f t="shared" si="97"/>
        <v>52965.84</v>
      </c>
    </row>
    <row r="448" spans="1:34" x14ac:dyDescent="0.35">
      <c r="A448" t="s">
        <v>1324</v>
      </c>
      <c r="B448" t="s">
        <v>1325</v>
      </c>
      <c r="C448">
        <v>42</v>
      </c>
      <c r="D448" t="s">
        <v>22</v>
      </c>
      <c r="E448" t="s">
        <v>39</v>
      </c>
      <c r="F448" t="s">
        <v>46</v>
      </c>
      <c r="G448">
        <v>137765</v>
      </c>
      <c r="H448">
        <v>582</v>
      </c>
      <c r="I448">
        <v>42156</v>
      </c>
      <c r="J448">
        <v>21.39</v>
      </c>
      <c r="K448">
        <v>12</v>
      </c>
      <c r="L448" t="s">
        <v>86</v>
      </c>
      <c r="M448">
        <v>42.1</v>
      </c>
      <c r="N448">
        <v>54039</v>
      </c>
      <c r="O448">
        <v>238245</v>
      </c>
      <c r="P448" t="s">
        <v>1326</v>
      </c>
      <c r="Q448" t="s">
        <v>61</v>
      </c>
      <c r="R448" t="s">
        <v>48</v>
      </c>
      <c r="S448" t="s">
        <v>43</v>
      </c>
      <c r="T448">
        <v>4264.43</v>
      </c>
      <c r="U448">
        <f t="shared" si="84"/>
        <v>1554</v>
      </c>
      <c r="V448">
        <f t="shared" si="85"/>
        <v>557</v>
      </c>
      <c r="W448">
        <f t="shared" si="86"/>
        <v>499</v>
      </c>
      <c r="X448">
        <f t="shared" si="87"/>
        <v>0.35149999999999998</v>
      </c>
      <c r="Y448" s="1">
        <f t="shared" si="88"/>
        <v>80174279</v>
      </c>
      <c r="Z448">
        <f t="shared" si="89"/>
        <v>51592.200128700126</v>
      </c>
      <c r="AA448">
        <f t="shared" si="90"/>
        <v>99996</v>
      </c>
      <c r="AB448">
        <f t="shared" si="91"/>
        <v>5091</v>
      </c>
      <c r="AC448">
        <f t="shared" si="92"/>
        <v>2109605.7399999993</v>
      </c>
      <c r="AD448">
        <f t="shared" si="93"/>
        <v>1357.5326512226507</v>
      </c>
      <c r="AE448">
        <f t="shared" si="94"/>
        <v>0.35149999999999998</v>
      </c>
      <c r="AF448">
        <f t="shared" si="95"/>
        <v>1620565702.5699999</v>
      </c>
      <c r="AG448" t="str">
        <f t="shared" si="96"/>
        <v>Over Paid</v>
      </c>
      <c r="AH448">
        <f t="shared" si="97"/>
        <v>51173.16</v>
      </c>
    </row>
    <row r="449" spans="1:34" x14ac:dyDescent="0.35">
      <c r="A449" t="s">
        <v>1327</v>
      </c>
      <c r="B449" t="s">
        <v>1328</v>
      </c>
      <c r="C449">
        <v>42</v>
      </c>
      <c r="D449" t="s">
        <v>22</v>
      </c>
      <c r="E449" t="s">
        <v>23</v>
      </c>
      <c r="F449" t="s">
        <v>59</v>
      </c>
      <c r="G449">
        <v>81101</v>
      </c>
      <c r="H449">
        <v>729</v>
      </c>
      <c r="I449">
        <v>74586</v>
      </c>
      <c r="J449">
        <v>15</v>
      </c>
      <c r="K449">
        <v>120</v>
      </c>
      <c r="L449" t="s">
        <v>25</v>
      </c>
      <c r="M449">
        <v>26.59</v>
      </c>
      <c r="N449">
        <v>78511</v>
      </c>
      <c r="O449">
        <v>112405</v>
      </c>
      <c r="P449" t="s">
        <v>1329</v>
      </c>
      <c r="Q449" t="s">
        <v>61</v>
      </c>
      <c r="R449" t="s">
        <v>48</v>
      </c>
      <c r="S449" t="s">
        <v>35</v>
      </c>
      <c r="T449">
        <v>714.78</v>
      </c>
      <c r="U449">
        <f t="shared" si="84"/>
        <v>1553</v>
      </c>
      <c r="V449">
        <f t="shared" si="85"/>
        <v>557</v>
      </c>
      <c r="W449">
        <f t="shared" si="86"/>
        <v>498</v>
      </c>
      <c r="X449">
        <f t="shared" si="87"/>
        <v>0.35149999999999998</v>
      </c>
      <c r="Y449" s="1">
        <f t="shared" si="88"/>
        <v>80132123</v>
      </c>
      <c r="Z449">
        <f t="shared" si="89"/>
        <v>51598.276239536382</v>
      </c>
      <c r="AA449">
        <f t="shared" si="90"/>
        <v>99996</v>
      </c>
      <c r="AB449">
        <f t="shared" si="91"/>
        <v>5091</v>
      </c>
      <c r="AC449">
        <f t="shared" si="92"/>
        <v>2105341.3099999996</v>
      </c>
      <c r="AD449">
        <f t="shared" si="93"/>
        <v>1355.6608564069541</v>
      </c>
      <c r="AE449">
        <f t="shared" si="94"/>
        <v>0.35149999999999998</v>
      </c>
      <c r="AF449">
        <f t="shared" si="95"/>
        <v>1618456096.8300002</v>
      </c>
      <c r="AG449" t="str">
        <f t="shared" si="96"/>
        <v>Over Paid</v>
      </c>
      <c r="AH449">
        <f t="shared" si="97"/>
        <v>8577.36</v>
      </c>
    </row>
    <row r="450" spans="1:34" x14ac:dyDescent="0.35">
      <c r="A450" t="s">
        <v>1330</v>
      </c>
      <c r="B450" t="s">
        <v>1331</v>
      </c>
      <c r="C450">
        <v>56</v>
      </c>
      <c r="D450" t="s">
        <v>38</v>
      </c>
      <c r="E450" t="s">
        <v>39</v>
      </c>
      <c r="F450" t="s">
        <v>59</v>
      </c>
      <c r="G450">
        <v>120945</v>
      </c>
      <c r="H450">
        <v>837</v>
      </c>
      <c r="I450">
        <v>36378</v>
      </c>
      <c r="J450">
        <v>20.12</v>
      </c>
      <c r="K450">
        <v>180</v>
      </c>
      <c r="L450" t="s">
        <v>33</v>
      </c>
      <c r="M450">
        <v>45</v>
      </c>
      <c r="N450">
        <v>46398</v>
      </c>
      <c r="O450">
        <v>54973</v>
      </c>
      <c r="P450" t="s">
        <v>1332</v>
      </c>
      <c r="Q450" t="s">
        <v>42</v>
      </c>
      <c r="R450" t="s">
        <v>48</v>
      </c>
      <c r="S450" t="s">
        <v>43</v>
      </c>
      <c r="T450">
        <v>242.76</v>
      </c>
      <c r="U450">
        <f t="shared" ref="U450:U513" si="98">COUNTA(A450:A2449)</f>
        <v>1552</v>
      </c>
      <c r="V450">
        <f t="shared" ref="V450:V513" si="99">COUNTIF(Q450:Q2449,"APPROVED")</f>
        <v>557</v>
      </c>
      <c r="W450">
        <f t="shared" ref="W450:W513" si="100">COUNTIF(Q450:Q2450,"Rejected")</f>
        <v>497</v>
      </c>
      <c r="X450">
        <f t="shared" ref="X450:X513" si="101">703/2000</f>
        <v>0.35149999999999998</v>
      </c>
      <c r="Y450" s="1">
        <f t="shared" ref="Y450:Y513" si="102">SUM(I450:I2449)</f>
        <v>80057537</v>
      </c>
      <c r="Z450">
        <f t="shared" ref="Z450:Z513" si="103">AVERAGE(I450:I20449)</f>
        <v>51583.464561855668</v>
      </c>
      <c r="AA450">
        <f t="shared" ref="AA450:AA513" si="104">MAX(I450:I2449)</f>
        <v>99996</v>
      </c>
      <c r="AB450">
        <f t="shared" ref="AB450:AB513" si="105">MIN(I450:I2449)</f>
        <v>5091</v>
      </c>
      <c r="AC450">
        <f t="shared" ref="AC450:AC513" si="106">SUM(T450:T2449)</f>
        <v>2104626.5299999989</v>
      </c>
      <c r="AD450">
        <f t="shared" ref="AD450:AD513" si="107">AVERAGE(T450:T2449)</f>
        <v>1356.0737951030922</v>
      </c>
      <c r="AE450">
        <f t="shared" ref="AE450:AE513" si="108">703/2000</f>
        <v>0.35149999999999998</v>
      </c>
      <c r="AF450">
        <f t="shared" ref="AF450:AF513" si="109">SUM(AC450:AC2449)</f>
        <v>1616350755.5200002</v>
      </c>
      <c r="AG450" t="str">
        <f t="shared" ref="AG450:AG513" si="110">IF(AH450=0,"Bad", IF(AH449&lt;I449, "Active", IF(AH449=I449, "Good", "Over Paid")))</f>
        <v>Active</v>
      </c>
      <c r="AH450">
        <f t="shared" ref="AH450:AH513" si="111">T450*12</f>
        <v>2913.12</v>
      </c>
    </row>
    <row r="451" spans="1:34" x14ac:dyDescent="0.35">
      <c r="A451" t="s">
        <v>1333</v>
      </c>
      <c r="B451" t="s">
        <v>1334</v>
      </c>
      <c r="C451">
        <v>41</v>
      </c>
      <c r="D451" t="s">
        <v>38</v>
      </c>
      <c r="E451" t="s">
        <v>32</v>
      </c>
      <c r="F451" t="s">
        <v>24</v>
      </c>
      <c r="G451">
        <v>73147</v>
      </c>
      <c r="H451">
        <v>323</v>
      </c>
      <c r="I451">
        <v>7089</v>
      </c>
      <c r="J451">
        <v>22.12</v>
      </c>
      <c r="K451">
        <v>240</v>
      </c>
      <c r="L451" t="s">
        <v>40</v>
      </c>
      <c r="M451">
        <v>8.0500000000000007</v>
      </c>
      <c r="N451">
        <v>56475</v>
      </c>
      <c r="O451">
        <v>143462</v>
      </c>
      <c r="P451" t="s">
        <v>901</v>
      </c>
      <c r="Q451" t="s">
        <v>61</v>
      </c>
      <c r="R451" t="s">
        <v>48</v>
      </c>
      <c r="S451" t="s">
        <v>43</v>
      </c>
      <c r="T451">
        <v>36.07</v>
      </c>
      <c r="U451">
        <f t="shared" si="98"/>
        <v>1551</v>
      </c>
      <c r="V451">
        <f t="shared" si="99"/>
        <v>556</v>
      </c>
      <c r="W451">
        <f t="shared" si="100"/>
        <v>497</v>
      </c>
      <c r="X451">
        <f t="shared" si="101"/>
        <v>0.35149999999999998</v>
      </c>
      <c r="Y451" s="1">
        <f t="shared" si="102"/>
        <v>80021159</v>
      </c>
      <c r="Z451">
        <f t="shared" si="103"/>
        <v>51593.268214055446</v>
      </c>
      <c r="AA451">
        <f t="shared" si="104"/>
        <v>99996</v>
      </c>
      <c r="AB451">
        <f t="shared" si="105"/>
        <v>5091</v>
      </c>
      <c r="AC451">
        <f t="shared" si="106"/>
        <v>2104383.7699999991</v>
      </c>
      <c r="AD451">
        <f t="shared" si="107"/>
        <v>1356.7915989684068</v>
      </c>
      <c r="AE451">
        <f t="shared" si="108"/>
        <v>0.35149999999999998</v>
      </c>
      <c r="AF451">
        <f t="shared" si="109"/>
        <v>1614246128.9900002</v>
      </c>
      <c r="AG451" t="str">
        <f t="shared" si="110"/>
        <v>Active</v>
      </c>
      <c r="AH451">
        <f t="shared" si="111"/>
        <v>432.84000000000003</v>
      </c>
    </row>
    <row r="452" spans="1:34" x14ac:dyDescent="0.35">
      <c r="A452" t="s">
        <v>1335</v>
      </c>
      <c r="B452" t="s">
        <v>1336</v>
      </c>
      <c r="C452">
        <v>56</v>
      </c>
      <c r="D452" t="s">
        <v>38</v>
      </c>
      <c r="E452" t="s">
        <v>23</v>
      </c>
      <c r="F452" t="s">
        <v>24</v>
      </c>
      <c r="G452">
        <v>54676</v>
      </c>
      <c r="H452">
        <v>828</v>
      </c>
      <c r="I452">
        <v>62652</v>
      </c>
      <c r="J452">
        <v>5.75</v>
      </c>
      <c r="K452">
        <v>12</v>
      </c>
      <c r="L452" t="s">
        <v>52</v>
      </c>
      <c r="M452">
        <v>22.93</v>
      </c>
      <c r="N452">
        <v>71579</v>
      </c>
      <c r="O452">
        <v>33421</v>
      </c>
      <c r="P452" t="s">
        <v>976</v>
      </c>
      <c r="Q452" t="s">
        <v>27</v>
      </c>
      <c r="R452" t="s">
        <v>48</v>
      </c>
      <c r="S452" t="s">
        <v>43</v>
      </c>
      <c r="T452">
        <v>5521.21</v>
      </c>
      <c r="U452">
        <f t="shared" si="98"/>
        <v>1550</v>
      </c>
      <c r="V452">
        <f t="shared" si="99"/>
        <v>556</v>
      </c>
      <c r="W452">
        <f t="shared" si="100"/>
        <v>496</v>
      </c>
      <c r="X452">
        <f t="shared" si="101"/>
        <v>0.35149999999999998</v>
      </c>
      <c r="Y452" s="1">
        <f t="shared" si="102"/>
        <v>80014070</v>
      </c>
      <c r="Z452">
        <f t="shared" si="103"/>
        <v>51621.980645161289</v>
      </c>
      <c r="AA452">
        <f t="shared" si="104"/>
        <v>99996</v>
      </c>
      <c r="AB452">
        <f t="shared" si="105"/>
        <v>5091</v>
      </c>
      <c r="AC452">
        <f t="shared" si="106"/>
        <v>2104347.6999999993</v>
      </c>
      <c r="AD452">
        <f t="shared" si="107"/>
        <v>1357.6436774193544</v>
      </c>
      <c r="AE452">
        <f t="shared" si="108"/>
        <v>0.35149999999999998</v>
      </c>
      <c r="AF452">
        <f t="shared" si="109"/>
        <v>1612141745.2200003</v>
      </c>
      <c r="AG452" t="str">
        <f t="shared" si="110"/>
        <v>Active</v>
      </c>
      <c r="AH452">
        <f t="shared" si="111"/>
        <v>66254.52</v>
      </c>
    </row>
    <row r="453" spans="1:34" x14ac:dyDescent="0.35">
      <c r="A453" t="s">
        <v>1337</v>
      </c>
      <c r="B453" t="s">
        <v>1338</v>
      </c>
      <c r="C453">
        <v>47</v>
      </c>
      <c r="D453" t="s">
        <v>38</v>
      </c>
      <c r="E453" t="s">
        <v>32</v>
      </c>
      <c r="F453" t="s">
        <v>24</v>
      </c>
      <c r="G453">
        <v>158603</v>
      </c>
      <c r="H453">
        <v>329</v>
      </c>
      <c r="I453">
        <v>75042</v>
      </c>
      <c r="J453">
        <v>16.079999999999998</v>
      </c>
      <c r="K453">
        <v>120</v>
      </c>
      <c r="L453" t="s">
        <v>52</v>
      </c>
      <c r="M453">
        <v>24.54</v>
      </c>
      <c r="N453">
        <v>44688</v>
      </c>
      <c r="O453">
        <v>196893</v>
      </c>
      <c r="P453" t="s">
        <v>290</v>
      </c>
      <c r="Q453" t="s">
        <v>42</v>
      </c>
      <c r="R453" t="s">
        <v>28</v>
      </c>
      <c r="S453" t="s">
        <v>49</v>
      </c>
      <c r="T453">
        <v>725.91</v>
      </c>
      <c r="U453">
        <f t="shared" si="98"/>
        <v>1549</v>
      </c>
      <c r="V453">
        <f t="shared" si="99"/>
        <v>556</v>
      </c>
      <c r="W453">
        <f t="shared" si="100"/>
        <v>496</v>
      </c>
      <c r="X453">
        <f t="shared" si="101"/>
        <v>0.35149999999999998</v>
      </c>
      <c r="Y453" s="1">
        <f t="shared" si="102"/>
        <v>79951418</v>
      </c>
      <c r="Z453">
        <f t="shared" si="103"/>
        <v>51614.85990961911</v>
      </c>
      <c r="AA453">
        <f t="shared" si="104"/>
        <v>99996</v>
      </c>
      <c r="AB453">
        <f t="shared" si="105"/>
        <v>5091</v>
      </c>
      <c r="AC453">
        <f t="shared" si="106"/>
        <v>2098826.4899999988</v>
      </c>
      <c r="AD453">
        <f t="shared" si="107"/>
        <v>1354.9557714654609</v>
      </c>
      <c r="AE453">
        <f t="shared" si="108"/>
        <v>0.35149999999999998</v>
      </c>
      <c r="AF453">
        <f t="shared" si="109"/>
        <v>1610037397.5200005</v>
      </c>
      <c r="AG453" t="str">
        <f t="shared" si="110"/>
        <v>Over Paid</v>
      </c>
      <c r="AH453">
        <f t="shared" si="111"/>
        <v>8710.92</v>
      </c>
    </row>
    <row r="454" spans="1:34" x14ac:dyDescent="0.35">
      <c r="A454" t="s">
        <v>1339</v>
      </c>
      <c r="B454" t="s">
        <v>1340</v>
      </c>
      <c r="C454">
        <v>32</v>
      </c>
      <c r="D454" t="s">
        <v>22</v>
      </c>
      <c r="E454" t="s">
        <v>32</v>
      </c>
      <c r="F454" t="s">
        <v>59</v>
      </c>
      <c r="G454">
        <v>164208</v>
      </c>
      <c r="H454">
        <v>828</v>
      </c>
      <c r="I454">
        <v>94515</v>
      </c>
      <c r="J454">
        <v>23.65</v>
      </c>
      <c r="K454">
        <v>60</v>
      </c>
      <c r="L454" t="s">
        <v>86</v>
      </c>
      <c r="M454">
        <v>21.7</v>
      </c>
      <c r="N454">
        <v>4613</v>
      </c>
      <c r="O454">
        <v>217109</v>
      </c>
      <c r="P454" t="s">
        <v>1341</v>
      </c>
      <c r="Q454" t="s">
        <v>61</v>
      </c>
      <c r="R454" t="s">
        <v>28</v>
      </c>
      <c r="S454" t="s">
        <v>29</v>
      </c>
      <c r="T454">
        <v>1947.8</v>
      </c>
      <c r="U454">
        <f t="shared" si="98"/>
        <v>1548</v>
      </c>
      <c r="V454">
        <f t="shared" si="99"/>
        <v>555</v>
      </c>
      <c r="W454">
        <f t="shared" si="100"/>
        <v>496</v>
      </c>
      <c r="X454">
        <f t="shared" si="101"/>
        <v>0.35149999999999998</v>
      </c>
      <c r="Y454" s="1">
        <f t="shared" si="102"/>
        <v>79876376</v>
      </c>
      <c r="Z454">
        <f t="shared" si="103"/>
        <v>51599.726098191211</v>
      </c>
      <c r="AA454">
        <f t="shared" si="104"/>
        <v>99996</v>
      </c>
      <c r="AB454">
        <f t="shared" si="105"/>
        <v>5091</v>
      </c>
      <c r="AC454">
        <f t="shared" si="106"/>
        <v>2098100.5799999987</v>
      </c>
      <c r="AD454">
        <f t="shared" si="107"/>
        <v>1355.362131782945</v>
      </c>
      <c r="AE454">
        <f t="shared" si="108"/>
        <v>0.35149999999999998</v>
      </c>
      <c r="AF454">
        <f t="shared" si="109"/>
        <v>1607938571.0300007</v>
      </c>
      <c r="AG454" t="str">
        <f t="shared" si="110"/>
        <v>Active</v>
      </c>
      <c r="AH454">
        <f t="shared" si="111"/>
        <v>23373.599999999999</v>
      </c>
    </row>
    <row r="455" spans="1:34" x14ac:dyDescent="0.35">
      <c r="A455" t="s">
        <v>1342</v>
      </c>
      <c r="B455" t="s">
        <v>1343</v>
      </c>
      <c r="C455">
        <v>52</v>
      </c>
      <c r="D455" t="s">
        <v>22</v>
      </c>
      <c r="E455" t="s">
        <v>32</v>
      </c>
      <c r="F455" t="s">
        <v>59</v>
      </c>
      <c r="G455">
        <v>132165</v>
      </c>
      <c r="H455">
        <v>696</v>
      </c>
      <c r="I455">
        <v>21069</v>
      </c>
      <c r="J455">
        <v>7.3</v>
      </c>
      <c r="K455">
        <v>12</v>
      </c>
      <c r="L455" t="s">
        <v>25</v>
      </c>
      <c r="M455">
        <v>25.17</v>
      </c>
      <c r="N455">
        <v>11976</v>
      </c>
      <c r="O455">
        <v>146036</v>
      </c>
      <c r="P455" t="s">
        <v>1344</v>
      </c>
      <c r="Q455" t="s">
        <v>27</v>
      </c>
      <c r="R455" t="s">
        <v>28</v>
      </c>
      <c r="S455" t="s">
        <v>43</v>
      </c>
      <c r="T455">
        <v>1883.92</v>
      </c>
      <c r="U455">
        <f t="shared" si="98"/>
        <v>1547</v>
      </c>
      <c r="V455">
        <f t="shared" si="99"/>
        <v>555</v>
      </c>
      <c r="W455">
        <f t="shared" si="100"/>
        <v>495</v>
      </c>
      <c r="X455">
        <f t="shared" si="101"/>
        <v>0.35149999999999998</v>
      </c>
      <c r="Y455" s="1">
        <f t="shared" si="102"/>
        <v>79781861</v>
      </c>
      <c r="Z455">
        <f t="shared" si="103"/>
        <v>51571.985132514543</v>
      </c>
      <c r="AA455">
        <f t="shared" si="104"/>
        <v>99996</v>
      </c>
      <c r="AB455">
        <f t="shared" si="105"/>
        <v>5091</v>
      </c>
      <c r="AC455">
        <f t="shared" si="106"/>
        <v>2096152.7799999991</v>
      </c>
      <c r="AD455">
        <f t="shared" si="107"/>
        <v>1354.9791725921132</v>
      </c>
      <c r="AE455">
        <f t="shared" si="108"/>
        <v>0.35149999999999998</v>
      </c>
      <c r="AF455">
        <f t="shared" si="109"/>
        <v>1605840470.4500005</v>
      </c>
      <c r="AG455" t="str">
        <f t="shared" si="110"/>
        <v>Active</v>
      </c>
      <c r="AH455">
        <f t="shared" si="111"/>
        <v>22607.040000000001</v>
      </c>
    </row>
    <row r="456" spans="1:34" x14ac:dyDescent="0.35">
      <c r="A456" t="s">
        <v>1345</v>
      </c>
      <c r="B456" t="s">
        <v>1346</v>
      </c>
      <c r="C456">
        <v>40</v>
      </c>
      <c r="D456" t="s">
        <v>22</v>
      </c>
      <c r="E456" t="s">
        <v>32</v>
      </c>
      <c r="F456" t="s">
        <v>59</v>
      </c>
      <c r="G456">
        <v>154283</v>
      </c>
      <c r="H456">
        <v>372</v>
      </c>
      <c r="I456">
        <v>98620</v>
      </c>
      <c r="J456">
        <v>15.61</v>
      </c>
      <c r="K456">
        <v>24</v>
      </c>
      <c r="L456" t="s">
        <v>52</v>
      </c>
      <c r="M456">
        <v>42.77</v>
      </c>
      <c r="N456">
        <v>55925</v>
      </c>
      <c r="O456">
        <v>49711</v>
      </c>
      <c r="P456" t="s">
        <v>1347</v>
      </c>
      <c r="Q456" t="s">
        <v>61</v>
      </c>
      <c r="R456" t="s">
        <v>48</v>
      </c>
      <c r="S456" t="s">
        <v>68</v>
      </c>
      <c r="T456">
        <v>4750.6099999999997</v>
      </c>
      <c r="U456">
        <f t="shared" si="98"/>
        <v>1546</v>
      </c>
      <c r="V456">
        <f t="shared" si="99"/>
        <v>555</v>
      </c>
      <c r="W456">
        <f t="shared" si="100"/>
        <v>495</v>
      </c>
      <c r="X456">
        <f t="shared" si="101"/>
        <v>0.35149999999999998</v>
      </c>
      <c r="Y456" s="1">
        <f t="shared" si="102"/>
        <v>79760792</v>
      </c>
      <c r="Z456">
        <f t="shared" si="103"/>
        <v>51591.715394566621</v>
      </c>
      <c r="AA456">
        <f t="shared" si="104"/>
        <v>99996</v>
      </c>
      <c r="AB456">
        <f t="shared" si="105"/>
        <v>5091</v>
      </c>
      <c r="AC456">
        <f t="shared" si="106"/>
        <v>2094268.8599999987</v>
      </c>
      <c r="AD456">
        <f t="shared" si="107"/>
        <v>1354.63703751617</v>
      </c>
      <c r="AE456">
        <f t="shared" si="108"/>
        <v>0.35149999999999998</v>
      </c>
      <c r="AF456">
        <f t="shared" si="109"/>
        <v>1603744317.6700006</v>
      </c>
      <c r="AG456" t="str">
        <f t="shared" si="110"/>
        <v>Over Paid</v>
      </c>
      <c r="AH456">
        <f t="shared" si="111"/>
        <v>57007.319999999992</v>
      </c>
    </row>
    <row r="457" spans="1:34" x14ac:dyDescent="0.35">
      <c r="A457" t="s">
        <v>1348</v>
      </c>
      <c r="B457" t="s">
        <v>1349</v>
      </c>
      <c r="C457">
        <v>28</v>
      </c>
      <c r="D457" t="s">
        <v>22</v>
      </c>
      <c r="E457" t="s">
        <v>23</v>
      </c>
      <c r="F457" t="s">
        <v>59</v>
      </c>
      <c r="G457">
        <v>164714</v>
      </c>
      <c r="H457">
        <v>677</v>
      </c>
      <c r="I457">
        <v>79862</v>
      </c>
      <c r="J457">
        <v>11.06</v>
      </c>
      <c r="K457">
        <v>120</v>
      </c>
      <c r="L457" t="s">
        <v>52</v>
      </c>
      <c r="M457">
        <v>18.8</v>
      </c>
      <c r="N457">
        <v>51754</v>
      </c>
      <c r="O457">
        <v>136449</v>
      </c>
      <c r="P457" t="s">
        <v>710</v>
      </c>
      <c r="Q457" t="s">
        <v>27</v>
      </c>
      <c r="R457" t="s">
        <v>28</v>
      </c>
      <c r="S457" t="s">
        <v>35</v>
      </c>
      <c r="T457">
        <v>739.12</v>
      </c>
      <c r="U457">
        <f t="shared" si="98"/>
        <v>1545</v>
      </c>
      <c r="V457">
        <f t="shared" si="99"/>
        <v>555</v>
      </c>
      <c r="W457">
        <f t="shared" si="100"/>
        <v>494</v>
      </c>
      <c r="X457">
        <f t="shared" si="101"/>
        <v>0.35149999999999998</v>
      </c>
      <c r="Y457" s="1">
        <f t="shared" si="102"/>
        <v>79662172</v>
      </c>
      <c r="Z457">
        <f t="shared" si="103"/>
        <v>51561.27637540453</v>
      </c>
      <c r="AA457">
        <f t="shared" si="104"/>
        <v>99996</v>
      </c>
      <c r="AB457">
        <f t="shared" si="105"/>
        <v>5091</v>
      </c>
      <c r="AC457">
        <f t="shared" si="106"/>
        <v>2089518.2499999991</v>
      </c>
      <c r="AD457">
        <f t="shared" si="107"/>
        <v>1352.4389967637535</v>
      </c>
      <c r="AE457">
        <f t="shared" si="108"/>
        <v>0.35149999999999998</v>
      </c>
      <c r="AF457">
        <f t="shared" si="109"/>
        <v>1601650048.8100007</v>
      </c>
      <c r="AG457" t="str">
        <f t="shared" si="110"/>
        <v>Active</v>
      </c>
      <c r="AH457">
        <f t="shared" si="111"/>
        <v>8869.44</v>
      </c>
    </row>
    <row r="458" spans="1:34" x14ac:dyDescent="0.35">
      <c r="A458" t="s">
        <v>1350</v>
      </c>
      <c r="B458" t="s">
        <v>1351</v>
      </c>
      <c r="C458">
        <v>31</v>
      </c>
      <c r="D458" t="s">
        <v>38</v>
      </c>
      <c r="E458" t="s">
        <v>32</v>
      </c>
      <c r="F458" t="s">
        <v>24</v>
      </c>
      <c r="G458">
        <v>160295</v>
      </c>
      <c r="H458">
        <v>392</v>
      </c>
      <c r="I458">
        <v>37674</v>
      </c>
      <c r="J458">
        <v>21.69</v>
      </c>
      <c r="K458">
        <v>360</v>
      </c>
      <c r="L458" t="s">
        <v>25</v>
      </c>
      <c r="M458">
        <v>55.17</v>
      </c>
      <c r="N458">
        <v>7516</v>
      </c>
      <c r="O458">
        <v>65739</v>
      </c>
      <c r="P458" t="s">
        <v>1352</v>
      </c>
      <c r="Q458" t="s">
        <v>27</v>
      </c>
      <c r="R458" t="s">
        <v>28</v>
      </c>
      <c r="S458" t="s">
        <v>35</v>
      </c>
      <c r="T458">
        <v>127.35</v>
      </c>
      <c r="U458">
        <f t="shared" si="98"/>
        <v>1544</v>
      </c>
      <c r="V458">
        <f t="shared" si="99"/>
        <v>555</v>
      </c>
      <c r="W458">
        <f t="shared" si="100"/>
        <v>494</v>
      </c>
      <c r="X458">
        <f t="shared" si="101"/>
        <v>0.35149999999999998</v>
      </c>
      <c r="Y458" s="1">
        <f t="shared" si="102"/>
        <v>79582310</v>
      </c>
      <c r="Z458">
        <f t="shared" si="103"/>
        <v>51542.946891191707</v>
      </c>
      <c r="AA458">
        <f t="shared" si="104"/>
        <v>99996</v>
      </c>
      <c r="AB458">
        <f t="shared" si="105"/>
        <v>5091</v>
      </c>
      <c r="AC458">
        <f t="shared" si="106"/>
        <v>2088779.129999999</v>
      </c>
      <c r="AD458">
        <f t="shared" si="107"/>
        <v>1352.8362240932636</v>
      </c>
      <c r="AE458">
        <f t="shared" si="108"/>
        <v>0.35149999999999998</v>
      </c>
      <c r="AF458">
        <f t="shared" si="109"/>
        <v>1599560530.5600004</v>
      </c>
      <c r="AG458" t="str">
        <f t="shared" si="110"/>
        <v>Active</v>
      </c>
      <c r="AH458">
        <f t="shared" si="111"/>
        <v>1528.1999999999998</v>
      </c>
    </row>
    <row r="459" spans="1:34" x14ac:dyDescent="0.35">
      <c r="A459" t="s">
        <v>1353</v>
      </c>
      <c r="B459" t="s">
        <v>1354</v>
      </c>
      <c r="C459">
        <v>28</v>
      </c>
      <c r="D459" t="s">
        <v>38</v>
      </c>
      <c r="E459" t="s">
        <v>32</v>
      </c>
      <c r="F459" t="s">
        <v>24</v>
      </c>
      <c r="G459">
        <v>122409</v>
      </c>
      <c r="H459">
        <v>341</v>
      </c>
      <c r="I459">
        <v>21572</v>
      </c>
      <c r="J459">
        <v>6.01</v>
      </c>
      <c r="K459">
        <v>60</v>
      </c>
      <c r="L459" t="s">
        <v>86</v>
      </c>
      <c r="M459">
        <v>28.21</v>
      </c>
      <c r="N459">
        <v>50181</v>
      </c>
      <c r="O459">
        <v>77716</v>
      </c>
      <c r="P459" t="s">
        <v>1170</v>
      </c>
      <c r="Q459" t="s">
        <v>27</v>
      </c>
      <c r="R459" t="s">
        <v>28</v>
      </c>
      <c r="S459" t="s">
        <v>43</v>
      </c>
      <c r="T459">
        <v>381.14</v>
      </c>
      <c r="U459">
        <f t="shared" si="98"/>
        <v>1543</v>
      </c>
      <c r="V459">
        <f t="shared" si="99"/>
        <v>555</v>
      </c>
      <c r="W459">
        <f t="shared" si="100"/>
        <v>494</v>
      </c>
      <c r="X459">
        <f t="shared" si="101"/>
        <v>0.35149999999999998</v>
      </c>
      <c r="Y459" s="1">
        <f t="shared" si="102"/>
        <v>79544636</v>
      </c>
      <c r="Z459">
        <f t="shared" si="103"/>
        <v>51551.935191185999</v>
      </c>
      <c r="AA459">
        <f t="shared" si="104"/>
        <v>99996</v>
      </c>
      <c r="AB459">
        <f t="shared" si="105"/>
        <v>5091</v>
      </c>
      <c r="AC459">
        <f t="shared" si="106"/>
        <v>2088651.7799999991</v>
      </c>
      <c r="AD459">
        <f t="shared" si="107"/>
        <v>1353.630447180816</v>
      </c>
      <c r="AE459">
        <f t="shared" si="108"/>
        <v>0.35149999999999998</v>
      </c>
      <c r="AF459">
        <f t="shared" si="109"/>
        <v>1597471751.4300003</v>
      </c>
      <c r="AG459" t="str">
        <f t="shared" si="110"/>
        <v>Active</v>
      </c>
      <c r="AH459">
        <f t="shared" si="111"/>
        <v>4573.68</v>
      </c>
    </row>
    <row r="460" spans="1:34" x14ac:dyDescent="0.35">
      <c r="A460" t="s">
        <v>1355</v>
      </c>
      <c r="B460" t="s">
        <v>1356</v>
      </c>
      <c r="C460">
        <v>61</v>
      </c>
      <c r="D460" t="s">
        <v>22</v>
      </c>
      <c r="E460" t="s">
        <v>39</v>
      </c>
      <c r="F460" t="s">
        <v>24</v>
      </c>
      <c r="G460">
        <v>129606</v>
      </c>
      <c r="H460">
        <v>307</v>
      </c>
      <c r="I460">
        <v>62128</v>
      </c>
      <c r="J460">
        <v>7.51</v>
      </c>
      <c r="K460">
        <v>240</v>
      </c>
      <c r="L460" t="s">
        <v>52</v>
      </c>
      <c r="M460">
        <v>16.62</v>
      </c>
      <c r="N460">
        <v>42764</v>
      </c>
      <c r="O460">
        <v>40481</v>
      </c>
      <c r="P460" t="s">
        <v>1239</v>
      </c>
      <c r="Q460" t="s">
        <v>27</v>
      </c>
      <c r="R460" t="s">
        <v>28</v>
      </c>
      <c r="S460" t="s">
        <v>49</v>
      </c>
      <c r="T460">
        <v>278.31</v>
      </c>
      <c r="U460">
        <f t="shared" si="98"/>
        <v>1542</v>
      </c>
      <c r="V460">
        <f t="shared" si="99"/>
        <v>555</v>
      </c>
      <c r="W460">
        <f t="shared" si="100"/>
        <v>494</v>
      </c>
      <c r="X460">
        <f t="shared" si="101"/>
        <v>0.35149999999999998</v>
      </c>
      <c r="Y460" s="1">
        <f t="shared" si="102"/>
        <v>79523064</v>
      </c>
      <c r="Z460">
        <f t="shared" si="103"/>
        <v>51571.377431906614</v>
      </c>
      <c r="AA460">
        <f t="shared" si="104"/>
        <v>99996</v>
      </c>
      <c r="AB460">
        <f t="shared" si="105"/>
        <v>5091</v>
      </c>
      <c r="AC460">
        <f t="shared" si="106"/>
        <v>2088270.639999999</v>
      </c>
      <c r="AD460">
        <f t="shared" si="107"/>
        <v>1354.2611154345</v>
      </c>
      <c r="AE460">
        <f t="shared" si="108"/>
        <v>0.35149999999999998</v>
      </c>
      <c r="AF460">
        <f t="shared" si="109"/>
        <v>1595383099.6500003</v>
      </c>
      <c r="AG460" t="str">
        <f t="shared" si="110"/>
        <v>Active</v>
      </c>
      <c r="AH460">
        <f t="shared" si="111"/>
        <v>3339.7200000000003</v>
      </c>
    </row>
    <row r="461" spans="1:34" x14ac:dyDescent="0.35">
      <c r="A461" t="s">
        <v>1357</v>
      </c>
      <c r="B461" t="s">
        <v>1358</v>
      </c>
      <c r="C461">
        <v>39</v>
      </c>
      <c r="D461" t="s">
        <v>38</v>
      </c>
      <c r="E461" t="s">
        <v>39</v>
      </c>
      <c r="F461" t="s">
        <v>46</v>
      </c>
      <c r="G461">
        <v>52498</v>
      </c>
      <c r="H461">
        <v>426</v>
      </c>
      <c r="I461">
        <v>42784</v>
      </c>
      <c r="J461">
        <v>12.93</v>
      </c>
      <c r="K461">
        <v>240</v>
      </c>
      <c r="L461" t="s">
        <v>33</v>
      </c>
      <c r="M461">
        <v>42.49</v>
      </c>
      <c r="N461">
        <v>72306</v>
      </c>
      <c r="O461">
        <v>221627</v>
      </c>
      <c r="P461" t="s">
        <v>1359</v>
      </c>
      <c r="Q461" t="s">
        <v>61</v>
      </c>
      <c r="R461" t="s">
        <v>48</v>
      </c>
      <c r="S461" t="s">
        <v>68</v>
      </c>
      <c r="T461">
        <v>201.32</v>
      </c>
      <c r="U461">
        <f t="shared" si="98"/>
        <v>1541</v>
      </c>
      <c r="V461">
        <f t="shared" si="99"/>
        <v>555</v>
      </c>
      <c r="W461">
        <f t="shared" si="100"/>
        <v>494</v>
      </c>
      <c r="X461">
        <f t="shared" si="101"/>
        <v>0.35149999999999998</v>
      </c>
      <c r="Y461" s="1">
        <f t="shared" si="102"/>
        <v>79460936</v>
      </c>
      <c r="Z461">
        <f t="shared" si="103"/>
        <v>51564.526930564571</v>
      </c>
      <c r="AA461">
        <f t="shared" si="104"/>
        <v>99996</v>
      </c>
      <c r="AB461">
        <f t="shared" si="105"/>
        <v>5091</v>
      </c>
      <c r="AC461">
        <f t="shared" si="106"/>
        <v>2087992.3299999989</v>
      </c>
      <c r="AD461">
        <f t="shared" si="107"/>
        <v>1354.9593316028545</v>
      </c>
      <c r="AE461">
        <f t="shared" si="108"/>
        <v>0.35149999999999998</v>
      </c>
      <c r="AF461">
        <f t="shared" si="109"/>
        <v>1593294829.0100005</v>
      </c>
      <c r="AG461" t="str">
        <f t="shared" si="110"/>
        <v>Active</v>
      </c>
      <c r="AH461">
        <f t="shared" si="111"/>
        <v>2415.84</v>
      </c>
    </row>
    <row r="462" spans="1:34" x14ac:dyDescent="0.35">
      <c r="A462" t="s">
        <v>1360</v>
      </c>
      <c r="B462" t="s">
        <v>1361</v>
      </c>
      <c r="C462">
        <v>29</v>
      </c>
      <c r="D462" t="s">
        <v>38</v>
      </c>
      <c r="E462" t="s">
        <v>32</v>
      </c>
      <c r="F462" t="s">
        <v>59</v>
      </c>
      <c r="G462">
        <v>31052</v>
      </c>
      <c r="H462">
        <v>452</v>
      </c>
      <c r="I462">
        <v>69495</v>
      </c>
      <c r="J462">
        <v>14.19</v>
      </c>
      <c r="K462">
        <v>36</v>
      </c>
      <c r="L462" t="s">
        <v>33</v>
      </c>
      <c r="M462">
        <v>32.770000000000003</v>
      </c>
      <c r="N462">
        <v>71095</v>
      </c>
      <c r="O462">
        <v>142560</v>
      </c>
      <c r="P462" t="s">
        <v>1362</v>
      </c>
      <c r="Q462" t="s">
        <v>27</v>
      </c>
      <c r="R462" t="s">
        <v>48</v>
      </c>
      <c r="S462" t="s">
        <v>68</v>
      </c>
      <c r="T462">
        <v>2204.34</v>
      </c>
      <c r="U462">
        <f t="shared" si="98"/>
        <v>1540</v>
      </c>
      <c r="V462">
        <f t="shared" si="99"/>
        <v>555</v>
      </c>
      <c r="W462">
        <f t="shared" si="100"/>
        <v>493</v>
      </c>
      <c r="X462">
        <f t="shared" si="101"/>
        <v>0.35149999999999998</v>
      </c>
      <c r="Y462" s="1">
        <f t="shared" si="102"/>
        <v>79418152</v>
      </c>
      <c r="Z462">
        <f t="shared" si="103"/>
        <v>51570.228571428568</v>
      </c>
      <c r="AA462">
        <f t="shared" si="104"/>
        <v>99996</v>
      </c>
      <c r="AB462">
        <f t="shared" si="105"/>
        <v>5091</v>
      </c>
      <c r="AC462">
        <f t="shared" si="106"/>
        <v>2087791.0099999991</v>
      </c>
      <c r="AD462">
        <f t="shared" si="107"/>
        <v>1355.7084480519475</v>
      </c>
      <c r="AE462">
        <f t="shared" si="108"/>
        <v>0.35149999999999998</v>
      </c>
      <c r="AF462">
        <f t="shared" si="109"/>
        <v>1591206836.6800005</v>
      </c>
      <c r="AG462" t="str">
        <f t="shared" si="110"/>
        <v>Active</v>
      </c>
      <c r="AH462">
        <f t="shared" si="111"/>
        <v>26452.080000000002</v>
      </c>
    </row>
    <row r="463" spans="1:34" x14ac:dyDescent="0.35">
      <c r="A463" t="s">
        <v>1363</v>
      </c>
      <c r="B463" t="s">
        <v>1364</v>
      </c>
      <c r="C463">
        <v>41</v>
      </c>
      <c r="D463" t="s">
        <v>22</v>
      </c>
      <c r="E463" t="s">
        <v>39</v>
      </c>
      <c r="F463" t="s">
        <v>59</v>
      </c>
      <c r="G463">
        <v>132864</v>
      </c>
      <c r="H463">
        <v>849</v>
      </c>
      <c r="I463">
        <v>89071</v>
      </c>
      <c r="J463">
        <v>17.329999999999998</v>
      </c>
      <c r="K463">
        <v>240</v>
      </c>
      <c r="L463" t="s">
        <v>25</v>
      </c>
      <c r="M463">
        <v>33.89</v>
      </c>
      <c r="N463">
        <v>50130</v>
      </c>
      <c r="O463">
        <v>193351</v>
      </c>
      <c r="P463" t="s">
        <v>1365</v>
      </c>
      <c r="Q463" t="s">
        <v>61</v>
      </c>
      <c r="R463" t="s">
        <v>28</v>
      </c>
      <c r="S463" t="s">
        <v>49</v>
      </c>
      <c r="T463">
        <v>435.45</v>
      </c>
      <c r="U463">
        <f t="shared" si="98"/>
        <v>1539</v>
      </c>
      <c r="V463">
        <f t="shared" si="99"/>
        <v>555</v>
      </c>
      <c r="W463">
        <f t="shared" si="100"/>
        <v>493</v>
      </c>
      <c r="X463">
        <f t="shared" si="101"/>
        <v>0.35149999999999998</v>
      </c>
      <c r="Y463" s="1">
        <f t="shared" si="102"/>
        <v>79348657</v>
      </c>
      <c r="Z463">
        <f t="shared" si="103"/>
        <v>51558.581546458736</v>
      </c>
      <c r="AA463">
        <f t="shared" si="104"/>
        <v>99996</v>
      </c>
      <c r="AB463">
        <f t="shared" si="105"/>
        <v>5091</v>
      </c>
      <c r="AC463">
        <f t="shared" si="106"/>
        <v>2085586.669999999</v>
      </c>
      <c r="AD463">
        <f t="shared" si="107"/>
        <v>1355.1570305393107</v>
      </c>
      <c r="AE463">
        <f t="shared" si="108"/>
        <v>0.35149999999999998</v>
      </c>
      <c r="AF463">
        <f t="shared" si="109"/>
        <v>1589119045.6700003</v>
      </c>
      <c r="AG463" t="str">
        <f t="shared" si="110"/>
        <v>Active</v>
      </c>
      <c r="AH463">
        <f t="shared" si="111"/>
        <v>5225.3999999999996</v>
      </c>
    </row>
    <row r="464" spans="1:34" x14ac:dyDescent="0.35">
      <c r="A464" t="s">
        <v>1366</v>
      </c>
      <c r="B464" t="s">
        <v>1367</v>
      </c>
      <c r="C464">
        <v>62</v>
      </c>
      <c r="D464" t="s">
        <v>22</v>
      </c>
      <c r="E464" t="s">
        <v>32</v>
      </c>
      <c r="F464" t="s">
        <v>46</v>
      </c>
      <c r="G464">
        <v>109264</v>
      </c>
      <c r="H464">
        <v>552</v>
      </c>
      <c r="I464">
        <v>34464</v>
      </c>
      <c r="J464">
        <v>13.31</v>
      </c>
      <c r="K464">
        <v>48</v>
      </c>
      <c r="L464" t="s">
        <v>33</v>
      </c>
      <c r="M464">
        <v>11.95</v>
      </c>
      <c r="N464">
        <v>35789</v>
      </c>
      <c r="O464">
        <v>65741</v>
      </c>
      <c r="P464" t="s">
        <v>144</v>
      </c>
      <c r="Q464" t="s">
        <v>61</v>
      </c>
      <c r="R464" t="s">
        <v>48</v>
      </c>
      <c r="S464" t="s">
        <v>49</v>
      </c>
      <c r="T464">
        <v>813.57</v>
      </c>
      <c r="U464">
        <f t="shared" si="98"/>
        <v>1538</v>
      </c>
      <c r="V464">
        <f t="shared" si="99"/>
        <v>555</v>
      </c>
      <c r="W464">
        <f t="shared" si="100"/>
        <v>492</v>
      </c>
      <c r="X464">
        <f t="shared" si="101"/>
        <v>0.35149999999999998</v>
      </c>
      <c r="Y464" s="1">
        <f t="shared" si="102"/>
        <v>79259586</v>
      </c>
      <c r="Z464">
        <f t="shared" si="103"/>
        <v>51534.191157347203</v>
      </c>
      <c r="AA464">
        <f t="shared" si="104"/>
        <v>99996</v>
      </c>
      <c r="AB464">
        <f t="shared" si="105"/>
        <v>5091</v>
      </c>
      <c r="AC464">
        <f t="shared" si="106"/>
        <v>2085151.219999999</v>
      </c>
      <c r="AD464">
        <f t="shared" si="107"/>
        <v>1355.7550195058511</v>
      </c>
      <c r="AE464">
        <f t="shared" si="108"/>
        <v>0.35149999999999998</v>
      </c>
      <c r="AF464">
        <f t="shared" si="109"/>
        <v>1587033459.0000005</v>
      </c>
      <c r="AG464" t="str">
        <f t="shared" si="110"/>
        <v>Active</v>
      </c>
      <c r="AH464">
        <f t="shared" si="111"/>
        <v>9762.84</v>
      </c>
    </row>
    <row r="465" spans="1:34" x14ac:dyDescent="0.35">
      <c r="A465" t="s">
        <v>1368</v>
      </c>
      <c r="B465" t="s">
        <v>1369</v>
      </c>
      <c r="C465">
        <v>64</v>
      </c>
      <c r="D465" t="s">
        <v>22</v>
      </c>
      <c r="E465" t="s">
        <v>39</v>
      </c>
      <c r="F465" t="s">
        <v>59</v>
      </c>
      <c r="G465">
        <v>165739</v>
      </c>
      <c r="H465">
        <v>669</v>
      </c>
      <c r="I465">
        <v>30170</v>
      </c>
      <c r="J465">
        <v>20.010000000000002</v>
      </c>
      <c r="K465">
        <v>24</v>
      </c>
      <c r="L465" t="s">
        <v>33</v>
      </c>
      <c r="M465">
        <v>34.82</v>
      </c>
      <c r="N465">
        <v>10036</v>
      </c>
      <c r="O465">
        <v>42370</v>
      </c>
      <c r="P465" t="s">
        <v>1370</v>
      </c>
      <c r="Q465" t="s">
        <v>61</v>
      </c>
      <c r="R465" t="s">
        <v>28</v>
      </c>
      <c r="S465" t="s">
        <v>43</v>
      </c>
      <c r="T465">
        <v>1508.63</v>
      </c>
      <c r="U465">
        <f t="shared" si="98"/>
        <v>1537</v>
      </c>
      <c r="V465">
        <f t="shared" si="99"/>
        <v>555</v>
      </c>
      <c r="W465">
        <f t="shared" si="100"/>
        <v>491</v>
      </c>
      <c r="X465">
        <f t="shared" si="101"/>
        <v>0.35149999999999998</v>
      </c>
      <c r="Y465" s="1">
        <f t="shared" si="102"/>
        <v>79225122</v>
      </c>
      <c r="Z465">
        <f t="shared" si="103"/>
        <v>51545.297332465845</v>
      </c>
      <c r="AA465">
        <f t="shared" si="104"/>
        <v>99996</v>
      </c>
      <c r="AB465">
        <f t="shared" si="105"/>
        <v>5091</v>
      </c>
      <c r="AC465">
        <f t="shared" si="106"/>
        <v>2084337.649999999</v>
      </c>
      <c r="AD465">
        <f t="shared" si="107"/>
        <v>1356.1077748861412</v>
      </c>
      <c r="AE465">
        <f t="shared" si="108"/>
        <v>0.35149999999999998</v>
      </c>
      <c r="AF465">
        <f t="shared" si="109"/>
        <v>1584948307.7800004</v>
      </c>
      <c r="AG465" t="str">
        <f t="shared" si="110"/>
        <v>Active</v>
      </c>
      <c r="AH465">
        <f t="shared" si="111"/>
        <v>18103.560000000001</v>
      </c>
    </row>
    <row r="466" spans="1:34" x14ac:dyDescent="0.35">
      <c r="A466" t="s">
        <v>1371</v>
      </c>
      <c r="B466" t="s">
        <v>1372</v>
      </c>
      <c r="C466">
        <v>49</v>
      </c>
      <c r="D466" t="s">
        <v>22</v>
      </c>
      <c r="E466" t="s">
        <v>23</v>
      </c>
      <c r="F466" t="s">
        <v>24</v>
      </c>
      <c r="G466">
        <v>108633</v>
      </c>
      <c r="H466">
        <v>502</v>
      </c>
      <c r="I466">
        <v>73376</v>
      </c>
      <c r="J466">
        <v>23.12</v>
      </c>
      <c r="K466">
        <v>12</v>
      </c>
      <c r="L466" t="s">
        <v>52</v>
      </c>
      <c r="M466">
        <v>34.92</v>
      </c>
      <c r="N466">
        <v>50435</v>
      </c>
      <c r="O466">
        <v>13853</v>
      </c>
      <c r="P466" t="s">
        <v>716</v>
      </c>
      <c r="Q466" t="s">
        <v>27</v>
      </c>
      <c r="R466" t="s">
        <v>48</v>
      </c>
      <c r="S466" t="s">
        <v>29</v>
      </c>
      <c r="T466">
        <v>7528.38</v>
      </c>
      <c r="U466">
        <f t="shared" si="98"/>
        <v>1536</v>
      </c>
      <c r="V466">
        <f t="shared" si="99"/>
        <v>555</v>
      </c>
      <c r="W466">
        <f t="shared" si="100"/>
        <v>490</v>
      </c>
      <c r="X466">
        <f t="shared" si="101"/>
        <v>0.35149999999999998</v>
      </c>
      <c r="Y466" s="1">
        <f t="shared" si="102"/>
        <v>79194952</v>
      </c>
      <c r="Z466">
        <f t="shared" si="103"/>
        <v>51559.213541666664</v>
      </c>
      <c r="AA466">
        <f t="shared" si="104"/>
        <v>99996</v>
      </c>
      <c r="AB466">
        <f t="shared" si="105"/>
        <v>5091</v>
      </c>
      <c r="AC466">
        <f t="shared" si="106"/>
        <v>2082829.0199999993</v>
      </c>
      <c r="AD466">
        <f t="shared" si="107"/>
        <v>1356.0084765624995</v>
      </c>
      <c r="AE466">
        <f t="shared" si="108"/>
        <v>0.35149999999999998</v>
      </c>
      <c r="AF466">
        <f t="shared" si="109"/>
        <v>1582863970.1300004</v>
      </c>
      <c r="AG466" t="str">
        <f t="shared" si="110"/>
        <v>Active</v>
      </c>
      <c r="AH466">
        <f t="shared" si="111"/>
        <v>90340.56</v>
      </c>
    </row>
    <row r="467" spans="1:34" x14ac:dyDescent="0.35">
      <c r="A467" t="s">
        <v>1373</v>
      </c>
      <c r="B467" t="s">
        <v>1374</v>
      </c>
      <c r="C467">
        <v>36</v>
      </c>
      <c r="D467" t="s">
        <v>38</v>
      </c>
      <c r="E467" t="s">
        <v>39</v>
      </c>
      <c r="F467" t="s">
        <v>24</v>
      </c>
      <c r="G467">
        <v>112320</v>
      </c>
      <c r="H467">
        <v>623</v>
      </c>
      <c r="I467">
        <v>23529</v>
      </c>
      <c r="J467">
        <v>4.83</v>
      </c>
      <c r="K467">
        <v>360</v>
      </c>
      <c r="L467" t="s">
        <v>86</v>
      </c>
      <c r="M467">
        <v>23.8</v>
      </c>
      <c r="N467">
        <v>56827</v>
      </c>
      <c r="O467">
        <v>48183</v>
      </c>
      <c r="P467" t="s">
        <v>1375</v>
      </c>
      <c r="Q467" t="s">
        <v>61</v>
      </c>
      <c r="R467" t="s">
        <v>48</v>
      </c>
      <c r="S467" t="s">
        <v>43</v>
      </c>
      <c r="T467">
        <v>68.52</v>
      </c>
      <c r="U467">
        <f t="shared" si="98"/>
        <v>1535</v>
      </c>
      <c r="V467">
        <f t="shared" si="99"/>
        <v>555</v>
      </c>
      <c r="W467">
        <f t="shared" si="100"/>
        <v>490</v>
      </c>
      <c r="X467">
        <f t="shared" si="101"/>
        <v>0.35149999999999998</v>
      </c>
      <c r="Y467" s="1">
        <f t="shared" si="102"/>
        <v>79121576</v>
      </c>
      <c r="Z467">
        <f t="shared" si="103"/>
        <v>51545.000651465802</v>
      </c>
      <c r="AA467">
        <f t="shared" si="104"/>
        <v>99996</v>
      </c>
      <c r="AB467">
        <f t="shared" si="105"/>
        <v>5091</v>
      </c>
      <c r="AC467">
        <f t="shared" si="106"/>
        <v>2075300.6399999992</v>
      </c>
      <c r="AD467">
        <f t="shared" si="107"/>
        <v>1351.9873876221493</v>
      </c>
      <c r="AE467">
        <f t="shared" si="108"/>
        <v>0.35149999999999998</v>
      </c>
      <c r="AF467">
        <f t="shared" si="109"/>
        <v>1580781141.1100004</v>
      </c>
      <c r="AG467" t="str">
        <f t="shared" si="110"/>
        <v>Over Paid</v>
      </c>
      <c r="AH467">
        <f t="shared" si="111"/>
        <v>822.24</v>
      </c>
    </row>
    <row r="468" spans="1:34" x14ac:dyDescent="0.35">
      <c r="A468" t="s">
        <v>1376</v>
      </c>
      <c r="B468" t="s">
        <v>1377</v>
      </c>
      <c r="C468">
        <v>30</v>
      </c>
      <c r="D468" t="s">
        <v>38</v>
      </c>
      <c r="E468" t="s">
        <v>23</v>
      </c>
      <c r="F468" t="s">
        <v>46</v>
      </c>
      <c r="G468">
        <v>36910</v>
      </c>
      <c r="H468">
        <v>477</v>
      </c>
      <c r="I468">
        <v>57498</v>
      </c>
      <c r="J468">
        <v>15.38</v>
      </c>
      <c r="K468">
        <v>120</v>
      </c>
      <c r="L468" t="s">
        <v>52</v>
      </c>
      <c r="M468">
        <v>40.4</v>
      </c>
      <c r="N468">
        <v>50583</v>
      </c>
      <c r="O468">
        <v>244933</v>
      </c>
      <c r="P468" t="s">
        <v>150</v>
      </c>
      <c r="Q468" t="s">
        <v>61</v>
      </c>
      <c r="R468" t="s">
        <v>28</v>
      </c>
      <c r="S468" t="s">
        <v>29</v>
      </c>
      <c r="T468">
        <v>552.84</v>
      </c>
      <c r="U468">
        <f t="shared" si="98"/>
        <v>1534</v>
      </c>
      <c r="V468">
        <f t="shared" si="99"/>
        <v>555</v>
      </c>
      <c r="W468">
        <f t="shared" si="100"/>
        <v>489</v>
      </c>
      <c r="X468">
        <f t="shared" si="101"/>
        <v>0.35149999999999998</v>
      </c>
      <c r="Y468" s="1">
        <f t="shared" si="102"/>
        <v>79098047</v>
      </c>
      <c r="Z468">
        <f t="shared" si="103"/>
        <v>51563.264015645371</v>
      </c>
      <c r="AA468">
        <f t="shared" si="104"/>
        <v>99996</v>
      </c>
      <c r="AB468">
        <f t="shared" si="105"/>
        <v>5091</v>
      </c>
      <c r="AC468">
        <f t="shared" si="106"/>
        <v>2075232.1199999992</v>
      </c>
      <c r="AD468">
        <f t="shared" si="107"/>
        <v>1352.8240677966096</v>
      </c>
      <c r="AE468">
        <f t="shared" si="108"/>
        <v>0.35149999999999998</v>
      </c>
      <c r="AF468">
        <f t="shared" si="109"/>
        <v>1578705840.4700003</v>
      </c>
      <c r="AG468" t="str">
        <f t="shared" si="110"/>
        <v>Active</v>
      </c>
      <c r="AH468">
        <f t="shared" si="111"/>
        <v>6634.08</v>
      </c>
    </row>
    <row r="469" spans="1:34" x14ac:dyDescent="0.35">
      <c r="A469" t="s">
        <v>1378</v>
      </c>
      <c r="B469" t="s">
        <v>1379</v>
      </c>
      <c r="C469">
        <v>41</v>
      </c>
      <c r="D469" t="s">
        <v>22</v>
      </c>
      <c r="E469" t="s">
        <v>32</v>
      </c>
      <c r="F469" t="s">
        <v>46</v>
      </c>
      <c r="G469">
        <v>97341</v>
      </c>
      <c r="H469">
        <v>515</v>
      </c>
      <c r="I469">
        <v>37248</v>
      </c>
      <c r="J469">
        <v>21.12</v>
      </c>
      <c r="K469">
        <v>180</v>
      </c>
      <c r="L469" t="s">
        <v>40</v>
      </c>
      <c r="M469">
        <v>30.75</v>
      </c>
      <c r="N469">
        <v>17189</v>
      </c>
      <c r="O469">
        <v>104815</v>
      </c>
      <c r="P469" t="s">
        <v>1380</v>
      </c>
      <c r="Q469" t="s">
        <v>61</v>
      </c>
      <c r="R469" t="s">
        <v>48</v>
      </c>
      <c r="S469" t="s">
        <v>43</v>
      </c>
      <c r="T469">
        <v>250.64</v>
      </c>
      <c r="U469">
        <f t="shared" si="98"/>
        <v>1533</v>
      </c>
      <c r="V469">
        <f t="shared" si="99"/>
        <v>555</v>
      </c>
      <c r="W469">
        <f t="shared" si="100"/>
        <v>488</v>
      </c>
      <c r="X469">
        <f t="shared" si="101"/>
        <v>0.35149999999999998</v>
      </c>
      <c r="Y469" s="1">
        <f t="shared" si="102"/>
        <v>79040549</v>
      </c>
      <c r="Z469">
        <f t="shared" si="103"/>
        <v>51559.392694063929</v>
      </c>
      <c r="AA469">
        <f t="shared" si="104"/>
        <v>99996</v>
      </c>
      <c r="AB469">
        <f t="shared" si="105"/>
        <v>5091</v>
      </c>
      <c r="AC469">
        <f t="shared" si="106"/>
        <v>2074679.2799999993</v>
      </c>
      <c r="AD469">
        <f t="shared" si="107"/>
        <v>1353.3459099804302</v>
      </c>
      <c r="AE469">
        <f t="shared" si="108"/>
        <v>0.35149999999999998</v>
      </c>
      <c r="AF469">
        <f t="shared" si="109"/>
        <v>1576630608.3500004</v>
      </c>
      <c r="AG469" t="str">
        <f t="shared" si="110"/>
        <v>Active</v>
      </c>
      <c r="AH469">
        <f t="shared" si="111"/>
        <v>3007.68</v>
      </c>
    </row>
    <row r="470" spans="1:34" x14ac:dyDescent="0.35">
      <c r="A470" t="s">
        <v>1381</v>
      </c>
      <c r="B470" t="s">
        <v>1382</v>
      </c>
      <c r="C470">
        <v>58</v>
      </c>
      <c r="D470" t="s">
        <v>38</v>
      </c>
      <c r="E470" t="s">
        <v>39</v>
      </c>
      <c r="F470" t="s">
        <v>59</v>
      </c>
      <c r="G470">
        <v>89226</v>
      </c>
      <c r="H470">
        <v>810</v>
      </c>
      <c r="I470">
        <v>57688</v>
      </c>
      <c r="J470">
        <v>6.16</v>
      </c>
      <c r="K470">
        <v>60</v>
      </c>
      <c r="L470" t="s">
        <v>40</v>
      </c>
      <c r="M470">
        <v>28.59</v>
      </c>
      <c r="N470">
        <v>74382</v>
      </c>
      <c r="O470">
        <v>234069</v>
      </c>
      <c r="P470" t="s">
        <v>1383</v>
      </c>
      <c r="Q470" t="s">
        <v>27</v>
      </c>
      <c r="R470" t="s">
        <v>28</v>
      </c>
      <c r="S470" t="s">
        <v>29</v>
      </c>
      <c r="T470">
        <v>1020.69</v>
      </c>
      <c r="U470">
        <f t="shared" si="98"/>
        <v>1532</v>
      </c>
      <c r="V470">
        <f t="shared" si="99"/>
        <v>555</v>
      </c>
      <c r="W470">
        <f t="shared" si="100"/>
        <v>487</v>
      </c>
      <c r="X470">
        <f t="shared" si="101"/>
        <v>0.35149999999999998</v>
      </c>
      <c r="Y470" s="1">
        <f t="shared" si="102"/>
        <v>79003301</v>
      </c>
      <c r="Z470">
        <f t="shared" si="103"/>
        <v>51568.734334203655</v>
      </c>
      <c r="AA470">
        <f t="shared" si="104"/>
        <v>99996</v>
      </c>
      <c r="AB470">
        <f t="shared" si="105"/>
        <v>5091</v>
      </c>
      <c r="AC470">
        <f t="shared" si="106"/>
        <v>2074428.6399999992</v>
      </c>
      <c r="AD470">
        <f t="shared" si="107"/>
        <v>1354.0656919060048</v>
      </c>
      <c r="AE470">
        <f t="shared" si="108"/>
        <v>0.35149999999999998</v>
      </c>
      <c r="AF470">
        <f t="shared" si="109"/>
        <v>1574555929.0700004</v>
      </c>
      <c r="AG470" t="str">
        <f t="shared" si="110"/>
        <v>Active</v>
      </c>
      <c r="AH470">
        <f t="shared" si="111"/>
        <v>12248.28</v>
      </c>
    </row>
    <row r="471" spans="1:34" x14ac:dyDescent="0.35">
      <c r="A471" t="s">
        <v>1384</v>
      </c>
      <c r="B471" t="s">
        <v>1385</v>
      </c>
      <c r="C471">
        <v>39</v>
      </c>
      <c r="D471" t="s">
        <v>22</v>
      </c>
      <c r="E471" t="s">
        <v>32</v>
      </c>
      <c r="F471" t="s">
        <v>46</v>
      </c>
      <c r="G471">
        <v>99561</v>
      </c>
      <c r="H471">
        <v>692</v>
      </c>
      <c r="I471">
        <v>81836</v>
      </c>
      <c r="J471">
        <v>20.170000000000002</v>
      </c>
      <c r="K471">
        <v>360</v>
      </c>
      <c r="L471" t="s">
        <v>52</v>
      </c>
      <c r="M471">
        <v>50.06</v>
      </c>
      <c r="N471">
        <v>45890</v>
      </c>
      <c r="O471">
        <v>174723</v>
      </c>
      <c r="P471" t="s">
        <v>1386</v>
      </c>
      <c r="Q471" t="s">
        <v>27</v>
      </c>
      <c r="R471" t="s">
        <v>48</v>
      </c>
      <c r="S471" t="s">
        <v>49</v>
      </c>
      <c r="T471">
        <v>273.17</v>
      </c>
      <c r="U471">
        <f t="shared" si="98"/>
        <v>1531</v>
      </c>
      <c r="V471">
        <f t="shared" si="99"/>
        <v>555</v>
      </c>
      <c r="W471">
        <f t="shared" si="100"/>
        <v>487</v>
      </c>
      <c r="X471">
        <f t="shared" si="101"/>
        <v>0.35149999999999998</v>
      </c>
      <c r="Y471" s="1">
        <f t="shared" si="102"/>
        <v>78945613</v>
      </c>
      <c r="Z471">
        <f t="shared" si="103"/>
        <v>51564.737426518615</v>
      </c>
      <c r="AA471">
        <f t="shared" si="104"/>
        <v>99996</v>
      </c>
      <c r="AB471">
        <f t="shared" si="105"/>
        <v>5091</v>
      </c>
      <c r="AC471">
        <f t="shared" si="106"/>
        <v>2073407.9499999993</v>
      </c>
      <c r="AD471">
        <f t="shared" si="107"/>
        <v>1354.2834421946436</v>
      </c>
      <c r="AE471">
        <f t="shared" si="108"/>
        <v>0.35149999999999998</v>
      </c>
      <c r="AF471">
        <f t="shared" si="109"/>
        <v>1572481500.4300005</v>
      </c>
      <c r="AG471" t="str">
        <f t="shared" si="110"/>
        <v>Active</v>
      </c>
      <c r="AH471">
        <f t="shared" si="111"/>
        <v>3278.04</v>
      </c>
    </row>
    <row r="472" spans="1:34" x14ac:dyDescent="0.35">
      <c r="A472" t="s">
        <v>1387</v>
      </c>
      <c r="B472" t="s">
        <v>1388</v>
      </c>
      <c r="C472">
        <v>43</v>
      </c>
      <c r="D472" t="s">
        <v>22</v>
      </c>
      <c r="E472" t="s">
        <v>39</v>
      </c>
      <c r="F472" t="s">
        <v>24</v>
      </c>
      <c r="G472">
        <v>144933</v>
      </c>
      <c r="H472">
        <v>585</v>
      </c>
      <c r="I472">
        <v>58977</v>
      </c>
      <c r="J472">
        <v>21.73</v>
      </c>
      <c r="K472">
        <v>24</v>
      </c>
      <c r="L472" t="s">
        <v>86</v>
      </c>
      <c r="M472">
        <v>25.12</v>
      </c>
      <c r="N472">
        <v>3671</v>
      </c>
      <c r="O472">
        <v>223231</v>
      </c>
      <c r="P472" t="s">
        <v>1389</v>
      </c>
      <c r="Q472" t="s">
        <v>27</v>
      </c>
      <c r="R472" t="s">
        <v>28</v>
      </c>
      <c r="S472" t="s">
        <v>43</v>
      </c>
      <c r="T472">
        <v>2991.36</v>
      </c>
      <c r="U472">
        <f t="shared" si="98"/>
        <v>1530</v>
      </c>
      <c r="V472">
        <f t="shared" si="99"/>
        <v>555</v>
      </c>
      <c r="W472">
        <f t="shared" si="100"/>
        <v>487</v>
      </c>
      <c r="X472">
        <f t="shared" si="101"/>
        <v>0.35149999999999998</v>
      </c>
      <c r="Y472" s="1">
        <f t="shared" si="102"/>
        <v>78863777</v>
      </c>
      <c r="Z472">
        <f t="shared" si="103"/>
        <v>51544.952287581698</v>
      </c>
      <c r="AA472">
        <f t="shared" si="104"/>
        <v>99996</v>
      </c>
      <c r="AB472">
        <f t="shared" si="105"/>
        <v>5091</v>
      </c>
      <c r="AC472">
        <f t="shared" si="106"/>
        <v>2073134.7799999993</v>
      </c>
      <c r="AD472">
        <f t="shared" si="107"/>
        <v>1354.9900522875812</v>
      </c>
      <c r="AE472">
        <f t="shared" si="108"/>
        <v>0.35149999999999998</v>
      </c>
      <c r="AF472">
        <f t="shared" si="109"/>
        <v>1570408092.4800005</v>
      </c>
      <c r="AG472" t="str">
        <f t="shared" si="110"/>
        <v>Active</v>
      </c>
      <c r="AH472">
        <f t="shared" si="111"/>
        <v>35896.32</v>
      </c>
    </row>
    <row r="473" spans="1:34" x14ac:dyDescent="0.35">
      <c r="A473" t="s">
        <v>1390</v>
      </c>
      <c r="B473" t="s">
        <v>1391</v>
      </c>
      <c r="C473">
        <v>44</v>
      </c>
      <c r="D473" t="s">
        <v>38</v>
      </c>
      <c r="E473" t="s">
        <v>39</v>
      </c>
      <c r="F473" t="s">
        <v>59</v>
      </c>
      <c r="G473">
        <v>175022</v>
      </c>
      <c r="H473">
        <v>796</v>
      </c>
      <c r="I473">
        <v>69575</v>
      </c>
      <c r="J473">
        <v>7.28</v>
      </c>
      <c r="K473">
        <v>60</v>
      </c>
      <c r="L473" t="s">
        <v>86</v>
      </c>
      <c r="M473">
        <v>31.19</v>
      </c>
      <c r="N473">
        <v>56781</v>
      </c>
      <c r="O473">
        <v>189657</v>
      </c>
      <c r="P473" t="s">
        <v>1392</v>
      </c>
      <c r="Q473" t="s">
        <v>27</v>
      </c>
      <c r="R473" t="s">
        <v>28</v>
      </c>
      <c r="S473" t="s">
        <v>35</v>
      </c>
      <c r="T473">
        <v>1244</v>
      </c>
      <c r="U473">
        <f t="shared" si="98"/>
        <v>1529</v>
      </c>
      <c r="V473">
        <f t="shared" si="99"/>
        <v>555</v>
      </c>
      <c r="W473">
        <f t="shared" si="100"/>
        <v>487</v>
      </c>
      <c r="X473">
        <f t="shared" si="101"/>
        <v>0.35149999999999998</v>
      </c>
      <c r="Y473" s="1">
        <f t="shared" si="102"/>
        <v>78804800</v>
      </c>
      <c r="Z473">
        <f t="shared" si="103"/>
        <v>51540.091563113143</v>
      </c>
      <c r="AA473">
        <f t="shared" si="104"/>
        <v>99996</v>
      </c>
      <c r="AB473">
        <f t="shared" si="105"/>
        <v>5091</v>
      </c>
      <c r="AC473">
        <f t="shared" si="106"/>
        <v>2070143.4199999992</v>
      </c>
      <c r="AD473">
        <f t="shared" si="107"/>
        <v>1353.9198299542179</v>
      </c>
      <c r="AE473">
        <f t="shared" si="108"/>
        <v>0.35149999999999998</v>
      </c>
      <c r="AF473">
        <f t="shared" si="109"/>
        <v>1568334957.7000003</v>
      </c>
      <c r="AG473" t="str">
        <f t="shared" si="110"/>
        <v>Active</v>
      </c>
      <c r="AH473">
        <f t="shared" si="111"/>
        <v>14928</v>
      </c>
    </row>
    <row r="474" spans="1:34" x14ac:dyDescent="0.35">
      <c r="A474" t="s">
        <v>1393</v>
      </c>
      <c r="B474" t="s">
        <v>1394</v>
      </c>
      <c r="C474">
        <v>49</v>
      </c>
      <c r="D474" t="s">
        <v>22</v>
      </c>
      <c r="E474" t="s">
        <v>23</v>
      </c>
      <c r="F474" t="s">
        <v>24</v>
      </c>
      <c r="G474">
        <v>168340</v>
      </c>
      <c r="H474">
        <v>544</v>
      </c>
      <c r="I474">
        <v>13612</v>
      </c>
      <c r="J474">
        <v>3.71</v>
      </c>
      <c r="K474">
        <v>12</v>
      </c>
      <c r="L474" t="s">
        <v>86</v>
      </c>
      <c r="M474">
        <v>19.04</v>
      </c>
      <c r="N474">
        <v>19283</v>
      </c>
      <c r="O474">
        <v>32494</v>
      </c>
      <c r="P474" t="s">
        <v>1395</v>
      </c>
      <c r="Q474" t="s">
        <v>61</v>
      </c>
      <c r="R474" t="s">
        <v>28</v>
      </c>
      <c r="S474" t="s">
        <v>43</v>
      </c>
      <c r="T474">
        <v>1176.42</v>
      </c>
      <c r="U474">
        <f t="shared" si="98"/>
        <v>1528</v>
      </c>
      <c r="V474">
        <f t="shared" si="99"/>
        <v>555</v>
      </c>
      <c r="W474">
        <f t="shared" si="100"/>
        <v>487</v>
      </c>
      <c r="X474">
        <f t="shared" si="101"/>
        <v>0.35149999999999998</v>
      </c>
      <c r="Y474" s="1">
        <f t="shared" si="102"/>
        <v>78735225</v>
      </c>
      <c r="Z474">
        <f t="shared" si="103"/>
        <v>51528.288612565448</v>
      </c>
      <c r="AA474">
        <f t="shared" si="104"/>
        <v>99996</v>
      </c>
      <c r="AB474">
        <f t="shared" si="105"/>
        <v>5091</v>
      </c>
      <c r="AC474">
        <f t="shared" si="106"/>
        <v>2068899.4199999992</v>
      </c>
      <c r="AD474">
        <f t="shared" si="107"/>
        <v>1353.9917670157063</v>
      </c>
      <c r="AE474">
        <f t="shared" si="108"/>
        <v>0.35149999999999998</v>
      </c>
      <c r="AF474">
        <f t="shared" si="109"/>
        <v>1566264814.2800002</v>
      </c>
      <c r="AG474" t="str">
        <f t="shared" si="110"/>
        <v>Active</v>
      </c>
      <c r="AH474">
        <f t="shared" si="111"/>
        <v>14117.04</v>
      </c>
    </row>
    <row r="475" spans="1:34" x14ac:dyDescent="0.35">
      <c r="A475" t="s">
        <v>1396</v>
      </c>
      <c r="B475" t="s">
        <v>1397</v>
      </c>
      <c r="C475">
        <v>36</v>
      </c>
      <c r="D475" t="s">
        <v>22</v>
      </c>
      <c r="E475" t="s">
        <v>32</v>
      </c>
      <c r="F475" t="s">
        <v>59</v>
      </c>
      <c r="G475">
        <v>154800</v>
      </c>
      <c r="H475">
        <v>400</v>
      </c>
      <c r="I475">
        <v>55914</v>
      </c>
      <c r="J475">
        <v>7.92</v>
      </c>
      <c r="K475">
        <v>240</v>
      </c>
      <c r="L475" t="s">
        <v>40</v>
      </c>
      <c r="M475">
        <v>11</v>
      </c>
      <c r="N475">
        <v>33300</v>
      </c>
      <c r="O475">
        <v>9860</v>
      </c>
      <c r="P475" t="s">
        <v>1398</v>
      </c>
      <c r="Q475" t="s">
        <v>42</v>
      </c>
      <c r="R475" t="s">
        <v>48</v>
      </c>
      <c r="S475" t="s">
        <v>68</v>
      </c>
      <c r="T475">
        <v>251.43</v>
      </c>
      <c r="U475">
        <f t="shared" si="98"/>
        <v>1527</v>
      </c>
      <c r="V475">
        <f t="shared" si="99"/>
        <v>555</v>
      </c>
      <c r="W475">
        <f t="shared" si="100"/>
        <v>486</v>
      </c>
      <c r="X475">
        <f t="shared" si="101"/>
        <v>0.35149999999999998</v>
      </c>
      <c r="Y475" s="1">
        <f t="shared" si="102"/>
        <v>78721613</v>
      </c>
      <c r="Z475">
        <f t="shared" si="103"/>
        <v>51553.119187950229</v>
      </c>
      <c r="AA475">
        <f t="shared" si="104"/>
        <v>99996</v>
      </c>
      <c r="AB475">
        <f t="shared" si="105"/>
        <v>5091</v>
      </c>
      <c r="AC475">
        <f t="shared" si="106"/>
        <v>2067722.9999999995</v>
      </c>
      <c r="AD475">
        <f t="shared" si="107"/>
        <v>1354.1080550098229</v>
      </c>
      <c r="AE475">
        <f t="shared" si="108"/>
        <v>0.35149999999999998</v>
      </c>
      <c r="AF475">
        <f t="shared" si="109"/>
        <v>1564195914.8599999</v>
      </c>
      <c r="AG475" t="str">
        <f t="shared" si="110"/>
        <v>Over Paid</v>
      </c>
      <c r="AH475">
        <f t="shared" si="111"/>
        <v>3017.16</v>
      </c>
    </row>
    <row r="476" spans="1:34" x14ac:dyDescent="0.35">
      <c r="A476" t="s">
        <v>1399</v>
      </c>
      <c r="B476" t="s">
        <v>1400</v>
      </c>
      <c r="C476">
        <v>38</v>
      </c>
      <c r="D476" t="s">
        <v>22</v>
      </c>
      <c r="E476" t="s">
        <v>39</v>
      </c>
      <c r="F476" t="s">
        <v>59</v>
      </c>
      <c r="G476">
        <v>72310</v>
      </c>
      <c r="H476">
        <v>398</v>
      </c>
      <c r="I476">
        <v>58905</v>
      </c>
      <c r="J476">
        <v>19.71</v>
      </c>
      <c r="K476">
        <v>240</v>
      </c>
      <c r="L476" t="s">
        <v>25</v>
      </c>
      <c r="M476">
        <v>17.149999999999999</v>
      </c>
      <c r="N476">
        <v>67732</v>
      </c>
      <c r="O476">
        <v>115465</v>
      </c>
      <c r="P476" t="s">
        <v>108</v>
      </c>
      <c r="Q476" t="s">
        <v>27</v>
      </c>
      <c r="R476" t="s">
        <v>48</v>
      </c>
      <c r="S476" t="s">
        <v>35</v>
      </c>
      <c r="T476">
        <v>293.81</v>
      </c>
      <c r="U476">
        <f t="shared" si="98"/>
        <v>1526</v>
      </c>
      <c r="V476">
        <f t="shared" si="99"/>
        <v>554</v>
      </c>
      <c r="W476">
        <f t="shared" si="100"/>
        <v>486</v>
      </c>
      <c r="X476">
        <f t="shared" si="101"/>
        <v>0.35149999999999998</v>
      </c>
      <c r="Y476" s="1">
        <f t="shared" si="102"/>
        <v>78665699</v>
      </c>
      <c r="Z476">
        <f t="shared" si="103"/>
        <v>51550.261467889912</v>
      </c>
      <c r="AA476">
        <f t="shared" si="104"/>
        <v>99996</v>
      </c>
      <c r="AB476">
        <f t="shared" si="105"/>
        <v>5091</v>
      </c>
      <c r="AC476">
        <f t="shared" si="106"/>
        <v>2067471.5699999994</v>
      </c>
      <c r="AD476">
        <f t="shared" si="107"/>
        <v>1354.8306487549144</v>
      </c>
      <c r="AE476">
        <f t="shared" si="108"/>
        <v>0.35149999999999998</v>
      </c>
      <c r="AF476">
        <f t="shared" si="109"/>
        <v>1562128191.8600001</v>
      </c>
      <c r="AG476" t="str">
        <f t="shared" si="110"/>
        <v>Active</v>
      </c>
      <c r="AH476">
        <f t="shared" si="111"/>
        <v>3525.7200000000003</v>
      </c>
    </row>
    <row r="477" spans="1:34" x14ac:dyDescent="0.35">
      <c r="A477" t="s">
        <v>1401</v>
      </c>
      <c r="B477" t="s">
        <v>1402</v>
      </c>
      <c r="C477">
        <v>30</v>
      </c>
      <c r="D477" t="s">
        <v>22</v>
      </c>
      <c r="E477" t="s">
        <v>23</v>
      </c>
      <c r="F477" t="s">
        <v>59</v>
      </c>
      <c r="G477">
        <v>97512</v>
      </c>
      <c r="H477">
        <v>614</v>
      </c>
      <c r="I477">
        <v>19243</v>
      </c>
      <c r="J477">
        <v>15.36</v>
      </c>
      <c r="K477">
        <v>36</v>
      </c>
      <c r="L477" t="s">
        <v>40</v>
      </c>
      <c r="M477">
        <v>8.66</v>
      </c>
      <c r="N477">
        <v>9445</v>
      </c>
      <c r="O477">
        <v>196432</v>
      </c>
      <c r="P477" t="s">
        <v>1403</v>
      </c>
      <c r="Q477" t="s">
        <v>61</v>
      </c>
      <c r="R477" t="s">
        <v>28</v>
      </c>
      <c r="S477" t="s">
        <v>49</v>
      </c>
      <c r="T477">
        <v>616.63</v>
      </c>
      <c r="U477">
        <f t="shared" si="98"/>
        <v>1525</v>
      </c>
      <c r="V477">
        <f t="shared" si="99"/>
        <v>554</v>
      </c>
      <c r="W477">
        <f t="shared" si="100"/>
        <v>486</v>
      </c>
      <c r="X477">
        <f t="shared" si="101"/>
        <v>0.35149999999999998</v>
      </c>
      <c r="Y477" s="1">
        <f t="shared" si="102"/>
        <v>78606794</v>
      </c>
      <c r="Z477">
        <f t="shared" si="103"/>
        <v>51545.438688524591</v>
      </c>
      <c r="AA477">
        <f t="shared" si="104"/>
        <v>99996</v>
      </c>
      <c r="AB477">
        <f t="shared" si="105"/>
        <v>5091</v>
      </c>
      <c r="AC477">
        <f t="shared" si="106"/>
        <v>2067177.7599999993</v>
      </c>
      <c r="AD477">
        <f t="shared" si="107"/>
        <v>1355.5263999999995</v>
      </c>
      <c r="AE477">
        <f t="shared" si="108"/>
        <v>0.35149999999999998</v>
      </c>
      <c r="AF477">
        <f t="shared" si="109"/>
        <v>1560060720.2900002</v>
      </c>
      <c r="AG477" t="str">
        <f t="shared" si="110"/>
        <v>Active</v>
      </c>
      <c r="AH477">
        <f t="shared" si="111"/>
        <v>7399.5599999999995</v>
      </c>
    </row>
    <row r="478" spans="1:34" x14ac:dyDescent="0.35">
      <c r="A478" t="s">
        <v>1404</v>
      </c>
      <c r="B478" t="s">
        <v>1405</v>
      </c>
      <c r="C478">
        <v>55</v>
      </c>
      <c r="D478" t="s">
        <v>38</v>
      </c>
      <c r="E478" t="s">
        <v>39</v>
      </c>
      <c r="F478" t="s">
        <v>46</v>
      </c>
      <c r="G478">
        <v>198552</v>
      </c>
      <c r="H478">
        <v>335</v>
      </c>
      <c r="I478">
        <v>42364</v>
      </c>
      <c r="J478">
        <v>9.14</v>
      </c>
      <c r="K478">
        <v>240</v>
      </c>
      <c r="L478" t="s">
        <v>25</v>
      </c>
      <c r="M478">
        <v>51.38</v>
      </c>
      <c r="N478">
        <v>5272</v>
      </c>
      <c r="O478">
        <v>117526</v>
      </c>
      <c r="P478" t="s">
        <v>90</v>
      </c>
      <c r="Q478" t="s">
        <v>27</v>
      </c>
      <c r="R478" t="s">
        <v>28</v>
      </c>
      <c r="S478" t="s">
        <v>43</v>
      </c>
      <c r="T478">
        <v>192.65</v>
      </c>
      <c r="U478">
        <f t="shared" si="98"/>
        <v>1524</v>
      </c>
      <c r="V478">
        <f t="shared" si="99"/>
        <v>554</v>
      </c>
      <c r="W478">
        <f t="shared" si="100"/>
        <v>485</v>
      </c>
      <c r="X478">
        <f t="shared" si="101"/>
        <v>0.35149999999999998</v>
      </c>
      <c r="Y478" s="1">
        <f t="shared" si="102"/>
        <v>78587551</v>
      </c>
      <c r="Z478">
        <f t="shared" si="103"/>
        <v>51566.634514435696</v>
      </c>
      <c r="AA478">
        <f t="shared" si="104"/>
        <v>99996</v>
      </c>
      <c r="AB478">
        <f t="shared" si="105"/>
        <v>5091</v>
      </c>
      <c r="AC478">
        <f t="shared" si="106"/>
        <v>2066561.1299999994</v>
      </c>
      <c r="AD478">
        <f t="shared" si="107"/>
        <v>1356.01124015748</v>
      </c>
      <c r="AE478">
        <f t="shared" si="108"/>
        <v>0.35149999999999998</v>
      </c>
      <c r="AF478">
        <f t="shared" si="109"/>
        <v>1557993542.53</v>
      </c>
      <c r="AG478" t="str">
        <f t="shared" si="110"/>
        <v>Active</v>
      </c>
      <c r="AH478">
        <f t="shared" si="111"/>
        <v>2311.8000000000002</v>
      </c>
    </row>
    <row r="479" spans="1:34" x14ac:dyDescent="0.35">
      <c r="A479" t="s">
        <v>1406</v>
      </c>
      <c r="B479" t="s">
        <v>1407</v>
      </c>
      <c r="C479">
        <v>40</v>
      </c>
      <c r="D479" t="s">
        <v>22</v>
      </c>
      <c r="E479" t="s">
        <v>39</v>
      </c>
      <c r="F479" t="s">
        <v>24</v>
      </c>
      <c r="G479">
        <v>29425</v>
      </c>
      <c r="H479">
        <v>792</v>
      </c>
      <c r="I479">
        <v>80021</v>
      </c>
      <c r="J479">
        <v>22.65</v>
      </c>
      <c r="K479">
        <v>24</v>
      </c>
      <c r="L479" t="s">
        <v>52</v>
      </c>
      <c r="M479">
        <v>51.62</v>
      </c>
      <c r="N479">
        <v>12012</v>
      </c>
      <c r="O479">
        <v>71713</v>
      </c>
      <c r="P479" t="s">
        <v>878</v>
      </c>
      <c r="Q479" t="s">
        <v>61</v>
      </c>
      <c r="R479" t="s">
        <v>48</v>
      </c>
      <c r="S479" t="s">
        <v>68</v>
      </c>
      <c r="T479">
        <v>4089.41</v>
      </c>
      <c r="U479">
        <f t="shared" si="98"/>
        <v>1523</v>
      </c>
      <c r="V479">
        <f t="shared" si="99"/>
        <v>554</v>
      </c>
      <c r="W479">
        <f t="shared" si="100"/>
        <v>485</v>
      </c>
      <c r="X479">
        <f t="shared" si="101"/>
        <v>0.35149999999999998</v>
      </c>
      <c r="Y479" s="1">
        <f t="shared" si="102"/>
        <v>78545187</v>
      </c>
      <c r="Z479">
        <f t="shared" si="103"/>
        <v>51572.67695338148</v>
      </c>
      <c r="AA479">
        <f t="shared" si="104"/>
        <v>99996</v>
      </c>
      <c r="AB479">
        <f t="shared" si="105"/>
        <v>5091</v>
      </c>
      <c r="AC479">
        <f t="shared" si="106"/>
        <v>2066368.4799999995</v>
      </c>
      <c r="AD479">
        <f t="shared" si="107"/>
        <v>1356.7751017728165</v>
      </c>
      <c r="AE479">
        <f t="shared" si="108"/>
        <v>0.35149999999999998</v>
      </c>
      <c r="AF479">
        <f t="shared" si="109"/>
        <v>1555926981.4000001</v>
      </c>
      <c r="AG479" t="str">
        <f t="shared" si="110"/>
        <v>Active</v>
      </c>
      <c r="AH479">
        <f t="shared" si="111"/>
        <v>49072.92</v>
      </c>
    </row>
    <row r="480" spans="1:34" x14ac:dyDescent="0.35">
      <c r="A480" t="s">
        <v>1408</v>
      </c>
      <c r="B480" t="s">
        <v>1409</v>
      </c>
      <c r="C480">
        <v>33</v>
      </c>
      <c r="D480" t="s">
        <v>22</v>
      </c>
      <c r="E480" t="s">
        <v>23</v>
      </c>
      <c r="F480" t="s">
        <v>46</v>
      </c>
      <c r="G480">
        <v>79039</v>
      </c>
      <c r="H480">
        <v>704</v>
      </c>
      <c r="I480">
        <v>36525</v>
      </c>
      <c r="J480">
        <v>9.73</v>
      </c>
      <c r="K480">
        <v>360</v>
      </c>
      <c r="L480" t="s">
        <v>33</v>
      </c>
      <c r="M480">
        <v>29.24</v>
      </c>
      <c r="N480">
        <v>4352</v>
      </c>
      <c r="O480">
        <v>31906</v>
      </c>
      <c r="P480" t="s">
        <v>394</v>
      </c>
      <c r="Q480" t="s">
        <v>61</v>
      </c>
      <c r="R480" t="s">
        <v>48</v>
      </c>
      <c r="S480" t="s">
        <v>35</v>
      </c>
      <c r="T480">
        <v>111.33</v>
      </c>
      <c r="U480">
        <f t="shared" si="98"/>
        <v>1522</v>
      </c>
      <c r="V480">
        <f t="shared" si="99"/>
        <v>554</v>
      </c>
      <c r="W480">
        <f t="shared" si="100"/>
        <v>484</v>
      </c>
      <c r="X480">
        <f t="shared" si="101"/>
        <v>0.35149999999999998</v>
      </c>
      <c r="Y480" s="1">
        <f t="shared" si="102"/>
        <v>78465166</v>
      </c>
      <c r="Z480">
        <f t="shared" si="103"/>
        <v>51553.985545335083</v>
      </c>
      <c r="AA480">
        <f t="shared" si="104"/>
        <v>99996</v>
      </c>
      <c r="AB480">
        <f t="shared" si="105"/>
        <v>5091</v>
      </c>
      <c r="AC480">
        <f t="shared" si="106"/>
        <v>2062279.0699999996</v>
      </c>
      <c r="AD480">
        <f t="shared" si="107"/>
        <v>1354.9796780551903</v>
      </c>
      <c r="AE480">
        <f t="shared" si="108"/>
        <v>0.35149999999999998</v>
      </c>
      <c r="AF480">
        <f t="shared" si="109"/>
        <v>1553860612.9200001</v>
      </c>
      <c r="AG480" t="str">
        <f t="shared" si="110"/>
        <v>Active</v>
      </c>
      <c r="AH480">
        <f t="shared" si="111"/>
        <v>1335.96</v>
      </c>
    </row>
    <row r="481" spans="1:34" x14ac:dyDescent="0.35">
      <c r="A481" t="s">
        <v>1410</v>
      </c>
      <c r="B481" t="s">
        <v>1411</v>
      </c>
      <c r="C481">
        <v>62</v>
      </c>
      <c r="D481" t="s">
        <v>22</v>
      </c>
      <c r="E481" t="s">
        <v>39</v>
      </c>
      <c r="F481" t="s">
        <v>59</v>
      </c>
      <c r="G481">
        <v>80274</v>
      </c>
      <c r="H481">
        <v>536</v>
      </c>
      <c r="I481">
        <v>16149</v>
      </c>
      <c r="J481">
        <v>3.79</v>
      </c>
      <c r="K481">
        <v>36</v>
      </c>
      <c r="L481" t="s">
        <v>40</v>
      </c>
      <c r="M481">
        <v>28.26</v>
      </c>
      <c r="N481">
        <v>21527</v>
      </c>
      <c r="O481">
        <v>110381</v>
      </c>
      <c r="P481" t="s">
        <v>863</v>
      </c>
      <c r="Q481" t="s">
        <v>42</v>
      </c>
      <c r="R481" t="s">
        <v>28</v>
      </c>
      <c r="S481" t="s">
        <v>49</v>
      </c>
      <c r="T481">
        <v>465.58</v>
      </c>
      <c r="U481">
        <f t="shared" si="98"/>
        <v>1521</v>
      </c>
      <c r="V481">
        <f t="shared" si="99"/>
        <v>554</v>
      </c>
      <c r="W481">
        <f t="shared" si="100"/>
        <v>483</v>
      </c>
      <c r="X481">
        <f t="shared" si="101"/>
        <v>0.35149999999999998</v>
      </c>
      <c r="Y481" s="1">
        <f t="shared" si="102"/>
        <v>78428641</v>
      </c>
      <c r="Z481">
        <f t="shared" si="103"/>
        <v>51563.866535174231</v>
      </c>
      <c r="AA481">
        <f t="shared" si="104"/>
        <v>99996</v>
      </c>
      <c r="AB481">
        <f t="shared" si="105"/>
        <v>5091</v>
      </c>
      <c r="AC481">
        <f t="shared" si="106"/>
        <v>2062167.7399999998</v>
      </c>
      <c r="AD481">
        <f t="shared" si="107"/>
        <v>1355.7973307034845</v>
      </c>
      <c r="AE481">
        <f t="shared" si="108"/>
        <v>0.35149999999999998</v>
      </c>
      <c r="AF481">
        <f t="shared" si="109"/>
        <v>1551798333.8499999</v>
      </c>
      <c r="AG481" t="str">
        <f t="shared" si="110"/>
        <v>Active</v>
      </c>
      <c r="AH481">
        <f t="shared" si="111"/>
        <v>5586.96</v>
      </c>
    </row>
    <row r="482" spans="1:34" x14ac:dyDescent="0.35">
      <c r="A482" t="s">
        <v>1412</v>
      </c>
      <c r="B482" t="s">
        <v>1413</v>
      </c>
      <c r="C482">
        <v>64</v>
      </c>
      <c r="D482" t="s">
        <v>22</v>
      </c>
      <c r="E482" t="s">
        <v>32</v>
      </c>
      <c r="F482" t="s">
        <v>46</v>
      </c>
      <c r="G482">
        <v>114943</v>
      </c>
      <c r="H482">
        <v>527</v>
      </c>
      <c r="I482">
        <v>64928</v>
      </c>
      <c r="J482">
        <v>13.64</v>
      </c>
      <c r="K482">
        <v>240</v>
      </c>
      <c r="L482" t="s">
        <v>52</v>
      </c>
      <c r="M482">
        <v>6.92</v>
      </c>
      <c r="N482">
        <v>63573</v>
      </c>
      <c r="O482">
        <v>90278</v>
      </c>
      <c r="P482" t="s">
        <v>1414</v>
      </c>
      <c r="Q482" t="s">
        <v>42</v>
      </c>
      <c r="R482" t="s">
        <v>48</v>
      </c>
      <c r="S482" t="s">
        <v>68</v>
      </c>
      <c r="T482">
        <v>307.43</v>
      </c>
      <c r="U482">
        <f t="shared" si="98"/>
        <v>1520</v>
      </c>
      <c r="V482">
        <f t="shared" si="99"/>
        <v>553</v>
      </c>
      <c r="W482">
        <f t="shared" si="100"/>
        <v>483</v>
      </c>
      <c r="X482">
        <f t="shared" si="101"/>
        <v>0.35149999999999998</v>
      </c>
      <c r="Y482" s="1">
        <f t="shared" si="102"/>
        <v>78412492</v>
      </c>
      <c r="Z482">
        <f t="shared" si="103"/>
        <v>51587.165789473685</v>
      </c>
      <c r="AA482">
        <f t="shared" si="104"/>
        <v>99996</v>
      </c>
      <c r="AB482">
        <f t="shared" si="105"/>
        <v>5091</v>
      </c>
      <c r="AC482">
        <f t="shared" si="106"/>
        <v>2061702.16</v>
      </c>
      <c r="AD482">
        <f t="shared" si="107"/>
        <v>1356.383</v>
      </c>
      <c r="AE482">
        <f t="shared" si="108"/>
        <v>0.35149999999999998</v>
      </c>
      <c r="AF482">
        <f t="shared" si="109"/>
        <v>1549736166.1099999</v>
      </c>
      <c r="AG482" t="str">
        <f t="shared" si="110"/>
        <v>Active</v>
      </c>
      <c r="AH482">
        <f t="shared" si="111"/>
        <v>3689.16</v>
      </c>
    </row>
    <row r="483" spans="1:34" x14ac:dyDescent="0.35">
      <c r="A483" t="s">
        <v>1415</v>
      </c>
      <c r="B483" t="s">
        <v>1416</v>
      </c>
      <c r="C483">
        <v>50</v>
      </c>
      <c r="D483" t="s">
        <v>22</v>
      </c>
      <c r="E483" t="s">
        <v>32</v>
      </c>
      <c r="F483" t="s">
        <v>59</v>
      </c>
      <c r="G483">
        <v>175960</v>
      </c>
      <c r="H483">
        <v>360</v>
      </c>
      <c r="I483">
        <v>93856</v>
      </c>
      <c r="J483">
        <v>13.39</v>
      </c>
      <c r="K483">
        <v>24</v>
      </c>
      <c r="L483" t="s">
        <v>86</v>
      </c>
      <c r="M483">
        <v>57.69</v>
      </c>
      <c r="N483">
        <v>38667</v>
      </c>
      <c r="O483">
        <v>171931</v>
      </c>
      <c r="P483" t="s">
        <v>1417</v>
      </c>
      <c r="Q483" t="s">
        <v>27</v>
      </c>
      <c r="R483" t="s">
        <v>28</v>
      </c>
      <c r="S483" t="s">
        <v>35</v>
      </c>
      <c r="T483">
        <v>4434.3</v>
      </c>
      <c r="U483">
        <f t="shared" si="98"/>
        <v>1519</v>
      </c>
      <c r="V483">
        <f t="shared" si="99"/>
        <v>552</v>
      </c>
      <c r="W483">
        <f t="shared" si="100"/>
        <v>483</v>
      </c>
      <c r="X483">
        <f t="shared" si="101"/>
        <v>0.35149999999999998</v>
      </c>
      <c r="Y483" s="1">
        <f t="shared" si="102"/>
        <v>78347564</v>
      </c>
      <c r="Z483">
        <f t="shared" si="103"/>
        <v>51578.383146807108</v>
      </c>
      <c r="AA483">
        <f t="shared" si="104"/>
        <v>99996</v>
      </c>
      <c r="AB483">
        <f t="shared" si="105"/>
        <v>5091</v>
      </c>
      <c r="AC483">
        <f t="shared" si="106"/>
        <v>2061394.7299999997</v>
      </c>
      <c r="AD483">
        <f t="shared" si="107"/>
        <v>1357.073554970375</v>
      </c>
      <c r="AE483">
        <f t="shared" si="108"/>
        <v>0.35149999999999998</v>
      </c>
      <c r="AF483">
        <f t="shared" si="109"/>
        <v>1547674463.9499998</v>
      </c>
      <c r="AG483" t="str">
        <f t="shared" si="110"/>
        <v>Active</v>
      </c>
      <c r="AH483">
        <f t="shared" si="111"/>
        <v>53211.600000000006</v>
      </c>
    </row>
    <row r="484" spans="1:34" x14ac:dyDescent="0.35">
      <c r="A484" t="s">
        <v>1418</v>
      </c>
      <c r="B484" t="s">
        <v>1419</v>
      </c>
      <c r="C484">
        <v>59</v>
      </c>
      <c r="D484" t="s">
        <v>22</v>
      </c>
      <c r="E484" t="s">
        <v>39</v>
      </c>
      <c r="F484" t="s">
        <v>59</v>
      </c>
      <c r="G484">
        <v>100438</v>
      </c>
      <c r="H484">
        <v>563</v>
      </c>
      <c r="I484">
        <v>72837</v>
      </c>
      <c r="J484">
        <v>10.83</v>
      </c>
      <c r="K484">
        <v>24</v>
      </c>
      <c r="L484" t="s">
        <v>25</v>
      </c>
      <c r="M484">
        <v>22.69</v>
      </c>
      <c r="N484">
        <v>56704</v>
      </c>
      <c r="O484">
        <v>112897</v>
      </c>
      <c r="P484" t="s">
        <v>141</v>
      </c>
      <c r="Q484" t="s">
        <v>27</v>
      </c>
      <c r="R484" t="s">
        <v>28</v>
      </c>
      <c r="S484" t="s">
        <v>35</v>
      </c>
      <c r="T484">
        <v>3363.55</v>
      </c>
      <c r="U484">
        <f t="shared" si="98"/>
        <v>1518</v>
      </c>
      <c r="V484">
        <f t="shared" si="99"/>
        <v>552</v>
      </c>
      <c r="W484">
        <f t="shared" si="100"/>
        <v>483</v>
      </c>
      <c r="X484">
        <f t="shared" si="101"/>
        <v>0.35149999999999998</v>
      </c>
      <c r="Y484" s="1">
        <f t="shared" si="102"/>
        <v>78253708</v>
      </c>
      <c r="Z484">
        <f t="shared" si="103"/>
        <v>51550.532279314888</v>
      </c>
      <c r="AA484">
        <f t="shared" si="104"/>
        <v>99996</v>
      </c>
      <c r="AB484">
        <f t="shared" si="105"/>
        <v>5091</v>
      </c>
      <c r="AC484">
        <f t="shared" si="106"/>
        <v>2056960.43</v>
      </c>
      <c r="AD484">
        <f t="shared" si="107"/>
        <v>1355.04639657444</v>
      </c>
      <c r="AE484">
        <f t="shared" si="108"/>
        <v>0.35149999999999998</v>
      </c>
      <c r="AF484">
        <f t="shared" si="109"/>
        <v>1545613069.2199998</v>
      </c>
      <c r="AG484" t="str">
        <f t="shared" si="110"/>
        <v>Active</v>
      </c>
      <c r="AH484">
        <f t="shared" si="111"/>
        <v>40362.600000000006</v>
      </c>
    </row>
    <row r="485" spans="1:34" x14ac:dyDescent="0.35">
      <c r="A485" t="s">
        <v>1420</v>
      </c>
      <c r="B485" t="s">
        <v>1421</v>
      </c>
      <c r="C485">
        <v>39</v>
      </c>
      <c r="D485" t="s">
        <v>22</v>
      </c>
      <c r="E485" t="s">
        <v>32</v>
      </c>
      <c r="F485" t="s">
        <v>24</v>
      </c>
      <c r="G485">
        <v>49733</v>
      </c>
      <c r="H485">
        <v>844</v>
      </c>
      <c r="I485">
        <v>23845</v>
      </c>
      <c r="J485">
        <v>17.809999999999999</v>
      </c>
      <c r="K485">
        <v>120</v>
      </c>
      <c r="L485" t="s">
        <v>52</v>
      </c>
      <c r="M485">
        <v>52.53</v>
      </c>
      <c r="N485">
        <v>35765</v>
      </c>
      <c r="O485">
        <v>50747</v>
      </c>
      <c r="P485" t="s">
        <v>1422</v>
      </c>
      <c r="Q485" t="s">
        <v>42</v>
      </c>
      <c r="R485" t="s">
        <v>48</v>
      </c>
      <c r="S485" t="s">
        <v>35</v>
      </c>
      <c r="T485">
        <v>234.1</v>
      </c>
      <c r="U485">
        <f t="shared" si="98"/>
        <v>1517</v>
      </c>
      <c r="V485">
        <f t="shared" si="99"/>
        <v>552</v>
      </c>
      <c r="W485">
        <f t="shared" si="100"/>
        <v>483</v>
      </c>
      <c r="X485">
        <f t="shared" si="101"/>
        <v>0.35149999999999998</v>
      </c>
      <c r="Y485" s="1">
        <f t="shared" si="102"/>
        <v>78180871</v>
      </c>
      <c r="Z485">
        <f t="shared" si="103"/>
        <v>51536.50032959789</v>
      </c>
      <c r="AA485">
        <f t="shared" si="104"/>
        <v>99996</v>
      </c>
      <c r="AB485">
        <f t="shared" si="105"/>
        <v>5091</v>
      </c>
      <c r="AC485">
        <f t="shared" si="106"/>
        <v>2053596.8799999997</v>
      </c>
      <c r="AD485">
        <f t="shared" si="107"/>
        <v>1353.7223994726432</v>
      </c>
      <c r="AE485">
        <f t="shared" si="108"/>
        <v>0.35149999999999998</v>
      </c>
      <c r="AF485">
        <f t="shared" si="109"/>
        <v>1543556108.7899997</v>
      </c>
      <c r="AG485" t="str">
        <f t="shared" si="110"/>
        <v>Active</v>
      </c>
      <c r="AH485">
        <f t="shared" si="111"/>
        <v>2809.2</v>
      </c>
    </row>
    <row r="486" spans="1:34" x14ac:dyDescent="0.35">
      <c r="A486" t="s">
        <v>1423</v>
      </c>
      <c r="B486" t="s">
        <v>1424</v>
      </c>
      <c r="C486">
        <v>37</v>
      </c>
      <c r="D486" t="s">
        <v>38</v>
      </c>
      <c r="E486" t="s">
        <v>32</v>
      </c>
      <c r="F486" t="s">
        <v>24</v>
      </c>
      <c r="G486">
        <v>111206</v>
      </c>
      <c r="H486">
        <v>622</v>
      </c>
      <c r="I486">
        <v>49087</v>
      </c>
      <c r="J486">
        <v>11.84</v>
      </c>
      <c r="K486">
        <v>120</v>
      </c>
      <c r="L486" t="s">
        <v>52</v>
      </c>
      <c r="M486">
        <v>12.64</v>
      </c>
      <c r="N486">
        <v>66990</v>
      </c>
      <c r="O486">
        <v>8538</v>
      </c>
      <c r="P486" t="s">
        <v>1425</v>
      </c>
      <c r="Q486" t="s">
        <v>42</v>
      </c>
      <c r="R486" t="s">
        <v>48</v>
      </c>
      <c r="S486" t="s">
        <v>49</v>
      </c>
      <c r="T486">
        <v>457.49</v>
      </c>
      <c r="U486">
        <f t="shared" si="98"/>
        <v>1516</v>
      </c>
      <c r="V486">
        <f t="shared" si="99"/>
        <v>551</v>
      </c>
      <c r="W486">
        <f t="shared" si="100"/>
        <v>483</v>
      </c>
      <c r="X486">
        <f t="shared" si="101"/>
        <v>0.35149999999999998</v>
      </c>
      <c r="Y486" s="1">
        <f t="shared" si="102"/>
        <v>78157026</v>
      </c>
      <c r="Z486">
        <f t="shared" si="103"/>
        <v>51554.766490765171</v>
      </c>
      <c r="AA486">
        <f t="shared" si="104"/>
        <v>99996</v>
      </c>
      <c r="AB486">
        <f t="shared" si="105"/>
        <v>5091</v>
      </c>
      <c r="AC486">
        <f t="shared" si="106"/>
        <v>2053362.7799999998</v>
      </c>
      <c r="AD486">
        <f t="shared" si="107"/>
        <v>1354.4609366754617</v>
      </c>
      <c r="AE486">
        <f t="shared" si="108"/>
        <v>0.35149999999999998</v>
      </c>
      <c r="AF486">
        <f t="shared" si="109"/>
        <v>1541502511.9099998</v>
      </c>
      <c r="AG486" t="str">
        <f t="shared" si="110"/>
        <v>Active</v>
      </c>
      <c r="AH486">
        <f t="shared" si="111"/>
        <v>5489.88</v>
      </c>
    </row>
    <row r="487" spans="1:34" x14ac:dyDescent="0.35">
      <c r="A487" t="s">
        <v>1426</v>
      </c>
      <c r="B487" t="s">
        <v>1427</v>
      </c>
      <c r="C487">
        <v>50</v>
      </c>
      <c r="D487" t="s">
        <v>22</v>
      </c>
      <c r="E487" t="s">
        <v>39</v>
      </c>
      <c r="F487" t="s">
        <v>59</v>
      </c>
      <c r="G487">
        <v>33548</v>
      </c>
      <c r="H487">
        <v>788</v>
      </c>
      <c r="I487">
        <v>69247</v>
      </c>
      <c r="J487">
        <v>12.03</v>
      </c>
      <c r="K487">
        <v>12</v>
      </c>
      <c r="L487" t="s">
        <v>40</v>
      </c>
      <c r="M487">
        <v>47.11</v>
      </c>
      <c r="N487">
        <v>74699</v>
      </c>
      <c r="O487">
        <v>129784</v>
      </c>
      <c r="P487" t="s">
        <v>370</v>
      </c>
      <c r="Q487" t="s">
        <v>27</v>
      </c>
      <c r="R487" t="s">
        <v>48</v>
      </c>
      <c r="S487" t="s">
        <v>49</v>
      </c>
      <c r="T487">
        <v>6464.78</v>
      </c>
      <c r="U487">
        <f t="shared" si="98"/>
        <v>1515</v>
      </c>
      <c r="V487">
        <f t="shared" si="99"/>
        <v>550</v>
      </c>
      <c r="W487">
        <f t="shared" si="100"/>
        <v>483</v>
      </c>
      <c r="X487">
        <f t="shared" si="101"/>
        <v>0.35149999999999998</v>
      </c>
      <c r="Y487" s="1">
        <f t="shared" si="102"/>
        <v>78107939</v>
      </c>
      <c r="Z487">
        <f t="shared" si="103"/>
        <v>51556.395379537957</v>
      </c>
      <c r="AA487">
        <f t="shared" si="104"/>
        <v>99996</v>
      </c>
      <c r="AB487">
        <f t="shared" si="105"/>
        <v>5091</v>
      </c>
      <c r="AC487">
        <f t="shared" si="106"/>
        <v>2052905.2899999996</v>
      </c>
      <c r="AD487">
        <f t="shared" si="107"/>
        <v>1355.0529966996696</v>
      </c>
      <c r="AE487">
        <f t="shared" si="108"/>
        <v>0.35149999999999998</v>
      </c>
      <c r="AF487">
        <f t="shared" si="109"/>
        <v>1539449149.1299999</v>
      </c>
      <c r="AG487" t="str">
        <f t="shared" si="110"/>
        <v>Active</v>
      </c>
      <c r="AH487">
        <f t="shared" si="111"/>
        <v>77577.36</v>
      </c>
    </row>
    <row r="488" spans="1:34" x14ac:dyDescent="0.35">
      <c r="A488" t="s">
        <v>1428</v>
      </c>
      <c r="B488" t="s">
        <v>1429</v>
      </c>
      <c r="C488">
        <v>35</v>
      </c>
      <c r="D488" t="s">
        <v>38</v>
      </c>
      <c r="E488" t="s">
        <v>23</v>
      </c>
      <c r="F488" t="s">
        <v>46</v>
      </c>
      <c r="G488">
        <v>57975</v>
      </c>
      <c r="H488">
        <v>347</v>
      </c>
      <c r="I488">
        <v>15372</v>
      </c>
      <c r="J488">
        <v>13.68</v>
      </c>
      <c r="K488">
        <v>12</v>
      </c>
      <c r="L488" t="s">
        <v>86</v>
      </c>
      <c r="M488">
        <v>44.86</v>
      </c>
      <c r="N488">
        <v>46129</v>
      </c>
      <c r="O488">
        <v>121674</v>
      </c>
      <c r="P488" t="s">
        <v>513</v>
      </c>
      <c r="Q488" t="s">
        <v>61</v>
      </c>
      <c r="R488" t="s">
        <v>28</v>
      </c>
      <c r="S488" t="s">
        <v>35</v>
      </c>
      <c r="T488">
        <v>1456.24</v>
      </c>
      <c r="U488">
        <f t="shared" si="98"/>
        <v>1514</v>
      </c>
      <c r="V488">
        <f t="shared" si="99"/>
        <v>550</v>
      </c>
      <c r="W488">
        <f t="shared" si="100"/>
        <v>483</v>
      </c>
      <c r="X488">
        <f t="shared" si="101"/>
        <v>0.35149999999999998</v>
      </c>
      <c r="Y488" s="1">
        <f t="shared" si="102"/>
        <v>78038692</v>
      </c>
      <c r="Z488">
        <f t="shared" si="103"/>
        <v>51544.710700132098</v>
      </c>
      <c r="AA488">
        <f t="shared" si="104"/>
        <v>99996</v>
      </c>
      <c r="AB488">
        <f t="shared" si="105"/>
        <v>5091</v>
      </c>
      <c r="AC488">
        <f t="shared" si="106"/>
        <v>2046440.5099999993</v>
      </c>
      <c r="AD488">
        <f t="shared" si="107"/>
        <v>1351.6780118890351</v>
      </c>
      <c r="AE488">
        <f t="shared" si="108"/>
        <v>0.35149999999999998</v>
      </c>
      <c r="AF488">
        <f t="shared" si="109"/>
        <v>1537396243.8399997</v>
      </c>
      <c r="AG488" t="str">
        <f t="shared" si="110"/>
        <v>Over Paid</v>
      </c>
      <c r="AH488">
        <f t="shared" si="111"/>
        <v>17474.88</v>
      </c>
    </row>
    <row r="489" spans="1:34" x14ac:dyDescent="0.35">
      <c r="A489" t="s">
        <v>1430</v>
      </c>
      <c r="B489" t="s">
        <v>1431</v>
      </c>
      <c r="C489">
        <v>24</v>
      </c>
      <c r="D489" t="s">
        <v>38</v>
      </c>
      <c r="E489" t="s">
        <v>32</v>
      </c>
      <c r="F489" t="s">
        <v>46</v>
      </c>
      <c r="G489">
        <v>138462</v>
      </c>
      <c r="H489">
        <v>395</v>
      </c>
      <c r="I489">
        <v>26902</v>
      </c>
      <c r="J489">
        <v>14.79</v>
      </c>
      <c r="K489">
        <v>36</v>
      </c>
      <c r="L489" t="s">
        <v>86</v>
      </c>
      <c r="M489">
        <v>41.12</v>
      </c>
      <c r="N489">
        <v>74473</v>
      </c>
      <c r="O489">
        <v>147711</v>
      </c>
      <c r="P489" t="s">
        <v>1272</v>
      </c>
      <c r="Q489" t="s">
        <v>27</v>
      </c>
      <c r="R489" t="s">
        <v>48</v>
      </c>
      <c r="S489" t="s">
        <v>35</v>
      </c>
      <c r="T489">
        <v>857.8</v>
      </c>
      <c r="U489">
        <f t="shared" si="98"/>
        <v>1513</v>
      </c>
      <c r="V489">
        <f t="shared" si="99"/>
        <v>550</v>
      </c>
      <c r="W489">
        <f t="shared" si="100"/>
        <v>482</v>
      </c>
      <c r="X489">
        <f t="shared" si="101"/>
        <v>0.35149999999999998</v>
      </c>
      <c r="Y489" s="1">
        <f t="shared" si="102"/>
        <v>78023320</v>
      </c>
      <c r="Z489">
        <f t="shared" si="103"/>
        <v>51568.618638466622</v>
      </c>
      <c r="AA489">
        <f t="shared" si="104"/>
        <v>99996</v>
      </c>
      <c r="AB489">
        <f t="shared" si="105"/>
        <v>5091</v>
      </c>
      <c r="AC489">
        <f t="shared" si="106"/>
        <v>2044984.2699999996</v>
      </c>
      <c r="AD489">
        <f t="shared" si="107"/>
        <v>1351.6089028420354</v>
      </c>
      <c r="AE489">
        <f t="shared" si="108"/>
        <v>0.35149999999999998</v>
      </c>
      <c r="AF489">
        <f t="shared" si="109"/>
        <v>1535349803.3299999</v>
      </c>
      <c r="AG489" t="str">
        <f t="shared" si="110"/>
        <v>Over Paid</v>
      </c>
      <c r="AH489">
        <f t="shared" si="111"/>
        <v>10293.599999999999</v>
      </c>
    </row>
    <row r="490" spans="1:34" x14ac:dyDescent="0.35">
      <c r="A490" t="s">
        <v>1432</v>
      </c>
      <c r="B490" t="s">
        <v>1433</v>
      </c>
      <c r="C490">
        <v>32</v>
      </c>
      <c r="D490" t="s">
        <v>22</v>
      </c>
      <c r="E490" t="s">
        <v>23</v>
      </c>
      <c r="F490" t="s">
        <v>24</v>
      </c>
      <c r="G490">
        <v>104030</v>
      </c>
      <c r="H490">
        <v>654</v>
      </c>
      <c r="I490">
        <v>66345</v>
      </c>
      <c r="J490">
        <v>3.95</v>
      </c>
      <c r="K490">
        <v>12</v>
      </c>
      <c r="L490" t="s">
        <v>52</v>
      </c>
      <c r="M490">
        <v>10.46</v>
      </c>
      <c r="N490">
        <v>3021</v>
      </c>
      <c r="O490">
        <v>219010</v>
      </c>
      <c r="P490" t="s">
        <v>1434</v>
      </c>
      <c r="Q490" t="s">
        <v>27</v>
      </c>
      <c r="R490" t="s">
        <v>48</v>
      </c>
      <c r="S490" t="s">
        <v>35</v>
      </c>
      <c r="T490">
        <v>5747.14</v>
      </c>
      <c r="U490">
        <f t="shared" si="98"/>
        <v>1512</v>
      </c>
      <c r="V490">
        <f t="shared" si="99"/>
        <v>550</v>
      </c>
      <c r="W490">
        <f t="shared" si="100"/>
        <v>482</v>
      </c>
      <c r="X490">
        <f t="shared" si="101"/>
        <v>0.35149999999999998</v>
      </c>
      <c r="Y490" s="1">
        <f t="shared" si="102"/>
        <v>77996418</v>
      </c>
      <c r="Z490">
        <f t="shared" si="103"/>
        <v>51584.932539682537</v>
      </c>
      <c r="AA490">
        <f t="shared" si="104"/>
        <v>99996</v>
      </c>
      <c r="AB490">
        <f t="shared" si="105"/>
        <v>5091</v>
      </c>
      <c r="AC490">
        <f t="shared" si="106"/>
        <v>2044126.4699999995</v>
      </c>
      <c r="AD490">
        <f t="shared" si="107"/>
        <v>1351.9354960317457</v>
      </c>
      <c r="AE490">
        <f t="shared" si="108"/>
        <v>0.35149999999999998</v>
      </c>
      <c r="AF490">
        <f t="shared" si="109"/>
        <v>1533304819.0599999</v>
      </c>
      <c r="AG490" t="str">
        <f t="shared" si="110"/>
        <v>Active</v>
      </c>
      <c r="AH490">
        <f t="shared" si="111"/>
        <v>68965.680000000008</v>
      </c>
    </row>
    <row r="491" spans="1:34" x14ac:dyDescent="0.35">
      <c r="A491" t="s">
        <v>1435</v>
      </c>
      <c r="B491" t="s">
        <v>1436</v>
      </c>
      <c r="C491">
        <v>64</v>
      </c>
      <c r="D491" t="s">
        <v>38</v>
      </c>
      <c r="E491" t="s">
        <v>32</v>
      </c>
      <c r="F491" t="s">
        <v>46</v>
      </c>
      <c r="G491">
        <v>66557</v>
      </c>
      <c r="H491">
        <v>432</v>
      </c>
      <c r="I491">
        <v>10254</v>
      </c>
      <c r="J491">
        <v>8.4</v>
      </c>
      <c r="K491">
        <v>240</v>
      </c>
      <c r="L491" t="s">
        <v>33</v>
      </c>
      <c r="M491">
        <v>25.17</v>
      </c>
      <c r="N491">
        <v>13454</v>
      </c>
      <c r="O491">
        <v>25207</v>
      </c>
      <c r="P491" t="s">
        <v>352</v>
      </c>
      <c r="Q491" t="s">
        <v>61</v>
      </c>
      <c r="R491" t="s">
        <v>28</v>
      </c>
      <c r="S491" t="s">
        <v>29</v>
      </c>
      <c r="T491">
        <v>46.31</v>
      </c>
      <c r="U491">
        <f t="shared" si="98"/>
        <v>1511</v>
      </c>
      <c r="V491">
        <f t="shared" si="99"/>
        <v>550</v>
      </c>
      <c r="W491">
        <f t="shared" si="100"/>
        <v>482</v>
      </c>
      <c r="X491">
        <f t="shared" si="101"/>
        <v>0.35149999999999998</v>
      </c>
      <c r="Y491" s="1">
        <f t="shared" si="102"/>
        <v>77930073</v>
      </c>
      <c r="Z491">
        <f t="shared" si="103"/>
        <v>51575.16412971542</v>
      </c>
      <c r="AA491">
        <f t="shared" si="104"/>
        <v>99996</v>
      </c>
      <c r="AB491">
        <f t="shared" si="105"/>
        <v>5091</v>
      </c>
      <c r="AC491">
        <f t="shared" si="106"/>
        <v>2038379.3299999994</v>
      </c>
      <c r="AD491">
        <f t="shared" si="107"/>
        <v>1349.0266909331565</v>
      </c>
      <c r="AE491">
        <f t="shared" si="108"/>
        <v>0.35149999999999998</v>
      </c>
      <c r="AF491">
        <f t="shared" si="109"/>
        <v>1531260692.5899999</v>
      </c>
      <c r="AG491" t="str">
        <f t="shared" si="110"/>
        <v>Over Paid</v>
      </c>
      <c r="AH491">
        <f t="shared" si="111"/>
        <v>555.72</v>
      </c>
    </row>
    <row r="492" spans="1:34" x14ac:dyDescent="0.35">
      <c r="A492" t="s">
        <v>1437</v>
      </c>
      <c r="B492" t="s">
        <v>1438</v>
      </c>
      <c r="C492">
        <v>55</v>
      </c>
      <c r="D492" t="s">
        <v>22</v>
      </c>
      <c r="E492" t="s">
        <v>39</v>
      </c>
      <c r="F492" t="s">
        <v>59</v>
      </c>
      <c r="G492">
        <v>86301</v>
      </c>
      <c r="H492">
        <v>799</v>
      </c>
      <c r="I492">
        <v>31625</v>
      </c>
      <c r="J492">
        <v>19.809999999999999</v>
      </c>
      <c r="K492">
        <v>48</v>
      </c>
      <c r="L492" t="s">
        <v>86</v>
      </c>
      <c r="M492">
        <v>48.51</v>
      </c>
      <c r="N492">
        <v>15225</v>
      </c>
      <c r="O492">
        <v>196596</v>
      </c>
      <c r="P492" t="s">
        <v>881</v>
      </c>
      <c r="Q492" t="s">
        <v>27</v>
      </c>
      <c r="R492" t="s">
        <v>28</v>
      </c>
      <c r="S492" t="s">
        <v>68</v>
      </c>
      <c r="T492">
        <v>789.37</v>
      </c>
      <c r="U492">
        <f t="shared" si="98"/>
        <v>1510</v>
      </c>
      <c r="V492">
        <f t="shared" si="99"/>
        <v>550</v>
      </c>
      <c r="W492">
        <f t="shared" si="100"/>
        <v>481</v>
      </c>
      <c r="X492">
        <f t="shared" si="101"/>
        <v>0.35149999999999998</v>
      </c>
      <c r="Y492" s="1">
        <f t="shared" si="102"/>
        <v>77919819</v>
      </c>
      <c r="Z492">
        <f t="shared" si="103"/>
        <v>51602.529139072845</v>
      </c>
      <c r="AA492">
        <f t="shared" si="104"/>
        <v>99996</v>
      </c>
      <c r="AB492">
        <f t="shared" si="105"/>
        <v>5091</v>
      </c>
      <c r="AC492">
        <f t="shared" si="106"/>
        <v>2038333.0199999993</v>
      </c>
      <c r="AD492">
        <f t="shared" si="107"/>
        <v>1349.8894172185426</v>
      </c>
      <c r="AE492">
        <f t="shared" si="108"/>
        <v>0.35149999999999998</v>
      </c>
      <c r="AF492">
        <f t="shared" si="109"/>
        <v>1529222313.26</v>
      </c>
      <c r="AG492" t="str">
        <f t="shared" si="110"/>
        <v>Active</v>
      </c>
      <c r="AH492">
        <f t="shared" si="111"/>
        <v>9472.44</v>
      </c>
    </row>
    <row r="493" spans="1:34" x14ac:dyDescent="0.35">
      <c r="A493" t="s">
        <v>1439</v>
      </c>
      <c r="B493" t="s">
        <v>1440</v>
      </c>
      <c r="C493">
        <v>41</v>
      </c>
      <c r="D493" t="s">
        <v>22</v>
      </c>
      <c r="E493" t="s">
        <v>32</v>
      </c>
      <c r="F493" t="s">
        <v>24</v>
      </c>
      <c r="G493">
        <v>88326</v>
      </c>
      <c r="H493">
        <v>330</v>
      </c>
      <c r="I493">
        <v>27305</v>
      </c>
      <c r="J493">
        <v>22.15</v>
      </c>
      <c r="K493">
        <v>24</v>
      </c>
      <c r="L493" t="s">
        <v>86</v>
      </c>
      <c r="M493">
        <v>8.35</v>
      </c>
      <c r="N493">
        <v>68860</v>
      </c>
      <c r="O493">
        <v>76053</v>
      </c>
      <c r="P493" t="s">
        <v>1441</v>
      </c>
      <c r="Q493" t="s">
        <v>27</v>
      </c>
      <c r="R493" t="s">
        <v>28</v>
      </c>
      <c r="S493" t="s">
        <v>49</v>
      </c>
      <c r="T493">
        <v>1389.71</v>
      </c>
      <c r="U493">
        <f t="shared" si="98"/>
        <v>1509</v>
      </c>
      <c r="V493">
        <f t="shared" si="99"/>
        <v>550</v>
      </c>
      <c r="W493">
        <f t="shared" si="100"/>
        <v>481</v>
      </c>
      <c r="X493">
        <f t="shared" si="101"/>
        <v>0.35149999999999998</v>
      </c>
      <c r="Y493" s="1">
        <f t="shared" si="102"/>
        <v>77888194</v>
      </c>
      <c r="Z493">
        <f t="shared" si="103"/>
        <v>51615.768058316768</v>
      </c>
      <c r="AA493">
        <f t="shared" si="104"/>
        <v>99996</v>
      </c>
      <c r="AB493">
        <f t="shared" si="105"/>
        <v>5091</v>
      </c>
      <c r="AC493">
        <f t="shared" si="106"/>
        <v>2037543.6499999994</v>
      </c>
      <c r="AD493">
        <f t="shared" si="107"/>
        <v>1350.2608681245854</v>
      </c>
      <c r="AE493">
        <f t="shared" si="108"/>
        <v>0.35149999999999998</v>
      </c>
      <c r="AF493">
        <f t="shared" si="109"/>
        <v>1527183980.2399998</v>
      </c>
      <c r="AG493" t="str">
        <f t="shared" si="110"/>
        <v>Active</v>
      </c>
      <c r="AH493">
        <f t="shared" si="111"/>
        <v>16676.52</v>
      </c>
    </row>
    <row r="494" spans="1:34" x14ac:dyDescent="0.35">
      <c r="A494" t="s">
        <v>1442</v>
      </c>
      <c r="B494" t="s">
        <v>1443</v>
      </c>
      <c r="C494">
        <v>30</v>
      </c>
      <c r="D494" t="s">
        <v>22</v>
      </c>
      <c r="E494" t="s">
        <v>32</v>
      </c>
      <c r="F494" t="s">
        <v>59</v>
      </c>
      <c r="G494">
        <v>65198</v>
      </c>
      <c r="H494">
        <v>770</v>
      </c>
      <c r="I494">
        <v>70896</v>
      </c>
      <c r="J494">
        <v>4.55</v>
      </c>
      <c r="K494">
        <v>24</v>
      </c>
      <c r="L494" t="s">
        <v>86</v>
      </c>
      <c r="M494">
        <v>51.05</v>
      </c>
      <c r="N494">
        <v>47417</v>
      </c>
      <c r="O494">
        <v>148728</v>
      </c>
      <c r="P494" t="s">
        <v>1444</v>
      </c>
      <c r="Q494" t="s">
        <v>61</v>
      </c>
      <c r="R494" t="s">
        <v>28</v>
      </c>
      <c r="S494" t="s">
        <v>68</v>
      </c>
      <c r="T494">
        <v>3088.41</v>
      </c>
      <c r="U494">
        <f t="shared" si="98"/>
        <v>1508</v>
      </c>
      <c r="V494">
        <f t="shared" si="99"/>
        <v>550</v>
      </c>
      <c r="W494">
        <f t="shared" si="100"/>
        <v>481</v>
      </c>
      <c r="X494">
        <f t="shared" si="101"/>
        <v>0.35149999999999998</v>
      </c>
      <c r="Y494" s="1">
        <f t="shared" si="102"/>
        <v>77860889</v>
      </c>
      <c r="Z494">
        <f t="shared" si="103"/>
        <v>51631.889257294431</v>
      </c>
      <c r="AA494">
        <f t="shared" si="104"/>
        <v>99996</v>
      </c>
      <c r="AB494">
        <f t="shared" si="105"/>
        <v>5091</v>
      </c>
      <c r="AC494">
        <f t="shared" si="106"/>
        <v>2036153.9399999995</v>
      </c>
      <c r="AD494">
        <f t="shared" si="107"/>
        <v>1350.2347082228114</v>
      </c>
      <c r="AE494">
        <f t="shared" si="108"/>
        <v>0.35149999999999998</v>
      </c>
      <c r="AF494">
        <f t="shared" si="109"/>
        <v>1525146436.5899999</v>
      </c>
      <c r="AG494" t="str">
        <f t="shared" si="110"/>
        <v>Active</v>
      </c>
      <c r="AH494">
        <f t="shared" si="111"/>
        <v>37060.92</v>
      </c>
    </row>
    <row r="495" spans="1:34" x14ac:dyDescent="0.35">
      <c r="A495" t="s">
        <v>1445</v>
      </c>
      <c r="B495" t="s">
        <v>1446</v>
      </c>
      <c r="C495">
        <v>44</v>
      </c>
      <c r="D495" t="s">
        <v>38</v>
      </c>
      <c r="E495" t="s">
        <v>39</v>
      </c>
      <c r="F495" t="s">
        <v>59</v>
      </c>
      <c r="G495">
        <v>198840</v>
      </c>
      <c r="H495">
        <v>644</v>
      </c>
      <c r="I495">
        <v>54953</v>
      </c>
      <c r="J495">
        <v>10.18</v>
      </c>
      <c r="K495">
        <v>12</v>
      </c>
      <c r="L495" t="s">
        <v>40</v>
      </c>
      <c r="M495">
        <v>13.26</v>
      </c>
      <c r="N495">
        <v>71150</v>
      </c>
      <c r="O495">
        <v>33205</v>
      </c>
      <c r="P495" t="s">
        <v>1447</v>
      </c>
      <c r="Q495" t="s">
        <v>42</v>
      </c>
      <c r="R495" t="s">
        <v>28</v>
      </c>
      <c r="S495" t="s">
        <v>68</v>
      </c>
      <c r="T495">
        <v>5045.6000000000004</v>
      </c>
      <c r="U495">
        <f t="shared" si="98"/>
        <v>1507</v>
      </c>
      <c r="V495">
        <f t="shared" si="99"/>
        <v>550</v>
      </c>
      <c r="W495">
        <f t="shared" si="100"/>
        <v>480</v>
      </c>
      <c r="X495">
        <f t="shared" si="101"/>
        <v>0.35149999999999998</v>
      </c>
      <c r="Y495" s="1">
        <f t="shared" si="102"/>
        <v>77789993</v>
      </c>
      <c r="Z495">
        <f t="shared" si="103"/>
        <v>51619.106171201063</v>
      </c>
      <c r="AA495">
        <f t="shared" si="104"/>
        <v>99996</v>
      </c>
      <c r="AB495">
        <f t="shared" si="105"/>
        <v>5091</v>
      </c>
      <c r="AC495">
        <f t="shared" si="106"/>
        <v>2033065.5299999996</v>
      </c>
      <c r="AD495">
        <f t="shared" si="107"/>
        <v>1349.0813072329129</v>
      </c>
      <c r="AE495">
        <f t="shared" si="108"/>
        <v>0.35149999999999998</v>
      </c>
      <c r="AF495">
        <f t="shared" si="109"/>
        <v>1523110282.6499996</v>
      </c>
      <c r="AG495" t="str">
        <f t="shared" si="110"/>
        <v>Active</v>
      </c>
      <c r="AH495">
        <f t="shared" si="111"/>
        <v>60547.200000000004</v>
      </c>
    </row>
    <row r="496" spans="1:34" x14ac:dyDescent="0.35">
      <c r="A496" t="s">
        <v>1448</v>
      </c>
      <c r="B496" t="s">
        <v>1449</v>
      </c>
      <c r="C496">
        <v>58</v>
      </c>
      <c r="D496" t="s">
        <v>22</v>
      </c>
      <c r="E496" t="s">
        <v>23</v>
      </c>
      <c r="F496" t="s">
        <v>46</v>
      </c>
      <c r="G496">
        <v>133572</v>
      </c>
      <c r="H496">
        <v>800</v>
      </c>
      <c r="I496">
        <v>45385</v>
      </c>
      <c r="J496">
        <v>16.2</v>
      </c>
      <c r="K496">
        <v>120</v>
      </c>
      <c r="L496" t="s">
        <v>86</v>
      </c>
      <c r="M496">
        <v>12.59</v>
      </c>
      <c r="N496">
        <v>41603</v>
      </c>
      <c r="O496">
        <v>21425</v>
      </c>
      <c r="P496" t="s">
        <v>930</v>
      </c>
      <c r="Q496" t="s">
        <v>42</v>
      </c>
      <c r="R496" t="s">
        <v>48</v>
      </c>
      <c r="S496" t="s">
        <v>49</v>
      </c>
      <c r="T496">
        <v>439.48</v>
      </c>
      <c r="U496">
        <f t="shared" si="98"/>
        <v>1506</v>
      </c>
      <c r="V496">
        <f t="shared" si="99"/>
        <v>549</v>
      </c>
      <c r="W496">
        <f t="shared" si="100"/>
        <v>480</v>
      </c>
      <c r="X496">
        <f t="shared" si="101"/>
        <v>0.35149999999999998</v>
      </c>
      <c r="Y496" s="1">
        <f t="shared" si="102"/>
        <v>77735040</v>
      </c>
      <c r="Z496">
        <f t="shared" si="103"/>
        <v>51616.892430278887</v>
      </c>
      <c r="AA496">
        <f t="shared" si="104"/>
        <v>99996</v>
      </c>
      <c r="AB496">
        <f t="shared" si="105"/>
        <v>5091</v>
      </c>
      <c r="AC496">
        <f t="shared" si="106"/>
        <v>2028019.93</v>
      </c>
      <c r="AD496">
        <f t="shared" si="107"/>
        <v>1346.6267795484728</v>
      </c>
      <c r="AE496">
        <f t="shared" si="108"/>
        <v>0.35149999999999998</v>
      </c>
      <c r="AF496">
        <f t="shared" si="109"/>
        <v>1521077217.1199999</v>
      </c>
      <c r="AG496" t="str">
        <f t="shared" si="110"/>
        <v>Over Paid</v>
      </c>
      <c r="AH496">
        <f t="shared" si="111"/>
        <v>5273.76</v>
      </c>
    </row>
    <row r="497" spans="1:34" x14ac:dyDescent="0.35">
      <c r="A497" t="s">
        <v>1450</v>
      </c>
      <c r="B497" t="s">
        <v>1451</v>
      </c>
      <c r="C497">
        <v>53</v>
      </c>
      <c r="D497" t="s">
        <v>38</v>
      </c>
      <c r="E497" t="s">
        <v>39</v>
      </c>
      <c r="F497" t="s">
        <v>59</v>
      </c>
      <c r="G497">
        <v>166404</v>
      </c>
      <c r="H497">
        <v>483</v>
      </c>
      <c r="I497">
        <v>94724</v>
      </c>
      <c r="J497">
        <v>17.68</v>
      </c>
      <c r="K497">
        <v>60</v>
      </c>
      <c r="L497" t="s">
        <v>86</v>
      </c>
      <c r="M497">
        <v>49.9</v>
      </c>
      <c r="N497">
        <v>62117</v>
      </c>
      <c r="O497">
        <v>201180</v>
      </c>
      <c r="P497" t="s">
        <v>1452</v>
      </c>
      <c r="Q497" t="s">
        <v>42</v>
      </c>
      <c r="R497" t="s">
        <v>48</v>
      </c>
      <c r="S497" t="s">
        <v>35</v>
      </c>
      <c r="T497">
        <v>1857.85</v>
      </c>
      <c r="U497">
        <f t="shared" si="98"/>
        <v>1505</v>
      </c>
      <c r="V497">
        <f t="shared" si="99"/>
        <v>548</v>
      </c>
      <c r="W497">
        <f t="shared" si="100"/>
        <v>480</v>
      </c>
      <c r="X497">
        <f t="shared" si="101"/>
        <v>0.35149999999999998</v>
      </c>
      <c r="Y497" s="1">
        <f t="shared" si="102"/>
        <v>77689655</v>
      </c>
      <c r="Z497">
        <f t="shared" si="103"/>
        <v>51621.033222591359</v>
      </c>
      <c r="AA497">
        <f t="shared" si="104"/>
        <v>99996</v>
      </c>
      <c r="AB497">
        <f t="shared" si="105"/>
        <v>5091</v>
      </c>
      <c r="AC497">
        <f t="shared" si="106"/>
        <v>2027580.45</v>
      </c>
      <c r="AD497">
        <f t="shared" si="107"/>
        <v>1347.2295348837208</v>
      </c>
      <c r="AE497">
        <f t="shared" si="108"/>
        <v>0.35149999999999998</v>
      </c>
      <c r="AF497">
        <f t="shared" si="109"/>
        <v>1519049197.1899998</v>
      </c>
      <c r="AG497" t="str">
        <f t="shared" si="110"/>
        <v>Active</v>
      </c>
      <c r="AH497">
        <f t="shared" si="111"/>
        <v>22294.199999999997</v>
      </c>
    </row>
    <row r="498" spans="1:34" x14ac:dyDescent="0.35">
      <c r="A498" t="s">
        <v>1453</v>
      </c>
      <c r="B498" t="s">
        <v>1454</v>
      </c>
      <c r="C498">
        <v>37</v>
      </c>
      <c r="D498" t="s">
        <v>38</v>
      </c>
      <c r="E498" t="s">
        <v>32</v>
      </c>
      <c r="F498" t="s">
        <v>46</v>
      </c>
      <c r="G498">
        <v>181700</v>
      </c>
      <c r="H498">
        <v>557</v>
      </c>
      <c r="I498">
        <v>46406</v>
      </c>
      <c r="J498">
        <v>13.49</v>
      </c>
      <c r="K498">
        <v>36</v>
      </c>
      <c r="L498" t="s">
        <v>33</v>
      </c>
      <c r="M498">
        <v>9.2100000000000009</v>
      </c>
      <c r="N498">
        <v>37221</v>
      </c>
      <c r="O498">
        <v>148419</v>
      </c>
      <c r="P498" t="s">
        <v>1455</v>
      </c>
      <c r="Q498" t="s">
        <v>61</v>
      </c>
      <c r="R498" t="s">
        <v>28</v>
      </c>
      <c r="S498" t="s">
        <v>49</v>
      </c>
      <c r="T498">
        <v>1462.95</v>
      </c>
      <c r="U498">
        <f t="shared" si="98"/>
        <v>1504</v>
      </c>
      <c r="V498">
        <f t="shared" si="99"/>
        <v>547</v>
      </c>
      <c r="W498">
        <f t="shared" si="100"/>
        <v>480</v>
      </c>
      <c r="X498">
        <f t="shared" si="101"/>
        <v>0.35149999999999998</v>
      </c>
      <c r="Y498" s="1">
        <f t="shared" si="102"/>
        <v>77594931</v>
      </c>
      <c r="Z498">
        <f t="shared" si="103"/>
        <v>51592.374335106382</v>
      </c>
      <c r="AA498">
        <f t="shared" si="104"/>
        <v>99996</v>
      </c>
      <c r="AB498">
        <f t="shared" si="105"/>
        <v>5091</v>
      </c>
      <c r="AC498">
        <f t="shared" si="106"/>
        <v>2025722.6</v>
      </c>
      <c r="AD498">
        <f t="shared" si="107"/>
        <v>1346.8900265957448</v>
      </c>
      <c r="AE498">
        <f t="shared" si="108"/>
        <v>0.35149999999999998</v>
      </c>
      <c r="AF498">
        <f t="shared" si="109"/>
        <v>1517021616.7400002</v>
      </c>
      <c r="AG498" t="str">
        <f t="shared" si="110"/>
        <v>Active</v>
      </c>
      <c r="AH498">
        <f t="shared" si="111"/>
        <v>17555.400000000001</v>
      </c>
    </row>
    <row r="499" spans="1:34" x14ac:dyDescent="0.35">
      <c r="A499" t="s">
        <v>1456</v>
      </c>
      <c r="B499" t="s">
        <v>1457</v>
      </c>
      <c r="C499">
        <v>33</v>
      </c>
      <c r="D499" t="s">
        <v>38</v>
      </c>
      <c r="E499" t="s">
        <v>23</v>
      </c>
      <c r="F499" t="s">
        <v>59</v>
      </c>
      <c r="G499">
        <v>51574</v>
      </c>
      <c r="H499">
        <v>818</v>
      </c>
      <c r="I499">
        <v>99411</v>
      </c>
      <c r="J499">
        <v>4.4000000000000004</v>
      </c>
      <c r="K499">
        <v>360</v>
      </c>
      <c r="L499" t="s">
        <v>25</v>
      </c>
      <c r="M499">
        <v>12.32</v>
      </c>
      <c r="N499">
        <v>25249</v>
      </c>
      <c r="O499">
        <v>114382</v>
      </c>
      <c r="P499" t="s">
        <v>1458</v>
      </c>
      <c r="Q499" t="s">
        <v>61</v>
      </c>
      <c r="R499" t="s">
        <v>48</v>
      </c>
      <c r="S499" t="s">
        <v>68</v>
      </c>
      <c r="T499">
        <v>288.29000000000002</v>
      </c>
      <c r="U499">
        <f t="shared" si="98"/>
        <v>1503</v>
      </c>
      <c r="V499">
        <f t="shared" si="99"/>
        <v>547</v>
      </c>
      <c r="W499">
        <f t="shared" si="100"/>
        <v>479</v>
      </c>
      <c r="X499">
        <f t="shared" si="101"/>
        <v>0.35149999999999998</v>
      </c>
      <c r="Y499" s="1">
        <f t="shared" si="102"/>
        <v>77548525</v>
      </c>
      <c r="Z499">
        <f t="shared" si="103"/>
        <v>51595.825016633396</v>
      </c>
      <c r="AA499">
        <f t="shared" si="104"/>
        <v>99996</v>
      </c>
      <c r="AB499">
        <f t="shared" si="105"/>
        <v>5091</v>
      </c>
      <c r="AC499">
        <f t="shared" si="106"/>
        <v>2024259.65</v>
      </c>
      <c r="AD499">
        <f t="shared" si="107"/>
        <v>1346.8128077178974</v>
      </c>
      <c r="AE499">
        <f t="shared" si="108"/>
        <v>0.35149999999999998</v>
      </c>
      <c r="AF499">
        <f t="shared" si="109"/>
        <v>1514995894.1400003</v>
      </c>
      <c r="AG499" t="str">
        <f t="shared" si="110"/>
        <v>Active</v>
      </c>
      <c r="AH499">
        <f t="shared" si="111"/>
        <v>3459.4800000000005</v>
      </c>
    </row>
    <row r="500" spans="1:34" x14ac:dyDescent="0.35">
      <c r="A500" t="s">
        <v>1459</v>
      </c>
      <c r="B500" t="s">
        <v>1460</v>
      </c>
      <c r="C500">
        <v>65</v>
      </c>
      <c r="D500" t="s">
        <v>38</v>
      </c>
      <c r="E500" t="s">
        <v>32</v>
      </c>
      <c r="F500" t="s">
        <v>46</v>
      </c>
      <c r="G500">
        <v>145744</v>
      </c>
      <c r="H500">
        <v>358</v>
      </c>
      <c r="I500">
        <v>24224</v>
      </c>
      <c r="J500">
        <v>23.29</v>
      </c>
      <c r="K500">
        <v>360</v>
      </c>
      <c r="L500" t="s">
        <v>25</v>
      </c>
      <c r="M500">
        <v>19.64</v>
      </c>
      <c r="N500">
        <v>31692</v>
      </c>
      <c r="O500">
        <v>41471</v>
      </c>
      <c r="P500" t="s">
        <v>1461</v>
      </c>
      <c r="Q500" t="s">
        <v>42</v>
      </c>
      <c r="R500" t="s">
        <v>48</v>
      </c>
      <c r="S500" t="s">
        <v>29</v>
      </c>
      <c r="T500">
        <v>82.96</v>
      </c>
      <c r="U500">
        <f t="shared" si="98"/>
        <v>1502</v>
      </c>
      <c r="V500">
        <f t="shared" si="99"/>
        <v>547</v>
      </c>
      <c r="W500">
        <f t="shared" si="100"/>
        <v>478</v>
      </c>
      <c r="X500">
        <f t="shared" si="101"/>
        <v>0.35149999999999998</v>
      </c>
      <c r="Y500" s="1">
        <f t="shared" si="102"/>
        <v>77449114</v>
      </c>
      <c r="Z500">
        <f t="shared" si="103"/>
        <v>51563.990679094539</v>
      </c>
      <c r="AA500">
        <f t="shared" si="104"/>
        <v>99996</v>
      </c>
      <c r="AB500">
        <f t="shared" si="105"/>
        <v>5091</v>
      </c>
      <c r="AC500">
        <f t="shared" si="106"/>
        <v>2023971.3599999999</v>
      </c>
      <c r="AD500">
        <f t="shared" si="107"/>
        <v>1347.5175499334221</v>
      </c>
      <c r="AE500">
        <f t="shared" si="108"/>
        <v>0.35149999999999998</v>
      </c>
      <c r="AF500">
        <f t="shared" si="109"/>
        <v>1512971634.49</v>
      </c>
      <c r="AG500" t="str">
        <f t="shared" si="110"/>
        <v>Active</v>
      </c>
      <c r="AH500">
        <f t="shared" si="111"/>
        <v>995.52</v>
      </c>
    </row>
    <row r="501" spans="1:34" x14ac:dyDescent="0.35">
      <c r="A501" t="s">
        <v>1462</v>
      </c>
      <c r="B501" t="s">
        <v>1463</v>
      </c>
      <c r="C501">
        <v>26</v>
      </c>
      <c r="D501" t="s">
        <v>22</v>
      </c>
      <c r="E501" t="s">
        <v>23</v>
      </c>
      <c r="F501" t="s">
        <v>24</v>
      </c>
      <c r="G501">
        <v>47652</v>
      </c>
      <c r="H501">
        <v>371</v>
      </c>
      <c r="I501">
        <v>5589</v>
      </c>
      <c r="J501">
        <v>15.57</v>
      </c>
      <c r="K501">
        <v>360</v>
      </c>
      <c r="L501" t="s">
        <v>40</v>
      </c>
      <c r="M501">
        <v>59.02</v>
      </c>
      <c r="N501">
        <v>23929</v>
      </c>
      <c r="O501">
        <v>145046</v>
      </c>
      <c r="P501" t="s">
        <v>1464</v>
      </c>
      <c r="Q501" t="s">
        <v>61</v>
      </c>
      <c r="R501" t="s">
        <v>48</v>
      </c>
      <c r="S501" t="s">
        <v>35</v>
      </c>
      <c r="T501">
        <v>17.940000000000001</v>
      </c>
      <c r="U501">
        <f t="shared" si="98"/>
        <v>1501</v>
      </c>
      <c r="V501">
        <f t="shared" si="99"/>
        <v>546</v>
      </c>
      <c r="W501">
        <f t="shared" si="100"/>
        <v>478</v>
      </c>
      <c r="X501">
        <f t="shared" si="101"/>
        <v>0.35149999999999998</v>
      </c>
      <c r="Y501" s="1">
        <f t="shared" si="102"/>
        <v>77424890</v>
      </c>
      <c r="Z501">
        <f t="shared" si="103"/>
        <v>51582.205196535644</v>
      </c>
      <c r="AA501">
        <f t="shared" si="104"/>
        <v>99996</v>
      </c>
      <c r="AB501">
        <f t="shared" si="105"/>
        <v>5091</v>
      </c>
      <c r="AC501">
        <f t="shared" si="106"/>
        <v>2023888.4</v>
      </c>
      <c r="AD501">
        <f t="shared" si="107"/>
        <v>1348.3600266489007</v>
      </c>
      <c r="AE501">
        <f t="shared" si="108"/>
        <v>0.35149999999999998</v>
      </c>
      <c r="AF501">
        <f t="shared" si="109"/>
        <v>1510947663.1299999</v>
      </c>
      <c r="AG501" t="str">
        <f t="shared" si="110"/>
        <v>Active</v>
      </c>
      <c r="AH501">
        <f t="shared" si="111"/>
        <v>215.28000000000003</v>
      </c>
    </row>
    <row r="502" spans="1:34" x14ac:dyDescent="0.35">
      <c r="A502" t="s">
        <v>1465</v>
      </c>
      <c r="B502" t="s">
        <v>1466</v>
      </c>
      <c r="C502">
        <v>59</v>
      </c>
      <c r="D502" t="s">
        <v>38</v>
      </c>
      <c r="E502" t="s">
        <v>23</v>
      </c>
      <c r="F502" t="s">
        <v>46</v>
      </c>
      <c r="G502">
        <v>37861</v>
      </c>
      <c r="H502">
        <v>651</v>
      </c>
      <c r="I502">
        <v>97957</v>
      </c>
      <c r="J502">
        <v>8.7100000000000009</v>
      </c>
      <c r="K502">
        <v>24</v>
      </c>
      <c r="L502" t="s">
        <v>52</v>
      </c>
      <c r="M502">
        <v>14.98</v>
      </c>
      <c r="N502">
        <v>44660</v>
      </c>
      <c r="O502">
        <v>48297</v>
      </c>
      <c r="P502" t="s">
        <v>1467</v>
      </c>
      <c r="Q502" t="s">
        <v>61</v>
      </c>
      <c r="R502" t="s">
        <v>48</v>
      </c>
      <c r="S502" t="s">
        <v>35</v>
      </c>
      <c r="T502">
        <v>4437.04</v>
      </c>
      <c r="U502">
        <f t="shared" si="98"/>
        <v>1500</v>
      </c>
      <c r="V502">
        <f t="shared" si="99"/>
        <v>546</v>
      </c>
      <c r="W502">
        <f t="shared" si="100"/>
        <v>477</v>
      </c>
      <c r="X502">
        <f t="shared" si="101"/>
        <v>0.35149999999999998</v>
      </c>
      <c r="Y502" s="1">
        <f t="shared" si="102"/>
        <v>77419301</v>
      </c>
      <c r="Z502">
        <f t="shared" si="103"/>
        <v>51612.867333333335</v>
      </c>
      <c r="AA502">
        <f t="shared" si="104"/>
        <v>99996</v>
      </c>
      <c r="AB502">
        <f t="shared" si="105"/>
        <v>5091</v>
      </c>
      <c r="AC502">
        <f t="shared" si="106"/>
        <v>2023870.46</v>
      </c>
      <c r="AD502">
        <f t="shared" si="107"/>
        <v>1349.2469733333332</v>
      </c>
      <c r="AE502">
        <f t="shared" si="108"/>
        <v>0.35149999999999998</v>
      </c>
      <c r="AF502">
        <f t="shared" si="109"/>
        <v>1508923774.73</v>
      </c>
      <c r="AG502" t="str">
        <f t="shared" si="110"/>
        <v>Active</v>
      </c>
      <c r="AH502">
        <f t="shared" si="111"/>
        <v>53244.479999999996</v>
      </c>
    </row>
    <row r="503" spans="1:34" x14ac:dyDescent="0.35">
      <c r="A503" t="s">
        <v>1468</v>
      </c>
      <c r="B503" t="s">
        <v>1469</v>
      </c>
      <c r="C503">
        <v>32</v>
      </c>
      <c r="D503" t="s">
        <v>38</v>
      </c>
      <c r="E503" t="s">
        <v>32</v>
      </c>
      <c r="F503" t="s">
        <v>59</v>
      </c>
      <c r="G503">
        <v>56900</v>
      </c>
      <c r="H503">
        <v>730</v>
      </c>
      <c r="I503">
        <v>76042</v>
      </c>
      <c r="J503">
        <v>9.25</v>
      </c>
      <c r="K503">
        <v>24</v>
      </c>
      <c r="L503" t="s">
        <v>52</v>
      </c>
      <c r="M503">
        <v>45.13</v>
      </c>
      <c r="N503">
        <v>79026</v>
      </c>
      <c r="O503">
        <v>90617</v>
      </c>
      <c r="P503" t="s">
        <v>1470</v>
      </c>
      <c r="Q503" t="s">
        <v>27</v>
      </c>
      <c r="R503" t="s">
        <v>48</v>
      </c>
      <c r="S503" t="s">
        <v>29</v>
      </c>
      <c r="T503">
        <v>3461.5</v>
      </c>
      <c r="U503">
        <f t="shared" si="98"/>
        <v>1499</v>
      </c>
      <c r="V503">
        <f t="shared" si="99"/>
        <v>546</v>
      </c>
      <c r="W503">
        <f t="shared" si="100"/>
        <v>476</v>
      </c>
      <c r="X503">
        <f t="shared" si="101"/>
        <v>0.35149999999999998</v>
      </c>
      <c r="Y503" s="1">
        <f t="shared" si="102"/>
        <v>77321344</v>
      </c>
      <c r="Z503">
        <f t="shared" si="103"/>
        <v>51581.950633755834</v>
      </c>
      <c r="AA503">
        <f t="shared" si="104"/>
        <v>99996</v>
      </c>
      <c r="AB503">
        <f t="shared" si="105"/>
        <v>5091</v>
      </c>
      <c r="AC503">
        <f t="shared" si="106"/>
        <v>2019433.42</v>
      </c>
      <c r="AD503">
        <f t="shared" si="107"/>
        <v>1347.1870713809205</v>
      </c>
      <c r="AE503">
        <f t="shared" si="108"/>
        <v>0.35149999999999998</v>
      </c>
      <c r="AF503">
        <f t="shared" si="109"/>
        <v>1506899904.2700002</v>
      </c>
      <c r="AG503" t="str">
        <f t="shared" si="110"/>
        <v>Active</v>
      </c>
      <c r="AH503">
        <f t="shared" si="111"/>
        <v>41538</v>
      </c>
    </row>
    <row r="504" spans="1:34" x14ac:dyDescent="0.35">
      <c r="A504" t="s">
        <v>1471</v>
      </c>
      <c r="B504" t="s">
        <v>1472</v>
      </c>
      <c r="C504">
        <v>58</v>
      </c>
      <c r="D504" t="s">
        <v>22</v>
      </c>
      <c r="E504" t="s">
        <v>39</v>
      </c>
      <c r="F504" t="s">
        <v>46</v>
      </c>
      <c r="G504">
        <v>134819</v>
      </c>
      <c r="H504">
        <v>810</v>
      </c>
      <c r="I504">
        <v>54850</v>
      </c>
      <c r="J504">
        <v>8.67</v>
      </c>
      <c r="K504">
        <v>360</v>
      </c>
      <c r="L504" t="s">
        <v>86</v>
      </c>
      <c r="M504">
        <v>16.52</v>
      </c>
      <c r="N504">
        <v>36704</v>
      </c>
      <c r="O504">
        <v>45456</v>
      </c>
      <c r="P504" t="s">
        <v>1473</v>
      </c>
      <c r="Q504" t="s">
        <v>61</v>
      </c>
      <c r="R504" t="s">
        <v>28</v>
      </c>
      <c r="S504" t="s">
        <v>49</v>
      </c>
      <c r="T504">
        <v>165.57</v>
      </c>
      <c r="U504">
        <f t="shared" si="98"/>
        <v>1498</v>
      </c>
      <c r="V504">
        <f t="shared" si="99"/>
        <v>546</v>
      </c>
      <c r="W504">
        <f t="shared" si="100"/>
        <v>476</v>
      </c>
      <c r="X504">
        <f t="shared" si="101"/>
        <v>0.35149999999999998</v>
      </c>
      <c r="Y504" s="1">
        <f t="shared" si="102"/>
        <v>77245302</v>
      </c>
      <c r="Z504">
        <f t="shared" si="103"/>
        <v>51565.622162883847</v>
      </c>
      <c r="AA504">
        <f t="shared" si="104"/>
        <v>99996</v>
      </c>
      <c r="AB504">
        <f t="shared" si="105"/>
        <v>5091</v>
      </c>
      <c r="AC504">
        <f t="shared" si="106"/>
        <v>2015971.92</v>
      </c>
      <c r="AD504">
        <f t="shared" si="107"/>
        <v>1345.77564753004</v>
      </c>
      <c r="AE504">
        <f t="shared" si="108"/>
        <v>0.35149999999999998</v>
      </c>
      <c r="AF504">
        <f t="shared" si="109"/>
        <v>1504880470.8500004</v>
      </c>
      <c r="AG504" t="str">
        <f t="shared" si="110"/>
        <v>Active</v>
      </c>
      <c r="AH504">
        <f t="shared" si="111"/>
        <v>1986.84</v>
      </c>
    </row>
    <row r="505" spans="1:34" x14ac:dyDescent="0.35">
      <c r="A505" t="s">
        <v>1474</v>
      </c>
      <c r="B505" t="s">
        <v>1475</v>
      </c>
      <c r="C505">
        <v>55</v>
      </c>
      <c r="D505" t="s">
        <v>22</v>
      </c>
      <c r="E505" t="s">
        <v>23</v>
      </c>
      <c r="F505" t="s">
        <v>59</v>
      </c>
      <c r="G505">
        <v>120537</v>
      </c>
      <c r="H505">
        <v>474</v>
      </c>
      <c r="I505">
        <v>15678</v>
      </c>
      <c r="J505">
        <v>12.47</v>
      </c>
      <c r="K505">
        <v>60</v>
      </c>
      <c r="L505" t="s">
        <v>40</v>
      </c>
      <c r="M505">
        <v>51.01</v>
      </c>
      <c r="N505">
        <v>74937</v>
      </c>
      <c r="O505">
        <v>87217</v>
      </c>
      <c r="P505" t="s">
        <v>1476</v>
      </c>
      <c r="Q505" t="s">
        <v>61</v>
      </c>
      <c r="R505" t="s">
        <v>48</v>
      </c>
      <c r="S505" t="s">
        <v>68</v>
      </c>
      <c r="T505">
        <v>293.88</v>
      </c>
      <c r="U505">
        <f t="shared" si="98"/>
        <v>1497</v>
      </c>
      <c r="V505">
        <f t="shared" si="99"/>
        <v>546</v>
      </c>
      <c r="W505">
        <f t="shared" si="100"/>
        <v>475</v>
      </c>
      <c r="X505">
        <f t="shared" si="101"/>
        <v>0.35149999999999998</v>
      </c>
      <c r="Y505" s="1">
        <f t="shared" si="102"/>
        <v>77190452</v>
      </c>
      <c r="Z505">
        <f t="shared" si="103"/>
        <v>51563.428189712758</v>
      </c>
      <c r="AA505">
        <f t="shared" si="104"/>
        <v>99996</v>
      </c>
      <c r="AB505">
        <f t="shared" si="105"/>
        <v>5091</v>
      </c>
      <c r="AC505">
        <f t="shared" si="106"/>
        <v>2015806.35</v>
      </c>
      <c r="AD505">
        <f t="shared" si="107"/>
        <v>1346.5640280561122</v>
      </c>
      <c r="AE505">
        <f t="shared" si="108"/>
        <v>0.35149999999999998</v>
      </c>
      <c r="AF505">
        <f t="shared" si="109"/>
        <v>1502864498.9300005</v>
      </c>
      <c r="AG505" t="str">
        <f t="shared" si="110"/>
        <v>Active</v>
      </c>
      <c r="AH505">
        <f t="shared" si="111"/>
        <v>3526.56</v>
      </c>
    </row>
    <row r="506" spans="1:34" x14ac:dyDescent="0.35">
      <c r="A506" t="s">
        <v>1477</v>
      </c>
      <c r="B506" t="s">
        <v>1478</v>
      </c>
      <c r="C506">
        <v>48</v>
      </c>
      <c r="D506" t="s">
        <v>38</v>
      </c>
      <c r="E506" t="s">
        <v>39</v>
      </c>
      <c r="F506" t="s">
        <v>24</v>
      </c>
      <c r="G506">
        <v>28700</v>
      </c>
      <c r="H506">
        <v>803</v>
      </c>
      <c r="I506">
        <v>98790</v>
      </c>
      <c r="J506">
        <v>13.07</v>
      </c>
      <c r="K506">
        <v>12</v>
      </c>
      <c r="L506" t="s">
        <v>25</v>
      </c>
      <c r="M506">
        <v>54.83</v>
      </c>
      <c r="N506">
        <v>54545</v>
      </c>
      <c r="O506">
        <v>85221</v>
      </c>
      <c r="P506" t="s">
        <v>737</v>
      </c>
      <c r="Q506" t="s">
        <v>61</v>
      </c>
      <c r="R506" t="s">
        <v>28</v>
      </c>
      <c r="S506" t="s">
        <v>35</v>
      </c>
      <c r="T506">
        <v>9308.49</v>
      </c>
      <c r="U506">
        <f t="shared" si="98"/>
        <v>1496</v>
      </c>
      <c r="V506">
        <f t="shared" si="99"/>
        <v>546</v>
      </c>
      <c r="W506">
        <f t="shared" si="100"/>
        <v>474</v>
      </c>
      <c r="X506">
        <f t="shared" si="101"/>
        <v>0.35149999999999998</v>
      </c>
      <c r="Y506" s="1">
        <f t="shared" si="102"/>
        <v>77174774</v>
      </c>
      <c r="Z506">
        <f t="shared" si="103"/>
        <v>51587.415775401067</v>
      </c>
      <c r="AA506">
        <f t="shared" si="104"/>
        <v>99996</v>
      </c>
      <c r="AB506">
        <f t="shared" si="105"/>
        <v>5091</v>
      </c>
      <c r="AC506">
        <f t="shared" si="106"/>
        <v>2015512.47</v>
      </c>
      <c r="AD506">
        <f t="shared" si="107"/>
        <v>1347.2676938502673</v>
      </c>
      <c r="AE506">
        <f t="shared" si="108"/>
        <v>0.35149999999999998</v>
      </c>
      <c r="AF506">
        <f t="shared" si="109"/>
        <v>1500848692.5800004</v>
      </c>
      <c r="AG506" t="str">
        <f t="shared" si="110"/>
        <v>Active</v>
      </c>
      <c r="AH506">
        <f t="shared" si="111"/>
        <v>111701.88</v>
      </c>
    </row>
    <row r="507" spans="1:34" x14ac:dyDescent="0.35">
      <c r="A507" t="s">
        <v>1479</v>
      </c>
      <c r="B507" t="s">
        <v>1480</v>
      </c>
      <c r="C507">
        <v>23</v>
      </c>
      <c r="D507" t="s">
        <v>38</v>
      </c>
      <c r="E507" t="s">
        <v>39</v>
      </c>
      <c r="F507" t="s">
        <v>46</v>
      </c>
      <c r="G507">
        <v>175286</v>
      </c>
      <c r="H507">
        <v>566</v>
      </c>
      <c r="I507">
        <v>27473</v>
      </c>
      <c r="J507">
        <v>10.75</v>
      </c>
      <c r="K507">
        <v>180</v>
      </c>
      <c r="L507" t="s">
        <v>40</v>
      </c>
      <c r="M507">
        <v>10.06</v>
      </c>
      <c r="N507">
        <v>48100</v>
      </c>
      <c r="O507">
        <v>32969</v>
      </c>
      <c r="P507" t="s">
        <v>1481</v>
      </c>
      <c r="Q507" t="s">
        <v>27</v>
      </c>
      <c r="R507" t="s">
        <v>48</v>
      </c>
      <c r="S507" t="s">
        <v>29</v>
      </c>
      <c r="T507">
        <v>169.04</v>
      </c>
      <c r="U507">
        <f t="shared" si="98"/>
        <v>1495</v>
      </c>
      <c r="V507">
        <f t="shared" si="99"/>
        <v>546</v>
      </c>
      <c r="W507">
        <f t="shared" si="100"/>
        <v>473</v>
      </c>
      <c r="X507">
        <f t="shared" si="101"/>
        <v>0.35149999999999998</v>
      </c>
      <c r="Y507" s="1">
        <f t="shared" si="102"/>
        <v>77075984</v>
      </c>
      <c r="Z507">
        <f t="shared" si="103"/>
        <v>51555.84214046823</v>
      </c>
      <c r="AA507">
        <f t="shared" si="104"/>
        <v>99996</v>
      </c>
      <c r="AB507">
        <f t="shared" si="105"/>
        <v>5091</v>
      </c>
      <c r="AC507">
        <f t="shared" si="106"/>
        <v>2006203.9800000004</v>
      </c>
      <c r="AD507">
        <f t="shared" si="107"/>
        <v>1341.9424615384619</v>
      </c>
      <c r="AE507">
        <f t="shared" si="108"/>
        <v>0.35149999999999998</v>
      </c>
      <c r="AF507">
        <f t="shared" si="109"/>
        <v>1498833180.1100004</v>
      </c>
      <c r="AG507" t="str">
        <f t="shared" si="110"/>
        <v>Over Paid</v>
      </c>
      <c r="AH507">
        <f t="shared" si="111"/>
        <v>2028.48</v>
      </c>
    </row>
    <row r="508" spans="1:34" x14ac:dyDescent="0.35">
      <c r="A508" t="s">
        <v>1482</v>
      </c>
      <c r="B508" t="s">
        <v>1483</v>
      </c>
      <c r="C508">
        <v>38</v>
      </c>
      <c r="D508" t="s">
        <v>22</v>
      </c>
      <c r="E508" t="s">
        <v>23</v>
      </c>
      <c r="F508" t="s">
        <v>24</v>
      </c>
      <c r="G508">
        <v>153249</v>
      </c>
      <c r="H508">
        <v>679</v>
      </c>
      <c r="I508">
        <v>67421</v>
      </c>
      <c r="J508">
        <v>10.46</v>
      </c>
      <c r="K508">
        <v>180</v>
      </c>
      <c r="L508" t="s">
        <v>33</v>
      </c>
      <c r="M508">
        <v>18.88</v>
      </c>
      <c r="N508">
        <v>52675</v>
      </c>
      <c r="O508">
        <v>209996</v>
      </c>
      <c r="P508" t="s">
        <v>1484</v>
      </c>
      <c r="Q508" t="s">
        <v>42</v>
      </c>
      <c r="R508" t="s">
        <v>48</v>
      </c>
      <c r="S508" t="s">
        <v>29</v>
      </c>
      <c r="T508">
        <v>413.74</v>
      </c>
      <c r="U508">
        <f t="shared" si="98"/>
        <v>1494</v>
      </c>
      <c r="V508">
        <f t="shared" si="99"/>
        <v>546</v>
      </c>
      <c r="W508">
        <f t="shared" si="100"/>
        <v>473</v>
      </c>
      <c r="X508">
        <f t="shared" si="101"/>
        <v>0.35149999999999998</v>
      </c>
      <c r="Y508" s="1">
        <f t="shared" si="102"/>
        <v>77048511</v>
      </c>
      <c r="Z508">
        <f t="shared" si="103"/>
        <v>51571.961847389561</v>
      </c>
      <c r="AA508">
        <f t="shared" si="104"/>
        <v>99996</v>
      </c>
      <c r="AB508">
        <f t="shared" si="105"/>
        <v>5091</v>
      </c>
      <c r="AC508">
        <f t="shared" si="106"/>
        <v>2006034.9400000004</v>
      </c>
      <c r="AD508">
        <f t="shared" si="107"/>
        <v>1342.7275368139226</v>
      </c>
      <c r="AE508">
        <f t="shared" si="108"/>
        <v>0.35149999999999998</v>
      </c>
      <c r="AF508">
        <f t="shared" si="109"/>
        <v>1496826976.1300001</v>
      </c>
      <c r="AG508" t="str">
        <f t="shared" si="110"/>
        <v>Active</v>
      </c>
      <c r="AH508">
        <f t="shared" si="111"/>
        <v>4964.88</v>
      </c>
    </row>
    <row r="509" spans="1:34" x14ac:dyDescent="0.35">
      <c r="A509" t="s">
        <v>1485</v>
      </c>
      <c r="B509" t="s">
        <v>1486</v>
      </c>
      <c r="C509">
        <v>54</v>
      </c>
      <c r="D509" t="s">
        <v>22</v>
      </c>
      <c r="E509" t="s">
        <v>39</v>
      </c>
      <c r="F509" t="s">
        <v>24</v>
      </c>
      <c r="G509">
        <v>133383</v>
      </c>
      <c r="H509">
        <v>415</v>
      </c>
      <c r="I509">
        <v>39013</v>
      </c>
      <c r="J509">
        <v>18.05</v>
      </c>
      <c r="K509">
        <v>360</v>
      </c>
      <c r="L509" t="s">
        <v>86</v>
      </c>
      <c r="M509">
        <v>58.15</v>
      </c>
      <c r="N509">
        <v>66945</v>
      </c>
      <c r="O509">
        <v>200266</v>
      </c>
      <c r="P509" t="s">
        <v>96</v>
      </c>
      <c r="Q509" t="s">
        <v>61</v>
      </c>
      <c r="R509" t="s">
        <v>48</v>
      </c>
      <c r="S509" t="s">
        <v>43</v>
      </c>
      <c r="T509">
        <v>127.93</v>
      </c>
      <c r="U509">
        <f t="shared" si="98"/>
        <v>1493</v>
      </c>
      <c r="V509">
        <f t="shared" si="99"/>
        <v>545</v>
      </c>
      <c r="W509">
        <f t="shared" si="100"/>
        <v>473</v>
      </c>
      <c r="X509">
        <f t="shared" si="101"/>
        <v>0.35149999999999998</v>
      </c>
      <c r="Y509" s="1">
        <f t="shared" si="102"/>
        <v>76981090</v>
      </c>
      <c r="Z509">
        <f t="shared" si="103"/>
        <v>51561.346282652376</v>
      </c>
      <c r="AA509">
        <f t="shared" si="104"/>
        <v>99996</v>
      </c>
      <c r="AB509">
        <f t="shared" si="105"/>
        <v>5091</v>
      </c>
      <c r="AC509">
        <f t="shared" si="106"/>
        <v>2005621.2000000004</v>
      </c>
      <c r="AD509">
        <f t="shared" si="107"/>
        <v>1343.3497655726728</v>
      </c>
      <c r="AE509">
        <f t="shared" si="108"/>
        <v>0.35149999999999998</v>
      </c>
      <c r="AF509">
        <f t="shared" si="109"/>
        <v>1494820941.1899998</v>
      </c>
      <c r="AG509" t="str">
        <f t="shared" si="110"/>
        <v>Active</v>
      </c>
      <c r="AH509">
        <f t="shared" si="111"/>
        <v>1535.16</v>
      </c>
    </row>
    <row r="510" spans="1:34" x14ac:dyDescent="0.35">
      <c r="A510" t="s">
        <v>1487</v>
      </c>
      <c r="B510" t="s">
        <v>1488</v>
      </c>
      <c r="C510">
        <v>61</v>
      </c>
      <c r="D510" t="s">
        <v>38</v>
      </c>
      <c r="E510" t="s">
        <v>32</v>
      </c>
      <c r="F510" t="s">
        <v>46</v>
      </c>
      <c r="G510">
        <v>87417</v>
      </c>
      <c r="H510">
        <v>769</v>
      </c>
      <c r="I510">
        <v>59846</v>
      </c>
      <c r="J510">
        <v>11.7</v>
      </c>
      <c r="K510">
        <v>120</v>
      </c>
      <c r="L510" t="s">
        <v>52</v>
      </c>
      <c r="M510">
        <v>45.48</v>
      </c>
      <c r="N510">
        <v>1488</v>
      </c>
      <c r="O510">
        <v>68328</v>
      </c>
      <c r="P510" t="s">
        <v>1489</v>
      </c>
      <c r="Q510" t="s">
        <v>27</v>
      </c>
      <c r="R510" t="s">
        <v>28</v>
      </c>
      <c r="S510" t="s">
        <v>35</v>
      </c>
      <c r="T510">
        <v>557.07000000000005</v>
      </c>
      <c r="U510">
        <f t="shared" si="98"/>
        <v>1492</v>
      </c>
      <c r="V510">
        <f t="shared" si="99"/>
        <v>545</v>
      </c>
      <c r="W510">
        <f t="shared" si="100"/>
        <v>472</v>
      </c>
      <c r="X510">
        <f t="shared" si="101"/>
        <v>0.35149999999999998</v>
      </c>
      <c r="Y510" s="1">
        <f t="shared" si="102"/>
        <v>76942077</v>
      </c>
      <c r="Z510">
        <f t="shared" si="103"/>
        <v>51569.756702412866</v>
      </c>
      <c r="AA510">
        <f t="shared" si="104"/>
        <v>99996</v>
      </c>
      <c r="AB510">
        <f t="shared" si="105"/>
        <v>5091</v>
      </c>
      <c r="AC510">
        <f t="shared" si="106"/>
        <v>2005493.2700000003</v>
      </c>
      <c r="AD510">
        <f t="shared" si="107"/>
        <v>1344.164390080429</v>
      </c>
      <c r="AE510">
        <f t="shared" si="108"/>
        <v>0.35149999999999998</v>
      </c>
      <c r="AF510">
        <f t="shared" si="109"/>
        <v>1492815319.99</v>
      </c>
      <c r="AG510" t="str">
        <f t="shared" si="110"/>
        <v>Active</v>
      </c>
      <c r="AH510">
        <f t="shared" si="111"/>
        <v>6684.84</v>
      </c>
    </row>
    <row r="511" spans="1:34" x14ac:dyDescent="0.35">
      <c r="A511" t="s">
        <v>1490</v>
      </c>
      <c r="B511" t="s">
        <v>1491</v>
      </c>
      <c r="C511">
        <v>49</v>
      </c>
      <c r="D511" t="s">
        <v>22</v>
      </c>
      <c r="E511" t="s">
        <v>39</v>
      </c>
      <c r="F511" t="s">
        <v>46</v>
      </c>
      <c r="G511">
        <v>164010</v>
      </c>
      <c r="H511">
        <v>543</v>
      </c>
      <c r="I511">
        <v>36894</v>
      </c>
      <c r="J511">
        <v>14.72</v>
      </c>
      <c r="K511">
        <v>60</v>
      </c>
      <c r="L511" t="s">
        <v>25</v>
      </c>
      <c r="M511">
        <v>39.06</v>
      </c>
      <c r="N511">
        <v>37197</v>
      </c>
      <c r="O511">
        <v>113454</v>
      </c>
      <c r="P511" t="s">
        <v>753</v>
      </c>
      <c r="Q511" t="s">
        <v>27</v>
      </c>
      <c r="R511" t="s">
        <v>28</v>
      </c>
      <c r="S511" t="s">
        <v>43</v>
      </c>
      <c r="T511">
        <v>705.41</v>
      </c>
      <c r="U511">
        <f t="shared" si="98"/>
        <v>1491</v>
      </c>
      <c r="V511">
        <f t="shared" si="99"/>
        <v>545</v>
      </c>
      <c r="W511">
        <f t="shared" si="100"/>
        <v>472</v>
      </c>
      <c r="X511">
        <f t="shared" si="101"/>
        <v>0.35149999999999998</v>
      </c>
      <c r="Y511" s="1">
        <f t="shared" si="102"/>
        <v>76882231</v>
      </c>
      <c r="Z511">
        <f t="shared" si="103"/>
        <v>51564.205902079142</v>
      </c>
      <c r="AA511">
        <f t="shared" si="104"/>
        <v>99996</v>
      </c>
      <c r="AB511">
        <f t="shared" si="105"/>
        <v>5091</v>
      </c>
      <c r="AC511">
        <f t="shared" si="106"/>
        <v>2004936.2000000004</v>
      </c>
      <c r="AD511">
        <f t="shared" si="107"/>
        <v>1344.6922870556675</v>
      </c>
      <c r="AE511">
        <f t="shared" si="108"/>
        <v>0.35149999999999998</v>
      </c>
      <c r="AF511">
        <f t="shared" si="109"/>
        <v>1490809826.72</v>
      </c>
      <c r="AG511" t="str">
        <f t="shared" si="110"/>
        <v>Active</v>
      </c>
      <c r="AH511">
        <f t="shared" si="111"/>
        <v>8464.92</v>
      </c>
    </row>
    <row r="512" spans="1:34" x14ac:dyDescent="0.35">
      <c r="A512" t="s">
        <v>1492</v>
      </c>
      <c r="B512" t="s">
        <v>1493</v>
      </c>
      <c r="C512">
        <v>56</v>
      </c>
      <c r="D512" t="s">
        <v>22</v>
      </c>
      <c r="E512" t="s">
        <v>23</v>
      </c>
      <c r="F512" t="s">
        <v>46</v>
      </c>
      <c r="G512">
        <v>171448</v>
      </c>
      <c r="H512">
        <v>350</v>
      </c>
      <c r="I512">
        <v>62883</v>
      </c>
      <c r="J512">
        <v>8.17</v>
      </c>
      <c r="K512">
        <v>12</v>
      </c>
      <c r="L512" t="s">
        <v>25</v>
      </c>
      <c r="M512">
        <v>27.24</v>
      </c>
      <c r="N512">
        <v>56884</v>
      </c>
      <c r="O512">
        <v>109676</v>
      </c>
      <c r="P512" t="s">
        <v>1494</v>
      </c>
      <c r="Q512" t="s">
        <v>61</v>
      </c>
      <c r="R512" t="s">
        <v>48</v>
      </c>
      <c r="S512" t="s">
        <v>49</v>
      </c>
      <c r="T512">
        <v>5668.38</v>
      </c>
      <c r="U512">
        <f t="shared" si="98"/>
        <v>1490</v>
      </c>
      <c r="V512">
        <f t="shared" si="99"/>
        <v>545</v>
      </c>
      <c r="W512">
        <f t="shared" si="100"/>
        <v>472</v>
      </c>
      <c r="X512">
        <f t="shared" si="101"/>
        <v>0.35149999999999998</v>
      </c>
      <c r="Y512" s="1">
        <f t="shared" si="102"/>
        <v>76845337</v>
      </c>
      <c r="Z512">
        <f t="shared" si="103"/>
        <v>51574.051677852352</v>
      </c>
      <c r="AA512">
        <f t="shared" si="104"/>
        <v>99996</v>
      </c>
      <c r="AB512">
        <f t="shared" si="105"/>
        <v>5091</v>
      </c>
      <c r="AC512">
        <f t="shared" si="106"/>
        <v>2004230.7900000003</v>
      </c>
      <c r="AD512">
        <f t="shared" si="107"/>
        <v>1345.1213355704699</v>
      </c>
      <c r="AE512">
        <f t="shared" si="108"/>
        <v>0.35149999999999998</v>
      </c>
      <c r="AF512">
        <f t="shared" si="109"/>
        <v>1488804890.52</v>
      </c>
      <c r="AG512" t="str">
        <f t="shared" si="110"/>
        <v>Active</v>
      </c>
      <c r="AH512">
        <f t="shared" si="111"/>
        <v>68020.56</v>
      </c>
    </row>
    <row r="513" spans="1:34" x14ac:dyDescent="0.35">
      <c r="A513" t="s">
        <v>1495</v>
      </c>
      <c r="B513" t="s">
        <v>1496</v>
      </c>
      <c r="C513">
        <v>26</v>
      </c>
      <c r="D513" t="s">
        <v>22</v>
      </c>
      <c r="E513" t="s">
        <v>23</v>
      </c>
      <c r="F513" t="s">
        <v>59</v>
      </c>
      <c r="G513">
        <v>54773</v>
      </c>
      <c r="H513">
        <v>704</v>
      </c>
      <c r="I513">
        <v>8650</v>
      </c>
      <c r="J513">
        <v>9.1</v>
      </c>
      <c r="K513">
        <v>240</v>
      </c>
      <c r="L513" t="s">
        <v>25</v>
      </c>
      <c r="M513">
        <v>12.18</v>
      </c>
      <c r="N513">
        <v>8952</v>
      </c>
      <c r="O513">
        <v>153717</v>
      </c>
      <c r="P513" t="s">
        <v>1497</v>
      </c>
      <c r="Q513" t="s">
        <v>61</v>
      </c>
      <c r="R513" t="s">
        <v>48</v>
      </c>
      <c r="S513" t="s">
        <v>49</v>
      </c>
      <c r="T513">
        <v>39.32</v>
      </c>
      <c r="U513">
        <f t="shared" si="98"/>
        <v>1489</v>
      </c>
      <c r="V513">
        <f t="shared" si="99"/>
        <v>545</v>
      </c>
      <c r="W513">
        <f t="shared" si="100"/>
        <v>471</v>
      </c>
      <c r="X513">
        <f t="shared" si="101"/>
        <v>0.35149999999999998</v>
      </c>
      <c r="Y513" s="1">
        <f t="shared" si="102"/>
        <v>76782454</v>
      </c>
      <c r="Z513">
        <f t="shared" si="103"/>
        <v>51566.456682337142</v>
      </c>
      <c r="AA513">
        <f t="shared" si="104"/>
        <v>99996</v>
      </c>
      <c r="AB513">
        <f t="shared" si="105"/>
        <v>5091</v>
      </c>
      <c r="AC513">
        <f t="shared" si="106"/>
        <v>1998562.4100000006</v>
      </c>
      <c r="AD513">
        <f t="shared" si="107"/>
        <v>1342.2178710543994</v>
      </c>
      <c r="AE513">
        <f t="shared" si="108"/>
        <v>0.35149999999999998</v>
      </c>
      <c r="AF513">
        <f t="shared" si="109"/>
        <v>1486800659.73</v>
      </c>
      <c r="AG513" t="str">
        <f t="shared" si="110"/>
        <v>Over Paid</v>
      </c>
      <c r="AH513">
        <f t="shared" si="111"/>
        <v>471.84000000000003</v>
      </c>
    </row>
    <row r="514" spans="1:34" x14ac:dyDescent="0.35">
      <c r="A514" t="s">
        <v>1498</v>
      </c>
      <c r="B514" t="s">
        <v>1499</v>
      </c>
      <c r="C514">
        <v>58</v>
      </c>
      <c r="D514" t="s">
        <v>38</v>
      </c>
      <c r="E514" t="s">
        <v>39</v>
      </c>
      <c r="F514" t="s">
        <v>24</v>
      </c>
      <c r="G514">
        <v>107813</v>
      </c>
      <c r="H514">
        <v>781</v>
      </c>
      <c r="I514">
        <v>19400</v>
      </c>
      <c r="J514">
        <v>18.18</v>
      </c>
      <c r="K514">
        <v>24</v>
      </c>
      <c r="L514" t="s">
        <v>25</v>
      </c>
      <c r="M514">
        <v>33.42</v>
      </c>
      <c r="N514">
        <v>55888</v>
      </c>
      <c r="O514">
        <v>109674</v>
      </c>
      <c r="P514" t="s">
        <v>1500</v>
      </c>
      <c r="Q514" t="s">
        <v>61</v>
      </c>
      <c r="R514" t="s">
        <v>28</v>
      </c>
      <c r="S514" t="s">
        <v>35</v>
      </c>
      <c r="T514">
        <v>955.29</v>
      </c>
      <c r="U514">
        <f t="shared" ref="U514:U577" si="112">COUNTA(A514:A2513)</f>
        <v>1488</v>
      </c>
      <c r="V514">
        <f t="shared" ref="V514:V577" si="113">COUNTIF(Q514:Q2513,"APPROVED")</f>
        <v>545</v>
      </c>
      <c r="W514">
        <f t="shared" ref="W514:W577" si="114">COUNTIF(Q514:Q2514,"Rejected")</f>
        <v>470</v>
      </c>
      <c r="X514">
        <f t="shared" ref="X514:X577" si="115">703/2000</f>
        <v>0.35149999999999998</v>
      </c>
      <c r="Y514" s="1">
        <f t="shared" ref="Y514:Y577" si="116">SUM(I514:I2513)</f>
        <v>76773804</v>
      </c>
      <c r="Z514">
        <f t="shared" ref="Z514:Z577" si="117">AVERAGE(I514:I20513)</f>
        <v>51595.298387096773</v>
      </c>
      <c r="AA514">
        <f t="shared" ref="AA514:AA577" si="118">MAX(I514:I2513)</f>
        <v>99996</v>
      </c>
      <c r="AB514">
        <f t="shared" ref="AB514:AB577" si="119">MIN(I514:I2513)</f>
        <v>5091</v>
      </c>
      <c r="AC514">
        <f t="shared" ref="AC514:AC577" si="120">SUM(T514:T2513)</f>
        <v>1998523.0900000005</v>
      </c>
      <c r="AD514">
        <f t="shared" ref="AD514:AD577" si="121">AVERAGE(T514:T2513)</f>
        <v>1343.093474462366</v>
      </c>
      <c r="AE514">
        <f t="shared" ref="AE514:AE577" si="122">703/2000</f>
        <v>0.35149999999999998</v>
      </c>
      <c r="AF514">
        <f t="shared" ref="AF514:AF577" si="123">SUM(AC514:AC2513)</f>
        <v>1484802097.3200002</v>
      </c>
      <c r="AG514" t="str">
        <f t="shared" ref="AG514:AG577" si="124">IF(AH514=0,"Bad", IF(AH513&lt;I513, "Active", IF(AH513=I513, "Good", "Over Paid")))</f>
        <v>Active</v>
      </c>
      <c r="AH514">
        <f t="shared" ref="AH514:AH577" si="125">T514*12</f>
        <v>11463.48</v>
      </c>
    </row>
    <row r="515" spans="1:34" x14ac:dyDescent="0.35">
      <c r="A515" t="s">
        <v>1501</v>
      </c>
      <c r="B515" t="s">
        <v>1502</v>
      </c>
      <c r="C515">
        <v>55</v>
      </c>
      <c r="D515" t="s">
        <v>38</v>
      </c>
      <c r="E515" t="s">
        <v>23</v>
      </c>
      <c r="F515" t="s">
        <v>46</v>
      </c>
      <c r="G515">
        <v>114324</v>
      </c>
      <c r="H515">
        <v>750</v>
      </c>
      <c r="I515">
        <v>59003</v>
      </c>
      <c r="J515">
        <v>9.02</v>
      </c>
      <c r="K515">
        <v>36</v>
      </c>
      <c r="L515" t="s">
        <v>33</v>
      </c>
      <c r="M515">
        <v>43.81</v>
      </c>
      <c r="N515">
        <v>4572</v>
      </c>
      <c r="O515">
        <v>38882</v>
      </c>
      <c r="P515" t="s">
        <v>1503</v>
      </c>
      <c r="Q515" t="s">
        <v>27</v>
      </c>
      <c r="R515" t="s">
        <v>28</v>
      </c>
      <c r="S515" t="s">
        <v>43</v>
      </c>
      <c r="T515">
        <v>1786.81</v>
      </c>
      <c r="U515">
        <f t="shared" si="112"/>
        <v>1487</v>
      </c>
      <c r="V515">
        <f t="shared" si="113"/>
        <v>545</v>
      </c>
      <c r="W515">
        <f t="shared" si="114"/>
        <v>469</v>
      </c>
      <c r="X515">
        <f t="shared" si="115"/>
        <v>0.35149999999999998</v>
      </c>
      <c r="Y515" s="1">
        <f t="shared" si="116"/>
        <v>76754404</v>
      </c>
      <c r="Z515">
        <f t="shared" si="117"/>
        <v>51616.949562878275</v>
      </c>
      <c r="AA515">
        <f t="shared" si="118"/>
        <v>99996</v>
      </c>
      <c r="AB515">
        <f t="shared" si="119"/>
        <v>5091</v>
      </c>
      <c r="AC515">
        <f t="shared" si="120"/>
        <v>1997567.8000000005</v>
      </c>
      <c r="AD515">
        <f t="shared" si="121"/>
        <v>1343.3542703429728</v>
      </c>
      <c r="AE515">
        <f t="shared" si="122"/>
        <v>0.35149999999999998</v>
      </c>
      <c r="AF515">
        <f t="shared" si="123"/>
        <v>1482803574.23</v>
      </c>
      <c r="AG515" t="str">
        <f t="shared" si="124"/>
        <v>Active</v>
      </c>
      <c r="AH515">
        <f t="shared" si="125"/>
        <v>21441.72</v>
      </c>
    </row>
    <row r="516" spans="1:34" x14ac:dyDescent="0.35">
      <c r="A516" t="s">
        <v>1504</v>
      </c>
      <c r="B516" t="s">
        <v>1505</v>
      </c>
      <c r="C516">
        <v>29</v>
      </c>
      <c r="D516" t="s">
        <v>22</v>
      </c>
      <c r="E516" t="s">
        <v>23</v>
      </c>
      <c r="F516" t="s">
        <v>59</v>
      </c>
      <c r="G516">
        <v>191892</v>
      </c>
      <c r="H516">
        <v>668</v>
      </c>
      <c r="I516">
        <v>30294</v>
      </c>
      <c r="J516">
        <v>10.15</v>
      </c>
      <c r="K516">
        <v>120</v>
      </c>
      <c r="L516" t="s">
        <v>86</v>
      </c>
      <c r="M516">
        <v>14.71</v>
      </c>
      <c r="N516">
        <v>34219</v>
      </c>
      <c r="O516">
        <v>184364</v>
      </c>
      <c r="P516" t="s">
        <v>722</v>
      </c>
      <c r="Q516" t="s">
        <v>27</v>
      </c>
      <c r="R516" t="s">
        <v>48</v>
      </c>
      <c r="S516" t="s">
        <v>29</v>
      </c>
      <c r="T516">
        <v>278.07</v>
      </c>
      <c r="U516">
        <f t="shared" si="112"/>
        <v>1486</v>
      </c>
      <c r="V516">
        <f t="shared" si="113"/>
        <v>545</v>
      </c>
      <c r="W516">
        <f t="shared" si="114"/>
        <v>469</v>
      </c>
      <c r="X516">
        <f t="shared" si="115"/>
        <v>0.35149999999999998</v>
      </c>
      <c r="Y516" s="1">
        <f t="shared" si="116"/>
        <v>76695401</v>
      </c>
      <c r="Z516">
        <f t="shared" si="117"/>
        <v>51611.97913862719</v>
      </c>
      <c r="AA516">
        <f t="shared" si="118"/>
        <v>99996</v>
      </c>
      <c r="AB516">
        <f t="shared" si="119"/>
        <v>5091</v>
      </c>
      <c r="AC516">
        <f t="shared" si="120"/>
        <v>1995780.9900000005</v>
      </c>
      <c r="AD516">
        <f t="shared" si="121"/>
        <v>1343.0558479138631</v>
      </c>
      <c r="AE516">
        <f t="shared" si="122"/>
        <v>0.35149999999999998</v>
      </c>
      <c r="AF516">
        <f t="shared" si="123"/>
        <v>1480806006.4300001</v>
      </c>
      <c r="AG516" t="str">
        <f t="shared" si="124"/>
        <v>Active</v>
      </c>
      <c r="AH516">
        <f t="shared" si="125"/>
        <v>3336.84</v>
      </c>
    </row>
    <row r="517" spans="1:34" x14ac:dyDescent="0.35">
      <c r="A517" t="s">
        <v>1506</v>
      </c>
      <c r="B517" t="s">
        <v>1507</v>
      </c>
      <c r="C517">
        <v>57</v>
      </c>
      <c r="D517" t="s">
        <v>22</v>
      </c>
      <c r="E517" t="s">
        <v>39</v>
      </c>
      <c r="F517" t="s">
        <v>59</v>
      </c>
      <c r="G517">
        <v>114508</v>
      </c>
      <c r="H517">
        <v>479</v>
      </c>
      <c r="I517">
        <v>15435</v>
      </c>
      <c r="J517">
        <v>12.41</v>
      </c>
      <c r="K517">
        <v>120</v>
      </c>
      <c r="L517" t="s">
        <v>86</v>
      </c>
      <c r="M517">
        <v>16.46</v>
      </c>
      <c r="N517">
        <v>55714</v>
      </c>
      <c r="O517">
        <v>54273</v>
      </c>
      <c r="P517" t="s">
        <v>1508</v>
      </c>
      <c r="Q517" t="s">
        <v>27</v>
      </c>
      <c r="R517" t="s">
        <v>28</v>
      </c>
      <c r="S517" t="s">
        <v>29</v>
      </c>
      <c r="T517">
        <v>144.59</v>
      </c>
      <c r="U517">
        <f t="shared" si="112"/>
        <v>1485</v>
      </c>
      <c r="V517">
        <f t="shared" si="113"/>
        <v>545</v>
      </c>
      <c r="W517">
        <f t="shared" si="114"/>
        <v>469</v>
      </c>
      <c r="X517">
        <f t="shared" si="115"/>
        <v>0.35149999999999998</v>
      </c>
      <c r="Y517" s="1">
        <f t="shared" si="116"/>
        <v>76665107</v>
      </c>
      <c r="Z517">
        <f t="shared" si="117"/>
        <v>51626.334680134678</v>
      </c>
      <c r="AA517">
        <f t="shared" si="118"/>
        <v>99996</v>
      </c>
      <c r="AB517">
        <f t="shared" si="119"/>
        <v>5091</v>
      </c>
      <c r="AC517">
        <f t="shared" si="120"/>
        <v>1995502.9200000004</v>
      </c>
      <c r="AD517">
        <f t="shared" si="121"/>
        <v>1343.7730101010104</v>
      </c>
      <c r="AE517">
        <f t="shared" si="122"/>
        <v>0.35149999999999998</v>
      </c>
      <c r="AF517">
        <f t="shared" si="123"/>
        <v>1478810225.4399998</v>
      </c>
      <c r="AG517" t="str">
        <f t="shared" si="124"/>
        <v>Active</v>
      </c>
      <c r="AH517">
        <f t="shared" si="125"/>
        <v>1735.08</v>
      </c>
    </row>
    <row r="518" spans="1:34" x14ac:dyDescent="0.35">
      <c r="A518" t="s">
        <v>1509</v>
      </c>
      <c r="B518" t="s">
        <v>1510</v>
      </c>
      <c r="C518">
        <v>57</v>
      </c>
      <c r="D518" t="s">
        <v>38</v>
      </c>
      <c r="E518" t="s">
        <v>32</v>
      </c>
      <c r="F518" t="s">
        <v>46</v>
      </c>
      <c r="G518">
        <v>54351</v>
      </c>
      <c r="H518">
        <v>319</v>
      </c>
      <c r="I518">
        <v>38586</v>
      </c>
      <c r="J518">
        <v>5.21</v>
      </c>
      <c r="K518">
        <v>240</v>
      </c>
      <c r="L518" t="s">
        <v>40</v>
      </c>
      <c r="M518">
        <v>50.95</v>
      </c>
      <c r="N518">
        <v>41197</v>
      </c>
      <c r="O518">
        <v>85039</v>
      </c>
      <c r="P518" t="s">
        <v>1511</v>
      </c>
      <c r="Q518" t="s">
        <v>27</v>
      </c>
      <c r="R518" t="s">
        <v>48</v>
      </c>
      <c r="S518" t="s">
        <v>35</v>
      </c>
      <c r="T518">
        <v>169.15</v>
      </c>
      <c r="U518">
        <f t="shared" si="112"/>
        <v>1484</v>
      </c>
      <c r="V518">
        <f t="shared" si="113"/>
        <v>545</v>
      </c>
      <c r="W518">
        <f t="shared" si="114"/>
        <v>469</v>
      </c>
      <c r="X518">
        <f t="shared" si="115"/>
        <v>0.35149999999999998</v>
      </c>
      <c r="Y518" s="1">
        <f t="shared" si="116"/>
        <v>76649672</v>
      </c>
      <c r="Z518">
        <f t="shared" si="117"/>
        <v>51650.722371967655</v>
      </c>
      <c r="AA518">
        <f t="shared" si="118"/>
        <v>99996</v>
      </c>
      <c r="AB518">
        <f t="shared" si="119"/>
        <v>5091</v>
      </c>
      <c r="AC518">
        <f t="shared" si="120"/>
        <v>1995358.3300000005</v>
      </c>
      <c r="AD518">
        <f t="shared" si="121"/>
        <v>1344.5810849056606</v>
      </c>
      <c r="AE518">
        <f t="shared" si="122"/>
        <v>0.35149999999999998</v>
      </c>
      <c r="AF518">
        <f t="shared" si="123"/>
        <v>1476814722.52</v>
      </c>
      <c r="AG518" t="str">
        <f t="shared" si="124"/>
        <v>Active</v>
      </c>
      <c r="AH518">
        <f t="shared" si="125"/>
        <v>2029.8000000000002</v>
      </c>
    </row>
    <row r="519" spans="1:34" x14ac:dyDescent="0.35">
      <c r="A519" t="s">
        <v>1512</v>
      </c>
      <c r="B519" t="s">
        <v>1513</v>
      </c>
      <c r="C519">
        <v>38</v>
      </c>
      <c r="D519" t="s">
        <v>22</v>
      </c>
      <c r="E519" t="s">
        <v>39</v>
      </c>
      <c r="F519" t="s">
        <v>59</v>
      </c>
      <c r="G519">
        <v>44848</v>
      </c>
      <c r="H519">
        <v>735</v>
      </c>
      <c r="I519">
        <v>86034</v>
      </c>
      <c r="J519">
        <v>12.08</v>
      </c>
      <c r="K519">
        <v>12</v>
      </c>
      <c r="L519" t="s">
        <v>40</v>
      </c>
      <c r="M519">
        <v>41.45</v>
      </c>
      <c r="N519">
        <v>43745</v>
      </c>
      <c r="O519">
        <v>203794</v>
      </c>
      <c r="P519" t="s">
        <v>1514</v>
      </c>
      <c r="Q519" t="s">
        <v>42</v>
      </c>
      <c r="R519" t="s">
        <v>48</v>
      </c>
      <c r="S519" t="s">
        <v>43</v>
      </c>
      <c r="T519">
        <v>8035.58</v>
      </c>
      <c r="U519">
        <f t="shared" si="112"/>
        <v>1483</v>
      </c>
      <c r="V519">
        <f t="shared" si="113"/>
        <v>545</v>
      </c>
      <c r="W519">
        <f t="shared" si="114"/>
        <v>469</v>
      </c>
      <c r="X519">
        <f t="shared" si="115"/>
        <v>0.35149999999999998</v>
      </c>
      <c r="Y519" s="1">
        <f t="shared" si="116"/>
        <v>76611086</v>
      </c>
      <c r="Z519">
        <f t="shared" si="117"/>
        <v>51659.532029669586</v>
      </c>
      <c r="AA519">
        <f t="shared" si="118"/>
        <v>99996</v>
      </c>
      <c r="AB519">
        <f t="shared" si="119"/>
        <v>5091</v>
      </c>
      <c r="AC519">
        <f t="shared" si="120"/>
        <v>1995189.1800000004</v>
      </c>
      <c r="AD519">
        <f t="shared" si="121"/>
        <v>1345.3736884693192</v>
      </c>
      <c r="AE519">
        <f t="shared" si="122"/>
        <v>0.35149999999999998</v>
      </c>
      <c r="AF519">
        <f t="shared" si="123"/>
        <v>1474819364.1899998</v>
      </c>
      <c r="AG519" t="str">
        <f t="shared" si="124"/>
        <v>Active</v>
      </c>
      <c r="AH519">
        <f t="shared" si="125"/>
        <v>96426.959999999992</v>
      </c>
    </row>
    <row r="520" spans="1:34" x14ac:dyDescent="0.35">
      <c r="A520" t="s">
        <v>1515</v>
      </c>
      <c r="B520" t="s">
        <v>1516</v>
      </c>
      <c r="C520">
        <v>21</v>
      </c>
      <c r="D520" t="s">
        <v>22</v>
      </c>
      <c r="E520" t="s">
        <v>39</v>
      </c>
      <c r="F520" t="s">
        <v>24</v>
      </c>
      <c r="G520">
        <v>91821</v>
      </c>
      <c r="H520">
        <v>487</v>
      </c>
      <c r="I520">
        <v>99517</v>
      </c>
      <c r="J520">
        <v>13.77</v>
      </c>
      <c r="K520">
        <v>48</v>
      </c>
      <c r="L520" t="s">
        <v>33</v>
      </c>
      <c r="M520">
        <v>9.74</v>
      </c>
      <c r="N520">
        <v>37053</v>
      </c>
      <c r="O520">
        <v>34066</v>
      </c>
      <c r="P520" t="s">
        <v>1517</v>
      </c>
      <c r="Q520" t="s">
        <v>42</v>
      </c>
      <c r="R520" t="s">
        <v>28</v>
      </c>
      <c r="S520" t="s">
        <v>43</v>
      </c>
      <c r="T520">
        <v>2358.7600000000002</v>
      </c>
      <c r="U520">
        <f t="shared" si="112"/>
        <v>1482</v>
      </c>
      <c r="V520">
        <f t="shared" si="113"/>
        <v>544</v>
      </c>
      <c r="W520">
        <f t="shared" si="114"/>
        <v>469</v>
      </c>
      <c r="X520">
        <f t="shared" si="115"/>
        <v>0.35149999999999998</v>
      </c>
      <c r="Y520" s="1">
        <f t="shared" si="116"/>
        <v>76525052</v>
      </c>
      <c r="Z520">
        <f t="shared" si="117"/>
        <v>51636.337381916332</v>
      </c>
      <c r="AA520">
        <f t="shared" si="118"/>
        <v>99996</v>
      </c>
      <c r="AB520">
        <f t="shared" si="119"/>
        <v>5091</v>
      </c>
      <c r="AC520">
        <f t="shared" si="120"/>
        <v>1987153.6000000006</v>
      </c>
      <c r="AD520">
        <f t="shared" si="121"/>
        <v>1340.8593792172744</v>
      </c>
      <c r="AE520">
        <f t="shared" si="122"/>
        <v>0.35149999999999998</v>
      </c>
      <c r="AF520">
        <f t="shared" si="123"/>
        <v>1472824175.01</v>
      </c>
      <c r="AG520" t="str">
        <f t="shared" si="124"/>
        <v>Over Paid</v>
      </c>
      <c r="AH520">
        <f t="shared" si="125"/>
        <v>28305.120000000003</v>
      </c>
    </row>
    <row r="521" spans="1:34" x14ac:dyDescent="0.35">
      <c r="A521" t="s">
        <v>1518</v>
      </c>
      <c r="B521" t="s">
        <v>1519</v>
      </c>
      <c r="C521">
        <v>48</v>
      </c>
      <c r="D521" t="s">
        <v>22</v>
      </c>
      <c r="E521" t="s">
        <v>32</v>
      </c>
      <c r="F521" t="s">
        <v>59</v>
      </c>
      <c r="G521">
        <v>172500</v>
      </c>
      <c r="H521">
        <v>384</v>
      </c>
      <c r="I521">
        <v>19687</v>
      </c>
      <c r="J521">
        <v>23.42</v>
      </c>
      <c r="K521">
        <v>360</v>
      </c>
      <c r="L521" t="s">
        <v>25</v>
      </c>
      <c r="M521">
        <v>15</v>
      </c>
      <c r="N521">
        <v>56826</v>
      </c>
      <c r="O521">
        <v>199466</v>
      </c>
      <c r="P521" t="s">
        <v>1520</v>
      </c>
      <c r="Q521" t="s">
        <v>27</v>
      </c>
      <c r="R521" t="s">
        <v>28</v>
      </c>
      <c r="S521" t="s">
        <v>68</v>
      </c>
      <c r="T521">
        <v>67.489999999999995</v>
      </c>
      <c r="U521">
        <f t="shared" si="112"/>
        <v>1481</v>
      </c>
      <c r="V521">
        <f t="shared" si="113"/>
        <v>543</v>
      </c>
      <c r="W521">
        <f t="shared" si="114"/>
        <v>469</v>
      </c>
      <c r="X521">
        <f t="shared" si="115"/>
        <v>0.35149999999999998</v>
      </c>
      <c r="Y521" s="1">
        <f t="shared" si="116"/>
        <v>76425535</v>
      </c>
      <c r="Z521">
        <f t="shared" si="117"/>
        <v>51604.007427413912</v>
      </c>
      <c r="AA521">
        <f t="shared" si="118"/>
        <v>99996</v>
      </c>
      <c r="AB521">
        <f t="shared" si="119"/>
        <v>5091</v>
      </c>
      <c r="AC521">
        <f t="shared" si="120"/>
        <v>1984794.8400000003</v>
      </c>
      <c r="AD521">
        <f t="shared" si="121"/>
        <v>1340.1720729237004</v>
      </c>
      <c r="AE521">
        <f t="shared" si="122"/>
        <v>0.35149999999999998</v>
      </c>
      <c r="AF521">
        <f t="shared" si="123"/>
        <v>1470837021.4099998</v>
      </c>
      <c r="AG521" t="str">
        <f t="shared" si="124"/>
        <v>Active</v>
      </c>
      <c r="AH521">
        <f t="shared" si="125"/>
        <v>809.87999999999988</v>
      </c>
    </row>
    <row r="522" spans="1:34" x14ac:dyDescent="0.35">
      <c r="A522" t="s">
        <v>1521</v>
      </c>
      <c r="B522" t="s">
        <v>1522</v>
      </c>
      <c r="C522">
        <v>34</v>
      </c>
      <c r="D522" t="s">
        <v>38</v>
      </c>
      <c r="E522" t="s">
        <v>39</v>
      </c>
      <c r="F522" t="s">
        <v>59</v>
      </c>
      <c r="G522">
        <v>142129</v>
      </c>
      <c r="H522">
        <v>515</v>
      </c>
      <c r="I522">
        <v>26376</v>
      </c>
      <c r="J522">
        <v>5.55</v>
      </c>
      <c r="K522">
        <v>24</v>
      </c>
      <c r="L522" t="s">
        <v>86</v>
      </c>
      <c r="M522">
        <v>47.4</v>
      </c>
      <c r="N522">
        <v>62235</v>
      </c>
      <c r="O522">
        <v>74310</v>
      </c>
      <c r="P522" t="s">
        <v>1523</v>
      </c>
      <c r="Q522" t="s">
        <v>61</v>
      </c>
      <c r="R522" t="s">
        <v>48</v>
      </c>
      <c r="S522" t="s">
        <v>68</v>
      </c>
      <c r="T522">
        <v>1159.99</v>
      </c>
      <c r="U522">
        <f t="shared" si="112"/>
        <v>1480</v>
      </c>
      <c r="V522">
        <f t="shared" si="113"/>
        <v>543</v>
      </c>
      <c r="W522">
        <f t="shared" si="114"/>
        <v>469</v>
      </c>
      <c r="X522">
        <f t="shared" si="115"/>
        <v>0.35149999999999998</v>
      </c>
      <c r="Y522" s="1">
        <f t="shared" si="116"/>
        <v>76405848</v>
      </c>
      <c r="Z522">
        <f t="shared" si="117"/>
        <v>51625.572972972972</v>
      </c>
      <c r="AA522">
        <f t="shared" si="118"/>
        <v>99996</v>
      </c>
      <c r="AB522">
        <f t="shared" si="119"/>
        <v>5091</v>
      </c>
      <c r="AC522">
        <f t="shared" si="120"/>
        <v>1984727.3500000003</v>
      </c>
      <c r="AD522">
        <f t="shared" si="121"/>
        <v>1341.0319932432435</v>
      </c>
      <c r="AE522">
        <f t="shared" si="122"/>
        <v>0.35149999999999998</v>
      </c>
      <c r="AF522">
        <f t="shared" si="123"/>
        <v>1468852226.5699999</v>
      </c>
      <c r="AG522" t="str">
        <f t="shared" si="124"/>
        <v>Active</v>
      </c>
      <c r="AH522">
        <f t="shared" si="125"/>
        <v>13919.880000000001</v>
      </c>
    </row>
    <row r="523" spans="1:34" x14ac:dyDescent="0.35">
      <c r="A523" t="s">
        <v>1524</v>
      </c>
      <c r="B523" t="s">
        <v>1525</v>
      </c>
      <c r="C523">
        <v>36</v>
      </c>
      <c r="D523" t="s">
        <v>22</v>
      </c>
      <c r="E523" t="s">
        <v>39</v>
      </c>
      <c r="F523" t="s">
        <v>59</v>
      </c>
      <c r="G523">
        <v>76075</v>
      </c>
      <c r="H523">
        <v>568</v>
      </c>
      <c r="I523">
        <v>34815</v>
      </c>
      <c r="J523">
        <v>5.15</v>
      </c>
      <c r="K523">
        <v>180</v>
      </c>
      <c r="L523" t="s">
        <v>25</v>
      </c>
      <c r="M523">
        <v>32.979999999999997</v>
      </c>
      <c r="N523">
        <v>46380</v>
      </c>
      <c r="O523">
        <v>98214</v>
      </c>
      <c r="P523" t="s">
        <v>1526</v>
      </c>
      <c r="Q523" t="s">
        <v>27</v>
      </c>
      <c r="R523" t="s">
        <v>48</v>
      </c>
      <c r="S523" t="s">
        <v>49</v>
      </c>
      <c r="T523">
        <v>203.38</v>
      </c>
      <c r="U523">
        <f t="shared" si="112"/>
        <v>1479</v>
      </c>
      <c r="V523">
        <f t="shared" si="113"/>
        <v>543</v>
      </c>
      <c r="W523">
        <f t="shared" si="114"/>
        <v>468</v>
      </c>
      <c r="X523">
        <f t="shared" si="115"/>
        <v>0.35149999999999998</v>
      </c>
      <c r="Y523" s="1">
        <f t="shared" si="116"/>
        <v>76379472</v>
      </c>
      <c r="Z523">
        <f t="shared" si="117"/>
        <v>51642.645030425963</v>
      </c>
      <c r="AA523">
        <f t="shared" si="118"/>
        <v>99996</v>
      </c>
      <c r="AB523">
        <f t="shared" si="119"/>
        <v>5091</v>
      </c>
      <c r="AC523">
        <f t="shared" si="120"/>
        <v>1983567.3600000003</v>
      </c>
      <c r="AD523">
        <f t="shared" si="121"/>
        <v>1341.1544016227183</v>
      </c>
      <c r="AE523">
        <f t="shared" si="122"/>
        <v>0.35149999999999998</v>
      </c>
      <c r="AF523">
        <f t="shared" si="123"/>
        <v>1466867499.2199998</v>
      </c>
      <c r="AG523" t="str">
        <f t="shared" si="124"/>
        <v>Active</v>
      </c>
      <c r="AH523">
        <f t="shared" si="125"/>
        <v>2440.56</v>
      </c>
    </row>
    <row r="524" spans="1:34" x14ac:dyDescent="0.35">
      <c r="A524" t="s">
        <v>1527</v>
      </c>
      <c r="B524" t="s">
        <v>1528</v>
      </c>
      <c r="C524">
        <v>29</v>
      </c>
      <c r="D524" t="s">
        <v>22</v>
      </c>
      <c r="E524" t="s">
        <v>23</v>
      </c>
      <c r="F524" t="s">
        <v>59</v>
      </c>
      <c r="G524">
        <v>134680</v>
      </c>
      <c r="H524">
        <v>817</v>
      </c>
      <c r="I524">
        <v>70032</v>
      </c>
      <c r="J524">
        <v>13.26</v>
      </c>
      <c r="K524">
        <v>120</v>
      </c>
      <c r="L524" t="s">
        <v>40</v>
      </c>
      <c r="M524">
        <v>55.62</v>
      </c>
      <c r="N524">
        <v>6432</v>
      </c>
      <c r="O524">
        <v>229643</v>
      </c>
      <c r="P524" t="s">
        <v>898</v>
      </c>
      <c r="Q524" t="s">
        <v>27</v>
      </c>
      <c r="R524" t="s">
        <v>48</v>
      </c>
      <c r="S524" t="s">
        <v>49</v>
      </c>
      <c r="T524">
        <v>660.99</v>
      </c>
      <c r="U524">
        <f t="shared" si="112"/>
        <v>1478</v>
      </c>
      <c r="V524">
        <f t="shared" si="113"/>
        <v>543</v>
      </c>
      <c r="W524">
        <f t="shared" si="114"/>
        <v>468</v>
      </c>
      <c r="X524">
        <f t="shared" si="115"/>
        <v>0.35149999999999998</v>
      </c>
      <c r="Y524" s="1">
        <f t="shared" si="116"/>
        <v>76344657</v>
      </c>
      <c r="Z524">
        <f t="shared" si="117"/>
        <v>51654.03044654939</v>
      </c>
      <c r="AA524">
        <f t="shared" si="118"/>
        <v>99996</v>
      </c>
      <c r="AB524">
        <f t="shared" si="119"/>
        <v>5091</v>
      </c>
      <c r="AC524">
        <f t="shared" si="120"/>
        <v>1983363.9800000004</v>
      </c>
      <c r="AD524">
        <f t="shared" si="121"/>
        <v>1341.9242083897161</v>
      </c>
      <c r="AE524">
        <f t="shared" si="122"/>
        <v>0.35149999999999998</v>
      </c>
      <c r="AF524">
        <f t="shared" si="123"/>
        <v>1464883931.8599999</v>
      </c>
      <c r="AG524" t="str">
        <f t="shared" si="124"/>
        <v>Active</v>
      </c>
      <c r="AH524">
        <f t="shared" si="125"/>
        <v>7931.88</v>
      </c>
    </row>
    <row r="525" spans="1:34" x14ac:dyDescent="0.35">
      <c r="A525" t="s">
        <v>1529</v>
      </c>
      <c r="B525" t="s">
        <v>1530</v>
      </c>
      <c r="C525">
        <v>55</v>
      </c>
      <c r="D525" t="s">
        <v>38</v>
      </c>
      <c r="E525" t="s">
        <v>23</v>
      </c>
      <c r="F525" t="s">
        <v>59</v>
      </c>
      <c r="G525">
        <v>64731</v>
      </c>
      <c r="H525">
        <v>843</v>
      </c>
      <c r="I525">
        <v>98491</v>
      </c>
      <c r="J525">
        <v>11.19</v>
      </c>
      <c r="K525">
        <v>120</v>
      </c>
      <c r="L525" t="s">
        <v>33</v>
      </c>
      <c r="M525">
        <v>53.11</v>
      </c>
      <c r="N525">
        <v>4879</v>
      </c>
      <c r="O525">
        <v>219530</v>
      </c>
      <c r="P525" t="s">
        <v>1531</v>
      </c>
      <c r="Q525" t="s">
        <v>27</v>
      </c>
      <c r="R525" t="s">
        <v>28</v>
      </c>
      <c r="S525" t="s">
        <v>49</v>
      </c>
      <c r="T525">
        <v>912.6</v>
      </c>
      <c r="U525">
        <f t="shared" si="112"/>
        <v>1477</v>
      </c>
      <c r="V525">
        <f t="shared" si="113"/>
        <v>543</v>
      </c>
      <c r="W525">
        <f t="shared" si="114"/>
        <v>468</v>
      </c>
      <c r="X525">
        <f t="shared" si="115"/>
        <v>0.35149999999999998</v>
      </c>
      <c r="Y525" s="1">
        <f t="shared" si="116"/>
        <v>76274625</v>
      </c>
      <c r="Z525">
        <f t="shared" si="117"/>
        <v>51641.587677725118</v>
      </c>
      <c r="AA525">
        <f t="shared" si="118"/>
        <v>99996</v>
      </c>
      <c r="AB525">
        <f t="shared" si="119"/>
        <v>5091</v>
      </c>
      <c r="AC525">
        <f t="shared" si="120"/>
        <v>1982702.9900000005</v>
      </c>
      <c r="AD525">
        <f t="shared" si="121"/>
        <v>1342.3852335815845</v>
      </c>
      <c r="AE525">
        <f t="shared" si="122"/>
        <v>0.35149999999999998</v>
      </c>
      <c r="AF525">
        <f t="shared" si="123"/>
        <v>1462900567.8799999</v>
      </c>
      <c r="AG525" t="str">
        <f t="shared" si="124"/>
        <v>Active</v>
      </c>
      <c r="AH525">
        <f t="shared" si="125"/>
        <v>10951.2</v>
      </c>
    </row>
    <row r="526" spans="1:34" x14ac:dyDescent="0.35">
      <c r="A526" t="s">
        <v>1532</v>
      </c>
      <c r="B526" t="s">
        <v>1533</v>
      </c>
      <c r="C526">
        <v>37</v>
      </c>
      <c r="D526" t="s">
        <v>22</v>
      </c>
      <c r="E526" t="s">
        <v>23</v>
      </c>
      <c r="F526" t="s">
        <v>59</v>
      </c>
      <c r="G526">
        <v>20676</v>
      </c>
      <c r="H526">
        <v>552</v>
      </c>
      <c r="I526">
        <v>33650</v>
      </c>
      <c r="J526">
        <v>18.72</v>
      </c>
      <c r="K526">
        <v>24</v>
      </c>
      <c r="L526" t="s">
        <v>40</v>
      </c>
      <c r="M526">
        <v>39.89</v>
      </c>
      <c r="N526">
        <v>78713</v>
      </c>
      <c r="O526">
        <v>242937</v>
      </c>
      <c r="P526" t="s">
        <v>1534</v>
      </c>
      <c r="Q526" t="s">
        <v>42</v>
      </c>
      <c r="R526" t="s">
        <v>48</v>
      </c>
      <c r="S526" t="s">
        <v>35</v>
      </c>
      <c r="T526">
        <v>1664.55</v>
      </c>
      <c r="U526">
        <f t="shared" si="112"/>
        <v>1476</v>
      </c>
      <c r="V526">
        <f t="shared" si="113"/>
        <v>543</v>
      </c>
      <c r="W526">
        <f t="shared" si="114"/>
        <v>468</v>
      </c>
      <c r="X526">
        <f t="shared" si="115"/>
        <v>0.35149999999999998</v>
      </c>
      <c r="Y526" s="1">
        <f t="shared" si="116"/>
        <v>76176134</v>
      </c>
      <c r="Z526">
        <f t="shared" si="117"/>
        <v>51609.846883468832</v>
      </c>
      <c r="AA526">
        <f t="shared" si="118"/>
        <v>99996</v>
      </c>
      <c r="AB526">
        <f t="shared" si="119"/>
        <v>5091</v>
      </c>
      <c r="AC526">
        <f t="shared" si="120"/>
        <v>1981790.3900000004</v>
      </c>
      <c r="AD526">
        <f t="shared" si="121"/>
        <v>1342.6764159891602</v>
      </c>
      <c r="AE526">
        <f t="shared" si="122"/>
        <v>0.35149999999999998</v>
      </c>
      <c r="AF526">
        <f t="shared" si="123"/>
        <v>1460917864.8900001</v>
      </c>
      <c r="AG526" t="str">
        <f t="shared" si="124"/>
        <v>Active</v>
      </c>
      <c r="AH526">
        <f t="shared" si="125"/>
        <v>19974.599999999999</v>
      </c>
    </row>
    <row r="527" spans="1:34" x14ac:dyDescent="0.35">
      <c r="A527" t="s">
        <v>1535</v>
      </c>
      <c r="B527" t="s">
        <v>1536</v>
      </c>
      <c r="C527">
        <v>30</v>
      </c>
      <c r="D527" t="s">
        <v>22</v>
      </c>
      <c r="E527" t="s">
        <v>23</v>
      </c>
      <c r="F527" t="s">
        <v>46</v>
      </c>
      <c r="G527">
        <v>80790</v>
      </c>
      <c r="H527">
        <v>840</v>
      </c>
      <c r="I527">
        <v>81306</v>
      </c>
      <c r="J527">
        <v>11.56</v>
      </c>
      <c r="K527">
        <v>12</v>
      </c>
      <c r="L527" t="s">
        <v>25</v>
      </c>
      <c r="M527">
        <v>54.85</v>
      </c>
      <c r="N527">
        <v>78510</v>
      </c>
      <c r="O527">
        <v>217987</v>
      </c>
      <c r="P527" t="s">
        <v>1537</v>
      </c>
      <c r="Q527" t="s">
        <v>27</v>
      </c>
      <c r="R527" t="s">
        <v>48</v>
      </c>
      <c r="S527" t="s">
        <v>49</v>
      </c>
      <c r="T527">
        <v>7558.75</v>
      </c>
      <c r="U527">
        <f t="shared" si="112"/>
        <v>1475</v>
      </c>
      <c r="V527">
        <f t="shared" si="113"/>
        <v>542</v>
      </c>
      <c r="W527">
        <f t="shared" si="114"/>
        <v>468</v>
      </c>
      <c r="X527">
        <f t="shared" si="115"/>
        <v>0.35149999999999998</v>
      </c>
      <c r="Y527" s="1">
        <f t="shared" si="116"/>
        <v>76142484</v>
      </c>
      <c r="Z527">
        <f t="shared" si="117"/>
        <v>51622.023050847456</v>
      </c>
      <c r="AA527">
        <f t="shared" si="118"/>
        <v>99996</v>
      </c>
      <c r="AB527">
        <f t="shared" si="119"/>
        <v>5091</v>
      </c>
      <c r="AC527">
        <f t="shared" si="120"/>
        <v>1980125.8400000003</v>
      </c>
      <c r="AD527">
        <f t="shared" si="121"/>
        <v>1342.4581966101698</v>
      </c>
      <c r="AE527">
        <f t="shared" si="122"/>
        <v>0.35149999999999998</v>
      </c>
      <c r="AF527">
        <f t="shared" si="123"/>
        <v>1458936074.5</v>
      </c>
      <c r="AG527" t="str">
        <f t="shared" si="124"/>
        <v>Active</v>
      </c>
      <c r="AH527">
        <f t="shared" si="125"/>
        <v>90705</v>
      </c>
    </row>
    <row r="528" spans="1:34" x14ac:dyDescent="0.35">
      <c r="A528" t="s">
        <v>1538</v>
      </c>
      <c r="B528" t="s">
        <v>1539</v>
      </c>
      <c r="C528">
        <v>42</v>
      </c>
      <c r="D528" t="s">
        <v>38</v>
      </c>
      <c r="E528" t="s">
        <v>39</v>
      </c>
      <c r="F528" t="s">
        <v>24</v>
      </c>
      <c r="G528">
        <v>22078</v>
      </c>
      <c r="H528">
        <v>733</v>
      </c>
      <c r="I528">
        <v>71519</v>
      </c>
      <c r="J528">
        <v>12.91</v>
      </c>
      <c r="K528">
        <v>240</v>
      </c>
      <c r="L528" t="s">
        <v>86</v>
      </c>
      <c r="M528">
        <v>24.73</v>
      </c>
      <c r="N528">
        <v>73500</v>
      </c>
      <c r="O528">
        <v>215771</v>
      </c>
      <c r="P528" t="s">
        <v>1540</v>
      </c>
      <c r="Q528" t="s">
        <v>27</v>
      </c>
      <c r="R528" t="s">
        <v>28</v>
      </c>
      <c r="S528" t="s">
        <v>68</v>
      </c>
      <c r="T528">
        <v>336.47</v>
      </c>
      <c r="U528">
        <f t="shared" si="112"/>
        <v>1474</v>
      </c>
      <c r="V528">
        <f t="shared" si="113"/>
        <v>542</v>
      </c>
      <c r="W528">
        <f t="shared" si="114"/>
        <v>468</v>
      </c>
      <c r="X528">
        <f t="shared" si="115"/>
        <v>0.35149999999999998</v>
      </c>
      <c r="Y528" s="1">
        <f t="shared" si="116"/>
        <v>76061178</v>
      </c>
      <c r="Z528">
        <f t="shared" si="117"/>
        <v>51601.884667571234</v>
      </c>
      <c r="AA528">
        <f t="shared" si="118"/>
        <v>99996</v>
      </c>
      <c r="AB528">
        <f t="shared" si="119"/>
        <v>5091</v>
      </c>
      <c r="AC528">
        <f t="shared" si="120"/>
        <v>1972567.09</v>
      </c>
      <c r="AD528">
        <f t="shared" si="121"/>
        <v>1338.2409023066486</v>
      </c>
      <c r="AE528">
        <f t="shared" si="122"/>
        <v>0.35149999999999998</v>
      </c>
      <c r="AF528">
        <f t="shared" si="123"/>
        <v>1456955948.6599998</v>
      </c>
      <c r="AG528" t="str">
        <f t="shared" si="124"/>
        <v>Over Paid</v>
      </c>
      <c r="AH528">
        <f t="shared" si="125"/>
        <v>4037.6400000000003</v>
      </c>
    </row>
    <row r="529" spans="1:34" x14ac:dyDescent="0.35">
      <c r="A529" t="s">
        <v>1541</v>
      </c>
      <c r="B529" t="s">
        <v>1542</v>
      </c>
      <c r="C529">
        <v>36</v>
      </c>
      <c r="D529" t="s">
        <v>38</v>
      </c>
      <c r="E529" t="s">
        <v>32</v>
      </c>
      <c r="F529" t="s">
        <v>46</v>
      </c>
      <c r="G529">
        <v>101641</v>
      </c>
      <c r="H529">
        <v>516</v>
      </c>
      <c r="I529">
        <v>45753</v>
      </c>
      <c r="J529">
        <v>14.2</v>
      </c>
      <c r="K529">
        <v>12</v>
      </c>
      <c r="L529" t="s">
        <v>52</v>
      </c>
      <c r="M529">
        <v>9.4499999999999993</v>
      </c>
      <c r="N529">
        <v>56437</v>
      </c>
      <c r="O529">
        <v>119198</v>
      </c>
      <c r="P529" t="s">
        <v>1543</v>
      </c>
      <c r="Q529" t="s">
        <v>61</v>
      </c>
      <c r="R529" t="s">
        <v>48</v>
      </c>
      <c r="S529" t="s">
        <v>29</v>
      </c>
      <c r="T529">
        <v>4354.16</v>
      </c>
      <c r="U529">
        <f t="shared" si="112"/>
        <v>1473</v>
      </c>
      <c r="V529">
        <f t="shared" si="113"/>
        <v>542</v>
      </c>
      <c r="W529">
        <f t="shared" si="114"/>
        <v>468</v>
      </c>
      <c r="X529">
        <f t="shared" si="115"/>
        <v>0.35149999999999998</v>
      </c>
      <c r="Y529" s="1">
        <f t="shared" si="116"/>
        <v>75989659</v>
      </c>
      <c r="Z529">
        <f t="shared" si="117"/>
        <v>51588.363204344874</v>
      </c>
      <c r="AA529">
        <f t="shared" si="118"/>
        <v>99996</v>
      </c>
      <c r="AB529">
        <f t="shared" si="119"/>
        <v>5091</v>
      </c>
      <c r="AC529">
        <f t="shared" si="120"/>
        <v>1972230.6199999999</v>
      </c>
      <c r="AD529">
        <f t="shared" si="121"/>
        <v>1338.9209911744738</v>
      </c>
      <c r="AE529">
        <f t="shared" si="122"/>
        <v>0.35149999999999998</v>
      </c>
      <c r="AF529">
        <f t="shared" si="123"/>
        <v>1454983381.5699999</v>
      </c>
      <c r="AG529" t="str">
        <f t="shared" si="124"/>
        <v>Active</v>
      </c>
      <c r="AH529">
        <f t="shared" si="125"/>
        <v>52249.919999999998</v>
      </c>
    </row>
    <row r="530" spans="1:34" x14ac:dyDescent="0.35">
      <c r="A530" t="s">
        <v>1544</v>
      </c>
      <c r="B530" t="s">
        <v>1545</v>
      </c>
      <c r="C530">
        <v>62</v>
      </c>
      <c r="D530" t="s">
        <v>22</v>
      </c>
      <c r="E530" t="s">
        <v>39</v>
      </c>
      <c r="F530" t="s">
        <v>24</v>
      </c>
      <c r="G530">
        <v>38109</v>
      </c>
      <c r="H530">
        <v>313</v>
      </c>
      <c r="I530">
        <v>56135</v>
      </c>
      <c r="J530">
        <v>11.64</v>
      </c>
      <c r="K530">
        <v>12</v>
      </c>
      <c r="L530" t="s">
        <v>25</v>
      </c>
      <c r="M530">
        <v>25.4</v>
      </c>
      <c r="N530">
        <v>35297</v>
      </c>
      <c r="O530">
        <v>185171</v>
      </c>
      <c r="P530" t="s">
        <v>1546</v>
      </c>
      <c r="Q530" t="s">
        <v>61</v>
      </c>
      <c r="R530" t="s">
        <v>48</v>
      </c>
      <c r="S530" t="s">
        <v>35</v>
      </c>
      <c r="T530">
        <v>5222.43</v>
      </c>
      <c r="U530">
        <f t="shared" si="112"/>
        <v>1472</v>
      </c>
      <c r="V530">
        <f t="shared" si="113"/>
        <v>542</v>
      </c>
      <c r="W530">
        <f t="shared" si="114"/>
        <v>467</v>
      </c>
      <c r="X530">
        <f t="shared" si="115"/>
        <v>0.35149999999999998</v>
      </c>
      <c r="Y530" s="1">
        <f t="shared" si="116"/>
        <v>75943906</v>
      </c>
      <c r="Z530">
        <f t="shared" si="117"/>
        <v>51592.327445652176</v>
      </c>
      <c r="AA530">
        <f t="shared" si="118"/>
        <v>99996</v>
      </c>
      <c r="AB530">
        <f t="shared" si="119"/>
        <v>5091</v>
      </c>
      <c r="AC530">
        <f t="shared" si="120"/>
        <v>1967876.4600000002</v>
      </c>
      <c r="AD530">
        <f t="shared" si="121"/>
        <v>1336.8725951086958</v>
      </c>
      <c r="AE530">
        <f t="shared" si="122"/>
        <v>0.35149999999999998</v>
      </c>
      <c r="AF530">
        <f t="shared" si="123"/>
        <v>1453011150.9499998</v>
      </c>
      <c r="AG530" t="str">
        <f t="shared" si="124"/>
        <v>Over Paid</v>
      </c>
      <c r="AH530">
        <f t="shared" si="125"/>
        <v>62669.16</v>
      </c>
    </row>
    <row r="531" spans="1:34" x14ac:dyDescent="0.35">
      <c r="A531" t="s">
        <v>1547</v>
      </c>
      <c r="B531" t="s">
        <v>1548</v>
      </c>
      <c r="C531">
        <v>23</v>
      </c>
      <c r="D531" t="s">
        <v>22</v>
      </c>
      <c r="E531" t="s">
        <v>23</v>
      </c>
      <c r="F531" t="s">
        <v>46</v>
      </c>
      <c r="G531">
        <v>70768</v>
      </c>
      <c r="H531">
        <v>779</v>
      </c>
      <c r="I531">
        <v>27394</v>
      </c>
      <c r="J531">
        <v>18.71</v>
      </c>
      <c r="K531">
        <v>48</v>
      </c>
      <c r="L531" t="s">
        <v>40</v>
      </c>
      <c r="M531">
        <v>55.59</v>
      </c>
      <c r="N531">
        <v>36139</v>
      </c>
      <c r="O531">
        <v>198626</v>
      </c>
      <c r="P531" t="s">
        <v>1549</v>
      </c>
      <c r="Q531" t="s">
        <v>61</v>
      </c>
      <c r="R531" t="s">
        <v>48</v>
      </c>
      <c r="S531" t="s">
        <v>35</v>
      </c>
      <c r="T531">
        <v>677.49</v>
      </c>
      <c r="U531">
        <f t="shared" si="112"/>
        <v>1471</v>
      </c>
      <c r="V531">
        <f t="shared" si="113"/>
        <v>542</v>
      </c>
      <c r="W531">
        <f t="shared" si="114"/>
        <v>466</v>
      </c>
      <c r="X531">
        <f t="shared" si="115"/>
        <v>0.35149999999999998</v>
      </c>
      <c r="Y531" s="1">
        <f t="shared" si="116"/>
        <v>75887771</v>
      </c>
      <c r="Z531">
        <f t="shared" si="117"/>
        <v>51589.239292997961</v>
      </c>
      <c r="AA531">
        <f t="shared" si="118"/>
        <v>99996</v>
      </c>
      <c r="AB531">
        <f t="shared" si="119"/>
        <v>5091</v>
      </c>
      <c r="AC531">
        <f t="shared" si="120"/>
        <v>1962654.0300000003</v>
      </c>
      <c r="AD531">
        <f t="shared" si="121"/>
        <v>1334.2311556764107</v>
      </c>
      <c r="AE531">
        <f t="shared" si="122"/>
        <v>0.35149999999999998</v>
      </c>
      <c r="AF531">
        <f t="shared" si="123"/>
        <v>1451043274.4899998</v>
      </c>
      <c r="AG531" t="str">
        <f t="shared" si="124"/>
        <v>Over Paid</v>
      </c>
      <c r="AH531">
        <f t="shared" si="125"/>
        <v>8129.88</v>
      </c>
    </row>
    <row r="532" spans="1:34" x14ac:dyDescent="0.35">
      <c r="A532" t="s">
        <v>1550</v>
      </c>
      <c r="B532" t="s">
        <v>1551</v>
      </c>
      <c r="C532">
        <v>32</v>
      </c>
      <c r="D532" t="s">
        <v>38</v>
      </c>
      <c r="E532" t="s">
        <v>32</v>
      </c>
      <c r="F532" t="s">
        <v>46</v>
      </c>
      <c r="G532">
        <v>182623</v>
      </c>
      <c r="H532">
        <v>682</v>
      </c>
      <c r="I532">
        <v>17649</v>
      </c>
      <c r="J532">
        <v>8.9600000000000009</v>
      </c>
      <c r="K532">
        <v>180</v>
      </c>
      <c r="L532" t="s">
        <v>33</v>
      </c>
      <c r="M532">
        <v>19.059999999999999</v>
      </c>
      <c r="N532">
        <v>33942</v>
      </c>
      <c r="O532">
        <v>68762</v>
      </c>
      <c r="P532" t="s">
        <v>1552</v>
      </c>
      <c r="Q532" t="s">
        <v>42</v>
      </c>
      <c r="R532" t="s">
        <v>48</v>
      </c>
      <c r="S532" t="s">
        <v>35</v>
      </c>
      <c r="T532">
        <v>106.84</v>
      </c>
      <c r="U532">
        <f t="shared" si="112"/>
        <v>1470</v>
      </c>
      <c r="V532">
        <f t="shared" si="113"/>
        <v>542</v>
      </c>
      <c r="W532">
        <f t="shared" si="114"/>
        <v>465</v>
      </c>
      <c r="X532">
        <f t="shared" si="115"/>
        <v>0.35149999999999998</v>
      </c>
      <c r="Y532" s="1">
        <f t="shared" si="116"/>
        <v>75860377</v>
      </c>
      <c r="Z532">
        <f t="shared" si="117"/>
        <v>51605.698639455783</v>
      </c>
      <c r="AA532">
        <f t="shared" si="118"/>
        <v>99996</v>
      </c>
      <c r="AB532">
        <f t="shared" si="119"/>
        <v>5091</v>
      </c>
      <c r="AC532">
        <f t="shared" si="120"/>
        <v>1961976.5400000003</v>
      </c>
      <c r="AD532">
        <f t="shared" si="121"/>
        <v>1334.677918367347</v>
      </c>
      <c r="AE532">
        <f t="shared" si="122"/>
        <v>0.35149999999999998</v>
      </c>
      <c r="AF532">
        <f t="shared" si="123"/>
        <v>1449080620.4599996</v>
      </c>
      <c r="AG532" t="str">
        <f t="shared" si="124"/>
        <v>Active</v>
      </c>
      <c r="AH532">
        <f t="shared" si="125"/>
        <v>1282.08</v>
      </c>
    </row>
    <row r="533" spans="1:34" x14ac:dyDescent="0.35">
      <c r="A533" t="s">
        <v>1553</v>
      </c>
      <c r="B533" t="s">
        <v>1554</v>
      </c>
      <c r="C533">
        <v>28</v>
      </c>
      <c r="D533" t="s">
        <v>38</v>
      </c>
      <c r="E533" t="s">
        <v>32</v>
      </c>
      <c r="F533" t="s">
        <v>59</v>
      </c>
      <c r="G533">
        <v>165948</v>
      </c>
      <c r="H533">
        <v>559</v>
      </c>
      <c r="I533">
        <v>35017</v>
      </c>
      <c r="J533">
        <v>14.77</v>
      </c>
      <c r="K533">
        <v>60</v>
      </c>
      <c r="L533" t="s">
        <v>25</v>
      </c>
      <c r="M533">
        <v>42.81</v>
      </c>
      <c r="N533">
        <v>39230</v>
      </c>
      <c r="O533">
        <v>177424</v>
      </c>
      <c r="P533" t="s">
        <v>1555</v>
      </c>
      <c r="Q533" t="s">
        <v>61</v>
      </c>
      <c r="R533" t="s">
        <v>48</v>
      </c>
      <c r="S533" t="s">
        <v>29</v>
      </c>
      <c r="T533">
        <v>669.82</v>
      </c>
      <c r="U533">
        <f t="shared" si="112"/>
        <v>1469</v>
      </c>
      <c r="V533">
        <f t="shared" si="113"/>
        <v>541</v>
      </c>
      <c r="W533">
        <f t="shared" si="114"/>
        <v>465</v>
      </c>
      <c r="X533">
        <f t="shared" si="115"/>
        <v>0.35149999999999998</v>
      </c>
      <c r="Y533" s="1">
        <f t="shared" si="116"/>
        <v>75842728</v>
      </c>
      <c r="Z533">
        <f t="shared" si="117"/>
        <v>51628.814159292036</v>
      </c>
      <c r="AA533">
        <f t="shared" si="118"/>
        <v>99996</v>
      </c>
      <c r="AB533">
        <f t="shared" si="119"/>
        <v>5091</v>
      </c>
      <c r="AC533">
        <f t="shared" si="120"/>
        <v>1961869.7000000002</v>
      </c>
      <c r="AD533">
        <f t="shared" si="121"/>
        <v>1335.5137508509192</v>
      </c>
      <c r="AE533">
        <f t="shared" si="122"/>
        <v>0.35149999999999998</v>
      </c>
      <c r="AF533">
        <f t="shared" si="123"/>
        <v>1447118643.9199996</v>
      </c>
      <c r="AG533" t="str">
        <f t="shared" si="124"/>
        <v>Active</v>
      </c>
      <c r="AH533">
        <f t="shared" si="125"/>
        <v>8037.84</v>
      </c>
    </row>
    <row r="534" spans="1:34" x14ac:dyDescent="0.35">
      <c r="A534" t="s">
        <v>1556</v>
      </c>
      <c r="B534" t="s">
        <v>1557</v>
      </c>
      <c r="C534">
        <v>53</v>
      </c>
      <c r="D534" t="s">
        <v>22</v>
      </c>
      <c r="E534" t="s">
        <v>32</v>
      </c>
      <c r="F534" t="s">
        <v>24</v>
      </c>
      <c r="G534">
        <v>34803</v>
      </c>
      <c r="H534">
        <v>371</v>
      </c>
      <c r="I534">
        <v>47785</v>
      </c>
      <c r="J534">
        <v>15.89</v>
      </c>
      <c r="K534">
        <v>48</v>
      </c>
      <c r="L534" t="s">
        <v>86</v>
      </c>
      <c r="M534">
        <v>29.95</v>
      </c>
      <c r="N534">
        <v>35321</v>
      </c>
      <c r="O534">
        <v>218619</v>
      </c>
      <c r="P534" t="s">
        <v>248</v>
      </c>
      <c r="Q534" t="s">
        <v>61</v>
      </c>
      <c r="R534" t="s">
        <v>28</v>
      </c>
      <c r="S534" t="s">
        <v>35</v>
      </c>
      <c r="T534">
        <v>1153.71</v>
      </c>
      <c r="U534">
        <f t="shared" si="112"/>
        <v>1468</v>
      </c>
      <c r="V534">
        <f t="shared" si="113"/>
        <v>541</v>
      </c>
      <c r="W534">
        <f t="shared" si="114"/>
        <v>464</v>
      </c>
      <c r="X534">
        <f t="shared" si="115"/>
        <v>0.35149999999999998</v>
      </c>
      <c r="Y534" s="1">
        <f t="shared" si="116"/>
        <v>75807711</v>
      </c>
      <c r="Z534">
        <f t="shared" si="117"/>
        <v>51640.130108991827</v>
      </c>
      <c r="AA534">
        <f t="shared" si="118"/>
        <v>99996</v>
      </c>
      <c r="AB534">
        <f t="shared" si="119"/>
        <v>5091</v>
      </c>
      <c r="AC534">
        <f t="shared" si="120"/>
        <v>1961199.8800000001</v>
      </c>
      <c r="AD534">
        <f t="shared" si="121"/>
        <v>1335.967220708447</v>
      </c>
      <c r="AE534">
        <f t="shared" si="122"/>
        <v>0.35149999999999998</v>
      </c>
      <c r="AF534">
        <f t="shared" si="123"/>
        <v>1445156774.2199998</v>
      </c>
      <c r="AG534" t="str">
        <f t="shared" si="124"/>
        <v>Active</v>
      </c>
      <c r="AH534">
        <f t="shared" si="125"/>
        <v>13844.52</v>
      </c>
    </row>
    <row r="535" spans="1:34" x14ac:dyDescent="0.35">
      <c r="A535" t="s">
        <v>1558</v>
      </c>
      <c r="B535" t="s">
        <v>1559</v>
      </c>
      <c r="C535">
        <v>28</v>
      </c>
      <c r="D535" t="s">
        <v>22</v>
      </c>
      <c r="E535" t="s">
        <v>23</v>
      </c>
      <c r="F535" t="s">
        <v>46</v>
      </c>
      <c r="G535">
        <v>115474</v>
      </c>
      <c r="H535">
        <v>816</v>
      </c>
      <c r="I535">
        <v>55725</v>
      </c>
      <c r="J535">
        <v>20.67</v>
      </c>
      <c r="K535">
        <v>360</v>
      </c>
      <c r="L535" t="s">
        <v>52</v>
      </c>
      <c r="M535">
        <v>41.45</v>
      </c>
      <c r="N535">
        <v>77204</v>
      </c>
      <c r="O535">
        <v>42455</v>
      </c>
      <c r="P535" t="s">
        <v>1560</v>
      </c>
      <c r="Q535" t="s">
        <v>27</v>
      </c>
      <c r="R535" t="s">
        <v>48</v>
      </c>
      <c r="S535" t="s">
        <v>35</v>
      </c>
      <c r="T535">
        <v>186.79</v>
      </c>
      <c r="U535">
        <f t="shared" si="112"/>
        <v>1467</v>
      </c>
      <c r="V535">
        <f t="shared" si="113"/>
        <v>541</v>
      </c>
      <c r="W535">
        <f t="shared" si="114"/>
        <v>463</v>
      </c>
      <c r="X535">
        <f t="shared" si="115"/>
        <v>0.35149999999999998</v>
      </c>
      <c r="Y535" s="1">
        <f t="shared" si="116"/>
        <v>75759926</v>
      </c>
      <c r="Z535">
        <f t="shared" si="117"/>
        <v>51642.758009543286</v>
      </c>
      <c r="AA535">
        <f t="shared" si="118"/>
        <v>99996</v>
      </c>
      <c r="AB535">
        <f t="shared" si="119"/>
        <v>5091</v>
      </c>
      <c r="AC535">
        <f t="shared" si="120"/>
        <v>1960046.1700000002</v>
      </c>
      <c r="AD535">
        <f t="shared" si="121"/>
        <v>1336.0914587593729</v>
      </c>
      <c r="AE535">
        <f t="shared" si="122"/>
        <v>0.35149999999999998</v>
      </c>
      <c r="AF535">
        <f t="shared" si="123"/>
        <v>1443195574.3399997</v>
      </c>
      <c r="AG535" t="str">
        <f t="shared" si="124"/>
        <v>Active</v>
      </c>
      <c r="AH535">
        <f t="shared" si="125"/>
        <v>2241.48</v>
      </c>
    </row>
    <row r="536" spans="1:34" x14ac:dyDescent="0.35">
      <c r="A536" t="s">
        <v>1561</v>
      </c>
      <c r="B536" t="s">
        <v>1562</v>
      </c>
      <c r="C536">
        <v>42</v>
      </c>
      <c r="D536" t="s">
        <v>38</v>
      </c>
      <c r="E536" t="s">
        <v>23</v>
      </c>
      <c r="F536" t="s">
        <v>46</v>
      </c>
      <c r="G536">
        <v>140226</v>
      </c>
      <c r="H536">
        <v>331</v>
      </c>
      <c r="I536">
        <v>59071</v>
      </c>
      <c r="J536">
        <v>6.72</v>
      </c>
      <c r="K536">
        <v>180</v>
      </c>
      <c r="L536" t="s">
        <v>52</v>
      </c>
      <c r="M536">
        <v>16.73</v>
      </c>
      <c r="N536">
        <v>74516</v>
      </c>
      <c r="O536">
        <v>222043</v>
      </c>
      <c r="P536" t="s">
        <v>1563</v>
      </c>
      <c r="Q536" t="s">
        <v>42</v>
      </c>
      <c r="R536" t="s">
        <v>48</v>
      </c>
      <c r="S536" t="s">
        <v>43</v>
      </c>
      <c r="T536">
        <v>350.23</v>
      </c>
      <c r="U536">
        <f t="shared" si="112"/>
        <v>1466</v>
      </c>
      <c r="V536">
        <f t="shared" si="113"/>
        <v>541</v>
      </c>
      <c r="W536">
        <f t="shared" si="114"/>
        <v>463</v>
      </c>
      <c r="X536">
        <f t="shared" si="115"/>
        <v>0.35149999999999998</v>
      </c>
      <c r="Y536" s="1">
        <f t="shared" si="116"/>
        <v>75704201</v>
      </c>
      <c r="Z536">
        <f t="shared" si="117"/>
        <v>51639.973396998634</v>
      </c>
      <c r="AA536">
        <f t="shared" si="118"/>
        <v>99996</v>
      </c>
      <c r="AB536">
        <f t="shared" si="119"/>
        <v>5091</v>
      </c>
      <c r="AC536">
        <f t="shared" si="120"/>
        <v>1959859.3800000001</v>
      </c>
      <c r="AD536">
        <f t="shared" si="121"/>
        <v>1336.8754297407913</v>
      </c>
      <c r="AE536">
        <f t="shared" si="122"/>
        <v>0.35149999999999998</v>
      </c>
      <c r="AF536">
        <f t="shared" si="123"/>
        <v>1441235528.1700001</v>
      </c>
      <c r="AG536" t="str">
        <f t="shared" si="124"/>
        <v>Active</v>
      </c>
      <c r="AH536">
        <f t="shared" si="125"/>
        <v>4202.76</v>
      </c>
    </row>
    <row r="537" spans="1:34" x14ac:dyDescent="0.35">
      <c r="A537" t="s">
        <v>1564</v>
      </c>
      <c r="B537" t="s">
        <v>1565</v>
      </c>
      <c r="C537">
        <v>62</v>
      </c>
      <c r="D537" t="s">
        <v>38</v>
      </c>
      <c r="E537" t="s">
        <v>23</v>
      </c>
      <c r="F537" t="s">
        <v>46</v>
      </c>
      <c r="G537">
        <v>150862</v>
      </c>
      <c r="H537">
        <v>480</v>
      </c>
      <c r="I537">
        <v>20360</v>
      </c>
      <c r="J537">
        <v>6.84</v>
      </c>
      <c r="K537">
        <v>120</v>
      </c>
      <c r="L537" t="s">
        <v>52</v>
      </c>
      <c r="M537">
        <v>12.81</v>
      </c>
      <c r="N537">
        <v>66709</v>
      </c>
      <c r="O537">
        <v>112839</v>
      </c>
      <c r="P537" t="s">
        <v>1566</v>
      </c>
      <c r="Q537" t="s">
        <v>42</v>
      </c>
      <c r="R537" t="s">
        <v>48</v>
      </c>
      <c r="S537" t="s">
        <v>68</v>
      </c>
      <c r="T537">
        <v>181.27</v>
      </c>
      <c r="U537">
        <f t="shared" si="112"/>
        <v>1465</v>
      </c>
      <c r="V537">
        <f t="shared" si="113"/>
        <v>540</v>
      </c>
      <c r="W537">
        <f t="shared" si="114"/>
        <v>463</v>
      </c>
      <c r="X537">
        <f t="shared" si="115"/>
        <v>0.35149999999999998</v>
      </c>
      <c r="Y537" s="1">
        <f t="shared" si="116"/>
        <v>75645130</v>
      </c>
      <c r="Z537">
        <f t="shared" si="117"/>
        <v>51634.901023890787</v>
      </c>
      <c r="AA537">
        <f t="shared" si="118"/>
        <v>99996</v>
      </c>
      <c r="AB537">
        <f t="shared" si="119"/>
        <v>5091</v>
      </c>
      <c r="AC537">
        <f t="shared" si="120"/>
        <v>1959509.1500000001</v>
      </c>
      <c r="AD537">
        <f t="shared" si="121"/>
        <v>1337.5489078498294</v>
      </c>
      <c r="AE537">
        <f t="shared" si="122"/>
        <v>0.35149999999999998</v>
      </c>
      <c r="AF537">
        <f t="shared" si="123"/>
        <v>1439275668.7900002</v>
      </c>
      <c r="AG537" t="str">
        <f t="shared" si="124"/>
        <v>Active</v>
      </c>
      <c r="AH537">
        <f t="shared" si="125"/>
        <v>2175.2400000000002</v>
      </c>
    </row>
    <row r="538" spans="1:34" x14ac:dyDescent="0.35">
      <c r="A538" t="s">
        <v>1567</v>
      </c>
      <c r="B538" t="s">
        <v>1568</v>
      </c>
      <c r="C538">
        <v>44</v>
      </c>
      <c r="D538" t="s">
        <v>22</v>
      </c>
      <c r="E538" t="s">
        <v>32</v>
      </c>
      <c r="F538" t="s">
        <v>46</v>
      </c>
      <c r="G538">
        <v>155958</v>
      </c>
      <c r="H538">
        <v>549</v>
      </c>
      <c r="I538">
        <v>9442</v>
      </c>
      <c r="J538">
        <v>3.81</v>
      </c>
      <c r="K538">
        <v>48</v>
      </c>
      <c r="L538" t="s">
        <v>86</v>
      </c>
      <c r="M538">
        <v>58.08</v>
      </c>
      <c r="N538">
        <v>70096</v>
      </c>
      <c r="O538">
        <v>106104</v>
      </c>
      <c r="P538" t="s">
        <v>1003</v>
      </c>
      <c r="Q538" t="s">
        <v>42</v>
      </c>
      <c r="R538" t="s">
        <v>48</v>
      </c>
      <c r="S538" t="s">
        <v>35</v>
      </c>
      <c r="T538">
        <v>204.2</v>
      </c>
      <c r="U538">
        <f t="shared" si="112"/>
        <v>1464</v>
      </c>
      <c r="V538">
        <f t="shared" si="113"/>
        <v>539</v>
      </c>
      <c r="W538">
        <f t="shared" si="114"/>
        <v>463</v>
      </c>
      <c r="X538">
        <f t="shared" si="115"/>
        <v>0.35149999999999998</v>
      </c>
      <c r="Y538" s="1">
        <f t="shared" si="116"/>
        <v>75624770</v>
      </c>
      <c r="Z538">
        <f t="shared" si="117"/>
        <v>51656.263661202189</v>
      </c>
      <c r="AA538">
        <f t="shared" si="118"/>
        <v>99996</v>
      </c>
      <c r="AB538">
        <f t="shared" si="119"/>
        <v>5091</v>
      </c>
      <c r="AC538">
        <f t="shared" si="120"/>
        <v>1959327.8800000001</v>
      </c>
      <c r="AD538">
        <f t="shared" si="121"/>
        <v>1338.3387158469945</v>
      </c>
      <c r="AE538">
        <f t="shared" si="122"/>
        <v>0.35149999999999998</v>
      </c>
      <c r="AF538">
        <f t="shared" si="123"/>
        <v>1437316159.6400001</v>
      </c>
      <c r="AG538" t="str">
        <f t="shared" si="124"/>
        <v>Active</v>
      </c>
      <c r="AH538">
        <f t="shared" si="125"/>
        <v>2450.3999999999996</v>
      </c>
    </row>
    <row r="539" spans="1:34" x14ac:dyDescent="0.35">
      <c r="A539" t="s">
        <v>1569</v>
      </c>
      <c r="B539" t="s">
        <v>1570</v>
      </c>
      <c r="C539">
        <v>48</v>
      </c>
      <c r="D539" t="s">
        <v>38</v>
      </c>
      <c r="E539" t="s">
        <v>39</v>
      </c>
      <c r="F539" t="s">
        <v>59</v>
      </c>
      <c r="G539">
        <v>51531</v>
      </c>
      <c r="H539">
        <v>435</v>
      </c>
      <c r="I539">
        <v>76296</v>
      </c>
      <c r="J539">
        <v>19.57</v>
      </c>
      <c r="K539">
        <v>240</v>
      </c>
      <c r="L539" t="s">
        <v>52</v>
      </c>
      <c r="M539">
        <v>25.28</v>
      </c>
      <c r="N539">
        <v>79004</v>
      </c>
      <c r="O539">
        <v>244607</v>
      </c>
      <c r="P539" t="s">
        <v>1571</v>
      </c>
      <c r="Q539" t="s">
        <v>42</v>
      </c>
      <c r="R539" t="s">
        <v>28</v>
      </c>
      <c r="S539" t="s">
        <v>68</v>
      </c>
      <c r="T539">
        <v>380.11</v>
      </c>
      <c r="U539">
        <f t="shared" si="112"/>
        <v>1463</v>
      </c>
      <c r="V539">
        <f t="shared" si="113"/>
        <v>538</v>
      </c>
      <c r="W539">
        <f t="shared" si="114"/>
        <v>463</v>
      </c>
      <c r="X539">
        <f t="shared" si="115"/>
        <v>0.35149999999999998</v>
      </c>
      <c r="Y539" s="1">
        <f t="shared" si="116"/>
        <v>75615328</v>
      </c>
      <c r="Z539">
        <f t="shared" si="117"/>
        <v>51685.118250170883</v>
      </c>
      <c r="AA539">
        <f t="shared" si="118"/>
        <v>99996</v>
      </c>
      <c r="AB539">
        <f t="shared" si="119"/>
        <v>5091</v>
      </c>
      <c r="AC539">
        <f t="shared" si="120"/>
        <v>1959123.6800000002</v>
      </c>
      <c r="AD539">
        <f t="shared" si="121"/>
        <v>1339.1139302802462</v>
      </c>
      <c r="AE539">
        <f t="shared" si="122"/>
        <v>0.35149999999999998</v>
      </c>
      <c r="AF539">
        <f t="shared" si="123"/>
        <v>1435356831.7600002</v>
      </c>
      <c r="AG539" t="str">
        <f t="shared" si="124"/>
        <v>Active</v>
      </c>
      <c r="AH539">
        <f t="shared" si="125"/>
        <v>4561.32</v>
      </c>
    </row>
    <row r="540" spans="1:34" x14ac:dyDescent="0.35">
      <c r="A540" t="s">
        <v>1572</v>
      </c>
      <c r="B540" t="s">
        <v>1573</v>
      </c>
      <c r="C540">
        <v>59</v>
      </c>
      <c r="D540" t="s">
        <v>22</v>
      </c>
      <c r="E540" t="s">
        <v>32</v>
      </c>
      <c r="F540" t="s">
        <v>59</v>
      </c>
      <c r="G540">
        <v>192512</v>
      </c>
      <c r="H540">
        <v>382</v>
      </c>
      <c r="I540">
        <v>80961</v>
      </c>
      <c r="J540">
        <v>8.93</v>
      </c>
      <c r="K540">
        <v>12</v>
      </c>
      <c r="L540" t="s">
        <v>33</v>
      </c>
      <c r="M540">
        <v>48.31</v>
      </c>
      <c r="N540">
        <v>44795</v>
      </c>
      <c r="O540">
        <v>133456</v>
      </c>
      <c r="P540" t="s">
        <v>898</v>
      </c>
      <c r="Q540" t="s">
        <v>42</v>
      </c>
      <c r="R540" t="s">
        <v>48</v>
      </c>
      <c r="S540" t="s">
        <v>29</v>
      </c>
      <c r="T540">
        <v>7349.23</v>
      </c>
      <c r="U540">
        <f t="shared" si="112"/>
        <v>1462</v>
      </c>
      <c r="V540">
        <f t="shared" si="113"/>
        <v>537</v>
      </c>
      <c r="W540">
        <f t="shared" si="114"/>
        <v>463</v>
      </c>
      <c r="X540">
        <f t="shared" si="115"/>
        <v>0.35149999999999998</v>
      </c>
      <c r="Y540" s="1">
        <f t="shared" si="116"/>
        <v>75539032</v>
      </c>
      <c r="Z540">
        <f t="shared" si="117"/>
        <v>51668.284541723668</v>
      </c>
      <c r="AA540">
        <f t="shared" si="118"/>
        <v>99996</v>
      </c>
      <c r="AB540">
        <f t="shared" si="119"/>
        <v>5091</v>
      </c>
      <c r="AC540">
        <f t="shared" si="120"/>
        <v>1958743.5700000003</v>
      </c>
      <c r="AD540">
        <f t="shared" si="121"/>
        <v>1339.7698837209305</v>
      </c>
      <c r="AE540">
        <f t="shared" si="122"/>
        <v>0.35149999999999998</v>
      </c>
      <c r="AF540">
        <f t="shared" si="123"/>
        <v>1433397708.0800002</v>
      </c>
      <c r="AG540" t="str">
        <f t="shared" si="124"/>
        <v>Active</v>
      </c>
      <c r="AH540">
        <f t="shared" si="125"/>
        <v>88190.76</v>
      </c>
    </row>
    <row r="541" spans="1:34" x14ac:dyDescent="0.35">
      <c r="A541" t="s">
        <v>1574</v>
      </c>
      <c r="B541" t="s">
        <v>1575</v>
      </c>
      <c r="C541">
        <v>34</v>
      </c>
      <c r="D541" t="s">
        <v>22</v>
      </c>
      <c r="E541" t="s">
        <v>39</v>
      </c>
      <c r="F541" t="s">
        <v>46</v>
      </c>
      <c r="G541">
        <v>91164</v>
      </c>
      <c r="H541">
        <v>708</v>
      </c>
      <c r="I541">
        <v>6188</v>
      </c>
      <c r="J541">
        <v>16.809999999999999</v>
      </c>
      <c r="K541">
        <v>24</v>
      </c>
      <c r="L541" t="s">
        <v>86</v>
      </c>
      <c r="M541">
        <v>20.49</v>
      </c>
      <c r="N541">
        <v>21021</v>
      </c>
      <c r="O541">
        <v>160288</v>
      </c>
      <c r="P541" t="s">
        <v>1576</v>
      </c>
      <c r="Q541" t="s">
        <v>27</v>
      </c>
      <c r="R541" t="s">
        <v>48</v>
      </c>
      <c r="S541" t="s">
        <v>29</v>
      </c>
      <c r="T541">
        <v>301.18</v>
      </c>
      <c r="U541">
        <f t="shared" si="112"/>
        <v>1461</v>
      </c>
      <c r="V541">
        <f t="shared" si="113"/>
        <v>536</v>
      </c>
      <c r="W541">
        <f t="shared" si="114"/>
        <v>463</v>
      </c>
      <c r="X541">
        <f t="shared" si="115"/>
        <v>0.35149999999999998</v>
      </c>
      <c r="Y541" s="1">
        <f t="shared" si="116"/>
        <v>75458071</v>
      </c>
      <c r="Z541">
        <f t="shared" si="117"/>
        <v>51648.234770704999</v>
      </c>
      <c r="AA541">
        <f t="shared" si="118"/>
        <v>99996</v>
      </c>
      <c r="AB541">
        <f t="shared" si="119"/>
        <v>5091</v>
      </c>
      <c r="AC541">
        <f t="shared" si="120"/>
        <v>1951394.34</v>
      </c>
      <c r="AD541">
        <f t="shared" si="121"/>
        <v>1335.6566324435319</v>
      </c>
      <c r="AE541">
        <f t="shared" si="122"/>
        <v>0.35149999999999998</v>
      </c>
      <c r="AF541">
        <f t="shared" si="123"/>
        <v>1431438964.5100002</v>
      </c>
      <c r="AG541" t="str">
        <f t="shared" si="124"/>
        <v>Over Paid</v>
      </c>
      <c r="AH541">
        <f t="shared" si="125"/>
        <v>3614.16</v>
      </c>
    </row>
    <row r="542" spans="1:34" x14ac:dyDescent="0.35">
      <c r="A542" t="s">
        <v>1577</v>
      </c>
      <c r="B542" t="s">
        <v>1578</v>
      </c>
      <c r="C542">
        <v>21</v>
      </c>
      <c r="D542" t="s">
        <v>22</v>
      </c>
      <c r="E542" t="s">
        <v>23</v>
      </c>
      <c r="F542" t="s">
        <v>59</v>
      </c>
      <c r="G542">
        <v>148248</v>
      </c>
      <c r="H542">
        <v>495</v>
      </c>
      <c r="I542">
        <v>77319</v>
      </c>
      <c r="J542">
        <v>9.4499999999999993</v>
      </c>
      <c r="K542">
        <v>240</v>
      </c>
      <c r="L542" t="s">
        <v>25</v>
      </c>
      <c r="M542">
        <v>54.3</v>
      </c>
      <c r="N542">
        <v>11006</v>
      </c>
      <c r="O542">
        <v>103216</v>
      </c>
      <c r="P542" t="s">
        <v>1579</v>
      </c>
      <c r="Q542" t="s">
        <v>42</v>
      </c>
      <c r="R542" t="s">
        <v>28</v>
      </c>
      <c r="S542" t="s">
        <v>29</v>
      </c>
      <c r="T542">
        <v>352.61</v>
      </c>
      <c r="U542">
        <f t="shared" si="112"/>
        <v>1460</v>
      </c>
      <c r="V542">
        <f t="shared" si="113"/>
        <v>536</v>
      </c>
      <c r="W542">
        <f t="shared" si="114"/>
        <v>463</v>
      </c>
      <c r="X542">
        <f t="shared" si="115"/>
        <v>0.35149999999999998</v>
      </c>
      <c r="Y542" s="1">
        <f t="shared" si="116"/>
        <v>75451883</v>
      </c>
      <c r="Z542">
        <f t="shared" si="117"/>
        <v>51679.371917808217</v>
      </c>
      <c r="AA542">
        <f t="shared" si="118"/>
        <v>99996</v>
      </c>
      <c r="AB542">
        <f t="shared" si="119"/>
        <v>5091</v>
      </c>
      <c r="AC542">
        <f t="shared" si="120"/>
        <v>1951093.1600000001</v>
      </c>
      <c r="AD542">
        <f t="shared" si="121"/>
        <v>1336.365178082192</v>
      </c>
      <c r="AE542">
        <f t="shared" si="122"/>
        <v>0.35149999999999998</v>
      </c>
      <c r="AF542">
        <f t="shared" si="123"/>
        <v>1429487570.1700001</v>
      </c>
      <c r="AG542" t="str">
        <f t="shared" si="124"/>
        <v>Active</v>
      </c>
      <c r="AH542">
        <f t="shared" si="125"/>
        <v>4231.32</v>
      </c>
    </row>
    <row r="543" spans="1:34" x14ac:dyDescent="0.35">
      <c r="A543" t="s">
        <v>1580</v>
      </c>
      <c r="B543" t="s">
        <v>1581</v>
      </c>
      <c r="C543">
        <v>29</v>
      </c>
      <c r="D543" t="s">
        <v>38</v>
      </c>
      <c r="E543" t="s">
        <v>32</v>
      </c>
      <c r="F543" t="s">
        <v>46</v>
      </c>
      <c r="G543">
        <v>24889</v>
      </c>
      <c r="H543">
        <v>300</v>
      </c>
      <c r="I543">
        <v>91532</v>
      </c>
      <c r="J543">
        <v>23.14</v>
      </c>
      <c r="K543">
        <v>24</v>
      </c>
      <c r="L543" t="s">
        <v>25</v>
      </c>
      <c r="M543">
        <v>25.91</v>
      </c>
      <c r="N543">
        <v>6998</v>
      </c>
      <c r="O543">
        <v>167091</v>
      </c>
      <c r="P543" t="s">
        <v>579</v>
      </c>
      <c r="Q543" t="s">
        <v>27</v>
      </c>
      <c r="R543" t="s">
        <v>28</v>
      </c>
      <c r="S543" t="s">
        <v>49</v>
      </c>
      <c r="T543">
        <v>4696.3500000000004</v>
      </c>
      <c r="U543">
        <f t="shared" si="112"/>
        <v>1459</v>
      </c>
      <c r="V543">
        <f t="shared" si="113"/>
        <v>535</v>
      </c>
      <c r="W543">
        <f t="shared" si="114"/>
        <v>463</v>
      </c>
      <c r="X543">
        <f t="shared" si="115"/>
        <v>0.35149999999999998</v>
      </c>
      <c r="Y543" s="1">
        <f t="shared" si="116"/>
        <v>75374564</v>
      </c>
      <c r="Z543">
        <f t="shared" si="117"/>
        <v>51661.798492117887</v>
      </c>
      <c r="AA543">
        <f t="shared" si="118"/>
        <v>99996</v>
      </c>
      <c r="AB543">
        <f t="shared" si="119"/>
        <v>5091</v>
      </c>
      <c r="AC543">
        <f t="shared" si="120"/>
        <v>1950740.55</v>
      </c>
      <c r="AD543">
        <f t="shared" si="121"/>
        <v>1337.0394448252227</v>
      </c>
      <c r="AE543">
        <f t="shared" si="122"/>
        <v>0.35149999999999998</v>
      </c>
      <c r="AF543">
        <f t="shared" si="123"/>
        <v>1427536477.0100005</v>
      </c>
      <c r="AG543" t="str">
        <f t="shared" si="124"/>
        <v>Active</v>
      </c>
      <c r="AH543">
        <f t="shared" si="125"/>
        <v>56356.200000000004</v>
      </c>
    </row>
    <row r="544" spans="1:34" x14ac:dyDescent="0.35">
      <c r="A544" t="s">
        <v>1582</v>
      </c>
      <c r="B544" t="s">
        <v>1583</v>
      </c>
      <c r="C544">
        <v>39</v>
      </c>
      <c r="D544" t="s">
        <v>22</v>
      </c>
      <c r="E544" t="s">
        <v>23</v>
      </c>
      <c r="F544" t="s">
        <v>24</v>
      </c>
      <c r="G544">
        <v>192545</v>
      </c>
      <c r="H544">
        <v>461</v>
      </c>
      <c r="I544">
        <v>14028</v>
      </c>
      <c r="J544">
        <v>4.71</v>
      </c>
      <c r="K544">
        <v>180</v>
      </c>
      <c r="L544" t="s">
        <v>52</v>
      </c>
      <c r="M544">
        <v>21.99</v>
      </c>
      <c r="N544">
        <v>71711</v>
      </c>
      <c r="O544">
        <v>179602</v>
      </c>
      <c r="P544" t="s">
        <v>1584</v>
      </c>
      <c r="Q544" t="s">
        <v>42</v>
      </c>
      <c r="R544" t="s">
        <v>28</v>
      </c>
      <c r="S544" t="s">
        <v>68</v>
      </c>
      <c r="T544">
        <v>81.599999999999994</v>
      </c>
      <c r="U544">
        <f t="shared" si="112"/>
        <v>1458</v>
      </c>
      <c r="V544">
        <f t="shared" si="113"/>
        <v>535</v>
      </c>
      <c r="W544">
        <f t="shared" si="114"/>
        <v>463</v>
      </c>
      <c r="X544">
        <f t="shared" si="115"/>
        <v>0.35149999999999998</v>
      </c>
      <c r="Y544" s="1">
        <f t="shared" si="116"/>
        <v>75283032</v>
      </c>
      <c r="Z544">
        <f t="shared" si="117"/>
        <v>51634.452674897118</v>
      </c>
      <c r="AA544">
        <f t="shared" si="118"/>
        <v>99996</v>
      </c>
      <c r="AB544">
        <f t="shared" si="119"/>
        <v>5091</v>
      </c>
      <c r="AC544">
        <f t="shared" si="120"/>
        <v>1946044.2</v>
      </c>
      <c r="AD544">
        <f t="shared" si="121"/>
        <v>1334.7353909465021</v>
      </c>
      <c r="AE544">
        <f t="shared" si="122"/>
        <v>0.35149999999999998</v>
      </c>
      <c r="AF544">
        <f t="shared" si="123"/>
        <v>1425585736.4600005</v>
      </c>
      <c r="AG544" t="str">
        <f t="shared" si="124"/>
        <v>Active</v>
      </c>
      <c r="AH544">
        <f t="shared" si="125"/>
        <v>979.19999999999993</v>
      </c>
    </row>
    <row r="545" spans="1:34" x14ac:dyDescent="0.35">
      <c r="A545" t="s">
        <v>1585</v>
      </c>
      <c r="B545" t="s">
        <v>1586</v>
      </c>
      <c r="C545">
        <v>58</v>
      </c>
      <c r="D545" t="s">
        <v>38</v>
      </c>
      <c r="E545" t="s">
        <v>23</v>
      </c>
      <c r="F545" t="s">
        <v>46</v>
      </c>
      <c r="G545">
        <v>99404</v>
      </c>
      <c r="H545">
        <v>755</v>
      </c>
      <c r="I545">
        <v>65103</v>
      </c>
      <c r="J545">
        <v>3.66</v>
      </c>
      <c r="K545">
        <v>48</v>
      </c>
      <c r="L545" t="s">
        <v>86</v>
      </c>
      <c r="M545">
        <v>57.14</v>
      </c>
      <c r="N545">
        <v>30618</v>
      </c>
      <c r="O545">
        <v>13142</v>
      </c>
      <c r="P545" t="s">
        <v>1365</v>
      </c>
      <c r="Q545" t="s">
        <v>61</v>
      </c>
      <c r="R545" t="s">
        <v>28</v>
      </c>
      <c r="S545" t="s">
        <v>43</v>
      </c>
      <c r="T545">
        <v>1405.95</v>
      </c>
      <c r="U545">
        <f t="shared" si="112"/>
        <v>1457</v>
      </c>
      <c r="V545">
        <f t="shared" si="113"/>
        <v>534</v>
      </c>
      <c r="W545">
        <f t="shared" si="114"/>
        <v>463</v>
      </c>
      <c r="X545">
        <f t="shared" si="115"/>
        <v>0.35149999999999998</v>
      </c>
      <c r="Y545" s="1">
        <f t="shared" si="116"/>
        <v>75269004</v>
      </c>
      <c r="Z545">
        <f t="shared" si="117"/>
        <v>51660.263555250516</v>
      </c>
      <c r="AA545">
        <f t="shared" si="118"/>
        <v>99996</v>
      </c>
      <c r="AB545">
        <f t="shared" si="119"/>
        <v>5091</v>
      </c>
      <c r="AC545">
        <f t="shared" si="120"/>
        <v>1945962.5999999999</v>
      </c>
      <c r="AD545">
        <f t="shared" si="121"/>
        <v>1335.5954701441317</v>
      </c>
      <c r="AE545">
        <f t="shared" si="122"/>
        <v>0.35149999999999998</v>
      </c>
      <c r="AF545">
        <f t="shared" si="123"/>
        <v>1423639692.2600005</v>
      </c>
      <c r="AG545" t="str">
        <f t="shared" si="124"/>
        <v>Active</v>
      </c>
      <c r="AH545">
        <f t="shared" si="125"/>
        <v>16871.400000000001</v>
      </c>
    </row>
    <row r="546" spans="1:34" x14ac:dyDescent="0.35">
      <c r="A546" t="s">
        <v>1587</v>
      </c>
      <c r="B546" t="s">
        <v>1588</v>
      </c>
      <c r="C546">
        <v>43</v>
      </c>
      <c r="D546" t="s">
        <v>38</v>
      </c>
      <c r="E546" t="s">
        <v>39</v>
      </c>
      <c r="F546" t="s">
        <v>59</v>
      </c>
      <c r="G546">
        <v>63430</v>
      </c>
      <c r="H546">
        <v>413</v>
      </c>
      <c r="I546">
        <v>86927</v>
      </c>
      <c r="J546">
        <v>5.5</v>
      </c>
      <c r="K546">
        <v>36</v>
      </c>
      <c r="L546" t="s">
        <v>52</v>
      </c>
      <c r="M546">
        <v>55.67</v>
      </c>
      <c r="N546">
        <v>79605</v>
      </c>
      <c r="O546">
        <v>50408</v>
      </c>
      <c r="P546" t="s">
        <v>771</v>
      </c>
      <c r="Q546" t="s">
        <v>42</v>
      </c>
      <c r="R546" t="s">
        <v>48</v>
      </c>
      <c r="S546" t="s">
        <v>35</v>
      </c>
      <c r="T546">
        <v>2547.44</v>
      </c>
      <c r="U546">
        <f t="shared" si="112"/>
        <v>1456</v>
      </c>
      <c r="V546">
        <f t="shared" si="113"/>
        <v>534</v>
      </c>
      <c r="W546">
        <f t="shared" si="114"/>
        <v>462</v>
      </c>
      <c r="X546">
        <f t="shared" si="115"/>
        <v>0.35149999999999998</v>
      </c>
      <c r="Y546" s="1">
        <f t="shared" si="116"/>
        <v>75203901</v>
      </c>
      <c r="Z546">
        <f t="shared" si="117"/>
        <v>51651.030906593405</v>
      </c>
      <c r="AA546">
        <f t="shared" si="118"/>
        <v>99996</v>
      </c>
      <c r="AB546">
        <f t="shared" si="119"/>
        <v>5091</v>
      </c>
      <c r="AC546">
        <f t="shared" si="120"/>
        <v>1944556.65</v>
      </c>
      <c r="AD546">
        <f t="shared" si="121"/>
        <v>1335.5471497252747</v>
      </c>
      <c r="AE546">
        <f t="shared" si="122"/>
        <v>0.35149999999999998</v>
      </c>
      <c r="AF546">
        <f t="shared" si="123"/>
        <v>1421693729.6600003</v>
      </c>
      <c r="AG546" t="str">
        <f t="shared" si="124"/>
        <v>Active</v>
      </c>
      <c r="AH546">
        <f t="shared" si="125"/>
        <v>30569.279999999999</v>
      </c>
    </row>
    <row r="547" spans="1:34" x14ac:dyDescent="0.35">
      <c r="A547" t="s">
        <v>1589</v>
      </c>
      <c r="B547" t="s">
        <v>1590</v>
      </c>
      <c r="C547">
        <v>51</v>
      </c>
      <c r="D547" t="s">
        <v>22</v>
      </c>
      <c r="E547" t="s">
        <v>39</v>
      </c>
      <c r="F547" t="s">
        <v>59</v>
      </c>
      <c r="G547">
        <v>164691</v>
      </c>
      <c r="H547">
        <v>442</v>
      </c>
      <c r="I547">
        <v>52575</v>
      </c>
      <c r="J547">
        <v>22.43</v>
      </c>
      <c r="K547">
        <v>36</v>
      </c>
      <c r="L547" t="s">
        <v>52</v>
      </c>
      <c r="M547">
        <v>50.05</v>
      </c>
      <c r="N547">
        <v>50992</v>
      </c>
      <c r="O547">
        <v>49236</v>
      </c>
      <c r="P547" t="s">
        <v>1591</v>
      </c>
      <c r="Q547" t="s">
        <v>61</v>
      </c>
      <c r="R547" t="s">
        <v>48</v>
      </c>
      <c r="S547" t="s">
        <v>68</v>
      </c>
      <c r="T547">
        <v>1787.99</v>
      </c>
      <c r="U547">
        <f t="shared" si="112"/>
        <v>1455</v>
      </c>
      <c r="V547">
        <f t="shared" si="113"/>
        <v>533</v>
      </c>
      <c r="W547">
        <f t="shared" si="114"/>
        <v>462</v>
      </c>
      <c r="X547">
        <f t="shared" si="115"/>
        <v>0.35149999999999998</v>
      </c>
      <c r="Y547" s="1">
        <f t="shared" si="116"/>
        <v>75116974</v>
      </c>
      <c r="Z547">
        <f t="shared" si="117"/>
        <v>51626.786254295534</v>
      </c>
      <c r="AA547">
        <f t="shared" si="118"/>
        <v>99996</v>
      </c>
      <c r="AB547">
        <f t="shared" si="119"/>
        <v>5091</v>
      </c>
      <c r="AC547">
        <f t="shared" si="120"/>
        <v>1942009.21</v>
      </c>
      <c r="AD547">
        <f t="shared" si="121"/>
        <v>1334.7142336769759</v>
      </c>
      <c r="AE547">
        <f t="shared" si="122"/>
        <v>0.35149999999999998</v>
      </c>
      <c r="AF547">
        <f t="shared" si="123"/>
        <v>1419749173.0100002</v>
      </c>
      <c r="AG547" t="str">
        <f t="shared" si="124"/>
        <v>Active</v>
      </c>
      <c r="AH547">
        <f t="shared" si="125"/>
        <v>21455.88</v>
      </c>
    </row>
    <row r="548" spans="1:34" x14ac:dyDescent="0.35">
      <c r="A548" t="s">
        <v>1592</v>
      </c>
      <c r="B548" t="s">
        <v>1593</v>
      </c>
      <c r="C548">
        <v>55</v>
      </c>
      <c r="D548" t="s">
        <v>22</v>
      </c>
      <c r="E548" t="s">
        <v>23</v>
      </c>
      <c r="F548" t="s">
        <v>46</v>
      </c>
      <c r="G548">
        <v>132197</v>
      </c>
      <c r="H548">
        <v>587</v>
      </c>
      <c r="I548">
        <v>73707</v>
      </c>
      <c r="J548">
        <v>19.46</v>
      </c>
      <c r="K548">
        <v>120</v>
      </c>
      <c r="L548" t="s">
        <v>25</v>
      </c>
      <c r="M548">
        <v>36.020000000000003</v>
      </c>
      <c r="N548">
        <v>28256</v>
      </c>
      <c r="O548">
        <v>210545</v>
      </c>
      <c r="P548" t="s">
        <v>1054</v>
      </c>
      <c r="Q548" t="s">
        <v>61</v>
      </c>
      <c r="R548" t="s">
        <v>28</v>
      </c>
      <c r="S548" t="s">
        <v>43</v>
      </c>
      <c r="T548">
        <v>733.75</v>
      </c>
      <c r="U548">
        <f t="shared" si="112"/>
        <v>1454</v>
      </c>
      <c r="V548">
        <f t="shared" si="113"/>
        <v>533</v>
      </c>
      <c r="W548">
        <f t="shared" si="114"/>
        <v>461</v>
      </c>
      <c r="X548">
        <f t="shared" si="115"/>
        <v>0.35149999999999998</v>
      </c>
      <c r="Y548" s="1">
        <f t="shared" si="116"/>
        <v>75064399</v>
      </c>
      <c r="Z548">
        <f t="shared" si="117"/>
        <v>51626.134112792301</v>
      </c>
      <c r="AA548">
        <f t="shared" si="118"/>
        <v>99996</v>
      </c>
      <c r="AB548">
        <f t="shared" si="119"/>
        <v>5091</v>
      </c>
      <c r="AC548">
        <f t="shared" si="120"/>
        <v>1940221.22</v>
      </c>
      <c r="AD548">
        <f t="shared" si="121"/>
        <v>1334.4024896836313</v>
      </c>
      <c r="AE548">
        <f t="shared" si="122"/>
        <v>0.35149999999999998</v>
      </c>
      <c r="AF548">
        <f t="shared" si="123"/>
        <v>1417807163.8000004</v>
      </c>
      <c r="AG548" t="str">
        <f t="shared" si="124"/>
        <v>Active</v>
      </c>
      <c r="AH548">
        <f t="shared" si="125"/>
        <v>8805</v>
      </c>
    </row>
    <row r="549" spans="1:34" x14ac:dyDescent="0.35">
      <c r="A549" t="s">
        <v>1594</v>
      </c>
      <c r="B549" t="s">
        <v>1595</v>
      </c>
      <c r="C549">
        <v>28</v>
      </c>
      <c r="D549" t="s">
        <v>22</v>
      </c>
      <c r="E549" t="s">
        <v>32</v>
      </c>
      <c r="F549" t="s">
        <v>46</v>
      </c>
      <c r="G549">
        <v>51566</v>
      </c>
      <c r="H549">
        <v>386</v>
      </c>
      <c r="I549">
        <v>10811</v>
      </c>
      <c r="J549">
        <v>5.91</v>
      </c>
      <c r="K549">
        <v>48</v>
      </c>
      <c r="L549" t="s">
        <v>25</v>
      </c>
      <c r="M549">
        <v>27.63</v>
      </c>
      <c r="N549">
        <v>14038</v>
      </c>
      <c r="O549">
        <v>185660</v>
      </c>
      <c r="P549" t="s">
        <v>1155</v>
      </c>
      <c r="Q549" t="s">
        <v>42</v>
      </c>
      <c r="R549" t="s">
        <v>28</v>
      </c>
      <c r="S549" t="s">
        <v>43</v>
      </c>
      <c r="T549">
        <v>238.54</v>
      </c>
      <c r="U549">
        <f t="shared" si="112"/>
        <v>1453</v>
      </c>
      <c r="V549">
        <f t="shared" si="113"/>
        <v>533</v>
      </c>
      <c r="W549">
        <f t="shared" si="114"/>
        <v>460</v>
      </c>
      <c r="X549">
        <f t="shared" si="115"/>
        <v>0.35149999999999998</v>
      </c>
      <c r="Y549" s="1">
        <f t="shared" si="116"/>
        <v>74990692</v>
      </c>
      <c r="Z549">
        <f t="shared" si="117"/>
        <v>51610.937370956643</v>
      </c>
      <c r="AA549">
        <f t="shared" si="118"/>
        <v>99996</v>
      </c>
      <c r="AB549">
        <f t="shared" si="119"/>
        <v>5091</v>
      </c>
      <c r="AC549">
        <f t="shared" si="120"/>
        <v>1939487.4700000002</v>
      </c>
      <c r="AD549">
        <f t="shared" si="121"/>
        <v>1334.8158774948383</v>
      </c>
      <c r="AE549">
        <f t="shared" si="122"/>
        <v>0.35149999999999998</v>
      </c>
      <c r="AF549">
        <f t="shared" si="123"/>
        <v>1415866942.5800004</v>
      </c>
      <c r="AG549" t="str">
        <f t="shared" si="124"/>
        <v>Active</v>
      </c>
      <c r="AH549">
        <f t="shared" si="125"/>
        <v>2862.48</v>
      </c>
    </row>
    <row r="550" spans="1:34" x14ac:dyDescent="0.35">
      <c r="A550" t="s">
        <v>1596</v>
      </c>
      <c r="B550" t="s">
        <v>1597</v>
      </c>
      <c r="C550">
        <v>21</v>
      </c>
      <c r="D550" t="s">
        <v>22</v>
      </c>
      <c r="E550" t="s">
        <v>39</v>
      </c>
      <c r="F550" t="s">
        <v>59</v>
      </c>
      <c r="G550">
        <v>91782</v>
      </c>
      <c r="H550">
        <v>717</v>
      </c>
      <c r="I550">
        <v>28085</v>
      </c>
      <c r="J550">
        <v>20.239999999999998</v>
      </c>
      <c r="K550">
        <v>48</v>
      </c>
      <c r="L550" t="s">
        <v>33</v>
      </c>
      <c r="M550">
        <v>35.909999999999997</v>
      </c>
      <c r="N550">
        <v>56892</v>
      </c>
      <c r="O550">
        <v>39607</v>
      </c>
      <c r="P550" t="s">
        <v>1598</v>
      </c>
      <c r="Q550" t="s">
        <v>61</v>
      </c>
      <c r="R550" t="s">
        <v>48</v>
      </c>
      <c r="S550" t="s">
        <v>68</v>
      </c>
      <c r="T550">
        <v>703.53</v>
      </c>
      <c r="U550">
        <f t="shared" si="112"/>
        <v>1452</v>
      </c>
      <c r="V550">
        <f t="shared" si="113"/>
        <v>532</v>
      </c>
      <c r="W550">
        <f t="shared" si="114"/>
        <v>460</v>
      </c>
      <c r="X550">
        <f t="shared" si="115"/>
        <v>0.35149999999999998</v>
      </c>
      <c r="Y550" s="1">
        <f t="shared" si="116"/>
        <v>74979881</v>
      </c>
      <c r="Z550">
        <f t="shared" si="117"/>
        <v>51639.036501377414</v>
      </c>
      <c r="AA550">
        <f t="shared" si="118"/>
        <v>99996</v>
      </c>
      <c r="AB550">
        <f t="shared" si="119"/>
        <v>5091</v>
      </c>
      <c r="AC550">
        <f t="shared" si="120"/>
        <v>1939248.9300000002</v>
      </c>
      <c r="AD550">
        <f t="shared" si="121"/>
        <v>1335.5708884297521</v>
      </c>
      <c r="AE550">
        <f t="shared" si="122"/>
        <v>0.35149999999999998</v>
      </c>
      <c r="AF550">
        <f t="shared" si="123"/>
        <v>1413927455.1100006</v>
      </c>
      <c r="AG550" t="str">
        <f t="shared" si="124"/>
        <v>Active</v>
      </c>
      <c r="AH550">
        <f t="shared" si="125"/>
        <v>8442.36</v>
      </c>
    </row>
    <row r="551" spans="1:34" x14ac:dyDescent="0.35">
      <c r="A551" t="s">
        <v>1599</v>
      </c>
      <c r="B551" t="s">
        <v>1600</v>
      </c>
      <c r="C551">
        <v>25</v>
      </c>
      <c r="D551" t="s">
        <v>22</v>
      </c>
      <c r="E551" t="s">
        <v>39</v>
      </c>
      <c r="F551" t="s">
        <v>24</v>
      </c>
      <c r="G551">
        <v>170547</v>
      </c>
      <c r="H551">
        <v>582</v>
      </c>
      <c r="I551">
        <v>81003</v>
      </c>
      <c r="J551">
        <v>21.15</v>
      </c>
      <c r="K551">
        <v>36</v>
      </c>
      <c r="L551" t="s">
        <v>40</v>
      </c>
      <c r="M551">
        <v>18.73</v>
      </c>
      <c r="N551">
        <v>47522</v>
      </c>
      <c r="O551">
        <v>52360</v>
      </c>
      <c r="P551" t="s">
        <v>1601</v>
      </c>
      <c r="Q551" t="s">
        <v>42</v>
      </c>
      <c r="R551" t="s">
        <v>48</v>
      </c>
      <c r="S551" t="s">
        <v>49</v>
      </c>
      <c r="T551">
        <v>2725.98</v>
      </c>
      <c r="U551">
        <f t="shared" si="112"/>
        <v>1451</v>
      </c>
      <c r="V551">
        <f t="shared" si="113"/>
        <v>532</v>
      </c>
      <c r="W551">
        <f t="shared" si="114"/>
        <v>459</v>
      </c>
      <c r="X551">
        <f t="shared" si="115"/>
        <v>0.35149999999999998</v>
      </c>
      <c r="Y551" s="1">
        <f t="shared" si="116"/>
        <v>74951796</v>
      </c>
      <c r="Z551">
        <f t="shared" si="117"/>
        <v>51655.269469331499</v>
      </c>
      <c r="AA551">
        <f t="shared" si="118"/>
        <v>99996</v>
      </c>
      <c r="AB551">
        <f t="shared" si="119"/>
        <v>5091</v>
      </c>
      <c r="AC551">
        <f t="shared" si="120"/>
        <v>1938545.4000000001</v>
      </c>
      <c r="AD551">
        <f t="shared" si="121"/>
        <v>1336.0064782908339</v>
      </c>
      <c r="AE551">
        <f t="shared" si="122"/>
        <v>0.35149999999999998</v>
      </c>
      <c r="AF551">
        <f t="shared" si="123"/>
        <v>1411988206.1800005</v>
      </c>
      <c r="AG551" t="str">
        <f t="shared" si="124"/>
        <v>Active</v>
      </c>
      <c r="AH551">
        <f t="shared" si="125"/>
        <v>32711.760000000002</v>
      </c>
    </row>
    <row r="552" spans="1:34" x14ac:dyDescent="0.35">
      <c r="A552" t="s">
        <v>1602</v>
      </c>
      <c r="B552" t="s">
        <v>1603</v>
      </c>
      <c r="C552">
        <v>45</v>
      </c>
      <c r="D552" t="s">
        <v>38</v>
      </c>
      <c r="E552" t="s">
        <v>39</v>
      </c>
      <c r="F552" t="s">
        <v>59</v>
      </c>
      <c r="G552">
        <v>101668</v>
      </c>
      <c r="H552">
        <v>469</v>
      </c>
      <c r="I552">
        <v>58557</v>
      </c>
      <c r="J552">
        <v>9.9600000000000009</v>
      </c>
      <c r="K552">
        <v>36</v>
      </c>
      <c r="L552" t="s">
        <v>52</v>
      </c>
      <c r="M552">
        <v>6.7</v>
      </c>
      <c r="N552">
        <v>18123</v>
      </c>
      <c r="O552">
        <v>58448</v>
      </c>
      <c r="P552" t="s">
        <v>1604</v>
      </c>
      <c r="Q552" t="s">
        <v>42</v>
      </c>
      <c r="R552" t="s">
        <v>28</v>
      </c>
      <c r="S552" t="s">
        <v>43</v>
      </c>
      <c r="T552">
        <v>1788.59</v>
      </c>
      <c r="U552">
        <f t="shared" si="112"/>
        <v>1450</v>
      </c>
      <c r="V552">
        <f t="shared" si="113"/>
        <v>531</v>
      </c>
      <c r="W552">
        <f t="shared" si="114"/>
        <v>459</v>
      </c>
      <c r="X552">
        <f t="shared" si="115"/>
        <v>0.35149999999999998</v>
      </c>
      <c r="Y552" s="1">
        <f t="shared" si="116"/>
        <v>74870793</v>
      </c>
      <c r="Z552">
        <f t="shared" si="117"/>
        <v>51635.029655172417</v>
      </c>
      <c r="AA552">
        <f t="shared" si="118"/>
        <v>99996</v>
      </c>
      <c r="AB552">
        <f t="shared" si="119"/>
        <v>5091</v>
      </c>
      <c r="AC552">
        <f t="shared" si="120"/>
        <v>1935819.4200000004</v>
      </c>
      <c r="AD552">
        <f t="shared" si="121"/>
        <v>1335.0478758620693</v>
      </c>
      <c r="AE552">
        <f t="shared" si="122"/>
        <v>0.35149999999999998</v>
      </c>
      <c r="AF552">
        <f t="shared" si="123"/>
        <v>1410049660.7800004</v>
      </c>
      <c r="AG552" t="str">
        <f t="shared" si="124"/>
        <v>Active</v>
      </c>
      <c r="AH552">
        <f t="shared" si="125"/>
        <v>21463.079999999998</v>
      </c>
    </row>
    <row r="553" spans="1:34" x14ac:dyDescent="0.35">
      <c r="A553" t="s">
        <v>1605</v>
      </c>
      <c r="B553" t="s">
        <v>1606</v>
      </c>
      <c r="C553">
        <v>48</v>
      </c>
      <c r="D553" t="s">
        <v>38</v>
      </c>
      <c r="E553" t="s">
        <v>32</v>
      </c>
      <c r="F553" t="s">
        <v>46</v>
      </c>
      <c r="G553">
        <v>197287</v>
      </c>
      <c r="H553">
        <v>335</v>
      </c>
      <c r="I553">
        <v>91245</v>
      </c>
      <c r="J553">
        <v>3.53</v>
      </c>
      <c r="K553">
        <v>60</v>
      </c>
      <c r="L553" t="s">
        <v>25</v>
      </c>
      <c r="M553">
        <v>38.619999999999997</v>
      </c>
      <c r="N553">
        <v>15567</v>
      </c>
      <c r="O553">
        <v>180471</v>
      </c>
      <c r="P553" t="s">
        <v>1607</v>
      </c>
      <c r="Q553" t="s">
        <v>42</v>
      </c>
      <c r="R553" t="s">
        <v>48</v>
      </c>
      <c r="S553" t="s">
        <v>35</v>
      </c>
      <c r="T553">
        <v>1574.43</v>
      </c>
      <c r="U553">
        <f t="shared" si="112"/>
        <v>1449</v>
      </c>
      <c r="V553">
        <f t="shared" si="113"/>
        <v>530</v>
      </c>
      <c r="W553">
        <f t="shared" si="114"/>
        <v>459</v>
      </c>
      <c r="X553">
        <f t="shared" si="115"/>
        <v>0.35149999999999998</v>
      </c>
      <c r="Y553" s="1">
        <f t="shared" si="116"/>
        <v>74812236</v>
      </c>
      <c r="Z553">
        <f t="shared" si="117"/>
        <v>51630.252587991716</v>
      </c>
      <c r="AA553">
        <f t="shared" si="118"/>
        <v>99996</v>
      </c>
      <c r="AB553">
        <f t="shared" si="119"/>
        <v>5091</v>
      </c>
      <c r="AC553">
        <f t="shared" si="120"/>
        <v>1934030.83</v>
      </c>
      <c r="AD553">
        <f t="shared" si="121"/>
        <v>1334.7348723257419</v>
      </c>
      <c r="AE553">
        <f t="shared" si="122"/>
        <v>0.35149999999999998</v>
      </c>
      <c r="AF553">
        <f t="shared" si="123"/>
        <v>1408113841.3600006</v>
      </c>
      <c r="AG553" t="str">
        <f t="shared" si="124"/>
        <v>Active</v>
      </c>
      <c r="AH553">
        <f t="shared" si="125"/>
        <v>18893.16</v>
      </c>
    </row>
    <row r="554" spans="1:34" x14ac:dyDescent="0.35">
      <c r="A554" t="s">
        <v>1608</v>
      </c>
      <c r="B554" t="s">
        <v>1609</v>
      </c>
      <c r="C554">
        <v>57</v>
      </c>
      <c r="D554" t="s">
        <v>38</v>
      </c>
      <c r="E554" t="s">
        <v>39</v>
      </c>
      <c r="F554" t="s">
        <v>59</v>
      </c>
      <c r="G554">
        <v>38700</v>
      </c>
      <c r="H554">
        <v>617</v>
      </c>
      <c r="I554">
        <v>60346</v>
      </c>
      <c r="J554">
        <v>15.07</v>
      </c>
      <c r="K554">
        <v>180</v>
      </c>
      <c r="L554" t="s">
        <v>33</v>
      </c>
      <c r="M554">
        <v>24.85</v>
      </c>
      <c r="N554">
        <v>78316</v>
      </c>
      <c r="O554">
        <v>240949</v>
      </c>
      <c r="P554" t="s">
        <v>1610</v>
      </c>
      <c r="Q554" t="s">
        <v>27</v>
      </c>
      <c r="R554" t="s">
        <v>28</v>
      </c>
      <c r="S554" t="s">
        <v>68</v>
      </c>
      <c r="T554">
        <v>385.78</v>
      </c>
      <c r="U554">
        <f t="shared" si="112"/>
        <v>1448</v>
      </c>
      <c r="V554">
        <f t="shared" si="113"/>
        <v>529</v>
      </c>
      <c r="W554">
        <f t="shared" si="114"/>
        <v>459</v>
      </c>
      <c r="X554">
        <f t="shared" si="115"/>
        <v>0.35149999999999998</v>
      </c>
      <c r="Y554" s="1">
        <f t="shared" si="116"/>
        <v>74720991</v>
      </c>
      <c r="Z554">
        <f t="shared" si="117"/>
        <v>51602.894337016573</v>
      </c>
      <c r="AA554">
        <f t="shared" si="118"/>
        <v>99996</v>
      </c>
      <c r="AB554">
        <f t="shared" si="119"/>
        <v>5091</v>
      </c>
      <c r="AC554">
        <f t="shared" si="120"/>
        <v>1932456.4</v>
      </c>
      <c r="AD554">
        <f t="shared" si="121"/>
        <v>1334.5693370165745</v>
      </c>
      <c r="AE554">
        <f t="shared" si="122"/>
        <v>0.35149999999999998</v>
      </c>
      <c r="AF554">
        <f t="shared" si="123"/>
        <v>1406179810.5300007</v>
      </c>
      <c r="AG554" t="str">
        <f t="shared" si="124"/>
        <v>Active</v>
      </c>
      <c r="AH554">
        <f t="shared" si="125"/>
        <v>4629.3599999999997</v>
      </c>
    </row>
    <row r="555" spans="1:34" x14ac:dyDescent="0.35">
      <c r="A555" t="s">
        <v>1611</v>
      </c>
      <c r="B555" t="s">
        <v>1612</v>
      </c>
      <c r="C555">
        <v>40</v>
      </c>
      <c r="D555" t="s">
        <v>38</v>
      </c>
      <c r="E555" t="s">
        <v>32</v>
      </c>
      <c r="F555" t="s">
        <v>59</v>
      </c>
      <c r="G555">
        <v>30747</v>
      </c>
      <c r="H555">
        <v>594</v>
      </c>
      <c r="I555">
        <v>68274</v>
      </c>
      <c r="J555">
        <v>5.75</v>
      </c>
      <c r="K555">
        <v>360</v>
      </c>
      <c r="L555" t="s">
        <v>40</v>
      </c>
      <c r="M555">
        <v>48.17</v>
      </c>
      <c r="N555">
        <v>74946</v>
      </c>
      <c r="O555">
        <v>248712</v>
      </c>
      <c r="P555" t="s">
        <v>1613</v>
      </c>
      <c r="Q555" t="s">
        <v>27</v>
      </c>
      <c r="R555" t="s">
        <v>28</v>
      </c>
      <c r="S555" t="s">
        <v>35</v>
      </c>
      <c r="T555">
        <v>200.55</v>
      </c>
      <c r="U555">
        <f t="shared" si="112"/>
        <v>1447</v>
      </c>
      <c r="V555">
        <f t="shared" si="113"/>
        <v>529</v>
      </c>
      <c r="W555">
        <f t="shared" si="114"/>
        <v>459</v>
      </c>
      <c r="X555">
        <f t="shared" si="115"/>
        <v>0.35149999999999998</v>
      </c>
      <c r="Y555" s="1">
        <f t="shared" si="116"/>
        <v>74660645</v>
      </c>
      <c r="Z555">
        <f t="shared" si="117"/>
        <v>51596.85210780926</v>
      </c>
      <c r="AA555">
        <f t="shared" si="118"/>
        <v>99996</v>
      </c>
      <c r="AB555">
        <f t="shared" si="119"/>
        <v>5091</v>
      </c>
      <c r="AC555">
        <f t="shared" si="120"/>
        <v>1932070.6199999999</v>
      </c>
      <c r="AD555">
        <f t="shared" si="121"/>
        <v>1335.2250310988252</v>
      </c>
      <c r="AE555">
        <f t="shared" si="122"/>
        <v>0.35149999999999998</v>
      </c>
      <c r="AF555">
        <f t="shared" si="123"/>
        <v>1404247354.1300006</v>
      </c>
      <c r="AG555" t="str">
        <f t="shared" si="124"/>
        <v>Active</v>
      </c>
      <c r="AH555">
        <f t="shared" si="125"/>
        <v>2406.6000000000004</v>
      </c>
    </row>
    <row r="556" spans="1:34" x14ac:dyDescent="0.35">
      <c r="A556" t="s">
        <v>1614</v>
      </c>
      <c r="B556" t="s">
        <v>1615</v>
      </c>
      <c r="C556">
        <v>29</v>
      </c>
      <c r="D556" t="s">
        <v>38</v>
      </c>
      <c r="E556" t="s">
        <v>23</v>
      </c>
      <c r="F556" t="s">
        <v>24</v>
      </c>
      <c r="G556">
        <v>122035</v>
      </c>
      <c r="H556">
        <v>314</v>
      </c>
      <c r="I556">
        <v>68346</v>
      </c>
      <c r="J556">
        <v>23.8</v>
      </c>
      <c r="K556">
        <v>180</v>
      </c>
      <c r="L556" t="s">
        <v>40</v>
      </c>
      <c r="M556">
        <v>21.98</v>
      </c>
      <c r="N556">
        <v>39878</v>
      </c>
      <c r="O556">
        <v>63818</v>
      </c>
      <c r="P556" t="s">
        <v>1616</v>
      </c>
      <c r="Q556" t="s">
        <v>42</v>
      </c>
      <c r="R556" t="s">
        <v>48</v>
      </c>
      <c r="S556" t="s">
        <v>49</v>
      </c>
      <c r="T556">
        <v>470.07</v>
      </c>
      <c r="U556">
        <f t="shared" si="112"/>
        <v>1446</v>
      </c>
      <c r="V556">
        <f t="shared" si="113"/>
        <v>529</v>
      </c>
      <c r="W556">
        <f t="shared" si="114"/>
        <v>459</v>
      </c>
      <c r="X556">
        <f t="shared" si="115"/>
        <v>0.35149999999999998</v>
      </c>
      <c r="Y556" s="1">
        <f t="shared" si="116"/>
        <v>74592371</v>
      </c>
      <c r="Z556">
        <f t="shared" si="117"/>
        <v>51585.318810511759</v>
      </c>
      <c r="AA556">
        <f t="shared" si="118"/>
        <v>99996</v>
      </c>
      <c r="AB556">
        <f t="shared" si="119"/>
        <v>5091</v>
      </c>
      <c r="AC556">
        <f t="shared" si="120"/>
        <v>1931870.0699999998</v>
      </c>
      <c r="AD556">
        <f t="shared" si="121"/>
        <v>1336.0097302904562</v>
      </c>
      <c r="AE556">
        <f t="shared" si="122"/>
        <v>0.35149999999999998</v>
      </c>
      <c r="AF556">
        <f t="shared" si="123"/>
        <v>1402315283.5100007</v>
      </c>
      <c r="AG556" t="str">
        <f t="shared" si="124"/>
        <v>Active</v>
      </c>
      <c r="AH556">
        <f t="shared" si="125"/>
        <v>5640.84</v>
      </c>
    </row>
    <row r="557" spans="1:34" x14ac:dyDescent="0.35">
      <c r="A557" t="s">
        <v>1617</v>
      </c>
      <c r="B557" t="s">
        <v>1618</v>
      </c>
      <c r="C557">
        <v>63</v>
      </c>
      <c r="D557" t="s">
        <v>38</v>
      </c>
      <c r="E557" t="s">
        <v>39</v>
      </c>
      <c r="F557" t="s">
        <v>59</v>
      </c>
      <c r="G557">
        <v>134944</v>
      </c>
      <c r="H557">
        <v>663</v>
      </c>
      <c r="I557">
        <v>16559</v>
      </c>
      <c r="J557">
        <v>15.8</v>
      </c>
      <c r="K557">
        <v>24</v>
      </c>
      <c r="L557" t="s">
        <v>40</v>
      </c>
      <c r="M557">
        <v>25.73</v>
      </c>
      <c r="N557">
        <v>23987</v>
      </c>
      <c r="O557">
        <v>249498</v>
      </c>
      <c r="P557" t="s">
        <v>1619</v>
      </c>
      <c r="Q557" t="s">
        <v>61</v>
      </c>
      <c r="R557" t="s">
        <v>48</v>
      </c>
      <c r="S557" t="s">
        <v>43</v>
      </c>
      <c r="T557">
        <v>798.97</v>
      </c>
      <c r="U557">
        <f t="shared" si="112"/>
        <v>1445</v>
      </c>
      <c r="V557">
        <f t="shared" si="113"/>
        <v>528</v>
      </c>
      <c r="W557">
        <f t="shared" si="114"/>
        <v>459</v>
      </c>
      <c r="X557">
        <f t="shared" si="115"/>
        <v>0.35149999999999998</v>
      </c>
      <c r="Y557" s="1">
        <f t="shared" si="116"/>
        <v>74524025</v>
      </c>
      <c r="Z557">
        <f t="shared" si="117"/>
        <v>51573.719723183392</v>
      </c>
      <c r="AA557">
        <f t="shared" si="118"/>
        <v>99996</v>
      </c>
      <c r="AB557">
        <f t="shared" si="119"/>
        <v>5091</v>
      </c>
      <c r="AC557">
        <f t="shared" si="120"/>
        <v>1931400</v>
      </c>
      <c r="AD557">
        <f t="shared" si="121"/>
        <v>1336.6089965397923</v>
      </c>
      <c r="AE557">
        <f t="shared" si="122"/>
        <v>0.35149999999999998</v>
      </c>
      <c r="AF557">
        <f t="shared" si="123"/>
        <v>1400383413.4400005</v>
      </c>
      <c r="AG557" t="str">
        <f t="shared" si="124"/>
        <v>Active</v>
      </c>
      <c r="AH557">
        <f t="shared" si="125"/>
        <v>9587.64</v>
      </c>
    </row>
    <row r="558" spans="1:34" x14ac:dyDescent="0.35">
      <c r="A558" t="s">
        <v>1620</v>
      </c>
      <c r="B558" t="s">
        <v>1621</v>
      </c>
      <c r="C558">
        <v>25</v>
      </c>
      <c r="D558" t="s">
        <v>38</v>
      </c>
      <c r="E558" t="s">
        <v>39</v>
      </c>
      <c r="F558" t="s">
        <v>24</v>
      </c>
      <c r="G558">
        <v>35736</v>
      </c>
      <c r="H558">
        <v>589</v>
      </c>
      <c r="I558">
        <v>89962</v>
      </c>
      <c r="J558">
        <v>10.75</v>
      </c>
      <c r="K558">
        <v>60</v>
      </c>
      <c r="L558" t="s">
        <v>25</v>
      </c>
      <c r="M558">
        <v>19.75</v>
      </c>
      <c r="N558">
        <v>50803</v>
      </c>
      <c r="O558">
        <v>80880</v>
      </c>
      <c r="P558" t="s">
        <v>1622</v>
      </c>
      <c r="Q558" t="s">
        <v>27</v>
      </c>
      <c r="R558" t="s">
        <v>28</v>
      </c>
      <c r="S558" t="s">
        <v>35</v>
      </c>
      <c r="T558">
        <v>1660.55</v>
      </c>
      <c r="U558">
        <f t="shared" si="112"/>
        <v>1444</v>
      </c>
      <c r="V558">
        <f t="shared" si="113"/>
        <v>528</v>
      </c>
      <c r="W558">
        <f t="shared" si="114"/>
        <v>458</v>
      </c>
      <c r="X558">
        <f t="shared" si="115"/>
        <v>0.35149999999999998</v>
      </c>
      <c r="Y558" s="1">
        <f t="shared" si="116"/>
        <v>74507466</v>
      </c>
      <c r="Z558">
        <f t="shared" si="117"/>
        <v>51597.968144044324</v>
      </c>
      <c r="AA558">
        <f t="shared" si="118"/>
        <v>99996</v>
      </c>
      <c r="AB558">
        <f t="shared" si="119"/>
        <v>5091</v>
      </c>
      <c r="AC558">
        <f t="shared" si="120"/>
        <v>1930601.03</v>
      </c>
      <c r="AD558">
        <f t="shared" si="121"/>
        <v>1336.9813227146815</v>
      </c>
      <c r="AE558">
        <f t="shared" si="122"/>
        <v>0.35149999999999998</v>
      </c>
      <c r="AF558">
        <f t="shared" si="123"/>
        <v>1398452013.4400005</v>
      </c>
      <c r="AG558" t="str">
        <f t="shared" si="124"/>
        <v>Active</v>
      </c>
      <c r="AH558">
        <f t="shared" si="125"/>
        <v>19926.599999999999</v>
      </c>
    </row>
    <row r="559" spans="1:34" x14ac:dyDescent="0.35">
      <c r="A559" t="s">
        <v>1623</v>
      </c>
      <c r="B559" t="s">
        <v>1624</v>
      </c>
      <c r="C559">
        <v>47</v>
      </c>
      <c r="D559" t="s">
        <v>38</v>
      </c>
      <c r="E559" t="s">
        <v>23</v>
      </c>
      <c r="F559" t="s">
        <v>59</v>
      </c>
      <c r="G559">
        <v>103555</v>
      </c>
      <c r="H559">
        <v>745</v>
      </c>
      <c r="I559">
        <v>21750</v>
      </c>
      <c r="J559">
        <v>22.88</v>
      </c>
      <c r="K559">
        <v>180</v>
      </c>
      <c r="L559" t="s">
        <v>33</v>
      </c>
      <c r="M559">
        <v>37.89</v>
      </c>
      <c r="N559">
        <v>79033</v>
      </c>
      <c r="O559">
        <v>76784</v>
      </c>
      <c r="P559" t="s">
        <v>1625</v>
      </c>
      <c r="Q559" t="s">
        <v>61</v>
      </c>
      <c r="R559" t="s">
        <v>48</v>
      </c>
      <c r="S559" t="s">
        <v>49</v>
      </c>
      <c r="T559">
        <v>148.47999999999999</v>
      </c>
      <c r="U559">
        <f t="shared" si="112"/>
        <v>1443</v>
      </c>
      <c r="V559">
        <f t="shared" si="113"/>
        <v>528</v>
      </c>
      <c r="W559">
        <f t="shared" si="114"/>
        <v>458</v>
      </c>
      <c r="X559">
        <f t="shared" si="115"/>
        <v>0.35149999999999998</v>
      </c>
      <c r="Y559" s="1">
        <f t="shared" si="116"/>
        <v>74417504</v>
      </c>
      <c r="Z559">
        <f t="shared" si="117"/>
        <v>51571.381843381845</v>
      </c>
      <c r="AA559">
        <f t="shared" si="118"/>
        <v>99996</v>
      </c>
      <c r="AB559">
        <f t="shared" si="119"/>
        <v>5091</v>
      </c>
      <c r="AC559">
        <f t="shared" si="120"/>
        <v>1928940.48</v>
      </c>
      <c r="AD559">
        <f t="shared" si="121"/>
        <v>1336.7570893970894</v>
      </c>
      <c r="AE559">
        <f t="shared" si="122"/>
        <v>0.35149999999999998</v>
      </c>
      <c r="AF559">
        <f t="shared" si="123"/>
        <v>1396521412.4100003</v>
      </c>
      <c r="AG559" t="str">
        <f t="shared" si="124"/>
        <v>Active</v>
      </c>
      <c r="AH559">
        <f t="shared" si="125"/>
        <v>1781.7599999999998</v>
      </c>
    </row>
    <row r="560" spans="1:34" x14ac:dyDescent="0.35">
      <c r="A560" t="s">
        <v>1626</v>
      </c>
      <c r="B560" t="s">
        <v>1627</v>
      </c>
      <c r="C560">
        <v>46</v>
      </c>
      <c r="D560" t="s">
        <v>38</v>
      </c>
      <c r="E560" t="s">
        <v>32</v>
      </c>
      <c r="F560" t="s">
        <v>46</v>
      </c>
      <c r="G560">
        <v>118031</v>
      </c>
      <c r="H560">
        <v>683</v>
      </c>
      <c r="I560">
        <v>20616</v>
      </c>
      <c r="J560">
        <v>20.07</v>
      </c>
      <c r="K560">
        <v>180</v>
      </c>
      <c r="L560" t="s">
        <v>52</v>
      </c>
      <c r="M560">
        <v>16.48</v>
      </c>
      <c r="N560">
        <v>22550</v>
      </c>
      <c r="O560">
        <v>240636</v>
      </c>
      <c r="P560" t="s">
        <v>1628</v>
      </c>
      <c r="Q560" t="s">
        <v>42</v>
      </c>
      <c r="R560" t="s">
        <v>48</v>
      </c>
      <c r="S560" t="s">
        <v>29</v>
      </c>
      <c r="T560">
        <v>137.52000000000001</v>
      </c>
      <c r="U560">
        <f t="shared" si="112"/>
        <v>1442</v>
      </c>
      <c r="V560">
        <f t="shared" si="113"/>
        <v>528</v>
      </c>
      <c r="W560">
        <f t="shared" si="114"/>
        <v>457</v>
      </c>
      <c r="X560">
        <f t="shared" si="115"/>
        <v>0.35149999999999998</v>
      </c>
      <c r="Y560" s="1">
        <f t="shared" si="116"/>
        <v>74395754</v>
      </c>
      <c r="Z560">
        <f t="shared" si="117"/>
        <v>51592.062413314838</v>
      </c>
      <c r="AA560">
        <f t="shared" si="118"/>
        <v>99996</v>
      </c>
      <c r="AB560">
        <f t="shared" si="119"/>
        <v>5091</v>
      </c>
      <c r="AC560">
        <f t="shared" si="120"/>
        <v>1928792</v>
      </c>
      <c r="AD560">
        <f t="shared" si="121"/>
        <v>1337.5811373092927</v>
      </c>
      <c r="AE560">
        <f t="shared" si="122"/>
        <v>0.35149999999999998</v>
      </c>
      <c r="AF560">
        <f t="shared" si="123"/>
        <v>1394592471.9300005</v>
      </c>
      <c r="AG560" t="str">
        <f t="shared" si="124"/>
        <v>Active</v>
      </c>
      <c r="AH560">
        <f t="shared" si="125"/>
        <v>1650.2400000000002</v>
      </c>
    </row>
    <row r="561" spans="1:34" x14ac:dyDescent="0.35">
      <c r="A561" t="s">
        <v>1629</v>
      </c>
      <c r="B561" t="s">
        <v>1630</v>
      </c>
      <c r="C561">
        <v>56</v>
      </c>
      <c r="D561" t="s">
        <v>22</v>
      </c>
      <c r="E561" t="s">
        <v>32</v>
      </c>
      <c r="F561" t="s">
        <v>59</v>
      </c>
      <c r="G561">
        <v>76751</v>
      </c>
      <c r="H561">
        <v>763</v>
      </c>
      <c r="I561">
        <v>11041</v>
      </c>
      <c r="J561">
        <v>15.8</v>
      </c>
      <c r="K561">
        <v>360</v>
      </c>
      <c r="L561" t="s">
        <v>52</v>
      </c>
      <c r="M561">
        <v>5.95</v>
      </c>
      <c r="N561">
        <v>4136</v>
      </c>
      <c r="O561">
        <v>202595</v>
      </c>
      <c r="P561" t="s">
        <v>1631</v>
      </c>
      <c r="Q561" t="s">
        <v>61</v>
      </c>
      <c r="R561" t="s">
        <v>28</v>
      </c>
      <c r="S561" t="s">
        <v>35</v>
      </c>
      <c r="T561">
        <v>35.520000000000003</v>
      </c>
      <c r="U561">
        <f t="shared" si="112"/>
        <v>1441</v>
      </c>
      <c r="V561">
        <f t="shared" si="113"/>
        <v>527</v>
      </c>
      <c r="W561">
        <f t="shared" si="114"/>
        <v>457</v>
      </c>
      <c r="X561">
        <f t="shared" si="115"/>
        <v>0.35149999999999998</v>
      </c>
      <c r="Y561" s="1">
        <f t="shared" si="116"/>
        <v>74375138</v>
      </c>
      <c r="Z561">
        <f t="shared" si="117"/>
        <v>51613.558639833449</v>
      </c>
      <c r="AA561">
        <f t="shared" si="118"/>
        <v>99996</v>
      </c>
      <c r="AB561">
        <f t="shared" si="119"/>
        <v>5091</v>
      </c>
      <c r="AC561">
        <f t="shared" si="120"/>
        <v>1928654.48</v>
      </c>
      <c r="AD561">
        <f t="shared" si="121"/>
        <v>1338.4139347675225</v>
      </c>
      <c r="AE561">
        <f t="shared" si="122"/>
        <v>0.35149999999999998</v>
      </c>
      <c r="AF561">
        <f t="shared" si="123"/>
        <v>1392663679.9300005</v>
      </c>
      <c r="AG561" t="str">
        <f t="shared" si="124"/>
        <v>Active</v>
      </c>
      <c r="AH561">
        <f t="shared" si="125"/>
        <v>426.24</v>
      </c>
    </row>
    <row r="562" spans="1:34" x14ac:dyDescent="0.35">
      <c r="A562" t="s">
        <v>1632</v>
      </c>
      <c r="B562" t="s">
        <v>1633</v>
      </c>
      <c r="C562">
        <v>39</v>
      </c>
      <c r="D562" t="s">
        <v>22</v>
      </c>
      <c r="E562" t="s">
        <v>39</v>
      </c>
      <c r="F562" t="s">
        <v>24</v>
      </c>
      <c r="G562">
        <v>159891</v>
      </c>
      <c r="H562">
        <v>383</v>
      </c>
      <c r="I562">
        <v>80481</v>
      </c>
      <c r="J562">
        <v>17.48</v>
      </c>
      <c r="K562">
        <v>24</v>
      </c>
      <c r="L562" t="s">
        <v>86</v>
      </c>
      <c r="M562">
        <v>7.31</v>
      </c>
      <c r="N562">
        <v>77299</v>
      </c>
      <c r="O562">
        <v>193428</v>
      </c>
      <c r="P562" t="s">
        <v>1634</v>
      </c>
      <c r="Q562" t="s">
        <v>42</v>
      </c>
      <c r="R562" t="s">
        <v>48</v>
      </c>
      <c r="S562" t="s">
        <v>29</v>
      </c>
      <c r="T562">
        <v>3939.54</v>
      </c>
      <c r="U562">
        <f t="shared" si="112"/>
        <v>1440</v>
      </c>
      <c r="V562">
        <f t="shared" si="113"/>
        <v>527</v>
      </c>
      <c r="W562">
        <f t="shared" si="114"/>
        <v>456</v>
      </c>
      <c r="X562">
        <f t="shared" si="115"/>
        <v>0.35149999999999998</v>
      </c>
      <c r="Y562" s="1">
        <f t="shared" si="116"/>
        <v>74364097</v>
      </c>
      <c r="Z562">
        <f t="shared" si="117"/>
        <v>51641.734027777777</v>
      </c>
      <c r="AA562">
        <f t="shared" si="118"/>
        <v>99996</v>
      </c>
      <c r="AB562">
        <f t="shared" si="119"/>
        <v>5091</v>
      </c>
      <c r="AC562">
        <f t="shared" si="120"/>
        <v>1928618.96</v>
      </c>
      <c r="AD562">
        <f t="shared" si="121"/>
        <v>1339.3187222222223</v>
      </c>
      <c r="AE562">
        <f t="shared" si="122"/>
        <v>0.35149999999999998</v>
      </c>
      <c r="AF562">
        <f t="shared" si="123"/>
        <v>1390735025.4500005</v>
      </c>
      <c r="AG562" t="str">
        <f t="shared" si="124"/>
        <v>Active</v>
      </c>
      <c r="AH562">
        <f t="shared" si="125"/>
        <v>47274.479999999996</v>
      </c>
    </row>
    <row r="563" spans="1:34" x14ac:dyDescent="0.35">
      <c r="A563" t="s">
        <v>1635</v>
      </c>
      <c r="B563" t="s">
        <v>1636</v>
      </c>
      <c r="C563">
        <v>32</v>
      </c>
      <c r="D563" t="s">
        <v>38</v>
      </c>
      <c r="E563" t="s">
        <v>32</v>
      </c>
      <c r="F563" t="s">
        <v>46</v>
      </c>
      <c r="G563">
        <v>55241</v>
      </c>
      <c r="H563">
        <v>760</v>
      </c>
      <c r="I563">
        <v>96105</v>
      </c>
      <c r="J563">
        <v>10.1</v>
      </c>
      <c r="K563">
        <v>240</v>
      </c>
      <c r="L563" t="s">
        <v>33</v>
      </c>
      <c r="M563">
        <v>48.27</v>
      </c>
      <c r="N563">
        <v>71728</v>
      </c>
      <c r="O563">
        <v>169749</v>
      </c>
      <c r="P563" t="s">
        <v>1637</v>
      </c>
      <c r="Q563" t="s">
        <v>27</v>
      </c>
      <c r="R563" t="s">
        <v>48</v>
      </c>
      <c r="S563" t="s">
        <v>49</v>
      </c>
      <c r="T563">
        <v>440.88</v>
      </c>
      <c r="U563">
        <f t="shared" si="112"/>
        <v>1439</v>
      </c>
      <c r="V563">
        <f t="shared" si="113"/>
        <v>526</v>
      </c>
      <c r="W563">
        <f t="shared" si="114"/>
        <v>456</v>
      </c>
      <c r="X563">
        <f t="shared" si="115"/>
        <v>0.35149999999999998</v>
      </c>
      <c r="Y563" s="1">
        <f t="shared" si="116"/>
        <v>74283616</v>
      </c>
      <c r="Z563">
        <f t="shared" si="117"/>
        <v>51621.692842251563</v>
      </c>
      <c r="AA563">
        <f t="shared" si="118"/>
        <v>99996</v>
      </c>
      <c r="AB563">
        <f t="shared" si="119"/>
        <v>5091</v>
      </c>
      <c r="AC563">
        <f t="shared" si="120"/>
        <v>1924679.42</v>
      </c>
      <c r="AD563">
        <f t="shared" si="121"/>
        <v>1337.5117581653926</v>
      </c>
      <c r="AE563">
        <f t="shared" si="122"/>
        <v>0.35149999999999998</v>
      </c>
      <c r="AF563">
        <f t="shared" si="123"/>
        <v>1388806406.4900002</v>
      </c>
      <c r="AG563" t="str">
        <f t="shared" si="124"/>
        <v>Active</v>
      </c>
      <c r="AH563">
        <f t="shared" si="125"/>
        <v>5290.5599999999995</v>
      </c>
    </row>
    <row r="564" spans="1:34" x14ac:dyDescent="0.35">
      <c r="A564" t="s">
        <v>1638</v>
      </c>
      <c r="B564" t="s">
        <v>1639</v>
      </c>
      <c r="C564">
        <v>44</v>
      </c>
      <c r="D564" t="s">
        <v>22</v>
      </c>
      <c r="E564" t="s">
        <v>39</v>
      </c>
      <c r="F564" t="s">
        <v>46</v>
      </c>
      <c r="G564">
        <v>156420</v>
      </c>
      <c r="H564">
        <v>544</v>
      </c>
      <c r="I564">
        <v>36335</v>
      </c>
      <c r="J564">
        <v>16.559999999999999</v>
      </c>
      <c r="K564">
        <v>180</v>
      </c>
      <c r="L564" t="s">
        <v>33</v>
      </c>
      <c r="M564">
        <v>38.72</v>
      </c>
      <c r="N564">
        <v>24372</v>
      </c>
      <c r="O564">
        <v>111494</v>
      </c>
      <c r="P564" t="s">
        <v>1523</v>
      </c>
      <c r="Q564" t="s">
        <v>27</v>
      </c>
      <c r="R564" t="s">
        <v>48</v>
      </c>
      <c r="S564" t="s">
        <v>68</v>
      </c>
      <c r="T564">
        <v>235.29</v>
      </c>
      <c r="U564">
        <f t="shared" si="112"/>
        <v>1438</v>
      </c>
      <c r="V564">
        <f t="shared" si="113"/>
        <v>526</v>
      </c>
      <c r="W564">
        <f t="shared" si="114"/>
        <v>456</v>
      </c>
      <c r="X564">
        <f t="shared" si="115"/>
        <v>0.35149999999999998</v>
      </c>
      <c r="Y564" s="1">
        <f t="shared" si="116"/>
        <v>74187511</v>
      </c>
      <c r="Z564">
        <f t="shared" si="117"/>
        <v>51590.758692628653</v>
      </c>
      <c r="AA564">
        <f t="shared" si="118"/>
        <v>99996</v>
      </c>
      <c r="AB564">
        <f t="shared" si="119"/>
        <v>5091</v>
      </c>
      <c r="AC564">
        <f t="shared" si="120"/>
        <v>1924238.5399999998</v>
      </c>
      <c r="AD564">
        <f t="shared" si="121"/>
        <v>1338.1352851182196</v>
      </c>
      <c r="AE564">
        <f t="shared" si="122"/>
        <v>0.35149999999999998</v>
      </c>
      <c r="AF564">
        <f t="shared" si="123"/>
        <v>1386881727.0700002</v>
      </c>
      <c r="AG564" t="str">
        <f t="shared" si="124"/>
        <v>Active</v>
      </c>
      <c r="AH564">
        <f t="shared" si="125"/>
        <v>2823.48</v>
      </c>
    </row>
    <row r="565" spans="1:34" x14ac:dyDescent="0.35">
      <c r="A565" t="s">
        <v>1640</v>
      </c>
      <c r="B565" t="s">
        <v>1641</v>
      </c>
      <c r="C565">
        <v>46</v>
      </c>
      <c r="D565" t="s">
        <v>22</v>
      </c>
      <c r="E565" t="s">
        <v>39</v>
      </c>
      <c r="F565" t="s">
        <v>59</v>
      </c>
      <c r="G565">
        <v>129519</v>
      </c>
      <c r="H565">
        <v>482</v>
      </c>
      <c r="I565">
        <v>94505</v>
      </c>
      <c r="J565">
        <v>5.99</v>
      </c>
      <c r="K565">
        <v>12</v>
      </c>
      <c r="L565" t="s">
        <v>33</v>
      </c>
      <c r="M565">
        <v>10.199999999999999</v>
      </c>
      <c r="N565">
        <v>10830</v>
      </c>
      <c r="O565">
        <v>127075</v>
      </c>
      <c r="P565" t="s">
        <v>1642</v>
      </c>
      <c r="Q565" t="s">
        <v>27</v>
      </c>
      <c r="R565" t="s">
        <v>28</v>
      </c>
      <c r="S565" t="s">
        <v>29</v>
      </c>
      <c r="T565">
        <v>8347.15</v>
      </c>
      <c r="U565">
        <f t="shared" si="112"/>
        <v>1437</v>
      </c>
      <c r="V565">
        <f t="shared" si="113"/>
        <v>526</v>
      </c>
      <c r="W565">
        <f t="shared" si="114"/>
        <v>456</v>
      </c>
      <c r="X565">
        <f t="shared" si="115"/>
        <v>0.35149999999999998</v>
      </c>
      <c r="Y565" s="1">
        <f t="shared" si="116"/>
        <v>74151176</v>
      </c>
      <c r="Z565">
        <f t="shared" si="117"/>
        <v>51601.37508698678</v>
      </c>
      <c r="AA565">
        <f t="shared" si="118"/>
        <v>99996</v>
      </c>
      <c r="AB565">
        <f t="shared" si="119"/>
        <v>5091</v>
      </c>
      <c r="AC565">
        <f t="shared" si="120"/>
        <v>1924003.2499999998</v>
      </c>
      <c r="AD565">
        <f t="shared" si="121"/>
        <v>1338.902748782185</v>
      </c>
      <c r="AE565">
        <f t="shared" si="122"/>
        <v>0.35149999999999998</v>
      </c>
      <c r="AF565">
        <f t="shared" si="123"/>
        <v>1384957488.5300002</v>
      </c>
      <c r="AG565" t="str">
        <f t="shared" si="124"/>
        <v>Active</v>
      </c>
      <c r="AH565">
        <f t="shared" si="125"/>
        <v>100165.79999999999</v>
      </c>
    </row>
    <row r="566" spans="1:34" x14ac:dyDescent="0.35">
      <c r="A566" t="s">
        <v>1643</v>
      </c>
      <c r="B566" t="s">
        <v>1644</v>
      </c>
      <c r="C566">
        <v>35</v>
      </c>
      <c r="D566" t="s">
        <v>22</v>
      </c>
      <c r="E566" t="s">
        <v>23</v>
      </c>
      <c r="F566" t="s">
        <v>46</v>
      </c>
      <c r="G566">
        <v>40723</v>
      </c>
      <c r="H566">
        <v>747</v>
      </c>
      <c r="I566">
        <v>41734</v>
      </c>
      <c r="J566">
        <v>6.62</v>
      </c>
      <c r="K566">
        <v>240</v>
      </c>
      <c r="L566" t="s">
        <v>52</v>
      </c>
      <c r="M566">
        <v>19.36</v>
      </c>
      <c r="N566">
        <v>40239</v>
      </c>
      <c r="O566">
        <v>79171</v>
      </c>
      <c r="P566" t="s">
        <v>177</v>
      </c>
      <c r="Q566" t="s">
        <v>42</v>
      </c>
      <c r="R566" t="s">
        <v>28</v>
      </c>
      <c r="S566" t="s">
        <v>68</v>
      </c>
      <c r="T566">
        <v>185.4</v>
      </c>
      <c r="U566">
        <f t="shared" si="112"/>
        <v>1436</v>
      </c>
      <c r="V566">
        <f t="shared" si="113"/>
        <v>526</v>
      </c>
      <c r="W566">
        <f t="shared" si="114"/>
        <v>456</v>
      </c>
      <c r="X566">
        <f t="shared" si="115"/>
        <v>0.35149999999999998</v>
      </c>
      <c r="Y566" s="1">
        <f t="shared" si="116"/>
        <v>74056671</v>
      </c>
      <c r="Z566">
        <f t="shared" si="117"/>
        <v>51571.497910863509</v>
      </c>
      <c r="AA566">
        <f t="shared" si="118"/>
        <v>99996</v>
      </c>
      <c r="AB566">
        <f t="shared" si="119"/>
        <v>5091</v>
      </c>
      <c r="AC566">
        <f t="shared" si="120"/>
        <v>1915656.0999999999</v>
      </c>
      <c r="AD566">
        <f t="shared" si="121"/>
        <v>1334.0223537604456</v>
      </c>
      <c r="AE566">
        <f t="shared" si="122"/>
        <v>0.35149999999999998</v>
      </c>
      <c r="AF566">
        <f t="shared" si="123"/>
        <v>1383033485.2800004</v>
      </c>
      <c r="AG566" t="str">
        <f t="shared" si="124"/>
        <v>Over Paid</v>
      </c>
      <c r="AH566">
        <f t="shared" si="125"/>
        <v>2224.8000000000002</v>
      </c>
    </row>
    <row r="567" spans="1:34" x14ac:dyDescent="0.35">
      <c r="A567" t="s">
        <v>1645</v>
      </c>
      <c r="B567" t="s">
        <v>1646</v>
      </c>
      <c r="C567">
        <v>39</v>
      </c>
      <c r="D567" t="s">
        <v>38</v>
      </c>
      <c r="E567" t="s">
        <v>23</v>
      </c>
      <c r="F567" t="s">
        <v>24</v>
      </c>
      <c r="G567">
        <v>97374</v>
      </c>
      <c r="H567">
        <v>552</v>
      </c>
      <c r="I567">
        <v>48151</v>
      </c>
      <c r="J567">
        <v>12.71</v>
      </c>
      <c r="K567">
        <v>60</v>
      </c>
      <c r="L567" t="s">
        <v>86</v>
      </c>
      <c r="M567">
        <v>40.630000000000003</v>
      </c>
      <c r="N567">
        <v>26264</v>
      </c>
      <c r="O567">
        <v>103952</v>
      </c>
      <c r="P567" t="s">
        <v>1647</v>
      </c>
      <c r="Q567" t="s">
        <v>27</v>
      </c>
      <c r="R567" t="s">
        <v>28</v>
      </c>
      <c r="S567" t="s">
        <v>68</v>
      </c>
      <c r="T567">
        <v>904.52</v>
      </c>
      <c r="U567">
        <f t="shared" si="112"/>
        <v>1435</v>
      </c>
      <c r="V567">
        <f t="shared" si="113"/>
        <v>525</v>
      </c>
      <c r="W567">
        <f t="shared" si="114"/>
        <v>456</v>
      </c>
      <c r="X567">
        <f t="shared" si="115"/>
        <v>0.35149999999999998</v>
      </c>
      <c r="Y567" s="1">
        <f t="shared" si="116"/>
        <v>74014937</v>
      </c>
      <c r="Z567">
        <f t="shared" si="117"/>
        <v>51578.353310104532</v>
      </c>
      <c r="AA567">
        <f t="shared" si="118"/>
        <v>99996</v>
      </c>
      <c r="AB567">
        <f t="shared" si="119"/>
        <v>5091</v>
      </c>
      <c r="AC567">
        <f t="shared" si="120"/>
        <v>1915470.7</v>
      </c>
      <c r="AD567">
        <f t="shared" si="121"/>
        <v>1334.8227874564459</v>
      </c>
      <c r="AE567">
        <f t="shared" si="122"/>
        <v>0.35149999999999998</v>
      </c>
      <c r="AF567">
        <f t="shared" si="123"/>
        <v>1381117829.1800005</v>
      </c>
      <c r="AG567" t="str">
        <f t="shared" si="124"/>
        <v>Active</v>
      </c>
      <c r="AH567">
        <f t="shared" si="125"/>
        <v>10854.24</v>
      </c>
    </row>
    <row r="568" spans="1:34" x14ac:dyDescent="0.35">
      <c r="A568" t="s">
        <v>1648</v>
      </c>
      <c r="B568" t="s">
        <v>1649</v>
      </c>
      <c r="C568">
        <v>63</v>
      </c>
      <c r="D568" t="s">
        <v>38</v>
      </c>
      <c r="E568" t="s">
        <v>23</v>
      </c>
      <c r="F568" t="s">
        <v>46</v>
      </c>
      <c r="G568">
        <v>163896</v>
      </c>
      <c r="H568">
        <v>608</v>
      </c>
      <c r="I568">
        <v>55898</v>
      </c>
      <c r="J568">
        <v>19.079999999999998</v>
      </c>
      <c r="K568">
        <v>60</v>
      </c>
      <c r="L568" t="s">
        <v>86</v>
      </c>
      <c r="M568">
        <v>47.16</v>
      </c>
      <c r="N568">
        <v>2111</v>
      </c>
      <c r="O568">
        <v>71507</v>
      </c>
      <c r="P568" t="s">
        <v>1650</v>
      </c>
      <c r="Q568" t="s">
        <v>42</v>
      </c>
      <c r="R568" t="s">
        <v>48</v>
      </c>
      <c r="S568" t="s">
        <v>35</v>
      </c>
      <c r="T568">
        <v>1109.3900000000001</v>
      </c>
      <c r="U568">
        <f t="shared" si="112"/>
        <v>1434</v>
      </c>
      <c r="V568">
        <f t="shared" si="113"/>
        <v>525</v>
      </c>
      <c r="W568">
        <f t="shared" si="114"/>
        <v>456</v>
      </c>
      <c r="X568">
        <f t="shared" si="115"/>
        <v>0.35149999999999998</v>
      </c>
      <c r="Y568" s="1">
        <f t="shared" si="116"/>
        <v>73966786</v>
      </c>
      <c r="Z568">
        <f t="shared" si="117"/>
        <v>51580.743375174337</v>
      </c>
      <c r="AA568">
        <f t="shared" si="118"/>
        <v>99996</v>
      </c>
      <c r="AB568">
        <f t="shared" si="119"/>
        <v>5091</v>
      </c>
      <c r="AC568">
        <f t="shared" si="120"/>
        <v>1914566.18</v>
      </c>
      <c r="AD568">
        <f t="shared" si="121"/>
        <v>1335.1228591352858</v>
      </c>
      <c r="AE568">
        <f t="shared" si="122"/>
        <v>0.35149999999999998</v>
      </c>
      <c r="AF568">
        <f t="shared" si="123"/>
        <v>1379202358.4800003</v>
      </c>
      <c r="AG568" t="str">
        <f t="shared" si="124"/>
        <v>Active</v>
      </c>
      <c r="AH568">
        <f t="shared" si="125"/>
        <v>13312.68</v>
      </c>
    </row>
    <row r="569" spans="1:34" x14ac:dyDescent="0.35">
      <c r="A569" t="s">
        <v>1651</v>
      </c>
      <c r="B569" t="s">
        <v>1652</v>
      </c>
      <c r="C569">
        <v>57</v>
      </c>
      <c r="D569" t="s">
        <v>38</v>
      </c>
      <c r="E569" t="s">
        <v>32</v>
      </c>
      <c r="F569" t="s">
        <v>24</v>
      </c>
      <c r="G569">
        <v>34185</v>
      </c>
      <c r="H569">
        <v>543</v>
      </c>
      <c r="I569">
        <v>38401</v>
      </c>
      <c r="J569">
        <v>11.44</v>
      </c>
      <c r="K569">
        <v>36</v>
      </c>
      <c r="L569" t="s">
        <v>86</v>
      </c>
      <c r="M569">
        <v>13.82</v>
      </c>
      <c r="N569">
        <v>7937</v>
      </c>
      <c r="O569">
        <v>57483</v>
      </c>
      <c r="P569" t="s">
        <v>1653</v>
      </c>
      <c r="Q569" t="s">
        <v>27</v>
      </c>
      <c r="R569" t="s">
        <v>28</v>
      </c>
      <c r="S569" t="s">
        <v>49</v>
      </c>
      <c r="T569">
        <v>1188.72</v>
      </c>
      <c r="U569">
        <f t="shared" si="112"/>
        <v>1433</v>
      </c>
      <c r="V569">
        <f t="shared" si="113"/>
        <v>524</v>
      </c>
      <c r="W569">
        <f t="shared" si="114"/>
        <v>456</v>
      </c>
      <c r="X569">
        <f t="shared" si="115"/>
        <v>0.35149999999999998</v>
      </c>
      <c r="Y569" s="1">
        <f t="shared" si="116"/>
        <v>73910888</v>
      </c>
      <c r="Z569">
        <f t="shared" si="117"/>
        <v>51577.730635031403</v>
      </c>
      <c r="AA569">
        <f t="shared" si="118"/>
        <v>99996</v>
      </c>
      <c r="AB569">
        <f t="shared" si="119"/>
        <v>5091</v>
      </c>
      <c r="AC569">
        <f t="shared" si="120"/>
        <v>1913456.7899999998</v>
      </c>
      <c r="AD569">
        <f t="shared" si="121"/>
        <v>1335.2803838101884</v>
      </c>
      <c r="AE569">
        <f t="shared" si="122"/>
        <v>0.35149999999999998</v>
      </c>
      <c r="AF569">
        <f t="shared" si="123"/>
        <v>1377287792.3000002</v>
      </c>
      <c r="AG569" t="str">
        <f t="shared" si="124"/>
        <v>Active</v>
      </c>
      <c r="AH569">
        <f t="shared" si="125"/>
        <v>14264.64</v>
      </c>
    </row>
    <row r="570" spans="1:34" x14ac:dyDescent="0.35">
      <c r="A570" t="s">
        <v>1654</v>
      </c>
      <c r="B570" t="s">
        <v>1655</v>
      </c>
      <c r="C570">
        <v>60</v>
      </c>
      <c r="D570" t="s">
        <v>38</v>
      </c>
      <c r="E570" t="s">
        <v>23</v>
      </c>
      <c r="F570" t="s">
        <v>24</v>
      </c>
      <c r="G570">
        <v>92942</v>
      </c>
      <c r="H570">
        <v>318</v>
      </c>
      <c r="I570">
        <v>27493</v>
      </c>
      <c r="J570">
        <v>3.85</v>
      </c>
      <c r="K570">
        <v>24</v>
      </c>
      <c r="L570" t="s">
        <v>33</v>
      </c>
      <c r="M570">
        <v>12.18</v>
      </c>
      <c r="N570">
        <v>33982</v>
      </c>
      <c r="O570">
        <v>134880</v>
      </c>
      <c r="P570" t="s">
        <v>41</v>
      </c>
      <c r="Q570" t="s">
        <v>27</v>
      </c>
      <c r="R570" t="s">
        <v>48</v>
      </c>
      <c r="S570" t="s">
        <v>49</v>
      </c>
      <c r="T570">
        <v>1189.6500000000001</v>
      </c>
      <c r="U570">
        <f t="shared" si="112"/>
        <v>1432</v>
      </c>
      <c r="V570">
        <f t="shared" si="113"/>
        <v>524</v>
      </c>
      <c r="W570">
        <f t="shared" si="114"/>
        <v>456</v>
      </c>
      <c r="X570">
        <f t="shared" si="115"/>
        <v>0.35149999999999998</v>
      </c>
      <c r="Y570" s="1">
        <f t="shared" si="116"/>
        <v>73872487</v>
      </c>
      <c r="Z570">
        <f t="shared" si="117"/>
        <v>51586.932262569833</v>
      </c>
      <c r="AA570">
        <f t="shared" si="118"/>
        <v>99996</v>
      </c>
      <c r="AB570">
        <f t="shared" si="119"/>
        <v>5091</v>
      </c>
      <c r="AC570">
        <f t="shared" si="120"/>
        <v>1912268.0699999998</v>
      </c>
      <c r="AD570">
        <f t="shared" si="121"/>
        <v>1335.3827304469273</v>
      </c>
      <c r="AE570">
        <f t="shared" si="122"/>
        <v>0.35149999999999998</v>
      </c>
      <c r="AF570">
        <f t="shared" si="123"/>
        <v>1375374335.5100002</v>
      </c>
      <c r="AG570" t="str">
        <f t="shared" si="124"/>
        <v>Active</v>
      </c>
      <c r="AH570">
        <f t="shared" si="125"/>
        <v>14275.800000000001</v>
      </c>
    </row>
    <row r="571" spans="1:34" x14ac:dyDescent="0.35">
      <c r="A571" t="s">
        <v>1656</v>
      </c>
      <c r="B571" t="s">
        <v>1657</v>
      </c>
      <c r="C571">
        <v>34</v>
      </c>
      <c r="D571" t="s">
        <v>38</v>
      </c>
      <c r="E571" t="s">
        <v>32</v>
      </c>
      <c r="F571" t="s">
        <v>24</v>
      </c>
      <c r="G571">
        <v>101883</v>
      </c>
      <c r="H571">
        <v>347</v>
      </c>
      <c r="I571">
        <v>55626</v>
      </c>
      <c r="J571">
        <v>13.32</v>
      </c>
      <c r="K571">
        <v>48</v>
      </c>
      <c r="L571" t="s">
        <v>33</v>
      </c>
      <c r="M571">
        <v>45.42</v>
      </c>
      <c r="N571">
        <v>66730</v>
      </c>
      <c r="O571">
        <v>228300</v>
      </c>
      <c r="P571" t="s">
        <v>1658</v>
      </c>
      <c r="Q571" t="s">
        <v>27</v>
      </c>
      <c r="R571" t="s">
        <v>48</v>
      </c>
      <c r="S571" t="s">
        <v>35</v>
      </c>
      <c r="T571">
        <v>1313.24</v>
      </c>
      <c r="U571">
        <f t="shared" si="112"/>
        <v>1431</v>
      </c>
      <c r="V571">
        <f t="shared" si="113"/>
        <v>524</v>
      </c>
      <c r="W571">
        <f t="shared" si="114"/>
        <v>456</v>
      </c>
      <c r="X571">
        <f t="shared" si="115"/>
        <v>0.35149999999999998</v>
      </c>
      <c r="Y571" s="1">
        <f t="shared" si="116"/>
        <v>73844994</v>
      </c>
      <c r="Z571">
        <f t="shared" si="117"/>
        <v>51603.769392033544</v>
      </c>
      <c r="AA571">
        <f t="shared" si="118"/>
        <v>99996</v>
      </c>
      <c r="AB571">
        <f t="shared" si="119"/>
        <v>5091</v>
      </c>
      <c r="AC571">
        <f t="shared" si="120"/>
        <v>1911078.42</v>
      </c>
      <c r="AD571">
        <f t="shared" si="121"/>
        <v>1335.4845702306079</v>
      </c>
      <c r="AE571">
        <f t="shared" si="122"/>
        <v>0.35149999999999998</v>
      </c>
      <c r="AF571">
        <f t="shared" si="123"/>
        <v>1373462067.4399998</v>
      </c>
      <c r="AG571" t="str">
        <f t="shared" si="124"/>
        <v>Active</v>
      </c>
      <c r="AH571">
        <f t="shared" si="125"/>
        <v>15758.880000000001</v>
      </c>
    </row>
    <row r="572" spans="1:34" x14ac:dyDescent="0.35">
      <c r="A572" t="s">
        <v>1659</v>
      </c>
      <c r="B572" t="s">
        <v>1660</v>
      </c>
      <c r="C572">
        <v>41</v>
      </c>
      <c r="D572" t="s">
        <v>22</v>
      </c>
      <c r="E572" t="s">
        <v>39</v>
      </c>
      <c r="F572" t="s">
        <v>24</v>
      </c>
      <c r="G572">
        <v>44553</v>
      </c>
      <c r="H572">
        <v>549</v>
      </c>
      <c r="I572">
        <v>85578</v>
      </c>
      <c r="J572">
        <v>19.899999999999999</v>
      </c>
      <c r="K572">
        <v>360</v>
      </c>
      <c r="L572" t="s">
        <v>52</v>
      </c>
      <c r="M572">
        <v>24.91</v>
      </c>
      <c r="N572">
        <v>39915</v>
      </c>
      <c r="O572">
        <v>33334</v>
      </c>
      <c r="P572" t="s">
        <v>737</v>
      </c>
      <c r="Q572" t="s">
        <v>61</v>
      </c>
      <c r="R572" t="s">
        <v>28</v>
      </c>
      <c r="S572" t="s">
        <v>43</v>
      </c>
      <c r="T572">
        <v>285.02</v>
      </c>
      <c r="U572">
        <f t="shared" si="112"/>
        <v>1430</v>
      </c>
      <c r="V572">
        <f t="shared" si="113"/>
        <v>524</v>
      </c>
      <c r="W572">
        <f t="shared" si="114"/>
        <v>456</v>
      </c>
      <c r="X572">
        <f t="shared" si="115"/>
        <v>0.35149999999999998</v>
      </c>
      <c r="Y572" s="1">
        <f t="shared" si="116"/>
        <v>73789368</v>
      </c>
      <c r="Z572">
        <f t="shared" si="117"/>
        <v>51600.956643356643</v>
      </c>
      <c r="AA572">
        <f t="shared" si="118"/>
        <v>99996</v>
      </c>
      <c r="AB572">
        <f t="shared" si="119"/>
        <v>5091</v>
      </c>
      <c r="AC572">
        <f t="shared" si="120"/>
        <v>1909765.18</v>
      </c>
      <c r="AD572">
        <f t="shared" si="121"/>
        <v>1335.5001258741258</v>
      </c>
      <c r="AE572">
        <f t="shared" si="122"/>
        <v>0.35149999999999998</v>
      </c>
      <c r="AF572">
        <f t="shared" si="123"/>
        <v>1371550989.02</v>
      </c>
      <c r="AG572" t="str">
        <f t="shared" si="124"/>
        <v>Active</v>
      </c>
      <c r="AH572">
        <f t="shared" si="125"/>
        <v>3420.24</v>
      </c>
    </row>
    <row r="573" spans="1:34" x14ac:dyDescent="0.35">
      <c r="A573" t="s">
        <v>1661</v>
      </c>
      <c r="B573" t="s">
        <v>1662</v>
      </c>
      <c r="C573">
        <v>62</v>
      </c>
      <c r="D573" t="s">
        <v>38</v>
      </c>
      <c r="E573" t="s">
        <v>39</v>
      </c>
      <c r="F573" t="s">
        <v>24</v>
      </c>
      <c r="G573">
        <v>140268</v>
      </c>
      <c r="H573">
        <v>821</v>
      </c>
      <c r="I573">
        <v>41140</v>
      </c>
      <c r="J573">
        <v>16.579999999999998</v>
      </c>
      <c r="K573">
        <v>12</v>
      </c>
      <c r="L573" t="s">
        <v>86</v>
      </c>
      <c r="M573">
        <v>59.4</v>
      </c>
      <c r="N573">
        <v>14082</v>
      </c>
      <c r="O573">
        <v>15095</v>
      </c>
      <c r="P573" t="s">
        <v>1663</v>
      </c>
      <c r="Q573" t="s">
        <v>42</v>
      </c>
      <c r="R573" t="s">
        <v>28</v>
      </c>
      <c r="S573" t="s">
        <v>35</v>
      </c>
      <c r="T573">
        <v>3996.75</v>
      </c>
      <c r="U573">
        <f t="shared" si="112"/>
        <v>1429</v>
      </c>
      <c r="V573">
        <f t="shared" si="113"/>
        <v>524</v>
      </c>
      <c r="W573">
        <f t="shared" si="114"/>
        <v>455</v>
      </c>
      <c r="X573">
        <f t="shared" si="115"/>
        <v>0.35149999999999998</v>
      </c>
      <c r="Y573" s="1">
        <f t="shared" si="116"/>
        <v>73703790</v>
      </c>
      <c r="Z573">
        <f t="shared" si="117"/>
        <v>51577.179846046187</v>
      </c>
      <c r="AA573">
        <f t="shared" si="118"/>
        <v>99996</v>
      </c>
      <c r="AB573">
        <f t="shared" si="119"/>
        <v>5091</v>
      </c>
      <c r="AC573">
        <f t="shared" si="120"/>
        <v>1909480.16</v>
      </c>
      <c r="AD573">
        <f t="shared" si="121"/>
        <v>1336.2352414275717</v>
      </c>
      <c r="AE573">
        <f t="shared" si="122"/>
        <v>0.35149999999999998</v>
      </c>
      <c r="AF573">
        <f t="shared" si="123"/>
        <v>1369641223.8400002</v>
      </c>
      <c r="AG573" t="str">
        <f t="shared" si="124"/>
        <v>Active</v>
      </c>
      <c r="AH573">
        <f t="shared" si="125"/>
        <v>47961</v>
      </c>
    </row>
    <row r="574" spans="1:34" x14ac:dyDescent="0.35">
      <c r="A574" t="s">
        <v>1664</v>
      </c>
      <c r="B574" t="s">
        <v>1665</v>
      </c>
      <c r="C574">
        <v>50</v>
      </c>
      <c r="D574" t="s">
        <v>38</v>
      </c>
      <c r="E574" t="s">
        <v>23</v>
      </c>
      <c r="F574" t="s">
        <v>59</v>
      </c>
      <c r="G574">
        <v>76835</v>
      </c>
      <c r="H574">
        <v>331</v>
      </c>
      <c r="I574">
        <v>95985</v>
      </c>
      <c r="J574">
        <v>13.2</v>
      </c>
      <c r="K574">
        <v>36</v>
      </c>
      <c r="L574" t="s">
        <v>33</v>
      </c>
      <c r="M574">
        <v>28.91</v>
      </c>
      <c r="N574">
        <v>4962</v>
      </c>
      <c r="O574">
        <v>62748</v>
      </c>
      <c r="P574" t="s">
        <v>1666</v>
      </c>
      <c r="Q574" t="s">
        <v>61</v>
      </c>
      <c r="R574" t="s">
        <v>48</v>
      </c>
      <c r="S574" t="s">
        <v>35</v>
      </c>
      <c r="T574">
        <v>3018.2</v>
      </c>
      <c r="U574">
        <f t="shared" si="112"/>
        <v>1428</v>
      </c>
      <c r="V574">
        <f t="shared" si="113"/>
        <v>523</v>
      </c>
      <c r="W574">
        <f t="shared" si="114"/>
        <v>455</v>
      </c>
      <c r="X574">
        <f t="shared" si="115"/>
        <v>0.35149999999999998</v>
      </c>
      <c r="Y574" s="1">
        <f t="shared" si="116"/>
        <v>73662650</v>
      </c>
      <c r="Z574">
        <f t="shared" si="117"/>
        <v>51584.488795518206</v>
      </c>
      <c r="AA574">
        <f t="shared" si="118"/>
        <v>99996</v>
      </c>
      <c r="AB574">
        <f t="shared" si="119"/>
        <v>5091</v>
      </c>
      <c r="AC574">
        <f t="shared" si="120"/>
        <v>1905483.41</v>
      </c>
      <c r="AD574">
        <f t="shared" si="121"/>
        <v>1334.3721358543416</v>
      </c>
      <c r="AE574">
        <f t="shared" si="122"/>
        <v>0.35149999999999998</v>
      </c>
      <c r="AF574">
        <f t="shared" si="123"/>
        <v>1367731743.6800001</v>
      </c>
      <c r="AG574" t="str">
        <f t="shared" si="124"/>
        <v>Over Paid</v>
      </c>
      <c r="AH574">
        <f t="shared" si="125"/>
        <v>36218.399999999994</v>
      </c>
    </row>
    <row r="575" spans="1:34" x14ac:dyDescent="0.35">
      <c r="A575" t="s">
        <v>1667</v>
      </c>
      <c r="B575" t="s">
        <v>1668</v>
      </c>
      <c r="C575">
        <v>28</v>
      </c>
      <c r="D575" t="s">
        <v>38</v>
      </c>
      <c r="E575" t="s">
        <v>32</v>
      </c>
      <c r="F575" t="s">
        <v>24</v>
      </c>
      <c r="G575">
        <v>61504</v>
      </c>
      <c r="H575">
        <v>633</v>
      </c>
      <c r="I575">
        <v>31465</v>
      </c>
      <c r="J575">
        <v>10.45</v>
      </c>
      <c r="K575">
        <v>60</v>
      </c>
      <c r="L575" t="s">
        <v>40</v>
      </c>
      <c r="M575">
        <v>42.49</v>
      </c>
      <c r="N575">
        <v>19522</v>
      </c>
      <c r="O575">
        <v>93864</v>
      </c>
      <c r="P575" t="s">
        <v>269</v>
      </c>
      <c r="Q575" t="s">
        <v>42</v>
      </c>
      <c r="R575" t="s">
        <v>28</v>
      </c>
      <c r="S575" t="s">
        <v>43</v>
      </c>
      <c r="T575">
        <v>579.22</v>
      </c>
      <c r="U575">
        <f t="shared" si="112"/>
        <v>1427</v>
      </c>
      <c r="V575">
        <f t="shared" si="113"/>
        <v>523</v>
      </c>
      <c r="W575">
        <f t="shared" si="114"/>
        <v>454</v>
      </c>
      <c r="X575">
        <f t="shared" si="115"/>
        <v>0.35149999999999998</v>
      </c>
      <c r="Y575" s="1">
        <f t="shared" si="116"/>
        <v>73566665</v>
      </c>
      <c r="Z575">
        <f t="shared" si="117"/>
        <v>51553.374211632799</v>
      </c>
      <c r="AA575">
        <f t="shared" si="118"/>
        <v>99996</v>
      </c>
      <c r="AB575">
        <f t="shared" si="119"/>
        <v>5091</v>
      </c>
      <c r="AC575">
        <f t="shared" si="120"/>
        <v>1902465.2100000002</v>
      </c>
      <c r="AD575">
        <f t="shared" si="121"/>
        <v>1333.1921583742117</v>
      </c>
      <c r="AE575">
        <f t="shared" si="122"/>
        <v>0.35149999999999998</v>
      </c>
      <c r="AF575">
        <f t="shared" si="123"/>
        <v>1365826260.2699997</v>
      </c>
      <c r="AG575" t="str">
        <f t="shared" si="124"/>
        <v>Active</v>
      </c>
      <c r="AH575">
        <f t="shared" si="125"/>
        <v>6950.64</v>
      </c>
    </row>
    <row r="576" spans="1:34" x14ac:dyDescent="0.35">
      <c r="A576" t="s">
        <v>1669</v>
      </c>
      <c r="B576" t="s">
        <v>1670</v>
      </c>
      <c r="C576">
        <v>49</v>
      </c>
      <c r="D576" t="s">
        <v>38</v>
      </c>
      <c r="E576" t="s">
        <v>32</v>
      </c>
      <c r="F576" t="s">
        <v>24</v>
      </c>
      <c r="G576">
        <v>128332</v>
      </c>
      <c r="H576">
        <v>400</v>
      </c>
      <c r="I576">
        <v>15153</v>
      </c>
      <c r="J576">
        <v>15.74</v>
      </c>
      <c r="K576">
        <v>180</v>
      </c>
      <c r="L576" t="s">
        <v>33</v>
      </c>
      <c r="M576">
        <v>16.41</v>
      </c>
      <c r="N576">
        <v>63513</v>
      </c>
      <c r="O576">
        <v>40449</v>
      </c>
      <c r="P576" t="s">
        <v>1043</v>
      </c>
      <c r="Q576" t="s">
        <v>42</v>
      </c>
      <c r="R576" t="s">
        <v>48</v>
      </c>
      <c r="S576" t="s">
        <v>43</v>
      </c>
      <c r="T576">
        <v>97.43</v>
      </c>
      <c r="U576">
        <f t="shared" si="112"/>
        <v>1426</v>
      </c>
      <c r="V576">
        <f t="shared" si="113"/>
        <v>522</v>
      </c>
      <c r="W576">
        <f t="shared" si="114"/>
        <v>454</v>
      </c>
      <c r="X576">
        <f t="shared" si="115"/>
        <v>0.35149999999999998</v>
      </c>
      <c r="Y576" s="1">
        <f t="shared" si="116"/>
        <v>73535200</v>
      </c>
      <c r="Z576">
        <f t="shared" si="117"/>
        <v>51567.461430575037</v>
      </c>
      <c r="AA576">
        <f t="shared" si="118"/>
        <v>99996</v>
      </c>
      <c r="AB576">
        <f t="shared" si="119"/>
        <v>5091</v>
      </c>
      <c r="AC576">
        <f t="shared" si="120"/>
        <v>1901885.99</v>
      </c>
      <c r="AD576">
        <f t="shared" si="121"/>
        <v>1333.7208906030855</v>
      </c>
      <c r="AE576">
        <f t="shared" si="122"/>
        <v>0.35149999999999998</v>
      </c>
      <c r="AF576">
        <f t="shared" si="123"/>
        <v>1363923795.0599999</v>
      </c>
      <c r="AG576" t="str">
        <f t="shared" si="124"/>
        <v>Active</v>
      </c>
      <c r="AH576">
        <f t="shared" si="125"/>
        <v>1169.1600000000001</v>
      </c>
    </row>
    <row r="577" spans="1:34" x14ac:dyDescent="0.35">
      <c r="A577" t="s">
        <v>1671</v>
      </c>
      <c r="B577" t="s">
        <v>1672</v>
      </c>
      <c r="C577">
        <v>64</v>
      </c>
      <c r="D577" t="s">
        <v>22</v>
      </c>
      <c r="E577" t="s">
        <v>39</v>
      </c>
      <c r="F577" t="s">
        <v>59</v>
      </c>
      <c r="G577">
        <v>158348</v>
      </c>
      <c r="H577">
        <v>570</v>
      </c>
      <c r="I577">
        <v>13040</v>
      </c>
      <c r="J577">
        <v>19.309999999999999</v>
      </c>
      <c r="K577">
        <v>60</v>
      </c>
      <c r="L577" t="s">
        <v>86</v>
      </c>
      <c r="M577">
        <v>49.81</v>
      </c>
      <c r="N577">
        <v>41645</v>
      </c>
      <c r="O577">
        <v>152896</v>
      </c>
      <c r="P577" t="s">
        <v>1673</v>
      </c>
      <c r="Q577" t="s">
        <v>61</v>
      </c>
      <c r="R577" t="s">
        <v>28</v>
      </c>
      <c r="S577" t="s">
        <v>29</v>
      </c>
      <c r="T577">
        <v>259.3</v>
      </c>
      <c r="U577">
        <f t="shared" si="112"/>
        <v>1425</v>
      </c>
      <c r="V577">
        <f t="shared" si="113"/>
        <v>521</v>
      </c>
      <c r="W577">
        <f t="shared" si="114"/>
        <v>454</v>
      </c>
      <c r="X577">
        <f t="shared" si="115"/>
        <v>0.35149999999999998</v>
      </c>
      <c r="Y577" s="1">
        <f t="shared" si="116"/>
        <v>73520047</v>
      </c>
      <c r="Z577">
        <f t="shared" si="117"/>
        <v>51593.015438596492</v>
      </c>
      <c r="AA577">
        <f t="shared" si="118"/>
        <v>99996</v>
      </c>
      <c r="AB577">
        <f t="shared" si="119"/>
        <v>5091</v>
      </c>
      <c r="AC577">
        <f t="shared" si="120"/>
        <v>1901788.56</v>
      </c>
      <c r="AD577">
        <f t="shared" si="121"/>
        <v>1334.5884631578947</v>
      </c>
      <c r="AE577">
        <f t="shared" si="122"/>
        <v>0.35149999999999998</v>
      </c>
      <c r="AF577">
        <f t="shared" si="123"/>
        <v>1362021909.0699997</v>
      </c>
      <c r="AG577" t="str">
        <f t="shared" si="124"/>
        <v>Active</v>
      </c>
      <c r="AH577">
        <f t="shared" si="125"/>
        <v>3111.6000000000004</v>
      </c>
    </row>
    <row r="578" spans="1:34" x14ac:dyDescent="0.35">
      <c r="A578" t="s">
        <v>1674</v>
      </c>
      <c r="B578" t="s">
        <v>1675</v>
      </c>
      <c r="C578">
        <v>55</v>
      </c>
      <c r="D578" t="s">
        <v>22</v>
      </c>
      <c r="E578" t="s">
        <v>32</v>
      </c>
      <c r="F578" t="s">
        <v>46</v>
      </c>
      <c r="G578">
        <v>91557</v>
      </c>
      <c r="H578">
        <v>818</v>
      </c>
      <c r="I578">
        <v>14297</v>
      </c>
      <c r="J578">
        <v>16.82</v>
      </c>
      <c r="K578">
        <v>36</v>
      </c>
      <c r="L578" t="s">
        <v>52</v>
      </c>
      <c r="M578">
        <v>58.3</v>
      </c>
      <c r="N578">
        <v>50627</v>
      </c>
      <c r="O578">
        <v>221961</v>
      </c>
      <c r="P578" t="s">
        <v>1676</v>
      </c>
      <c r="Q578" t="s">
        <v>61</v>
      </c>
      <c r="R578" t="s">
        <v>28</v>
      </c>
      <c r="S578" t="s">
        <v>49</v>
      </c>
      <c r="T578">
        <v>463.94</v>
      </c>
      <c r="U578">
        <f t="shared" ref="U578:U641" si="126">COUNTA(A578:A2577)</f>
        <v>1424</v>
      </c>
      <c r="V578">
        <f t="shared" ref="V578:V641" si="127">COUNTIF(Q578:Q2577,"APPROVED")</f>
        <v>521</v>
      </c>
      <c r="W578">
        <f t="shared" ref="W578:W641" si="128">COUNTIF(Q578:Q2578,"Rejected")</f>
        <v>453</v>
      </c>
      <c r="X578">
        <f t="shared" ref="X578:X641" si="129">703/2000</f>
        <v>0.35149999999999998</v>
      </c>
      <c r="Y578" s="1">
        <f t="shared" ref="Y578:Y641" si="130">SUM(I578:I2577)</f>
        <v>73507007</v>
      </c>
      <c r="Z578">
        <f t="shared" ref="Z578:Z641" si="131">AVERAGE(I578:I20577)</f>
        <v>51620.089185393255</v>
      </c>
      <c r="AA578">
        <f t="shared" ref="AA578:AA641" si="132">MAX(I578:I2577)</f>
        <v>99996</v>
      </c>
      <c r="AB578">
        <f t="shared" ref="AB578:AB641" si="133">MIN(I578:I2577)</f>
        <v>5091</v>
      </c>
      <c r="AC578">
        <f t="shared" ref="AC578:AC641" si="134">SUM(T578:T2577)</f>
        <v>1901529.26</v>
      </c>
      <c r="AD578">
        <f t="shared" ref="AD578:AD641" si="135">AVERAGE(T578:T2577)</f>
        <v>1335.3435814606742</v>
      </c>
      <c r="AE578">
        <f t="shared" ref="AE578:AE641" si="136">703/2000</f>
        <v>0.35149999999999998</v>
      </c>
      <c r="AF578">
        <f t="shared" ref="AF578:AF641" si="137">SUM(AC578:AC2577)</f>
        <v>1360120120.5099998</v>
      </c>
      <c r="AG578" t="str">
        <f t="shared" ref="AG578:AG641" si="138">IF(AH578=0,"Bad", IF(AH577&lt;I577, "Active", IF(AH577=I577, "Good", "Over Paid")))</f>
        <v>Active</v>
      </c>
      <c r="AH578">
        <f t="shared" ref="AH578:AH641" si="139">T578*12</f>
        <v>5567.28</v>
      </c>
    </row>
    <row r="579" spans="1:34" x14ac:dyDescent="0.35">
      <c r="A579" t="s">
        <v>1677</v>
      </c>
      <c r="B579" t="s">
        <v>1678</v>
      </c>
      <c r="C579">
        <v>21</v>
      </c>
      <c r="D579" t="s">
        <v>38</v>
      </c>
      <c r="E579" t="s">
        <v>39</v>
      </c>
      <c r="F579" t="s">
        <v>46</v>
      </c>
      <c r="G579">
        <v>88582</v>
      </c>
      <c r="H579">
        <v>615</v>
      </c>
      <c r="I579">
        <v>36035</v>
      </c>
      <c r="J579">
        <v>18.87</v>
      </c>
      <c r="K579">
        <v>360</v>
      </c>
      <c r="L579" t="s">
        <v>86</v>
      </c>
      <c r="M579">
        <v>37.549999999999997</v>
      </c>
      <c r="N579">
        <v>35119</v>
      </c>
      <c r="O579">
        <v>238636</v>
      </c>
      <c r="P579" t="s">
        <v>710</v>
      </c>
      <c r="Q579" t="s">
        <v>61</v>
      </c>
      <c r="R579" t="s">
        <v>48</v>
      </c>
      <c r="S579" t="s">
        <v>29</v>
      </c>
      <c r="T579">
        <v>118.99</v>
      </c>
      <c r="U579">
        <f t="shared" si="126"/>
        <v>1423</v>
      </c>
      <c r="V579">
        <f t="shared" si="127"/>
        <v>521</v>
      </c>
      <c r="W579">
        <f t="shared" si="128"/>
        <v>452</v>
      </c>
      <c r="X579">
        <f t="shared" si="129"/>
        <v>0.35149999999999998</v>
      </c>
      <c r="Y579" s="1">
        <f t="shared" si="130"/>
        <v>73492710</v>
      </c>
      <c r="Z579">
        <f t="shared" si="131"/>
        <v>51646.317638791283</v>
      </c>
      <c r="AA579">
        <f t="shared" si="132"/>
        <v>99996</v>
      </c>
      <c r="AB579">
        <f t="shared" si="133"/>
        <v>5091</v>
      </c>
      <c r="AC579">
        <f t="shared" si="134"/>
        <v>1901065.32</v>
      </c>
      <c r="AD579">
        <f t="shared" si="135"/>
        <v>1335.9559522136333</v>
      </c>
      <c r="AE579">
        <f t="shared" si="136"/>
        <v>0.35149999999999998</v>
      </c>
      <c r="AF579">
        <f t="shared" si="137"/>
        <v>1358218591.2499998</v>
      </c>
      <c r="AG579" t="str">
        <f t="shared" si="138"/>
        <v>Active</v>
      </c>
      <c r="AH579">
        <f t="shared" si="139"/>
        <v>1427.8799999999999</v>
      </c>
    </row>
    <row r="580" spans="1:34" x14ac:dyDescent="0.35">
      <c r="A580" t="s">
        <v>1679</v>
      </c>
      <c r="B580" t="s">
        <v>1680</v>
      </c>
      <c r="C580">
        <v>63</v>
      </c>
      <c r="D580" t="s">
        <v>38</v>
      </c>
      <c r="E580" t="s">
        <v>23</v>
      </c>
      <c r="F580" t="s">
        <v>24</v>
      </c>
      <c r="G580">
        <v>50070</v>
      </c>
      <c r="H580">
        <v>486</v>
      </c>
      <c r="I580">
        <v>86789</v>
      </c>
      <c r="J580">
        <v>19.510000000000002</v>
      </c>
      <c r="K580">
        <v>240</v>
      </c>
      <c r="L580" t="s">
        <v>40</v>
      </c>
      <c r="M580">
        <v>51.42</v>
      </c>
      <c r="N580">
        <v>76813</v>
      </c>
      <c r="O580">
        <v>152394</v>
      </c>
      <c r="P580" t="s">
        <v>1681</v>
      </c>
      <c r="Q580" t="s">
        <v>27</v>
      </c>
      <c r="R580" t="s">
        <v>28</v>
      </c>
      <c r="S580" t="s">
        <v>49</v>
      </c>
      <c r="T580">
        <v>432.17</v>
      </c>
      <c r="U580">
        <f t="shared" si="126"/>
        <v>1422</v>
      </c>
      <c r="V580">
        <f t="shared" si="127"/>
        <v>521</v>
      </c>
      <c r="W580">
        <f t="shared" si="128"/>
        <v>451</v>
      </c>
      <c r="X580">
        <f t="shared" si="129"/>
        <v>0.35149999999999998</v>
      </c>
      <c r="Y580" s="1">
        <f t="shared" si="130"/>
        <v>73456675</v>
      </c>
      <c r="Z580">
        <f t="shared" si="131"/>
        <v>51657.29606188467</v>
      </c>
      <c r="AA580">
        <f t="shared" si="132"/>
        <v>99996</v>
      </c>
      <c r="AB580">
        <f t="shared" si="133"/>
        <v>5091</v>
      </c>
      <c r="AC580">
        <f t="shared" si="134"/>
        <v>1900946.33</v>
      </c>
      <c r="AD580">
        <f t="shared" si="135"/>
        <v>1336.81176511955</v>
      </c>
      <c r="AE580">
        <f t="shared" si="136"/>
        <v>0.35149999999999998</v>
      </c>
      <c r="AF580">
        <f t="shared" si="137"/>
        <v>1356317525.9299998</v>
      </c>
      <c r="AG580" t="str">
        <f t="shared" si="138"/>
        <v>Active</v>
      </c>
      <c r="AH580">
        <f t="shared" si="139"/>
        <v>5186.04</v>
      </c>
    </row>
    <row r="581" spans="1:34" x14ac:dyDescent="0.35">
      <c r="A581" t="s">
        <v>1682</v>
      </c>
      <c r="B581" t="s">
        <v>1683</v>
      </c>
      <c r="C581">
        <v>42</v>
      </c>
      <c r="D581" t="s">
        <v>22</v>
      </c>
      <c r="E581" t="s">
        <v>32</v>
      </c>
      <c r="F581" t="s">
        <v>59</v>
      </c>
      <c r="G581">
        <v>142849</v>
      </c>
      <c r="H581">
        <v>719</v>
      </c>
      <c r="I581">
        <v>42227</v>
      </c>
      <c r="J581">
        <v>15.23</v>
      </c>
      <c r="K581">
        <v>24</v>
      </c>
      <c r="L581" t="s">
        <v>33</v>
      </c>
      <c r="M581">
        <v>46.77</v>
      </c>
      <c r="N581">
        <v>51853</v>
      </c>
      <c r="O581">
        <v>196978</v>
      </c>
      <c r="P581" t="s">
        <v>77</v>
      </c>
      <c r="Q581" t="s">
        <v>42</v>
      </c>
      <c r="R581" t="s">
        <v>48</v>
      </c>
      <c r="S581" t="s">
        <v>43</v>
      </c>
      <c r="T581">
        <v>2027.42</v>
      </c>
      <c r="U581">
        <f t="shared" si="126"/>
        <v>1421</v>
      </c>
      <c r="V581">
        <f t="shared" si="127"/>
        <v>521</v>
      </c>
      <c r="W581">
        <f t="shared" si="128"/>
        <v>451</v>
      </c>
      <c r="X581">
        <f t="shared" si="129"/>
        <v>0.35149999999999998</v>
      </c>
      <c r="Y581" s="1">
        <f t="shared" si="130"/>
        <v>73369886</v>
      </c>
      <c r="Z581">
        <f t="shared" si="131"/>
        <v>51632.572836030966</v>
      </c>
      <c r="AA581">
        <f t="shared" si="132"/>
        <v>99996</v>
      </c>
      <c r="AB581">
        <f t="shared" si="133"/>
        <v>5091</v>
      </c>
      <c r="AC581">
        <f t="shared" si="134"/>
        <v>1900514.16</v>
      </c>
      <c r="AD581">
        <f t="shared" si="135"/>
        <v>1337.4483884588317</v>
      </c>
      <c r="AE581">
        <f t="shared" si="136"/>
        <v>0.35149999999999998</v>
      </c>
      <c r="AF581">
        <f t="shared" si="137"/>
        <v>1354416579.5999997</v>
      </c>
      <c r="AG581" t="str">
        <f t="shared" si="138"/>
        <v>Active</v>
      </c>
      <c r="AH581">
        <f t="shared" si="139"/>
        <v>24329.040000000001</v>
      </c>
    </row>
    <row r="582" spans="1:34" x14ac:dyDescent="0.35">
      <c r="A582" t="s">
        <v>1684</v>
      </c>
      <c r="B582" t="s">
        <v>1685</v>
      </c>
      <c r="C582">
        <v>54</v>
      </c>
      <c r="D582" t="s">
        <v>22</v>
      </c>
      <c r="E582" t="s">
        <v>39</v>
      </c>
      <c r="F582" t="s">
        <v>59</v>
      </c>
      <c r="G582">
        <v>26628</v>
      </c>
      <c r="H582">
        <v>346</v>
      </c>
      <c r="I582">
        <v>5834</v>
      </c>
      <c r="J582">
        <v>22.55</v>
      </c>
      <c r="K582">
        <v>24</v>
      </c>
      <c r="L582" t="s">
        <v>52</v>
      </c>
      <c r="M582">
        <v>46.5</v>
      </c>
      <c r="N582">
        <v>9937</v>
      </c>
      <c r="O582">
        <v>122623</v>
      </c>
      <c r="P582" t="s">
        <v>1686</v>
      </c>
      <c r="Q582" t="s">
        <v>42</v>
      </c>
      <c r="R582" t="s">
        <v>28</v>
      </c>
      <c r="S582" t="s">
        <v>29</v>
      </c>
      <c r="T582">
        <v>297.89999999999998</v>
      </c>
      <c r="U582">
        <f t="shared" si="126"/>
        <v>1420</v>
      </c>
      <c r="V582">
        <f t="shared" si="127"/>
        <v>520</v>
      </c>
      <c r="W582">
        <f t="shared" si="128"/>
        <v>451</v>
      </c>
      <c r="X582">
        <f t="shared" si="129"/>
        <v>0.35149999999999998</v>
      </c>
      <c r="Y582" s="1">
        <f t="shared" si="130"/>
        <v>73327659</v>
      </c>
      <c r="Z582">
        <f t="shared" si="131"/>
        <v>51639.196478873237</v>
      </c>
      <c r="AA582">
        <f t="shared" si="132"/>
        <v>99996</v>
      </c>
      <c r="AB582">
        <f t="shared" si="133"/>
        <v>5091</v>
      </c>
      <c r="AC582">
        <f t="shared" si="134"/>
        <v>1898486.74</v>
      </c>
      <c r="AD582">
        <f t="shared" si="135"/>
        <v>1336.9624929577465</v>
      </c>
      <c r="AE582">
        <f t="shared" si="136"/>
        <v>0.35149999999999998</v>
      </c>
      <c r="AF582">
        <f t="shared" si="137"/>
        <v>1352516065.4399998</v>
      </c>
      <c r="AG582" t="str">
        <f t="shared" si="138"/>
        <v>Active</v>
      </c>
      <c r="AH582">
        <f t="shared" si="139"/>
        <v>3574.7999999999997</v>
      </c>
    </row>
    <row r="583" spans="1:34" x14ac:dyDescent="0.35">
      <c r="A583" t="s">
        <v>1687</v>
      </c>
      <c r="B583" t="s">
        <v>1688</v>
      </c>
      <c r="C583">
        <v>56</v>
      </c>
      <c r="D583" t="s">
        <v>22</v>
      </c>
      <c r="E583" t="s">
        <v>39</v>
      </c>
      <c r="F583" t="s">
        <v>59</v>
      </c>
      <c r="G583">
        <v>56235</v>
      </c>
      <c r="H583">
        <v>610</v>
      </c>
      <c r="I583">
        <v>16535</v>
      </c>
      <c r="J583">
        <v>20.95</v>
      </c>
      <c r="K583">
        <v>240</v>
      </c>
      <c r="L583" t="s">
        <v>33</v>
      </c>
      <c r="M583">
        <v>17.77</v>
      </c>
      <c r="N583">
        <v>41809</v>
      </c>
      <c r="O583">
        <v>20418</v>
      </c>
      <c r="P583" t="s">
        <v>1689</v>
      </c>
      <c r="Q583" t="s">
        <v>27</v>
      </c>
      <c r="R583" t="s">
        <v>28</v>
      </c>
      <c r="S583" t="s">
        <v>43</v>
      </c>
      <c r="T583">
        <v>83.33</v>
      </c>
      <c r="U583">
        <f t="shared" si="126"/>
        <v>1419</v>
      </c>
      <c r="V583">
        <f t="shared" si="127"/>
        <v>519</v>
      </c>
      <c r="W583">
        <f t="shared" si="128"/>
        <v>451</v>
      </c>
      <c r="X583">
        <f t="shared" si="129"/>
        <v>0.35149999999999998</v>
      </c>
      <c r="Y583" s="1">
        <f t="shared" si="130"/>
        <v>73321825</v>
      </c>
      <c r="Z583">
        <f t="shared" si="131"/>
        <v>51671.476391825228</v>
      </c>
      <c r="AA583">
        <f t="shared" si="132"/>
        <v>99996</v>
      </c>
      <c r="AB583">
        <f t="shared" si="133"/>
        <v>5091</v>
      </c>
      <c r="AC583">
        <f t="shared" si="134"/>
        <v>1898188.84</v>
      </c>
      <c r="AD583">
        <f t="shared" si="135"/>
        <v>1337.6947427766033</v>
      </c>
      <c r="AE583">
        <f t="shared" si="136"/>
        <v>0.35149999999999998</v>
      </c>
      <c r="AF583">
        <f t="shared" si="137"/>
        <v>1350617578.6999998</v>
      </c>
      <c r="AG583" t="str">
        <f t="shared" si="138"/>
        <v>Active</v>
      </c>
      <c r="AH583">
        <f t="shared" si="139"/>
        <v>999.96</v>
      </c>
    </row>
    <row r="584" spans="1:34" x14ac:dyDescent="0.35">
      <c r="A584" t="s">
        <v>1690</v>
      </c>
      <c r="B584" t="s">
        <v>1691</v>
      </c>
      <c r="C584">
        <v>38</v>
      </c>
      <c r="D584" t="s">
        <v>22</v>
      </c>
      <c r="E584" t="s">
        <v>32</v>
      </c>
      <c r="F584" t="s">
        <v>59</v>
      </c>
      <c r="G584">
        <v>180954</v>
      </c>
      <c r="H584">
        <v>468</v>
      </c>
      <c r="I584">
        <v>47662</v>
      </c>
      <c r="J584">
        <v>14.79</v>
      </c>
      <c r="K584">
        <v>180</v>
      </c>
      <c r="L584" t="s">
        <v>86</v>
      </c>
      <c r="M584">
        <v>53.16</v>
      </c>
      <c r="N584">
        <v>52156</v>
      </c>
      <c r="O584">
        <v>18025</v>
      </c>
      <c r="P584" t="s">
        <v>1692</v>
      </c>
      <c r="Q584" t="s">
        <v>27</v>
      </c>
      <c r="R584" t="s">
        <v>48</v>
      </c>
      <c r="S584" t="s">
        <v>29</v>
      </c>
      <c r="T584">
        <v>303.95</v>
      </c>
      <c r="U584">
        <f t="shared" si="126"/>
        <v>1418</v>
      </c>
      <c r="V584">
        <f t="shared" si="127"/>
        <v>519</v>
      </c>
      <c r="W584">
        <f t="shared" si="128"/>
        <v>451</v>
      </c>
      <c r="X584">
        <f t="shared" si="129"/>
        <v>0.35149999999999998</v>
      </c>
      <c r="Y584" s="1">
        <f t="shared" si="130"/>
        <v>73305290</v>
      </c>
      <c r="Z584">
        <f t="shared" si="131"/>
        <v>51696.255289139634</v>
      </c>
      <c r="AA584">
        <f t="shared" si="132"/>
        <v>99996</v>
      </c>
      <c r="AB584">
        <f t="shared" si="133"/>
        <v>5091</v>
      </c>
      <c r="AC584">
        <f t="shared" si="134"/>
        <v>1898105.51</v>
      </c>
      <c r="AD584">
        <f t="shared" si="135"/>
        <v>1338.5793441466856</v>
      </c>
      <c r="AE584">
        <f t="shared" si="136"/>
        <v>0.35149999999999998</v>
      </c>
      <c r="AF584">
        <f t="shared" si="137"/>
        <v>1348719389.8599997</v>
      </c>
      <c r="AG584" t="str">
        <f t="shared" si="138"/>
        <v>Active</v>
      </c>
      <c r="AH584">
        <f t="shared" si="139"/>
        <v>3647.3999999999996</v>
      </c>
    </row>
    <row r="585" spans="1:34" x14ac:dyDescent="0.35">
      <c r="A585" t="s">
        <v>1693</v>
      </c>
      <c r="B585" t="s">
        <v>1694</v>
      </c>
      <c r="C585">
        <v>55</v>
      </c>
      <c r="D585" t="s">
        <v>22</v>
      </c>
      <c r="E585" t="s">
        <v>32</v>
      </c>
      <c r="F585" t="s">
        <v>24</v>
      </c>
      <c r="G585">
        <v>140127</v>
      </c>
      <c r="H585">
        <v>551</v>
      </c>
      <c r="I585">
        <v>44161</v>
      </c>
      <c r="J585">
        <v>13.19</v>
      </c>
      <c r="K585">
        <v>60</v>
      </c>
      <c r="L585" t="s">
        <v>25</v>
      </c>
      <c r="M585">
        <v>32.51</v>
      </c>
      <c r="N585">
        <v>18596</v>
      </c>
      <c r="O585">
        <v>57348</v>
      </c>
      <c r="P585" t="s">
        <v>1242</v>
      </c>
      <c r="Q585" t="s">
        <v>61</v>
      </c>
      <c r="R585" t="s">
        <v>48</v>
      </c>
      <c r="S585" t="s">
        <v>29</v>
      </c>
      <c r="T585">
        <v>833.1</v>
      </c>
      <c r="U585">
        <f t="shared" si="126"/>
        <v>1417</v>
      </c>
      <c r="V585">
        <f t="shared" si="127"/>
        <v>519</v>
      </c>
      <c r="W585">
        <f t="shared" si="128"/>
        <v>451</v>
      </c>
      <c r="X585">
        <f t="shared" si="129"/>
        <v>0.35149999999999998</v>
      </c>
      <c r="Y585" s="1">
        <f t="shared" si="130"/>
        <v>73257628</v>
      </c>
      <c r="Z585">
        <f t="shared" si="131"/>
        <v>51699.102328863795</v>
      </c>
      <c r="AA585">
        <f t="shared" si="132"/>
        <v>99996</v>
      </c>
      <c r="AB585">
        <f t="shared" si="133"/>
        <v>5091</v>
      </c>
      <c r="AC585">
        <f t="shared" si="134"/>
        <v>1897801.5600000003</v>
      </c>
      <c r="AD585">
        <f t="shared" si="135"/>
        <v>1339.3094989414258</v>
      </c>
      <c r="AE585">
        <f t="shared" si="136"/>
        <v>0.35149999999999998</v>
      </c>
      <c r="AF585">
        <f t="shared" si="137"/>
        <v>1346821284.3499999</v>
      </c>
      <c r="AG585" t="str">
        <f t="shared" si="138"/>
        <v>Active</v>
      </c>
      <c r="AH585">
        <f t="shared" si="139"/>
        <v>9997.2000000000007</v>
      </c>
    </row>
    <row r="586" spans="1:34" x14ac:dyDescent="0.35">
      <c r="A586" t="s">
        <v>1695</v>
      </c>
      <c r="B586" t="s">
        <v>1696</v>
      </c>
      <c r="C586">
        <v>30</v>
      </c>
      <c r="D586" t="s">
        <v>38</v>
      </c>
      <c r="E586" t="s">
        <v>32</v>
      </c>
      <c r="F586" t="s">
        <v>24</v>
      </c>
      <c r="G586">
        <v>181496</v>
      </c>
      <c r="H586">
        <v>723</v>
      </c>
      <c r="I586">
        <v>50328</v>
      </c>
      <c r="J586">
        <v>6.26</v>
      </c>
      <c r="K586">
        <v>360</v>
      </c>
      <c r="L586" t="s">
        <v>52</v>
      </c>
      <c r="M586">
        <v>19.7</v>
      </c>
      <c r="N586">
        <v>76348</v>
      </c>
      <c r="O586">
        <v>129481</v>
      </c>
      <c r="P586" t="s">
        <v>1697</v>
      </c>
      <c r="Q586" t="s">
        <v>42</v>
      </c>
      <c r="R586" t="s">
        <v>28</v>
      </c>
      <c r="S586" t="s">
        <v>68</v>
      </c>
      <c r="T586">
        <v>148.55000000000001</v>
      </c>
      <c r="U586">
        <f t="shared" si="126"/>
        <v>1416</v>
      </c>
      <c r="V586">
        <f t="shared" si="127"/>
        <v>519</v>
      </c>
      <c r="W586">
        <f t="shared" si="128"/>
        <v>450</v>
      </c>
      <c r="X586">
        <f t="shared" si="129"/>
        <v>0.35149999999999998</v>
      </c>
      <c r="Y586" s="1">
        <f t="shared" si="130"/>
        <v>73213467</v>
      </c>
      <c r="Z586">
        <f t="shared" si="131"/>
        <v>51704.425847457627</v>
      </c>
      <c r="AA586">
        <f t="shared" si="132"/>
        <v>99996</v>
      </c>
      <c r="AB586">
        <f t="shared" si="133"/>
        <v>5091</v>
      </c>
      <c r="AC586">
        <f t="shared" si="134"/>
        <v>1896968.4600000002</v>
      </c>
      <c r="AD586">
        <f t="shared" si="135"/>
        <v>1339.6669915254238</v>
      </c>
      <c r="AE586">
        <f t="shared" si="136"/>
        <v>0.35149999999999998</v>
      </c>
      <c r="AF586">
        <f t="shared" si="137"/>
        <v>1344923482.79</v>
      </c>
      <c r="AG586" t="str">
        <f t="shared" si="138"/>
        <v>Active</v>
      </c>
      <c r="AH586">
        <f t="shared" si="139"/>
        <v>1782.6000000000001</v>
      </c>
    </row>
    <row r="587" spans="1:34" x14ac:dyDescent="0.35">
      <c r="A587" t="s">
        <v>1698</v>
      </c>
      <c r="B587" t="s">
        <v>1699</v>
      </c>
      <c r="C587">
        <v>57</v>
      </c>
      <c r="D587" t="s">
        <v>38</v>
      </c>
      <c r="E587" t="s">
        <v>39</v>
      </c>
      <c r="F587" t="s">
        <v>46</v>
      </c>
      <c r="G587">
        <v>49399</v>
      </c>
      <c r="H587">
        <v>822</v>
      </c>
      <c r="I587">
        <v>12524</v>
      </c>
      <c r="J587">
        <v>9.58</v>
      </c>
      <c r="K587">
        <v>36</v>
      </c>
      <c r="L587" t="s">
        <v>25</v>
      </c>
      <c r="M587">
        <v>18.32</v>
      </c>
      <c r="N587">
        <v>75626</v>
      </c>
      <c r="O587">
        <v>196180</v>
      </c>
      <c r="P587" t="s">
        <v>1303</v>
      </c>
      <c r="Q587" t="s">
        <v>42</v>
      </c>
      <c r="R587" t="s">
        <v>48</v>
      </c>
      <c r="S587" t="s">
        <v>68</v>
      </c>
      <c r="T587">
        <v>381.22</v>
      </c>
      <c r="U587">
        <f t="shared" si="126"/>
        <v>1415</v>
      </c>
      <c r="V587">
        <f t="shared" si="127"/>
        <v>518</v>
      </c>
      <c r="W587">
        <f t="shared" si="128"/>
        <v>450</v>
      </c>
      <c r="X587">
        <f t="shared" si="129"/>
        <v>0.35149999999999998</v>
      </c>
      <c r="Y587" s="1">
        <f t="shared" si="130"/>
        <v>73163139</v>
      </c>
      <c r="Z587">
        <f t="shared" si="131"/>
        <v>51705.398586572439</v>
      </c>
      <c r="AA587">
        <f t="shared" si="132"/>
        <v>99996</v>
      </c>
      <c r="AB587">
        <f t="shared" si="133"/>
        <v>5091</v>
      </c>
      <c r="AC587">
        <f t="shared" si="134"/>
        <v>1896819.9100000001</v>
      </c>
      <c r="AD587">
        <f t="shared" si="135"/>
        <v>1340.5087703180213</v>
      </c>
      <c r="AE587">
        <f t="shared" si="136"/>
        <v>0.35149999999999998</v>
      </c>
      <c r="AF587">
        <f t="shared" si="137"/>
        <v>1343026514.3299999</v>
      </c>
      <c r="AG587" t="str">
        <f t="shared" si="138"/>
        <v>Active</v>
      </c>
      <c r="AH587">
        <f t="shared" si="139"/>
        <v>4574.6400000000003</v>
      </c>
    </row>
    <row r="588" spans="1:34" x14ac:dyDescent="0.35">
      <c r="A588" t="s">
        <v>1700</v>
      </c>
      <c r="B588" t="s">
        <v>1701</v>
      </c>
      <c r="C588">
        <v>21</v>
      </c>
      <c r="D588" t="s">
        <v>38</v>
      </c>
      <c r="E588" t="s">
        <v>23</v>
      </c>
      <c r="F588" t="s">
        <v>46</v>
      </c>
      <c r="G588">
        <v>80248</v>
      </c>
      <c r="H588">
        <v>849</v>
      </c>
      <c r="I588">
        <v>79558</v>
      </c>
      <c r="J588">
        <v>9.1</v>
      </c>
      <c r="K588">
        <v>12</v>
      </c>
      <c r="L588" t="s">
        <v>33</v>
      </c>
      <c r="M588">
        <v>50.95</v>
      </c>
      <c r="N588">
        <v>23299</v>
      </c>
      <c r="O588">
        <v>81921</v>
      </c>
      <c r="P588" t="s">
        <v>1549</v>
      </c>
      <c r="Q588" t="s">
        <v>42</v>
      </c>
      <c r="R588" t="s">
        <v>28</v>
      </c>
      <c r="S588" t="s">
        <v>49</v>
      </c>
      <c r="T588">
        <v>7233.15</v>
      </c>
      <c r="U588">
        <f t="shared" si="126"/>
        <v>1414</v>
      </c>
      <c r="V588">
        <f t="shared" si="127"/>
        <v>517</v>
      </c>
      <c r="W588">
        <f t="shared" si="128"/>
        <v>450</v>
      </c>
      <c r="X588">
        <f t="shared" si="129"/>
        <v>0.35149999999999998</v>
      </c>
      <c r="Y588" s="1">
        <f t="shared" si="130"/>
        <v>73150615</v>
      </c>
      <c r="Z588">
        <f t="shared" si="131"/>
        <v>51733.108203677511</v>
      </c>
      <c r="AA588">
        <f t="shared" si="132"/>
        <v>99996</v>
      </c>
      <c r="AB588">
        <f t="shared" si="133"/>
        <v>5091</v>
      </c>
      <c r="AC588">
        <f t="shared" si="134"/>
        <v>1896438.6900000002</v>
      </c>
      <c r="AD588">
        <f t="shared" si="135"/>
        <v>1341.1871923620936</v>
      </c>
      <c r="AE588">
        <f t="shared" si="136"/>
        <v>0.35149999999999998</v>
      </c>
      <c r="AF588">
        <f t="shared" si="137"/>
        <v>1341129694.4199996</v>
      </c>
      <c r="AG588" t="str">
        <f t="shared" si="138"/>
        <v>Active</v>
      </c>
      <c r="AH588">
        <f t="shared" si="139"/>
        <v>86797.799999999988</v>
      </c>
    </row>
    <row r="589" spans="1:34" x14ac:dyDescent="0.35">
      <c r="A589" t="s">
        <v>1702</v>
      </c>
      <c r="B589" t="s">
        <v>1703</v>
      </c>
      <c r="C589">
        <v>63</v>
      </c>
      <c r="D589" t="s">
        <v>38</v>
      </c>
      <c r="E589" t="s">
        <v>32</v>
      </c>
      <c r="F589" t="s">
        <v>24</v>
      </c>
      <c r="G589">
        <v>106746</v>
      </c>
      <c r="H589">
        <v>677</v>
      </c>
      <c r="I589">
        <v>91682</v>
      </c>
      <c r="J589">
        <v>17.63</v>
      </c>
      <c r="K589">
        <v>120</v>
      </c>
      <c r="L589" t="s">
        <v>40</v>
      </c>
      <c r="M589">
        <v>31.04</v>
      </c>
      <c r="N589">
        <v>36391</v>
      </c>
      <c r="O589">
        <v>37166</v>
      </c>
      <c r="P589" t="s">
        <v>1704</v>
      </c>
      <c r="Q589" t="s">
        <v>27</v>
      </c>
      <c r="R589" t="s">
        <v>28</v>
      </c>
      <c r="S589" t="s">
        <v>43</v>
      </c>
      <c r="T589">
        <v>898.71</v>
      </c>
      <c r="U589">
        <f t="shared" si="126"/>
        <v>1413</v>
      </c>
      <c r="V589">
        <f t="shared" si="127"/>
        <v>516</v>
      </c>
      <c r="W589">
        <f t="shared" si="128"/>
        <v>450</v>
      </c>
      <c r="X589">
        <f t="shared" si="129"/>
        <v>0.35149999999999998</v>
      </c>
      <c r="Y589" s="1">
        <f t="shared" si="130"/>
        <v>73071057</v>
      </c>
      <c r="Z589">
        <f t="shared" si="131"/>
        <v>51713.416135881103</v>
      </c>
      <c r="AA589">
        <f t="shared" si="132"/>
        <v>99996</v>
      </c>
      <c r="AB589">
        <f t="shared" si="133"/>
        <v>5091</v>
      </c>
      <c r="AC589">
        <f t="shared" si="134"/>
        <v>1889205.54</v>
      </c>
      <c r="AD589">
        <f t="shared" si="135"/>
        <v>1337.0173673036093</v>
      </c>
      <c r="AE589">
        <f t="shared" si="136"/>
        <v>0.35149999999999998</v>
      </c>
      <c r="AF589">
        <f t="shared" si="137"/>
        <v>1339233255.7299998</v>
      </c>
      <c r="AG589" t="str">
        <f t="shared" si="138"/>
        <v>Over Paid</v>
      </c>
      <c r="AH589">
        <f t="shared" si="139"/>
        <v>10784.52</v>
      </c>
    </row>
    <row r="590" spans="1:34" x14ac:dyDescent="0.35">
      <c r="A590" t="s">
        <v>1705</v>
      </c>
      <c r="B590" t="s">
        <v>1706</v>
      </c>
      <c r="C590">
        <v>44</v>
      </c>
      <c r="D590" t="s">
        <v>22</v>
      </c>
      <c r="E590" t="s">
        <v>39</v>
      </c>
      <c r="F590" t="s">
        <v>24</v>
      </c>
      <c r="G590">
        <v>72599</v>
      </c>
      <c r="H590">
        <v>312</v>
      </c>
      <c r="I590">
        <v>21418</v>
      </c>
      <c r="J590">
        <v>15.54</v>
      </c>
      <c r="K590">
        <v>60</v>
      </c>
      <c r="L590" t="s">
        <v>40</v>
      </c>
      <c r="M590">
        <v>50.79</v>
      </c>
      <c r="N590">
        <v>78513</v>
      </c>
      <c r="O590">
        <v>118355</v>
      </c>
      <c r="P590" t="s">
        <v>1707</v>
      </c>
      <c r="Q590" t="s">
        <v>61</v>
      </c>
      <c r="R590" t="s">
        <v>28</v>
      </c>
      <c r="S590" t="s">
        <v>29</v>
      </c>
      <c r="T590">
        <v>412.44</v>
      </c>
      <c r="U590">
        <f t="shared" si="126"/>
        <v>1412</v>
      </c>
      <c r="V590">
        <f t="shared" si="127"/>
        <v>516</v>
      </c>
      <c r="W590">
        <f t="shared" si="128"/>
        <v>450</v>
      </c>
      <c r="X590">
        <f t="shared" si="129"/>
        <v>0.35149999999999998</v>
      </c>
      <c r="Y590" s="1">
        <f t="shared" si="130"/>
        <v>72979375</v>
      </c>
      <c r="Z590">
        <f t="shared" si="131"/>
        <v>51685.109773371107</v>
      </c>
      <c r="AA590">
        <f t="shared" si="132"/>
        <v>99996</v>
      </c>
      <c r="AB590">
        <f t="shared" si="133"/>
        <v>5091</v>
      </c>
      <c r="AC590">
        <f t="shared" si="134"/>
        <v>1888306.8299999998</v>
      </c>
      <c r="AD590">
        <f t="shared" si="135"/>
        <v>1337.3277832861188</v>
      </c>
      <c r="AE590">
        <f t="shared" si="136"/>
        <v>0.35149999999999998</v>
      </c>
      <c r="AF590">
        <f t="shared" si="137"/>
        <v>1337344050.1899996</v>
      </c>
      <c r="AG590" t="str">
        <f t="shared" si="138"/>
        <v>Active</v>
      </c>
      <c r="AH590">
        <f t="shared" si="139"/>
        <v>4949.28</v>
      </c>
    </row>
    <row r="591" spans="1:34" x14ac:dyDescent="0.35">
      <c r="A591" t="s">
        <v>1708</v>
      </c>
      <c r="B591" t="s">
        <v>1709</v>
      </c>
      <c r="C591">
        <v>34</v>
      </c>
      <c r="D591" t="s">
        <v>38</v>
      </c>
      <c r="E591" t="s">
        <v>32</v>
      </c>
      <c r="F591" t="s">
        <v>59</v>
      </c>
      <c r="G591">
        <v>63111</v>
      </c>
      <c r="H591">
        <v>784</v>
      </c>
      <c r="I591">
        <v>97312</v>
      </c>
      <c r="J591">
        <v>13.48</v>
      </c>
      <c r="K591">
        <v>36</v>
      </c>
      <c r="L591" t="s">
        <v>33</v>
      </c>
      <c r="M591">
        <v>27.06</v>
      </c>
      <c r="N591">
        <v>43796</v>
      </c>
      <c r="O591">
        <v>46950</v>
      </c>
      <c r="P591" t="s">
        <v>1710</v>
      </c>
      <c r="Q591" t="s">
        <v>42</v>
      </c>
      <c r="R591" t="s">
        <v>28</v>
      </c>
      <c r="S591" t="s">
        <v>49</v>
      </c>
      <c r="T591">
        <v>3067.49</v>
      </c>
      <c r="U591">
        <f t="shared" si="126"/>
        <v>1411</v>
      </c>
      <c r="V591">
        <f t="shared" si="127"/>
        <v>516</v>
      </c>
      <c r="W591">
        <f t="shared" si="128"/>
        <v>449</v>
      </c>
      <c r="X591">
        <f t="shared" si="129"/>
        <v>0.35149999999999998</v>
      </c>
      <c r="Y591" s="1">
        <f t="shared" si="130"/>
        <v>72957957</v>
      </c>
      <c r="Z591">
        <f t="shared" si="131"/>
        <v>51706.560595322466</v>
      </c>
      <c r="AA591">
        <f t="shared" si="132"/>
        <v>99996</v>
      </c>
      <c r="AB591">
        <f t="shared" si="133"/>
        <v>5091</v>
      </c>
      <c r="AC591">
        <f t="shared" si="134"/>
        <v>1887894.39</v>
      </c>
      <c r="AD591">
        <f t="shared" si="135"/>
        <v>1337.9832671863926</v>
      </c>
      <c r="AE591">
        <f t="shared" si="136"/>
        <v>0.35149999999999998</v>
      </c>
      <c r="AF591">
        <f t="shared" si="137"/>
        <v>1335455743.3599997</v>
      </c>
      <c r="AG591" t="str">
        <f t="shared" si="138"/>
        <v>Active</v>
      </c>
      <c r="AH591">
        <f t="shared" si="139"/>
        <v>36809.879999999997</v>
      </c>
    </row>
    <row r="592" spans="1:34" x14ac:dyDescent="0.35">
      <c r="A592" t="s">
        <v>1711</v>
      </c>
      <c r="B592" t="s">
        <v>1712</v>
      </c>
      <c r="C592">
        <v>26</v>
      </c>
      <c r="D592" t="s">
        <v>38</v>
      </c>
      <c r="E592" t="s">
        <v>23</v>
      </c>
      <c r="F592" t="s">
        <v>59</v>
      </c>
      <c r="G592">
        <v>141404</v>
      </c>
      <c r="H592">
        <v>400</v>
      </c>
      <c r="I592">
        <v>14614</v>
      </c>
      <c r="J592">
        <v>10.18</v>
      </c>
      <c r="K592">
        <v>24</v>
      </c>
      <c r="L592" t="s">
        <v>25</v>
      </c>
      <c r="M592">
        <v>11.82</v>
      </c>
      <c r="N592">
        <v>34534</v>
      </c>
      <c r="O592">
        <v>110062</v>
      </c>
      <c r="P592" t="s">
        <v>1713</v>
      </c>
      <c r="Q592" t="s">
        <v>61</v>
      </c>
      <c r="R592" t="s">
        <v>48</v>
      </c>
      <c r="S592" t="s">
        <v>35</v>
      </c>
      <c r="T592">
        <v>670.9</v>
      </c>
      <c r="U592">
        <f t="shared" si="126"/>
        <v>1410</v>
      </c>
      <c r="V592">
        <f t="shared" si="127"/>
        <v>515</v>
      </c>
      <c r="W592">
        <f t="shared" si="128"/>
        <v>449</v>
      </c>
      <c r="X592">
        <f t="shared" si="129"/>
        <v>0.35149999999999998</v>
      </c>
      <c r="Y592" s="1">
        <f t="shared" si="130"/>
        <v>72860645</v>
      </c>
      <c r="Z592">
        <f t="shared" si="131"/>
        <v>51674.216312056735</v>
      </c>
      <c r="AA592">
        <f t="shared" si="132"/>
        <v>99996</v>
      </c>
      <c r="AB592">
        <f t="shared" si="133"/>
        <v>5091</v>
      </c>
      <c r="AC592">
        <f t="shared" si="134"/>
        <v>1884826.8999999997</v>
      </c>
      <c r="AD592">
        <f t="shared" si="135"/>
        <v>1336.7566666666664</v>
      </c>
      <c r="AE592">
        <f t="shared" si="136"/>
        <v>0.35149999999999998</v>
      </c>
      <c r="AF592">
        <f t="shared" si="137"/>
        <v>1333567848.9699996</v>
      </c>
      <c r="AG592" t="str">
        <f t="shared" si="138"/>
        <v>Active</v>
      </c>
      <c r="AH592">
        <f t="shared" si="139"/>
        <v>8050.7999999999993</v>
      </c>
    </row>
    <row r="593" spans="1:34" x14ac:dyDescent="0.35">
      <c r="A593" t="s">
        <v>1714</v>
      </c>
      <c r="B593" t="s">
        <v>1715</v>
      </c>
      <c r="C593">
        <v>54</v>
      </c>
      <c r="D593" t="s">
        <v>38</v>
      </c>
      <c r="E593" t="s">
        <v>23</v>
      </c>
      <c r="F593" t="s">
        <v>59</v>
      </c>
      <c r="G593">
        <v>140376</v>
      </c>
      <c r="H593">
        <v>578</v>
      </c>
      <c r="I593">
        <v>80191</v>
      </c>
      <c r="J593">
        <v>9.89</v>
      </c>
      <c r="K593">
        <v>12</v>
      </c>
      <c r="L593" t="s">
        <v>25</v>
      </c>
      <c r="M593">
        <v>34.159999999999997</v>
      </c>
      <c r="N593">
        <v>53083</v>
      </c>
      <c r="O593">
        <v>150279</v>
      </c>
      <c r="P593" t="s">
        <v>1716</v>
      </c>
      <c r="Q593" t="s">
        <v>27</v>
      </c>
      <c r="R593" t="s">
        <v>48</v>
      </c>
      <c r="S593" t="s">
        <v>35</v>
      </c>
      <c r="T593">
        <v>7343.49</v>
      </c>
      <c r="U593">
        <f t="shared" si="126"/>
        <v>1409</v>
      </c>
      <c r="V593">
        <f t="shared" si="127"/>
        <v>515</v>
      </c>
      <c r="W593">
        <f t="shared" si="128"/>
        <v>448</v>
      </c>
      <c r="X593">
        <f t="shared" si="129"/>
        <v>0.35149999999999998</v>
      </c>
      <c r="Y593" s="1">
        <f t="shared" si="130"/>
        <v>72846031</v>
      </c>
      <c r="Z593">
        <f t="shared" si="131"/>
        <v>51700.518807665008</v>
      </c>
      <c r="AA593">
        <f t="shared" si="132"/>
        <v>99996</v>
      </c>
      <c r="AB593">
        <f t="shared" si="133"/>
        <v>5091</v>
      </c>
      <c r="AC593">
        <f t="shared" si="134"/>
        <v>1884155.9999999998</v>
      </c>
      <c r="AD593">
        <f t="shared" si="135"/>
        <v>1337.2292405961673</v>
      </c>
      <c r="AE593">
        <f t="shared" si="136"/>
        <v>0.35149999999999998</v>
      </c>
      <c r="AF593">
        <f t="shared" si="137"/>
        <v>1331683022.0699995</v>
      </c>
      <c r="AG593" t="str">
        <f t="shared" si="138"/>
        <v>Active</v>
      </c>
      <c r="AH593">
        <f t="shared" si="139"/>
        <v>88121.88</v>
      </c>
    </row>
    <row r="594" spans="1:34" x14ac:dyDescent="0.35">
      <c r="A594" t="s">
        <v>1717</v>
      </c>
      <c r="B594" t="s">
        <v>1718</v>
      </c>
      <c r="C594">
        <v>60</v>
      </c>
      <c r="D594" t="s">
        <v>38</v>
      </c>
      <c r="E594" t="s">
        <v>23</v>
      </c>
      <c r="F594" t="s">
        <v>59</v>
      </c>
      <c r="G594">
        <v>38433</v>
      </c>
      <c r="H594">
        <v>386</v>
      </c>
      <c r="I594">
        <v>64042</v>
      </c>
      <c r="J594">
        <v>12.74</v>
      </c>
      <c r="K594">
        <v>360</v>
      </c>
      <c r="L594" t="s">
        <v>25</v>
      </c>
      <c r="M594">
        <v>8.56</v>
      </c>
      <c r="N594">
        <v>730</v>
      </c>
      <c r="O594">
        <v>140300</v>
      </c>
      <c r="P594" t="s">
        <v>1719</v>
      </c>
      <c r="Q594" t="s">
        <v>42</v>
      </c>
      <c r="R594" t="s">
        <v>48</v>
      </c>
      <c r="S594" t="s">
        <v>49</v>
      </c>
      <c r="T594">
        <v>200.56</v>
      </c>
      <c r="U594">
        <f t="shared" si="126"/>
        <v>1408</v>
      </c>
      <c r="V594">
        <f t="shared" si="127"/>
        <v>515</v>
      </c>
      <c r="W594">
        <f t="shared" si="128"/>
        <v>448</v>
      </c>
      <c r="X594">
        <f t="shared" si="129"/>
        <v>0.35149999999999998</v>
      </c>
      <c r="Y594" s="1">
        <f t="shared" si="130"/>
        <v>72765840</v>
      </c>
      <c r="Z594">
        <f t="shared" si="131"/>
        <v>51680.284090909088</v>
      </c>
      <c r="AA594">
        <f t="shared" si="132"/>
        <v>99996</v>
      </c>
      <c r="AB594">
        <f t="shared" si="133"/>
        <v>5091</v>
      </c>
      <c r="AC594">
        <f t="shared" si="134"/>
        <v>1876812.5100000002</v>
      </c>
      <c r="AD594">
        <f t="shared" si="135"/>
        <v>1332.9634303977275</v>
      </c>
      <c r="AE594">
        <f t="shared" si="136"/>
        <v>0.35149999999999998</v>
      </c>
      <c r="AF594">
        <f t="shared" si="137"/>
        <v>1329798866.0699995</v>
      </c>
      <c r="AG594" t="str">
        <f t="shared" si="138"/>
        <v>Over Paid</v>
      </c>
      <c r="AH594">
        <f t="shared" si="139"/>
        <v>2406.7200000000003</v>
      </c>
    </row>
    <row r="595" spans="1:34" x14ac:dyDescent="0.35">
      <c r="A595" t="s">
        <v>1720</v>
      </c>
      <c r="B595" t="s">
        <v>1721</v>
      </c>
      <c r="C595">
        <v>59</v>
      </c>
      <c r="D595" t="s">
        <v>22</v>
      </c>
      <c r="E595" t="s">
        <v>32</v>
      </c>
      <c r="F595" t="s">
        <v>24</v>
      </c>
      <c r="G595">
        <v>117118</v>
      </c>
      <c r="H595">
        <v>826</v>
      </c>
      <c r="I595">
        <v>5591</v>
      </c>
      <c r="J595">
        <v>7.76</v>
      </c>
      <c r="K595">
        <v>120</v>
      </c>
      <c r="L595" t="s">
        <v>25</v>
      </c>
      <c r="M595">
        <v>9.1199999999999992</v>
      </c>
      <c r="N595">
        <v>79531</v>
      </c>
      <c r="O595">
        <v>82543</v>
      </c>
      <c r="P595" t="s">
        <v>1722</v>
      </c>
      <c r="Q595" t="s">
        <v>61</v>
      </c>
      <c r="R595" t="s">
        <v>28</v>
      </c>
      <c r="S595" t="s">
        <v>68</v>
      </c>
      <c r="T595">
        <v>50.21</v>
      </c>
      <c r="U595">
        <f t="shared" si="126"/>
        <v>1407</v>
      </c>
      <c r="V595">
        <f t="shared" si="127"/>
        <v>514</v>
      </c>
      <c r="W595">
        <f t="shared" si="128"/>
        <v>448</v>
      </c>
      <c r="X595">
        <f t="shared" si="129"/>
        <v>0.35149999999999998</v>
      </c>
      <c r="Y595" s="1">
        <f t="shared" si="130"/>
        <v>72701798</v>
      </c>
      <c r="Z595">
        <f t="shared" si="131"/>
        <v>51671.498223169867</v>
      </c>
      <c r="AA595">
        <f t="shared" si="132"/>
        <v>99996</v>
      </c>
      <c r="AB595">
        <f t="shared" si="133"/>
        <v>5091</v>
      </c>
      <c r="AC595">
        <f t="shared" si="134"/>
        <v>1876611.9500000002</v>
      </c>
      <c r="AD595">
        <f t="shared" si="135"/>
        <v>1333.7682658137883</v>
      </c>
      <c r="AE595">
        <f t="shared" si="136"/>
        <v>0.35149999999999998</v>
      </c>
      <c r="AF595">
        <f t="shared" si="137"/>
        <v>1327922053.5599995</v>
      </c>
      <c r="AG595" t="str">
        <f t="shared" si="138"/>
        <v>Active</v>
      </c>
      <c r="AH595">
        <f t="shared" si="139"/>
        <v>602.52</v>
      </c>
    </row>
    <row r="596" spans="1:34" x14ac:dyDescent="0.35">
      <c r="A596" t="s">
        <v>1723</v>
      </c>
      <c r="B596" t="s">
        <v>1724</v>
      </c>
      <c r="C596">
        <v>59</v>
      </c>
      <c r="D596" t="s">
        <v>38</v>
      </c>
      <c r="E596" t="s">
        <v>23</v>
      </c>
      <c r="F596" t="s">
        <v>24</v>
      </c>
      <c r="G596">
        <v>152096</v>
      </c>
      <c r="H596">
        <v>845</v>
      </c>
      <c r="I596">
        <v>55324</v>
      </c>
      <c r="J596">
        <v>17.350000000000001</v>
      </c>
      <c r="K596">
        <v>180</v>
      </c>
      <c r="L596" t="s">
        <v>25</v>
      </c>
      <c r="M596">
        <v>25.08</v>
      </c>
      <c r="N596">
        <v>73799</v>
      </c>
      <c r="O596">
        <v>127643</v>
      </c>
      <c r="P596" t="s">
        <v>1725</v>
      </c>
      <c r="Q596" t="s">
        <v>42</v>
      </c>
      <c r="R596" t="s">
        <v>28</v>
      </c>
      <c r="S596" t="s">
        <v>35</v>
      </c>
      <c r="T596">
        <v>360.68</v>
      </c>
      <c r="U596">
        <f t="shared" si="126"/>
        <v>1406</v>
      </c>
      <c r="V596">
        <f t="shared" si="127"/>
        <v>514</v>
      </c>
      <c r="W596">
        <f t="shared" si="128"/>
        <v>447</v>
      </c>
      <c r="X596">
        <f t="shared" si="129"/>
        <v>0.35149999999999998</v>
      </c>
      <c r="Y596" s="1">
        <f t="shared" si="130"/>
        <v>72696207</v>
      </c>
      <c r="Z596">
        <f t="shared" si="131"/>
        <v>51704.272403982934</v>
      </c>
      <c r="AA596">
        <f t="shared" si="132"/>
        <v>99996</v>
      </c>
      <c r="AB596">
        <f t="shared" si="133"/>
        <v>5091</v>
      </c>
      <c r="AC596">
        <f t="shared" si="134"/>
        <v>1876561.7400000002</v>
      </c>
      <c r="AD596">
        <f t="shared" si="135"/>
        <v>1334.6811806543387</v>
      </c>
      <c r="AE596">
        <f t="shared" si="136"/>
        <v>0.35149999999999998</v>
      </c>
      <c r="AF596">
        <f t="shared" si="137"/>
        <v>1326045441.6099997</v>
      </c>
      <c r="AG596" t="str">
        <f t="shared" si="138"/>
        <v>Active</v>
      </c>
      <c r="AH596">
        <f t="shared" si="139"/>
        <v>4328.16</v>
      </c>
    </row>
    <row r="597" spans="1:34" x14ac:dyDescent="0.35">
      <c r="A597" t="s">
        <v>1726</v>
      </c>
      <c r="B597" t="s">
        <v>1727</v>
      </c>
      <c r="C597">
        <v>46</v>
      </c>
      <c r="D597" t="s">
        <v>22</v>
      </c>
      <c r="E597" t="s">
        <v>32</v>
      </c>
      <c r="F597" t="s">
        <v>59</v>
      </c>
      <c r="G597">
        <v>174457</v>
      </c>
      <c r="H597">
        <v>432</v>
      </c>
      <c r="I597">
        <v>21679</v>
      </c>
      <c r="J597">
        <v>9</v>
      </c>
      <c r="K597">
        <v>120</v>
      </c>
      <c r="L597" t="s">
        <v>52</v>
      </c>
      <c r="M597">
        <v>54.44</v>
      </c>
      <c r="N597">
        <v>5312</v>
      </c>
      <c r="O597">
        <v>167881</v>
      </c>
      <c r="P597" t="s">
        <v>1728</v>
      </c>
      <c r="Q597" t="s">
        <v>42</v>
      </c>
      <c r="R597" t="s">
        <v>48</v>
      </c>
      <c r="S597" t="s">
        <v>49</v>
      </c>
      <c r="T597">
        <v>196.92</v>
      </c>
      <c r="U597">
        <f t="shared" si="126"/>
        <v>1405</v>
      </c>
      <c r="V597">
        <f t="shared" si="127"/>
        <v>513</v>
      </c>
      <c r="W597">
        <f t="shared" si="128"/>
        <v>447</v>
      </c>
      <c r="X597">
        <f t="shared" si="129"/>
        <v>0.35149999999999998</v>
      </c>
      <c r="Y597" s="1">
        <f t="shared" si="130"/>
        <v>72640883</v>
      </c>
      <c r="Z597">
        <f t="shared" si="131"/>
        <v>51701.696085409254</v>
      </c>
      <c r="AA597">
        <f t="shared" si="132"/>
        <v>99996</v>
      </c>
      <c r="AB597">
        <f t="shared" si="133"/>
        <v>5091</v>
      </c>
      <c r="AC597">
        <f t="shared" si="134"/>
        <v>1876201.06</v>
      </c>
      <c r="AD597">
        <f t="shared" si="135"/>
        <v>1335.3744199288258</v>
      </c>
      <c r="AE597">
        <f t="shared" si="136"/>
        <v>0.35149999999999998</v>
      </c>
      <c r="AF597">
        <f t="shared" si="137"/>
        <v>1324168879.8699996</v>
      </c>
      <c r="AG597" t="str">
        <f t="shared" si="138"/>
        <v>Active</v>
      </c>
      <c r="AH597">
        <f t="shared" si="139"/>
        <v>2363.04</v>
      </c>
    </row>
    <row r="598" spans="1:34" x14ac:dyDescent="0.35">
      <c r="A598" t="s">
        <v>1729</v>
      </c>
      <c r="B598" t="s">
        <v>1730</v>
      </c>
      <c r="C598">
        <v>35</v>
      </c>
      <c r="D598" t="s">
        <v>38</v>
      </c>
      <c r="E598" t="s">
        <v>23</v>
      </c>
      <c r="F598" t="s">
        <v>46</v>
      </c>
      <c r="G598">
        <v>136285</v>
      </c>
      <c r="H598">
        <v>555</v>
      </c>
      <c r="I598">
        <v>80902</v>
      </c>
      <c r="J598">
        <v>12.49</v>
      </c>
      <c r="K598">
        <v>36</v>
      </c>
      <c r="L598" t="s">
        <v>52</v>
      </c>
      <c r="M598">
        <v>23.88</v>
      </c>
      <c r="N598">
        <v>10399</v>
      </c>
      <c r="O598">
        <v>121667</v>
      </c>
      <c r="P598" t="s">
        <v>1731</v>
      </c>
      <c r="Q598" t="s">
        <v>61</v>
      </c>
      <c r="R598" t="s">
        <v>28</v>
      </c>
      <c r="S598" t="s">
        <v>49</v>
      </c>
      <c r="T598">
        <v>2527.96</v>
      </c>
      <c r="U598">
        <f t="shared" si="126"/>
        <v>1404</v>
      </c>
      <c r="V598">
        <f t="shared" si="127"/>
        <v>512</v>
      </c>
      <c r="W598">
        <f t="shared" si="128"/>
        <v>447</v>
      </c>
      <c r="X598">
        <f t="shared" si="129"/>
        <v>0.35149999999999998</v>
      </c>
      <c r="Y598" s="1">
        <f t="shared" si="130"/>
        <v>72619204</v>
      </c>
      <c r="Z598">
        <f t="shared" si="131"/>
        <v>51723.079772079771</v>
      </c>
      <c r="AA598">
        <f t="shared" si="132"/>
        <v>99996</v>
      </c>
      <c r="AB598">
        <f t="shared" si="133"/>
        <v>5091</v>
      </c>
      <c r="AC598">
        <f t="shared" si="134"/>
        <v>1876004.1400000001</v>
      </c>
      <c r="AD598">
        <f t="shared" si="135"/>
        <v>1336.1852849002851</v>
      </c>
      <c r="AE598">
        <f t="shared" si="136"/>
        <v>0.35149999999999998</v>
      </c>
      <c r="AF598">
        <f t="shared" si="137"/>
        <v>1322292678.8099995</v>
      </c>
      <c r="AG598" t="str">
        <f t="shared" si="138"/>
        <v>Active</v>
      </c>
      <c r="AH598">
        <f t="shared" si="139"/>
        <v>30335.52</v>
      </c>
    </row>
    <row r="599" spans="1:34" x14ac:dyDescent="0.35">
      <c r="A599" t="s">
        <v>1732</v>
      </c>
      <c r="B599" t="s">
        <v>1733</v>
      </c>
      <c r="C599">
        <v>64</v>
      </c>
      <c r="D599" t="s">
        <v>22</v>
      </c>
      <c r="E599" t="s">
        <v>32</v>
      </c>
      <c r="F599" t="s">
        <v>24</v>
      </c>
      <c r="G599">
        <v>79008</v>
      </c>
      <c r="H599">
        <v>626</v>
      </c>
      <c r="I599">
        <v>14965</v>
      </c>
      <c r="J599">
        <v>9.7100000000000009</v>
      </c>
      <c r="K599">
        <v>36</v>
      </c>
      <c r="L599" t="s">
        <v>25</v>
      </c>
      <c r="M599">
        <v>13.96</v>
      </c>
      <c r="N599">
        <v>44151</v>
      </c>
      <c r="O599">
        <v>122775</v>
      </c>
      <c r="P599" t="s">
        <v>1734</v>
      </c>
      <c r="Q599" t="s">
        <v>27</v>
      </c>
      <c r="R599" t="s">
        <v>28</v>
      </c>
      <c r="S599" t="s">
        <v>29</v>
      </c>
      <c r="T599">
        <v>456.06</v>
      </c>
      <c r="U599">
        <f t="shared" si="126"/>
        <v>1403</v>
      </c>
      <c r="V599">
        <f t="shared" si="127"/>
        <v>512</v>
      </c>
      <c r="W599">
        <f t="shared" si="128"/>
        <v>446</v>
      </c>
      <c r="X599">
        <f t="shared" si="129"/>
        <v>0.35149999999999998</v>
      </c>
      <c r="Y599" s="1">
        <f t="shared" si="130"/>
        <v>72538302</v>
      </c>
      <c r="Z599">
        <f t="shared" si="131"/>
        <v>51702.282252316465</v>
      </c>
      <c r="AA599">
        <f t="shared" si="132"/>
        <v>99996</v>
      </c>
      <c r="AB599">
        <f t="shared" si="133"/>
        <v>5091</v>
      </c>
      <c r="AC599">
        <f t="shared" si="134"/>
        <v>1873476.1800000002</v>
      </c>
      <c r="AD599">
        <f t="shared" si="135"/>
        <v>1335.3358374910906</v>
      </c>
      <c r="AE599">
        <f t="shared" si="136"/>
        <v>0.35149999999999998</v>
      </c>
      <c r="AF599">
        <f t="shared" si="137"/>
        <v>1320416674.6699994</v>
      </c>
      <c r="AG599" t="str">
        <f t="shared" si="138"/>
        <v>Active</v>
      </c>
      <c r="AH599">
        <f t="shared" si="139"/>
        <v>5472.72</v>
      </c>
    </row>
    <row r="600" spans="1:34" x14ac:dyDescent="0.35">
      <c r="A600" t="s">
        <v>1735</v>
      </c>
      <c r="B600" t="s">
        <v>1736</v>
      </c>
      <c r="C600">
        <v>64</v>
      </c>
      <c r="D600" t="s">
        <v>38</v>
      </c>
      <c r="E600" t="s">
        <v>32</v>
      </c>
      <c r="F600" t="s">
        <v>46</v>
      </c>
      <c r="G600">
        <v>189970</v>
      </c>
      <c r="H600">
        <v>849</v>
      </c>
      <c r="I600">
        <v>54399</v>
      </c>
      <c r="J600">
        <v>16.96</v>
      </c>
      <c r="K600">
        <v>360</v>
      </c>
      <c r="L600" t="s">
        <v>52</v>
      </c>
      <c r="M600">
        <v>38.049999999999997</v>
      </c>
      <c r="N600">
        <v>56478</v>
      </c>
      <c r="O600">
        <v>91555</v>
      </c>
      <c r="P600" t="s">
        <v>483</v>
      </c>
      <c r="Q600" t="s">
        <v>42</v>
      </c>
      <c r="R600" t="s">
        <v>48</v>
      </c>
      <c r="S600" t="s">
        <v>43</v>
      </c>
      <c r="T600">
        <v>176.74</v>
      </c>
      <c r="U600">
        <f t="shared" si="126"/>
        <v>1402</v>
      </c>
      <c r="V600">
        <f t="shared" si="127"/>
        <v>512</v>
      </c>
      <c r="W600">
        <f t="shared" si="128"/>
        <v>446</v>
      </c>
      <c r="X600">
        <f t="shared" si="129"/>
        <v>0.35149999999999998</v>
      </c>
      <c r="Y600" s="1">
        <f t="shared" si="130"/>
        <v>72523337</v>
      </c>
      <c r="Z600">
        <f t="shared" si="131"/>
        <v>51728.485734664762</v>
      </c>
      <c r="AA600">
        <f t="shared" si="132"/>
        <v>99996</v>
      </c>
      <c r="AB600">
        <f t="shared" si="133"/>
        <v>5091</v>
      </c>
      <c r="AC600">
        <f t="shared" si="134"/>
        <v>1873020.1200000003</v>
      </c>
      <c r="AD600">
        <f t="shared" si="135"/>
        <v>1335.9629957203997</v>
      </c>
      <c r="AE600">
        <f t="shared" si="136"/>
        <v>0.35149999999999998</v>
      </c>
      <c r="AF600">
        <f t="shared" si="137"/>
        <v>1318543198.4899995</v>
      </c>
      <c r="AG600" t="str">
        <f t="shared" si="138"/>
        <v>Active</v>
      </c>
      <c r="AH600">
        <f t="shared" si="139"/>
        <v>2120.88</v>
      </c>
    </row>
    <row r="601" spans="1:34" x14ac:dyDescent="0.35">
      <c r="A601" t="s">
        <v>1737</v>
      </c>
      <c r="B601" t="s">
        <v>1738</v>
      </c>
      <c r="C601">
        <v>39</v>
      </c>
      <c r="D601" t="s">
        <v>22</v>
      </c>
      <c r="E601" t="s">
        <v>23</v>
      </c>
      <c r="F601" t="s">
        <v>46</v>
      </c>
      <c r="G601">
        <v>110300</v>
      </c>
      <c r="H601">
        <v>780</v>
      </c>
      <c r="I601">
        <v>63623</v>
      </c>
      <c r="J601">
        <v>19.75</v>
      </c>
      <c r="K601">
        <v>240</v>
      </c>
      <c r="L601" t="s">
        <v>33</v>
      </c>
      <c r="M601">
        <v>31.44</v>
      </c>
      <c r="N601">
        <v>55019</v>
      </c>
      <c r="O601">
        <v>83842</v>
      </c>
      <c r="P601" t="s">
        <v>1739</v>
      </c>
      <c r="Q601" t="s">
        <v>61</v>
      </c>
      <c r="R601" t="s">
        <v>48</v>
      </c>
      <c r="S601" t="s">
        <v>35</v>
      </c>
      <c r="T601">
        <v>317.45</v>
      </c>
      <c r="U601">
        <f t="shared" si="126"/>
        <v>1401</v>
      </c>
      <c r="V601">
        <f t="shared" si="127"/>
        <v>511</v>
      </c>
      <c r="W601">
        <f t="shared" si="128"/>
        <v>446</v>
      </c>
      <c r="X601">
        <f t="shared" si="129"/>
        <v>0.35149999999999998</v>
      </c>
      <c r="Y601" s="1">
        <f t="shared" si="130"/>
        <v>72468938</v>
      </c>
      <c r="Z601">
        <f t="shared" si="131"/>
        <v>51726.57958600999</v>
      </c>
      <c r="AA601">
        <f t="shared" si="132"/>
        <v>99996</v>
      </c>
      <c r="AB601">
        <f t="shared" si="133"/>
        <v>5091</v>
      </c>
      <c r="AC601">
        <f t="shared" si="134"/>
        <v>1872843.3800000004</v>
      </c>
      <c r="AD601">
        <f t="shared" si="135"/>
        <v>1336.7904211277662</v>
      </c>
      <c r="AE601">
        <f t="shared" si="136"/>
        <v>0.35149999999999998</v>
      </c>
      <c r="AF601">
        <f t="shared" si="137"/>
        <v>1316670178.3699996</v>
      </c>
      <c r="AG601" t="str">
        <f t="shared" si="138"/>
        <v>Active</v>
      </c>
      <c r="AH601">
        <f t="shared" si="139"/>
        <v>3809.3999999999996</v>
      </c>
    </row>
    <row r="602" spans="1:34" x14ac:dyDescent="0.35">
      <c r="A602" t="s">
        <v>1740</v>
      </c>
      <c r="B602" t="s">
        <v>1741</v>
      </c>
      <c r="C602">
        <v>51</v>
      </c>
      <c r="D602" t="s">
        <v>38</v>
      </c>
      <c r="E602" t="s">
        <v>32</v>
      </c>
      <c r="F602" t="s">
        <v>46</v>
      </c>
      <c r="G602">
        <v>155114</v>
      </c>
      <c r="H602">
        <v>806</v>
      </c>
      <c r="I602">
        <v>26441</v>
      </c>
      <c r="J602">
        <v>7.78</v>
      </c>
      <c r="K602">
        <v>120</v>
      </c>
      <c r="L602" t="s">
        <v>25</v>
      </c>
      <c r="M602">
        <v>14.28</v>
      </c>
      <c r="N602">
        <v>21630</v>
      </c>
      <c r="O602">
        <v>71203</v>
      </c>
      <c r="P602" t="s">
        <v>1461</v>
      </c>
      <c r="Q602" t="s">
        <v>61</v>
      </c>
      <c r="R602" t="s">
        <v>28</v>
      </c>
      <c r="S602" t="s">
        <v>49</v>
      </c>
      <c r="T602">
        <v>237.48</v>
      </c>
      <c r="U602">
        <f t="shared" si="126"/>
        <v>1400</v>
      </c>
      <c r="V602">
        <f t="shared" si="127"/>
        <v>511</v>
      </c>
      <c r="W602">
        <f t="shared" si="128"/>
        <v>445</v>
      </c>
      <c r="X602">
        <f t="shared" si="129"/>
        <v>0.35149999999999998</v>
      </c>
      <c r="Y602" s="1">
        <f t="shared" si="130"/>
        <v>72405315</v>
      </c>
      <c r="Z602">
        <f t="shared" si="131"/>
        <v>51718.082142857143</v>
      </c>
      <c r="AA602">
        <f t="shared" si="132"/>
        <v>99996</v>
      </c>
      <c r="AB602">
        <f t="shared" si="133"/>
        <v>5091</v>
      </c>
      <c r="AC602">
        <f t="shared" si="134"/>
        <v>1872525.9300000004</v>
      </c>
      <c r="AD602">
        <f t="shared" si="135"/>
        <v>1337.5185214285716</v>
      </c>
      <c r="AE602">
        <f t="shared" si="136"/>
        <v>0.35149999999999998</v>
      </c>
      <c r="AF602">
        <f t="shared" si="137"/>
        <v>1314797334.9899995</v>
      </c>
      <c r="AG602" t="str">
        <f t="shared" si="138"/>
        <v>Active</v>
      </c>
      <c r="AH602">
        <f t="shared" si="139"/>
        <v>2849.7599999999998</v>
      </c>
    </row>
    <row r="603" spans="1:34" x14ac:dyDescent="0.35">
      <c r="A603" t="s">
        <v>1742</v>
      </c>
      <c r="B603" t="s">
        <v>1743</v>
      </c>
      <c r="C603">
        <v>36</v>
      </c>
      <c r="D603" t="s">
        <v>38</v>
      </c>
      <c r="E603" t="s">
        <v>32</v>
      </c>
      <c r="F603" t="s">
        <v>46</v>
      </c>
      <c r="G603">
        <v>48046</v>
      </c>
      <c r="H603">
        <v>359</v>
      </c>
      <c r="I603">
        <v>58228</v>
      </c>
      <c r="J603">
        <v>23.44</v>
      </c>
      <c r="K603">
        <v>120</v>
      </c>
      <c r="L603" t="s">
        <v>52</v>
      </c>
      <c r="M603">
        <v>40.24</v>
      </c>
      <c r="N603">
        <v>70909</v>
      </c>
      <c r="O603">
        <v>81088</v>
      </c>
      <c r="P603" t="s">
        <v>1744</v>
      </c>
      <c r="Q603" t="s">
        <v>27</v>
      </c>
      <c r="R603" t="s">
        <v>48</v>
      </c>
      <c r="S603" t="s">
        <v>68</v>
      </c>
      <c r="T603">
        <v>598.97</v>
      </c>
      <c r="U603">
        <f t="shared" si="126"/>
        <v>1399</v>
      </c>
      <c r="V603">
        <f t="shared" si="127"/>
        <v>511</v>
      </c>
      <c r="W603">
        <f t="shared" si="128"/>
        <v>444</v>
      </c>
      <c r="X603">
        <f t="shared" si="129"/>
        <v>0.35149999999999998</v>
      </c>
      <c r="Y603" s="1">
        <f t="shared" si="130"/>
        <v>72378874</v>
      </c>
      <c r="Z603">
        <f t="shared" si="131"/>
        <v>51736.150107219444</v>
      </c>
      <c r="AA603">
        <f t="shared" si="132"/>
        <v>99996</v>
      </c>
      <c r="AB603">
        <f t="shared" si="133"/>
        <v>5091</v>
      </c>
      <c r="AC603">
        <f t="shared" si="134"/>
        <v>1872288.4500000004</v>
      </c>
      <c r="AD603">
        <f t="shared" si="135"/>
        <v>1338.304824874911</v>
      </c>
      <c r="AE603">
        <f t="shared" si="136"/>
        <v>0.35149999999999998</v>
      </c>
      <c r="AF603">
        <f t="shared" si="137"/>
        <v>1312924809.0599995</v>
      </c>
      <c r="AG603" t="str">
        <f t="shared" si="138"/>
        <v>Active</v>
      </c>
      <c r="AH603">
        <f t="shared" si="139"/>
        <v>7187.64</v>
      </c>
    </row>
    <row r="604" spans="1:34" x14ac:dyDescent="0.35">
      <c r="A604" t="s">
        <v>1745</v>
      </c>
      <c r="B604" t="s">
        <v>1746</v>
      </c>
      <c r="C604">
        <v>56</v>
      </c>
      <c r="D604" t="s">
        <v>22</v>
      </c>
      <c r="E604" t="s">
        <v>39</v>
      </c>
      <c r="F604" t="s">
        <v>59</v>
      </c>
      <c r="G604">
        <v>189233</v>
      </c>
      <c r="H604">
        <v>304</v>
      </c>
      <c r="I604">
        <v>62634</v>
      </c>
      <c r="J604">
        <v>10.7</v>
      </c>
      <c r="K604">
        <v>120</v>
      </c>
      <c r="L604" t="s">
        <v>86</v>
      </c>
      <c r="M604">
        <v>52.52</v>
      </c>
      <c r="N604">
        <v>38461</v>
      </c>
      <c r="O604">
        <v>101829</v>
      </c>
      <c r="P604" t="s">
        <v>1747</v>
      </c>
      <c r="Q604" t="s">
        <v>27</v>
      </c>
      <c r="R604" t="s">
        <v>48</v>
      </c>
      <c r="S604" t="s">
        <v>35</v>
      </c>
      <c r="T604">
        <v>577.79999999999995</v>
      </c>
      <c r="U604">
        <f t="shared" si="126"/>
        <v>1398</v>
      </c>
      <c r="V604">
        <f t="shared" si="127"/>
        <v>511</v>
      </c>
      <c r="W604">
        <f t="shared" si="128"/>
        <v>444</v>
      </c>
      <c r="X604">
        <f t="shared" si="129"/>
        <v>0.35149999999999998</v>
      </c>
      <c r="Y604" s="1">
        <f t="shared" si="130"/>
        <v>72320646</v>
      </c>
      <c r="Z604">
        <f t="shared" si="131"/>
        <v>51731.506437768243</v>
      </c>
      <c r="AA604">
        <f t="shared" si="132"/>
        <v>99996</v>
      </c>
      <c r="AB604">
        <f t="shared" si="133"/>
        <v>5091</v>
      </c>
      <c r="AC604">
        <f t="shared" si="134"/>
        <v>1871689.4800000004</v>
      </c>
      <c r="AD604">
        <f t="shared" si="135"/>
        <v>1338.8336766809732</v>
      </c>
      <c r="AE604">
        <f t="shared" si="136"/>
        <v>0.35149999999999998</v>
      </c>
      <c r="AF604">
        <f t="shared" si="137"/>
        <v>1311052520.6099994</v>
      </c>
      <c r="AG604" t="str">
        <f t="shared" si="138"/>
        <v>Active</v>
      </c>
      <c r="AH604">
        <f t="shared" si="139"/>
        <v>6933.5999999999995</v>
      </c>
    </row>
    <row r="605" spans="1:34" x14ac:dyDescent="0.35">
      <c r="A605" t="s">
        <v>1748</v>
      </c>
      <c r="B605" t="s">
        <v>1749</v>
      </c>
      <c r="C605">
        <v>23</v>
      </c>
      <c r="D605" t="s">
        <v>38</v>
      </c>
      <c r="E605" t="s">
        <v>39</v>
      </c>
      <c r="F605" t="s">
        <v>24</v>
      </c>
      <c r="G605">
        <v>150660</v>
      </c>
      <c r="H605">
        <v>713</v>
      </c>
      <c r="I605">
        <v>77685</v>
      </c>
      <c r="J605">
        <v>21.74</v>
      </c>
      <c r="K605">
        <v>36</v>
      </c>
      <c r="L605" t="s">
        <v>40</v>
      </c>
      <c r="M605">
        <v>12.26</v>
      </c>
      <c r="N605">
        <v>56268</v>
      </c>
      <c r="O605">
        <v>17537</v>
      </c>
      <c r="P605" t="s">
        <v>1750</v>
      </c>
      <c r="Q605" t="s">
        <v>27</v>
      </c>
      <c r="R605" t="s">
        <v>48</v>
      </c>
      <c r="S605" t="s">
        <v>29</v>
      </c>
      <c r="T605">
        <v>2627.05</v>
      </c>
      <c r="U605">
        <f t="shared" si="126"/>
        <v>1397</v>
      </c>
      <c r="V605">
        <f t="shared" si="127"/>
        <v>511</v>
      </c>
      <c r="W605">
        <f t="shared" si="128"/>
        <v>444</v>
      </c>
      <c r="X605">
        <f t="shared" si="129"/>
        <v>0.35149999999999998</v>
      </c>
      <c r="Y605" s="1">
        <f t="shared" si="130"/>
        <v>72258012</v>
      </c>
      <c r="Z605">
        <f t="shared" si="131"/>
        <v>51723.702219040802</v>
      </c>
      <c r="AA605">
        <f t="shared" si="132"/>
        <v>99996</v>
      </c>
      <c r="AB605">
        <f t="shared" si="133"/>
        <v>5091</v>
      </c>
      <c r="AC605">
        <f t="shared" si="134"/>
        <v>1871111.6800000002</v>
      </c>
      <c r="AD605">
        <f t="shared" si="135"/>
        <v>1339.3784395132427</v>
      </c>
      <c r="AE605">
        <f t="shared" si="136"/>
        <v>0.35149999999999998</v>
      </c>
      <c r="AF605">
        <f t="shared" si="137"/>
        <v>1309180831.1299994</v>
      </c>
      <c r="AG605" t="str">
        <f t="shared" si="138"/>
        <v>Active</v>
      </c>
      <c r="AH605">
        <f t="shared" si="139"/>
        <v>31524.600000000002</v>
      </c>
    </row>
    <row r="606" spans="1:34" x14ac:dyDescent="0.35">
      <c r="A606" t="s">
        <v>1751</v>
      </c>
      <c r="B606" t="s">
        <v>1752</v>
      </c>
      <c r="C606">
        <v>41</v>
      </c>
      <c r="D606" t="s">
        <v>38</v>
      </c>
      <c r="E606" t="s">
        <v>32</v>
      </c>
      <c r="F606" t="s">
        <v>59</v>
      </c>
      <c r="G606">
        <v>47533</v>
      </c>
      <c r="H606">
        <v>500</v>
      </c>
      <c r="I606">
        <v>74317</v>
      </c>
      <c r="J606">
        <v>14.26</v>
      </c>
      <c r="K606">
        <v>60</v>
      </c>
      <c r="L606" t="s">
        <v>33</v>
      </c>
      <c r="M606">
        <v>11.19</v>
      </c>
      <c r="N606">
        <v>70816</v>
      </c>
      <c r="O606">
        <v>95214</v>
      </c>
      <c r="P606" t="s">
        <v>26</v>
      </c>
      <c r="Q606" t="s">
        <v>27</v>
      </c>
      <c r="R606" t="s">
        <v>28</v>
      </c>
      <c r="S606" t="s">
        <v>35</v>
      </c>
      <c r="T606">
        <v>1415.24</v>
      </c>
      <c r="U606">
        <f t="shared" si="126"/>
        <v>1396</v>
      </c>
      <c r="V606">
        <f t="shared" si="127"/>
        <v>511</v>
      </c>
      <c r="W606">
        <f t="shared" si="128"/>
        <v>444</v>
      </c>
      <c r="X606">
        <f t="shared" si="129"/>
        <v>0.35149999999999998</v>
      </c>
      <c r="Y606" s="1">
        <f t="shared" si="130"/>
        <v>72180327</v>
      </c>
      <c r="Z606">
        <f t="shared" si="131"/>
        <v>51705.105300859599</v>
      </c>
      <c r="AA606">
        <f t="shared" si="132"/>
        <v>99996</v>
      </c>
      <c r="AB606">
        <f t="shared" si="133"/>
        <v>5091</v>
      </c>
      <c r="AC606">
        <f t="shared" si="134"/>
        <v>1868484.6300000001</v>
      </c>
      <c r="AD606">
        <f t="shared" si="135"/>
        <v>1338.4560386819485</v>
      </c>
      <c r="AE606">
        <f t="shared" si="136"/>
        <v>0.35149999999999998</v>
      </c>
      <c r="AF606">
        <f t="shared" si="137"/>
        <v>1307309719.4499996</v>
      </c>
      <c r="AG606" t="str">
        <f t="shared" si="138"/>
        <v>Active</v>
      </c>
      <c r="AH606">
        <f t="shared" si="139"/>
        <v>16982.88</v>
      </c>
    </row>
    <row r="607" spans="1:34" x14ac:dyDescent="0.35">
      <c r="A607" t="s">
        <v>1753</v>
      </c>
      <c r="B607" t="s">
        <v>1754</v>
      </c>
      <c r="C607">
        <v>33</v>
      </c>
      <c r="D607" t="s">
        <v>22</v>
      </c>
      <c r="E607" t="s">
        <v>39</v>
      </c>
      <c r="F607" t="s">
        <v>24</v>
      </c>
      <c r="G607">
        <v>131414</v>
      </c>
      <c r="H607">
        <v>324</v>
      </c>
      <c r="I607">
        <v>36534</v>
      </c>
      <c r="J607">
        <v>7.12</v>
      </c>
      <c r="K607">
        <v>12</v>
      </c>
      <c r="L607" t="s">
        <v>33</v>
      </c>
      <c r="M607">
        <v>58.61</v>
      </c>
      <c r="N607">
        <v>68465</v>
      </c>
      <c r="O607">
        <v>215567</v>
      </c>
      <c r="P607" t="s">
        <v>1755</v>
      </c>
      <c r="Q607" t="s">
        <v>61</v>
      </c>
      <c r="R607" t="s">
        <v>48</v>
      </c>
      <c r="S607" t="s">
        <v>29</v>
      </c>
      <c r="T607">
        <v>3261.27</v>
      </c>
      <c r="U607">
        <f t="shared" si="126"/>
        <v>1395</v>
      </c>
      <c r="V607">
        <f t="shared" si="127"/>
        <v>511</v>
      </c>
      <c r="W607">
        <f t="shared" si="128"/>
        <v>444</v>
      </c>
      <c r="X607">
        <f t="shared" si="129"/>
        <v>0.35149999999999998</v>
      </c>
      <c r="Y607" s="1">
        <f t="shared" si="130"/>
        <v>72106010</v>
      </c>
      <c r="Z607">
        <f t="shared" si="131"/>
        <v>51688.896057347672</v>
      </c>
      <c r="AA607">
        <f t="shared" si="132"/>
        <v>99996</v>
      </c>
      <c r="AB607">
        <f t="shared" si="133"/>
        <v>5091</v>
      </c>
      <c r="AC607">
        <f t="shared" si="134"/>
        <v>1867069.3900000001</v>
      </c>
      <c r="AD607">
        <f t="shared" si="135"/>
        <v>1338.4009964157708</v>
      </c>
      <c r="AE607">
        <f t="shared" si="136"/>
        <v>0.35149999999999998</v>
      </c>
      <c r="AF607">
        <f t="shared" si="137"/>
        <v>1305441234.8199997</v>
      </c>
      <c r="AG607" t="str">
        <f t="shared" si="138"/>
        <v>Active</v>
      </c>
      <c r="AH607">
        <f t="shared" si="139"/>
        <v>39135.24</v>
      </c>
    </row>
    <row r="608" spans="1:34" x14ac:dyDescent="0.35">
      <c r="A608" t="s">
        <v>1756</v>
      </c>
      <c r="B608" t="s">
        <v>1757</v>
      </c>
      <c r="C608">
        <v>38</v>
      </c>
      <c r="D608" t="s">
        <v>22</v>
      </c>
      <c r="E608" t="s">
        <v>32</v>
      </c>
      <c r="F608" t="s">
        <v>24</v>
      </c>
      <c r="G608">
        <v>97178</v>
      </c>
      <c r="H608">
        <v>445</v>
      </c>
      <c r="I608">
        <v>35146</v>
      </c>
      <c r="J608">
        <v>9.75</v>
      </c>
      <c r="K608">
        <v>60</v>
      </c>
      <c r="L608" t="s">
        <v>33</v>
      </c>
      <c r="M608">
        <v>43.65</v>
      </c>
      <c r="N608">
        <v>6611</v>
      </c>
      <c r="O608">
        <v>236432</v>
      </c>
      <c r="P608" t="s">
        <v>1758</v>
      </c>
      <c r="Q608" t="s">
        <v>27</v>
      </c>
      <c r="R608" t="s">
        <v>48</v>
      </c>
      <c r="S608" t="s">
        <v>68</v>
      </c>
      <c r="T608">
        <v>642.88</v>
      </c>
      <c r="U608">
        <f t="shared" si="126"/>
        <v>1394</v>
      </c>
      <c r="V608">
        <f t="shared" si="127"/>
        <v>511</v>
      </c>
      <c r="W608">
        <f t="shared" si="128"/>
        <v>443</v>
      </c>
      <c r="X608">
        <f t="shared" si="129"/>
        <v>0.35149999999999998</v>
      </c>
      <c r="Y608" s="1">
        <f t="shared" si="130"/>
        <v>72069476</v>
      </c>
      <c r="Z608">
        <f t="shared" si="131"/>
        <v>51699.76757532281</v>
      </c>
      <c r="AA608">
        <f t="shared" si="132"/>
        <v>99996</v>
      </c>
      <c r="AB608">
        <f t="shared" si="133"/>
        <v>5091</v>
      </c>
      <c r="AC608">
        <f t="shared" si="134"/>
        <v>1863808.12</v>
      </c>
      <c r="AD608">
        <f t="shared" si="135"/>
        <v>1337.0216068866571</v>
      </c>
      <c r="AE608">
        <f t="shared" si="136"/>
        <v>0.35149999999999998</v>
      </c>
      <c r="AF608">
        <f t="shared" si="137"/>
        <v>1303574165.4299998</v>
      </c>
      <c r="AG608" t="str">
        <f t="shared" si="138"/>
        <v>Over Paid</v>
      </c>
      <c r="AH608">
        <f t="shared" si="139"/>
        <v>7714.5599999999995</v>
      </c>
    </row>
    <row r="609" spans="1:34" x14ac:dyDescent="0.35">
      <c r="A609" t="s">
        <v>1759</v>
      </c>
      <c r="B609" t="s">
        <v>1760</v>
      </c>
      <c r="C609">
        <v>40</v>
      </c>
      <c r="D609" t="s">
        <v>38</v>
      </c>
      <c r="E609" t="s">
        <v>23</v>
      </c>
      <c r="F609" t="s">
        <v>59</v>
      </c>
      <c r="G609">
        <v>68610</v>
      </c>
      <c r="H609">
        <v>437</v>
      </c>
      <c r="I609">
        <v>9056</v>
      </c>
      <c r="J609">
        <v>17.75</v>
      </c>
      <c r="K609">
        <v>120</v>
      </c>
      <c r="L609" t="s">
        <v>25</v>
      </c>
      <c r="M609">
        <v>43.97</v>
      </c>
      <c r="N609">
        <v>23996</v>
      </c>
      <c r="O609">
        <v>156314</v>
      </c>
      <c r="P609" t="s">
        <v>678</v>
      </c>
      <c r="Q609" t="s">
        <v>61</v>
      </c>
      <c r="R609" t="s">
        <v>48</v>
      </c>
      <c r="S609" t="s">
        <v>49</v>
      </c>
      <c r="T609">
        <v>88.86</v>
      </c>
      <c r="U609">
        <f t="shared" si="126"/>
        <v>1393</v>
      </c>
      <c r="V609">
        <f t="shared" si="127"/>
        <v>511</v>
      </c>
      <c r="W609">
        <f t="shared" si="128"/>
        <v>443</v>
      </c>
      <c r="X609">
        <f t="shared" si="129"/>
        <v>0.35149999999999998</v>
      </c>
      <c r="Y609" s="1">
        <f t="shared" si="130"/>
        <v>72034330</v>
      </c>
      <c r="Z609">
        <f t="shared" si="131"/>
        <v>51711.651112706386</v>
      </c>
      <c r="AA609">
        <f t="shared" si="132"/>
        <v>99996</v>
      </c>
      <c r="AB609">
        <f t="shared" si="133"/>
        <v>5091</v>
      </c>
      <c r="AC609">
        <f t="shared" si="134"/>
        <v>1863165.24</v>
      </c>
      <c r="AD609">
        <f t="shared" si="135"/>
        <v>1337.5199138549892</v>
      </c>
      <c r="AE609">
        <f t="shared" si="136"/>
        <v>0.35149999999999998</v>
      </c>
      <c r="AF609">
        <f t="shared" si="137"/>
        <v>1301710357.3099997</v>
      </c>
      <c r="AG609" t="str">
        <f t="shared" si="138"/>
        <v>Active</v>
      </c>
      <c r="AH609">
        <f t="shared" si="139"/>
        <v>1066.32</v>
      </c>
    </row>
    <row r="610" spans="1:34" x14ac:dyDescent="0.35">
      <c r="A610" t="s">
        <v>1761</v>
      </c>
      <c r="B610" t="s">
        <v>1762</v>
      </c>
      <c r="C610">
        <v>53</v>
      </c>
      <c r="D610" t="s">
        <v>38</v>
      </c>
      <c r="E610" t="s">
        <v>32</v>
      </c>
      <c r="F610" t="s">
        <v>59</v>
      </c>
      <c r="G610">
        <v>47181</v>
      </c>
      <c r="H610">
        <v>737</v>
      </c>
      <c r="I610">
        <v>53799</v>
      </c>
      <c r="J610">
        <v>15.98</v>
      </c>
      <c r="K610">
        <v>120</v>
      </c>
      <c r="L610" t="s">
        <v>25</v>
      </c>
      <c r="M610">
        <v>7.3</v>
      </c>
      <c r="N610">
        <v>23603</v>
      </c>
      <c r="O610">
        <v>245056</v>
      </c>
      <c r="P610" t="s">
        <v>67</v>
      </c>
      <c r="Q610" t="s">
        <v>61</v>
      </c>
      <c r="R610" t="s">
        <v>28</v>
      </c>
      <c r="S610" t="s">
        <v>29</v>
      </c>
      <c r="T610">
        <v>519.97</v>
      </c>
      <c r="U610">
        <f t="shared" si="126"/>
        <v>1392</v>
      </c>
      <c r="V610">
        <f t="shared" si="127"/>
        <v>511</v>
      </c>
      <c r="W610">
        <f t="shared" si="128"/>
        <v>442</v>
      </c>
      <c r="X610">
        <f t="shared" si="129"/>
        <v>0.35149999999999998</v>
      </c>
      <c r="Y610" s="1">
        <f t="shared" si="130"/>
        <v>72025274</v>
      </c>
      <c r="Z610">
        <f t="shared" si="131"/>
        <v>51742.294540229886</v>
      </c>
      <c r="AA610">
        <f t="shared" si="132"/>
        <v>99996</v>
      </c>
      <c r="AB610">
        <f t="shared" si="133"/>
        <v>5091</v>
      </c>
      <c r="AC610">
        <f t="shared" si="134"/>
        <v>1863076.38</v>
      </c>
      <c r="AD610">
        <f t="shared" si="135"/>
        <v>1338.4169396551724</v>
      </c>
      <c r="AE610">
        <f t="shared" si="136"/>
        <v>0.35149999999999998</v>
      </c>
      <c r="AF610">
        <f t="shared" si="137"/>
        <v>1299847192.0699995</v>
      </c>
      <c r="AG610" t="str">
        <f t="shared" si="138"/>
        <v>Active</v>
      </c>
      <c r="AH610">
        <f t="shared" si="139"/>
        <v>6239.64</v>
      </c>
    </row>
    <row r="611" spans="1:34" x14ac:dyDescent="0.35">
      <c r="A611" t="s">
        <v>1763</v>
      </c>
      <c r="B611" t="s">
        <v>1764</v>
      </c>
      <c r="C611">
        <v>25</v>
      </c>
      <c r="D611" t="s">
        <v>38</v>
      </c>
      <c r="E611" t="s">
        <v>32</v>
      </c>
      <c r="F611" t="s">
        <v>59</v>
      </c>
      <c r="G611">
        <v>91573</v>
      </c>
      <c r="H611">
        <v>705</v>
      </c>
      <c r="I611">
        <v>21727</v>
      </c>
      <c r="J611">
        <v>21.12</v>
      </c>
      <c r="K611">
        <v>24</v>
      </c>
      <c r="L611" t="s">
        <v>40</v>
      </c>
      <c r="M611">
        <v>6.51</v>
      </c>
      <c r="N611">
        <v>71519</v>
      </c>
      <c r="O611">
        <v>31265</v>
      </c>
      <c r="P611" t="s">
        <v>1765</v>
      </c>
      <c r="Q611" t="s">
        <v>42</v>
      </c>
      <c r="R611" t="s">
        <v>48</v>
      </c>
      <c r="S611" t="s">
        <v>29</v>
      </c>
      <c r="T611">
        <v>1096.49</v>
      </c>
      <c r="U611">
        <f t="shared" si="126"/>
        <v>1391</v>
      </c>
      <c r="V611">
        <f t="shared" si="127"/>
        <v>511</v>
      </c>
      <c r="W611">
        <f t="shared" si="128"/>
        <v>441</v>
      </c>
      <c r="X611">
        <f t="shared" si="129"/>
        <v>0.35149999999999998</v>
      </c>
      <c r="Y611" s="1">
        <f t="shared" si="130"/>
        <v>71971475</v>
      </c>
      <c r="Z611">
        <f t="shared" si="131"/>
        <v>51740.815959741194</v>
      </c>
      <c r="AA611">
        <f t="shared" si="132"/>
        <v>99996</v>
      </c>
      <c r="AB611">
        <f t="shared" si="133"/>
        <v>5091</v>
      </c>
      <c r="AC611">
        <f t="shared" si="134"/>
        <v>1862556.41</v>
      </c>
      <c r="AD611">
        <f t="shared" si="135"/>
        <v>1339.0053271028037</v>
      </c>
      <c r="AE611">
        <f t="shared" si="136"/>
        <v>0.35149999999999998</v>
      </c>
      <c r="AF611">
        <f t="shared" si="137"/>
        <v>1297984115.6899998</v>
      </c>
      <c r="AG611" t="str">
        <f t="shared" si="138"/>
        <v>Active</v>
      </c>
      <c r="AH611">
        <f t="shared" si="139"/>
        <v>13157.880000000001</v>
      </c>
    </row>
    <row r="612" spans="1:34" x14ac:dyDescent="0.35">
      <c r="A612" t="s">
        <v>1766</v>
      </c>
      <c r="B612" t="s">
        <v>1767</v>
      </c>
      <c r="C612">
        <v>53</v>
      </c>
      <c r="D612" t="s">
        <v>38</v>
      </c>
      <c r="E612" t="s">
        <v>23</v>
      </c>
      <c r="F612" t="s">
        <v>46</v>
      </c>
      <c r="G612">
        <v>187534</v>
      </c>
      <c r="H612">
        <v>813</v>
      </c>
      <c r="I612">
        <v>56383</v>
      </c>
      <c r="J612">
        <v>6.98</v>
      </c>
      <c r="K612">
        <v>120</v>
      </c>
      <c r="L612" t="s">
        <v>86</v>
      </c>
      <c r="M612">
        <v>18.7</v>
      </c>
      <c r="N612">
        <v>58369</v>
      </c>
      <c r="O612">
        <v>141777</v>
      </c>
      <c r="P612" t="s">
        <v>352</v>
      </c>
      <c r="Q612" t="s">
        <v>61</v>
      </c>
      <c r="R612" t="s">
        <v>48</v>
      </c>
      <c r="S612" t="s">
        <v>29</v>
      </c>
      <c r="T612">
        <v>502.65</v>
      </c>
      <c r="U612">
        <f t="shared" si="126"/>
        <v>1390</v>
      </c>
      <c r="V612">
        <f t="shared" si="127"/>
        <v>510</v>
      </c>
      <c r="W612">
        <f t="shared" si="128"/>
        <v>441</v>
      </c>
      <c r="X612">
        <f t="shared" si="129"/>
        <v>0.35149999999999998</v>
      </c>
      <c r="Y612" s="1">
        <f t="shared" si="130"/>
        <v>71949748</v>
      </c>
      <c r="Z612">
        <f t="shared" si="131"/>
        <v>51762.408633093524</v>
      </c>
      <c r="AA612">
        <f t="shared" si="132"/>
        <v>99996</v>
      </c>
      <c r="AB612">
        <f t="shared" si="133"/>
        <v>5091</v>
      </c>
      <c r="AC612">
        <f t="shared" si="134"/>
        <v>1861459.92</v>
      </c>
      <c r="AD612">
        <f t="shared" si="135"/>
        <v>1339.1797985611511</v>
      </c>
      <c r="AE612">
        <f t="shared" si="136"/>
        <v>0.35149999999999998</v>
      </c>
      <c r="AF612">
        <f t="shared" si="137"/>
        <v>1296121559.2799997</v>
      </c>
      <c r="AG612" t="str">
        <f t="shared" si="138"/>
        <v>Active</v>
      </c>
      <c r="AH612">
        <f t="shared" si="139"/>
        <v>6031.7999999999993</v>
      </c>
    </row>
    <row r="613" spans="1:34" x14ac:dyDescent="0.35">
      <c r="A613" t="s">
        <v>1768</v>
      </c>
      <c r="B613" t="s">
        <v>1769</v>
      </c>
      <c r="C613">
        <v>49</v>
      </c>
      <c r="D613" t="s">
        <v>22</v>
      </c>
      <c r="E613" t="s">
        <v>39</v>
      </c>
      <c r="F613" t="s">
        <v>59</v>
      </c>
      <c r="G613">
        <v>83146</v>
      </c>
      <c r="H613">
        <v>828</v>
      </c>
      <c r="I613">
        <v>79791</v>
      </c>
      <c r="J613">
        <v>15.84</v>
      </c>
      <c r="K613">
        <v>180</v>
      </c>
      <c r="L613" t="s">
        <v>40</v>
      </c>
      <c r="M613">
        <v>21.94</v>
      </c>
      <c r="N613">
        <v>40834</v>
      </c>
      <c r="O613">
        <v>133893</v>
      </c>
      <c r="P613" t="s">
        <v>1770</v>
      </c>
      <c r="Q613" t="s">
        <v>27</v>
      </c>
      <c r="R613" t="s">
        <v>28</v>
      </c>
      <c r="S613" t="s">
        <v>68</v>
      </c>
      <c r="T613">
        <v>513.5</v>
      </c>
      <c r="U613">
        <f t="shared" si="126"/>
        <v>1389</v>
      </c>
      <c r="V613">
        <f t="shared" si="127"/>
        <v>510</v>
      </c>
      <c r="W613">
        <f t="shared" si="128"/>
        <v>440</v>
      </c>
      <c r="X613">
        <f t="shared" si="129"/>
        <v>0.35149999999999998</v>
      </c>
      <c r="Y613" s="1">
        <f t="shared" si="130"/>
        <v>71893365</v>
      </c>
      <c r="Z613">
        <f t="shared" si="131"/>
        <v>51759.082073434125</v>
      </c>
      <c r="AA613">
        <f t="shared" si="132"/>
        <v>99996</v>
      </c>
      <c r="AB613">
        <f t="shared" si="133"/>
        <v>5091</v>
      </c>
      <c r="AC613">
        <f t="shared" si="134"/>
        <v>1860957.27</v>
      </c>
      <c r="AD613">
        <f t="shared" si="135"/>
        <v>1339.7820518358531</v>
      </c>
      <c r="AE613">
        <f t="shared" si="136"/>
        <v>0.35149999999999998</v>
      </c>
      <c r="AF613">
        <f t="shared" si="137"/>
        <v>1294260099.3599999</v>
      </c>
      <c r="AG613" t="str">
        <f t="shared" si="138"/>
        <v>Active</v>
      </c>
      <c r="AH613">
        <f t="shared" si="139"/>
        <v>6162</v>
      </c>
    </row>
    <row r="614" spans="1:34" x14ac:dyDescent="0.35">
      <c r="A614" t="s">
        <v>1771</v>
      </c>
      <c r="B614" t="s">
        <v>1772</v>
      </c>
      <c r="C614">
        <v>53</v>
      </c>
      <c r="D614" t="s">
        <v>22</v>
      </c>
      <c r="E614" t="s">
        <v>32</v>
      </c>
      <c r="F614" t="s">
        <v>24</v>
      </c>
      <c r="G614">
        <v>50257</v>
      </c>
      <c r="H614">
        <v>330</v>
      </c>
      <c r="I614">
        <v>88269</v>
      </c>
      <c r="J614">
        <v>13.01</v>
      </c>
      <c r="K614">
        <v>60</v>
      </c>
      <c r="L614" t="s">
        <v>40</v>
      </c>
      <c r="M614">
        <v>21.8</v>
      </c>
      <c r="N614">
        <v>2668</v>
      </c>
      <c r="O614">
        <v>182044</v>
      </c>
      <c r="P614" t="s">
        <v>1773</v>
      </c>
      <c r="Q614" t="s">
        <v>42</v>
      </c>
      <c r="R614" t="s">
        <v>48</v>
      </c>
      <c r="S614" t="s">
        <v>49</v>
      </c>
      <c r="T614">
        <v>1662.55</v>
      </c>
      <c r="U614">
        <f t="shared" si="126"/>
        <v>1388</v>
      </c>
      <c r="V614">
        <f t="shared" si="127"/>
        <v>510</v>
      </c>
      <c r="W614">
        <f t="shared" si="128"/>
        <v>440</v>
      </c>
      <c r="X614">
        <f t="shared" si="129"/>
        <v>0.35149999999999998</v>
      </c>
      <c r="Y614" s="1">
        <f t="shared" si="130"/>
        <v>71813574</v>
      </c>
      <c r="Z614">
        <f t="shared" si="131"/>
        <v>51738.886167146971</v>
      </c>
      <c r="AA614">
        <f t="shared" si="132"/>
        <v>99996</v>
      </c>
      <c r="AB614">
        <f t="shared" si="133"/>
        <v>5091</v>
      </c>
      <c r="AC614">
        <f t="shared" si="134"/>
        <v>1860443.77</v>
      </c>
      <c r="AD614">
        <f t="shared" si="135"/>
        <v>1340.3773559077811</v>
      </c>
      <c r="AE614">
        <f t="shared" si="136"/>
        <v>0.35149999999999998</v>
      </c>
      <c r="AF614">
        <f t="shared" si="137"/>
        <v>1292399142.0899999</v>
      </c>
      <c r="AG614" t="str">
        <f t="shared" si="138"/>
        <v>Active</v>
      </c>
      <c r="AH614">
        <f t="shared" si="139"/>
        <v>19950.599999999999</v>
      </c>
    </row>
    <row r="615" spans="1:34" x14ac:dyDescent="0.35">
      <c r="A615" t="s">
        <v>1774</v>
      </c>
      <c r="B615" t="s">
        <v>1775</v>
      </c>
      <c r="C615">
        <v>52</v>
      </c>
      <c r="D615" t="s">
        <v>38</v>
      </c>
      <c r="E615" t="s">
        <v>23</v>
      </c>
      <c r="F615" t="s">
        <v>24</v>
      </c>
      <c r="G615">
        <v>75734</v>
      </c>
      <c r="H615">
        <v>810</v>
      </c>
      <c r="I615">
        <v>71915</v>
      </c>
      <c r="J615">
        <v>4.49</v>
      </c>
      <c r="K615">
        <v>180</v>
      </c>
      <c r="L615" t="s">
        <v>25</v>
      </c>
      <c r="M615">
        <v>15.22</v>
      </c>
      <c r="N615">
        <v>16351</v>
      </c>
      <c r="O615">
        <v>34240</v>
      </c>
      <c r="P615" t="s">
        <v>367</v>
      </c>
      <c r="Q615" t="s">
        <v>61</v>
      </c>
      <c r="R615" t="s">
        <v>28</v>
      </c>
      <c r="S615" t="s">
        <v>68</v>
      </c>
      <c r="T615">
        <v>417.47</v>
      </c>
      <c r="U615">
        <f t="shared" si="126"/>
        <v>1387</v>
      </c>
      <c r="V615">
        <f t="shared" si="127"/>
        <v>509</v>
      </c>
      <c r="W615">
        <f t="shared" si="128"/>
        <v>440</v>
      </c>
      <c r="X615">
        <f t="shared" si="129"/>
        <v>0.35149999999999998</v>
      </c>
      <c r="Y615" s="1">
        <f t="shared" si="130"/>
        <v>71725305</v>
      </c>
      <c r="Z615">
        <f t="shared" si="131"/>
        <v>51712.548666186012</v>
      </c>
      <c r="AA615">
        <f t="shared" si="132"/>
        <v>99996</v>
      </c>
      <c r="AB615">
        <f t="shared" si="133"/>
        <v>5091</v>
      </c>
      <c r="AC615">
        <f t="shared" si="134"/>
        <v>1858781.22</v>
      </c>
      <c r="AD615">
        <f t="shared" si="135"/>
        <v>1340.1450757029561</v>
      </c>
      <c r="AE615">
        <f t="shared" si="136"/>
        <v>0.35149999999999998</v>
      </c>
      <c r="AF615">
        <f t="shared" si="137"/>
        <v>1290538698.3200002</v>
      </c>
      <c r="AG615" t="str">
        <f t="shared" si="138"/>
        <v>Active</v>
      </c>
      <c r="AH615">
        <f t="shared" si="139"/>
        <v>5009.6400000000003</v>
      </c>
    </row>
    <row r="616" spans="1:34" x14ac:dyDescent="0.35">
      <c r="A616" t="s">
        <v>1776</v>
      </c>
      <c r="B616" t="s">
        <v>1777</v>
      </c>
      <c r="C616">
        <v>53</v>
      </c>
      <c r="D616" t="s">
        <v>38</v>
      </c>
      <c r="E616" t="s">
        <v>32</v>
      </c>
      <c r="F616" t="s">
        <v>59</v>
      </c>
      <c r="G616">
        <v>98533</v>
      </c>
      <c r="H616">
        <v>737</v>
      </c>
      <c r="I616">
        <v>67708</v>
      </c>
      <c r="J616">
        <v>18.13</v>
      </c>
      <c r="K616">
        <v>120</v>
      </c>
      <c r="L616" t="s">
        <v>86</v>
      </c>
      <c r="M616">
        <v>57.76</v>
      </c>
      <c r="N616">
        <v>13376</v>
      </c>
      <c r="O616">
        <v>26741</v>
      </c>
      <c r="P616" t="s">
        <v>1778</v>
      </c>
      <c r="Q616" t="s">
        <v>42</v>
      </c>
      <c r="R616" t="s">
        <v>48</v>
      </c>
      <c r="S616" t="s">
        <v>49</v>
      </c>
      <c r="T616">
        <v>666.53</v>
      </c>
      <c r="U616">
        <f t="shared" si="126"/>
        <v>1386</v>
      </c>
      <c r="V616">
        <f t="shared" si="127"/>
        <v>509</v>
      </c>
      <c r="W616">
        <f t="shared" si="128"/>
        <v>439</v>
      </c>
      <c r="X616">
        <f t="shared" si="129"/>
        <v>0.35149999999999998</v>
      </c>
      <c r="Y616" s="1">
        <f t="shared" si="130"/>
        <v>71653390</v>
      </c>
      <c r="Z616">
        <f t="shared" si="131"/>
        <v>51697.972582972579</v>
      </c>
      <c r="AA616">
        <f t="shared" si="132"/>
        <v>99996</v>
      </c>
      <c r="AB616">
        <f t="shared" si="133"/>
        <v>5091</v>
      </c>
      <c r="AC616">
        <f t="shared" si="134"/>
        <v>1858363.75</v>
      </c>
      <c r="AD616">
        <f t="shared" si="135"/>
        <v>1340.8107864357864</v>
      </c>
      <c r="AE616">
        <f t="shared" si="136"/>
        <v>0.35149999999999998</v>
      </c>
      <c r="AF616">
        <f t="shared" si="137"/>
        <v>1288679917.1000001</v>
      </c>
      <c r="AG616" t="str">
        <f t="shared" si="138"/>
        <v>Active</v>
      </c>
      <c r="AH616">
        <f t="shared" si="139"/>
        <v>7998.36</v>
      </c>
    </row>
    <row r="617" spans="1:34" x14ac:dyDescent="0.35">
      <c r="A617" t="s">
        <v>1779</v>
      </c>
      <c r="B617" t="s">
        <v>1780</v>
      </c>
      <c r="C617">
        <v>41</v>
      </c>
      <c r="D617" t="s">
        <v>22</v>
      </c>
      <c r="E617" t="s">
        <v>32</v>
      </c>
      <c r="F617" t="s">
        <v>59</v>
      </c>
      <c r="G617">
        <v>142487</v>
      </c>
      <c r="H617">
        <v>566</v>
      </c>
      <c r="I617">
        <v>64077</v>
      </c>
      <c r="J617">
        <v>12.85</v>
      </c>
      <c r="K617">
        <v>180</v>
      </c>
      <c r="L617" t="s">
        <v>40</v>
      </c>
      <c r="M617">
        <v>46.9</v>
      </c>
      <c r="N617">
        <v>40415</v>
      </c>
      <c r="O617">
        <v>118830</v>
      </c>
      <c r="P617" t="s">
        <v>728</v>
      </c>
      <c r="Q617" t="s">
        <v>42</v>
      </c>
      <c r="R617" t="s">
        <v>28</v>
      </c>
      <c r="S617" t="s">
        <v>68</v>
      </c>
      <c r="T617">
        <v>401.73</v>
      </c>
      <c r="U617">
        <f t="shared" si="126"/>
        <v>1385</v>
      </c>
      <c r="V617">
        <f t="shared" si="127"/>
        <v>508</v>
      </c>
      <c r="W617">
        <f t="shared" si="128"/>
        <v>439</v>
      </c>
      <c r="X617">
        <f t="shared" si="129"/>
        <v>0.35149999999999998</v>
      </c>
      <c r="Y617" s="1">
        <f t="shared" si="130"/>
        <v>71585682</v>
      </c>
      <c r="Z617">
        <f t="shared" si="131"/>
        <v>51686.412996389889</v>
      </c>
      <c r="AA617">
        <f t="shared" si="132"/>
        <v>99996</v>
      </c>
      <c r="AB617">
        <f t="shared" si="133"/>
        <v>5091</v>
      </c>
      <c r="AC617">
        <f t="shared" si="134"/>
        <v>1857697.22</v>
      </c>
      <c r="AD617">
        <f t="shared" si="135"/>
        <v>1341.2976317689531</v>
      </c>
      <c r="AE617">
        <f t="shared" si="136"/>
        <v>0.35149999999999998</v>
      </c>
      <c r="AF617">
        <f t="shared" si="137"/>
        <v>1286821553.3500004</v>
      </c>
      <c r="AG617" t="str">
        <f t="shared" si="138"/>
        <v>Active</v>
      </c>
      <c r="AH617">
        <f t="shared" si="139"/>
        <v>4820.76</v>
      </c>
    </row>
    <row r="618" spans="1:34" x14ac:dyDescent="0.35">
      <c r="A618" t="s">
        <v>1781</v>
      </c>
      <c r="B618" t="s">
        <v>1782</v>
      </c>
      <c r="C618">
        <v>62</v>
      </c>
      <c r="D618" t="s">
        <v>38</v>
      </c>
      <c r="E618" t="s">
        <v>32</v>
      </c>
      <c r="F618" t="s">
        <v>46</v>
      </c>
      <c r="G618">
        <v>80025</v>
      </c>
      <c r="H618">
        <v>706</v>
      </c>
      <c r="I618">
        <v>95800</v>
      </c>
      <c r="J618">
        <v>14.31</v>
      </c>
      <c r="K618">
        <v>240</v>
      </c>
      <c r="L618" t="s">
        <v>40</v>
      </c>
      <c r="M618">
        <v>11.53</v>
      </c>
      <c r="N618">
        <v>24983</v>
      </c>
      <c r="O618">
        <v>235880</v>
      </c>
      <c r="P618" t="s">
        <v>1185</v>
      </c>
      <c r="Q618" t="s">
        <v>42</v>
      </c>
      <c r="R618" t="s">
        <v>28</v>
      </c>
      <c r="S618" t="s">
        <v>68</v>
      </c>
      <c r="T618">
        <v>456.29</v>
      </c>
      <c r="U618">
        <f t="shared" si="126"/>
        <v>1384</v>
      </c>
      <c r="V618">
        <f t="shared" si="127"/>
        <v>507</v>
      </c>
      <c r="W618">
        <f t="shared" si="128"/>
        <v>439</v>
      </c>
      <c r="X618">
        <f t="shared" si="129"/>
        <v>0.35149999999999998</v>
      </c>
      <c r="Y618" s="1">
        <f t="shared" si="130"/>
        <v>71521605</v>
      </c>
      <c r="Z618">
        <f t="shared" si="131"/>
        <v>51677.460260115608</v>
      </c>
      <c r="AA618">
        <f t="shared" si="132"/>
        <v>99996</v>
      </c>
      <c r="AB618">
        <f t="shared" si="133"/>
        <v>5091</v>
      </c>
      <c r="AC618">
        <f t="shared" si="134"/>
        <v>1857295.49</v>
      </c>
      <c r="AD618">
        <f t="shared" si="135"/>
        <v>1341.976510115607</v>
      </c>
      <c r="AE618">
        <f t="shared" si="136"/>
        <v>0.35149999999999998</v>
      </c>
      <c r="AF618">
        <f t="shared" si="137"/>
        <v>1284963856.1300006</v>
      </c>
      <c r="AG618" t="str">
        <f t="shared" si="138"/>
        <v>Active</v>
      </c>
      <c r="AH618">
        <f t="shared" si="139"/>
        <v>5475.4800000000005</v>
      </c>
    </row>
    <row r="619" spans="1:34" x14ac:dyDescent="0.35">
      <c r="A619" t="s">
        <v>1783</v>
      </c>
      <c r="B619" t="s">
        <v>1784</v>
      </c>
      <c r="C619">
        <v>25</v>
      </c>
      <c r="D619" t="s">
        <v>22</v>
      </c>
      <c r="E619" t="s">
        <v>32</v>
      </c>
      <c r="F619" t="s">
        <v>24</v>
      </c>
      <c r="G619">
        <v>122873</v>
      </c>
      <c r="H619">
        <v>620</v>
      </c>
      <c r="I619">
        <v>83994</v>
      </c>
      <c r="J619">
        <v>17.98</v>
      </c>
      <c r="K619">
        <v>12</v>
      </c>
      <c r="L619" t="s">
        <v>52</v>
      </c>
      <c r="M619">
        <v>27.1</v>
      </c>
      <c r="N619">
        <v>2100</v>
      </c>
      <c r="O619">
        <v>245892</v>
      </c>
      <c r="P619" t="s">
        <v>1785</v>
      </c>
      <c r="Q619" t="s">
        <v>27</v>
      </c>
      <c r="R619" t="s">
        <v>48</v>
      </c>
      <c r="S619" t="s">
        <v>29</v>
      </c>
      <c r="T619">
        <v>8258.01</v>
      </c>
      <c r="U619">
        <f t="shared" si="126"/>
        <v>1383</v>
      </c>
      <c r="V619">
        <f t="shared" si="127"/>
        <v>506</v>
      </c>
      <c r="W619">
        <f t="shared" si="128"/>
        <v>439</v>
      </c>
      <c r="X619">
        <f t="shared" si="129"/>
        <v>0.35149999999999998</v>
      </c>
      <c r="Y619" s="1">
        <f t="shared" si="130"/>
        <v>71425805</v>
      </c>
      <c r="Z619">
        <f t="shared" si="131"/>
        <v>51645.556760665218</v>
      </c>
      <c r="AA619">
        <f t="shared" si="132"/>
        <v>99996</v>
      </c>
      <c r="AB619">
        <f t="shared" si="133"/>
        <v>5091</v>
      </c>
      <c r="AC619">
        <f t="shared" si="134"/>
        <v>1856839.2</v>
      </c>
      <c r="AD619">
        <f t="shared" si="135"/>
        <v>1342.6169197396962</v>
      </c>
      <c r="AE619">
        <f t="shared" si="136"/>
        <v>0.35149999999999998</v>
      </c>
      <c r="AF619">
        <f t="shared" si="137"/>
        <v>1283106560.6400003</v>
      </c>
      <c r="AG619" t="str">
        <f t="shared" si="138"/>
        <v>Active</v>
      </c>
      <c r="AH619">
        <f t="shared" si="139"/>
        <v>99096.12</v>
      </c>
    </row>
    <row r="620" spans="1:34" x14ac:dyDescent="0.35">
      <c r="A620" t="s">
        <v>1786</v>
      </c>
      <c r="B620" t="s">
        <v>1787</v>
      </c>
      <c r="C620">
        <v>63</v>
      </c>
      <c r="D620" t="s">
        <v>38</v>
      </c>
      <c r="E620" t="s">
        <v>32</v>
      </c>
      <c r="F620" t="s">
        <v>59</v>
      </c>
      <c r="G620">
        <v>49149</v>
      </c>
      <c r="H620">
        <v>668</v>
      </c>
      <c r="I620">
        <v>84462</v>
      </c>
      <c r="J620">
        <v>13.68</v>
      </c>
      <c r="K620">
        <v>60</v>
      </c>
      <c r="L620" t="s">
        <v>40</v>
      </c>
      <c r="M620">
        <v>44.89</v>
      </c>
      <c r="N620">
        <v>55095</v>
      </c>
      <c r="O620">
        <v>13469</v>
      </c>
      <c r="P620" t="s">
        <v>1788</v>
      </c>
      <c r="Q620" t="s">
        <v>42</v>
      </c>
      <c r="R620" t="s">
        <v>48</v>
      </c>
      <c r="S620" t="s">
        <v>49</v>
      </c>
      <c r="T620">
        <v>1600.27</v>
      </c>
      <c r="U620">
        <f t="shared" si="126"/>
        <v>1382</v>
      </c>
      <c r="V620">
        <f t="shared" si="127"/>
        <v>506</v>
      </c>
      <c r="W620">
        <f t="shared" si="128"/>
        <v>439</v>
      </c>
      <c r="X620">
        <f t="shared" si="129"/>
        <v>0.35149999999999998</v>
      </c>
      <c r="Y620" s="1">
        <f t="shared" si="130"/>
        <v>71341811</v>
      </c>
      <c r="Z620">
        <f t="shared" si="131"/>
        <v>51622.149782923298</v>
      </c>
      <c r="AA620">
        <f t="shared" si="132"/>
        <v>99996</v>
      </c>
      <c r="AB620">
        <f t="shared" si="133"/>
        <v>5091</v>
      </c>
      <c r="AC620">
        <f t="shared" si="134"/>
        <v>1848581.1900000002</v>
      </c>
      <c r="AD620">
        <f t="shared" si="135"/>
        <v>1337.6130173661361</v>
      </c>
      <c r="AE620">
        <f t="shared" si="136"/>
        <v>0.35149999999999998</v>
      </c>
      <c r="AF620">
        <f t="shared" si="137"/>
        <v>1281249721.4400005</v>
      </c>
      <c r="AG620" t="str">
        <f t="shared" si="138"/>
        <v>Over Paid</v>
      </c>
      <c r="AH620">
        <f t="shared" si="139"/>
        <v>19203.239999999998</v>
      </c>
    </row>
    <row r="621" spans="1:34" x14ac:dyDescent="0.35">
      <c r="A621" t="s">
        <v>1789</v>
      </c>
      <c r="B621" t="s">
        <v>1790</v>
      </c>
      <c r="C621">
        <v>28</v>
      </c>
      <c r="D621" t="s">
        <v>22</v>
      </c>
      <c r="E621" t="s">
        <v>32</v>
      </c>
      <c r="F621" t="s">
        <v>59</v>
      </c>
      <c r="G621">
        <v>134708</v>
      </c>
      <c r="H621">
        <v>827</v>
      </c>
      <c r="I621">
        <v>49742</v>
      </c>
      <c r="J621">
        <v>18.010000000000002</v>
      </c>
      <c r="K621">
        <v>48</v>
      </c>
      <c r="L621" t="s">
        <v>52</v>
      </c>
      <c r="M621">
        <v>59.38</v>
      </c>
      <c r="N621">
        <v>26019</v>
      </c>
      <c r="O621">
        <v>72086</v>
      </c>
      <c r="P621" t="s">
        <v>159</v>
      </c>
      <c r="Q621" t="s">
        <v>27</v>
      </c>
      <c r="R621" t="s">
        <v>48</v>
      </c>
      <c r="S621" t="s">
        <v>49</v>
      </c>
      <c r="T621">
        <v>1222.93</v>
      </c>
      <c r="U621">
        <f t="shared" si="126"/>
        <v>1381</v>
      </c>
      <c r="V621">
        <f t="shared" si="127"/>
        <v>505</v>
      </c>
      <c r="W621">
        <f t="shared" si="128"/>
        <v>439</v>
      </c>
      <c r="X621">
        <f t="shared" si="129"/>
        <v>0.35149999999999998</v>
      </c>
      <c r="Y621" s="1">
        <f t="shared" si="130"/>
        <v>71257349</v>
      </c>
      <c r="Z621">
        <f t="shared" si="131"/>
        <v>51598.370021723385</v>
      </c>
      <c r="AA621">
        <f t="shared" si="132"/>
        <v>99996</v>
      </c>
      <c r="AB621">
        <f t="shared" si="133"/>
        <v>5091</v>
      </c>
      <c r="AC621">
        <f t="shared" si="134"/>
        <v>1846980.9200000002</v>
      </c>
      <c r="AD621">
        <f t="shared" si="135"/>
        <v>1337.4228240405505</v>
      </c>
      <c r="AE621">
        <f t="shared" si="136"/>
        <v>0.35149999999999998</v>
      </c>
      <c r="AF621">
        <f t="shared" si="137"/>
        <v>1279401140.2500005</v>
      </c>
      <c r="AG621" t="str">
        <f t="shared" si="138"/>
        <v>Active</v>
      </c>
      <c r="AH621">
        <f t="shared" si="139"/>
        <v>14675.16</v>
      </c>
    </row>
    <row r="622" spans="1:34" x14ac:dyDescent="0.35">
      <c r="A622" t="s">
        <v>1791</v>
      </c>
      <c r="B622" t="s">
        <v>1792</v>
      </c>
      <c r="C622">
        <v>54</v>
      </c>
      <c r="D622" t="s">
        <v>22</v>
      </c>
      <c r="E622" t="s">
        <v>23</v>
      </c>
      <c r="F622" t="s">
        <v>46</v>
      </c>
      <c r="G622">
        <v>129788</v>
      </c>
      <c r="H622">
        <v>329</v>
      </c>
      <c r="I622">
        <v>79029</v>
      </c>
      <c r="J622">
        <v>4.8499999999999996</v>
      </c>
      <c r="K622">
        <v>240</v>
      </c>
      <c r="L622" t="s">
        <v>25</v>
      </c>
      <c r="M622">
        <v>42.45</v>
      </c>
      <c r="N622">
        <v>5426</v>
      </c>
      <c r="O622">
        <v>33060</v>
      </c>
      <c r="P622" t="s">
        <v>887</v>
      </c>
      <c r="Q622" t="s">
        <v>61</v>
      </c>
      <c r="R622" t="s">
        <v>48</v>
      </c>
      <c r="S622" t="s">
        <v>29</v>
      </c>
      <c r="T622">
        <v>345.26</v>
      </c>
      <c r="U622">
        <f t="shared" si="126"/>
        <v>1380</v>
      </c>
      <c r="V622">
        <f t="shared" si="127"/>
        <v>505</v>
      </c>
      <c r="W622">
        <f t="shared" si="128"/>
        <v>439</v>
      </c>
      <c r="X622">
        <f t="shared" si="129"/>
        <v>0.35149999999999998</v>
      </c>
      <c r="Y622" s="1">
        <f t="shared" si="130"/>
        <v>71207607</v>
      </c>
      <c r="Z622">
        <f t="shared" si="131"/>
        <v>51599.715217391305</v>
      </c>
      <c r="AA622">
        <f t="shared" si="132"/>
        <v>99996</v>
      </c>
      <c r="AB622">
        <f t="shared" si="133"/>
        <v>5091</v>
      </c>
      <c r="AC622">
        <f t="shared" si="134"/>
        <v>1845757.9900000002</v>
      </c>
      <c r="AD622">
        <f t="shared" si="135"/>
        <v>1337.5057898550726</v>
      </c>
      <c r="AE622">
        <f t="shared" si="136"/>
        <v>0.35149999999999998</v>
      </c>
      <c r="AF622">
        <f t="shared" si="137"/>
        <v>1277554159.3300004</v>
      </c>
      <c r="AG622" t="str">
        <f t="shared" si="138"/>
        <v>Active</v>
      </c>
      <c r="AH622">
        <f t="shared" si="139"/>
        <v>4143.12</v>
      </c>
    </row>
    <row r="623" spans="1:34" x14ac:dyDescent="0.35">
      <c r="A623" t="s">
        <v>1793</v>
      </c>
      <c r="B623" t="s">
        <v>1794</v>
      </c>
      <c r="C623">
        <v>48</v>
      </c>
      <c r="D623" t="s">
        <v>22</v>
      </c>
      <c r="E623" t="s">
        <v>39</v>
      </c>
      <c r="F623" t="s">
        <v>59</v>
      </c>
      <c r="G623">
        <v>151457</v>
      </c>
      <c r="H623">
        <v>644</v>
      </c>
      <c r="I623">
        <v>81203</v>
      </c>
      <c r="J623">
        <v>5.33</v>
      </c>
      <c r="K623">
        <v>24</v>
      </c>
      <c r="L623" t="s">
        <v>52</v>
      </c>
      <c r="M623">
        <v>48.89</v>
      </c>
      <c r="N623">
        <v>7633</v>
      </c>
      <c r="O623">
        <v>24389</v>
      </c>
      <c r="P623" t="s">
        <v>743</v>
      </c>
      <c r="Q623" t="s">
        <v>61</v>
      </c>
      <c r="R623" t="s">
        <v>48</v>
      </c>
      <c r="S623" t="s">
        <v>68</v>
      </c>
      <c r="T623">
        <v>3563.8</v>
      </c>
      <c r="U623">
        <f t="shared" si="126"/>
        <v>1379</v>
      </c>
      <c r="V623">
        <f t="shared" si="127"/>
        <v>505</v>
      </c>
      <c r="W623">
        <f t="shared" si="128"/>
        <v>438</v>
      </c>
      <c r="X623">
        <f t="shared" si="129"/>
        <v>0.35149999999999998</v>
      </c>
      <c r="Y623" s="1">
        <f t="shared" si="130"/>
        <v>71128578</v>
      </c>
      <c r="Z623">
        <f t="shared" si="131"/>
        <v>51579.824510514867</v>
      </c>
      <c r="AA623">
        <f t="shared" si="132"/>
        <v>99996</v>
      </c>
      <c r="AB623">
        <f t="shared" si="133"/>
        <v>5091</v>
      </c>
      <c r="AC623">
        <f t="shared" si="134"/>
        <v>1845412.7300000002</v>
      </c>
      <c r="AD623">
        <f t="shared" si="135"/>
        <v>1338.2253299492388</v>
      </c>
      <c r="AE623">
        <f t="shared" si="136"/>
        <v>0.35149999999999998</v>
      </c>
      <c r="AF623">
        <f t="shared" si="137"/>
        <v>1275708401.3400004</v>
      </c>
      <c r="AG623" t="str">
        <f t="shared" si="138"/>
        <v>Active</v>
      </c>
      <c r="AH623">
        <f t="shared" si="139"/>
        <v>42765.600000000006</v>
      </c>
    </row>
    <row r="624" spans="1:34" x14ac:dyDescent="0.35">
      <c r="A624" t="s">
        <v>1795</v>
      </c>
      <c r="B624" t="s">
        <v>1796</v>
      </c>
      <c r="C624">
        <v>24</v>
      </c>
      <c r="D624" t="s">
        <v>22</v>
      </c>
      <c r="E624" t="s">
        <v>23</v>
      </c>
      <c r="F624" t="s">
        <v>24</v>
      </c>
      <c r="G624">
        <v>89101</v>
      </c>
      <c r="H624">
        <v>665</v>
      </c>
      <c r="I624">
        <v>93086</v>
      </c>
      <c r="J624">
        <v>22.71</v>
      </c>
      <c r="K624">
        <v>36</v>
      </c>
      <c r="L624" t="s">
        <v>33</v>
      </c>
      <c r="M624">
        <v>26.22</v>
      </c>
      <c r="N624">
        <v>15079</v>
      </c>
      <c r="O624">
        <v>16690</v>
      </c>
      <c r="P624" t="s">
        <v>1666</v>
      </c>
      <c r="Q624" t="s">
        <v>61</v>
      </c>
      <c r="R624" t="s">
        <v>48</v>
      </c>
      <c r="S624" t="s">
        <v>35</v>
      </c>
      <c r="T624">
        <v>3172.94</v>
      </c>
      <c r="U624">
        <f t="shared" si="126"/>
        <v>1378</v>
      </c>
      <c r="V624">
        <f t="shared" si="127"/>
        <v>505</v>
      </c>
      <c r="W624">
        <f t="shared" si="128"/>
        <v>437</v>
      </c>
      <c r="X624">
        <f t="shared" si="129"/>
        <v>0.35149999999999998</v>
      </c>
      <c r="Y624" s="1">
        <f t="shared" si="130"/>
        <v>71047375</v>
      </c>
      <c r="Z624">
        <f t="shared" si="131"/>
        <v>51558.327285921623</v>
      </c>
      <c r="AA624">
        <f t="shared" si="132"/>
        <v>99996</v>
      </c>
      <c r="AB624">
        <f t="shared" si="133"/>
        <v>5091</v>
      </c>
      <c r="AC624">
        <f t="shared" si="134"/>
        <v>1841848.9300000002</v>
      </c>
      <c r="AD624">
        <f t="shared" si="135"/>
        <v>1336.6102539912918</v>
      </c>
      <c r="AE624">
        <f t="shared" si="136"/>
        <v>0.35149999999999998</v>
      </c>
      <c r="AF624">
        <f t="shared" si="137"/>
        <v>1273862988.6100001</v>
      </c>
      <c r="AG624" t="str">
        <f t="shared" si="138"/>
        <v>Active</v>
      </c>
      <c r="AH624">
        <f t="shared" si="139"/>
        <v>38075.279999999999</v>
      </c>
    </row>
    <row r="625" spans="1:34" x14ac:dyDescent="0.35">
      <c r="A625" t="s">
        <v>1797</v>
      </c>
      <c r="B625" t="s">
        <v>1798</v>
      </c>
      <c r="C625">
        <v>31</v>
      </c>
      <c r="D625" t="s">
        <v>22</v>
      </c>
      <c r="E625" t="s">
        <v>23</v>
      </c>
      <c r="F625" t="s">
        <v>46</v>
      </c>
      <c r="G625">
        <v>184166</v>
      </c>
      <c r="H625">
        <v>491</v>
      </c>
      <c r="I625">
        <v>84749</v>
      </c>
      <c r="J625">
        <v>20.239999999999998</v>
      </c>
      <c r="K625">
        <v>240</v>
      </c>
      <c r="L625" t="s">
        <v>52</v>
      </c>
      <c r="M625">
        <v>36.22</v>
      </c>
      <c r="N625">
        <v>69516</v>
      </c>
      <c r="O625">
        <v>172894</v>
      </c>
      <c r="P625" t="s">
        <v>382</v>
      </c>
      <c r="Q625" t="s">
        <v>42</v>
      </c>
      <c r="R625" t="s">
        <v>48</v>
      </c>
      <c r="S625" t="s">
        <v>68</v>
      </c>
      <c r="T625">
        <v>424.59</v>
      </c>
      <c r="U625">
        <f t="shared" si="126"/>
        <v>1377</v>
      </c>
      <c r="V625">
        <f t="shared" si="127"/>
        <v>505</v>
      </c>
      <c r="W625">
        <f t="shared" si="128"/>
        <v>436</v>
      </c>
      <c r="X625">
        <f t="shared" si="129"/>
        <v>0.35149999999999998</v>
      </c>
      <c r="Y625" s="1">
        <f t="shared" si="130"/>
        <v>70954289</v>
      </c>
      <c r="Z625">
        <f t="shared" si="131"/>
        <v>51528.169208424108</v>
      </c>
      <c r="AA625">
        <f t="shared" si="132"/>
        <v>99996</v>
      </c>
      <c r="AB625">
        <f t="shared" si="133"/>
        <v>5091</v>
      </c>
      <c r="AC625">
        <f t="shared" si="134"/>
        <v>1838675.99</v>
      </c>
      <c r="AD625">
        <f t="shared" si="135"/>
        <v>1335.2766811909949</v>
      </c>
      <c r="AE625">
        <f t="shared" si="136"/>
        <v>0.35149999999999998</v>
      </c>
      <c r="AF625">
        <f t="shared" si="137"/>
        <v>1272021139.6800001</v>
      </c>
      <c r="AG625" t="str">
        <f t="shared" si="138"/>
        <v>Active</v>
      </c>
      <c r="AH625">
        <f t="shared" si="139"/>
        <v>5095.08</v>
      </c>
    </row>
    <row r="626" spans="1:34" x14ac:dyDescent="0.35">
      <c r="A626" t="s">
        <v>1799</v>
      </c>
      <c r="B626" t="s">
        <v>1800</v>
      </c>
      <c r="C626">
        <v>30</v>
      </c>
      <c r="D626" t="s">
        <v>22</v>
      </c>
      <c r="E626" t="s">
        <v>23</v>
      </c>
      <c r="F626" t="s">
        <v>24</v>
      </c>
      <c r="G626">
        <v>134113</v>
      </c>
      <c r="H626">
        <v>584</v>
      </c>
      <c r="I626">
        <v>38195</v>
      </c>
      <c r="J626">
        <v>11.22</v>
      </c>
      <c r="K626">
        <v>48</v>
      </c>
      <c r="L626" t="s">
        <v>40</v>
      </c>
      <c r="M626">
        <v>8.89</v>
      </c>
      <c r="N626">
        <v>23363</v>
      </c>
      <c r="O626">
        <v>133089</v>
      </c>
      <c r="P626" t="s">
        <v>1801</v>
      </c>
      <c r="Q626" t="s">
        <v>27</v>
      </c>
      <c r="R626" t="s">
        <v>28</v>
      </c>
      <c r="S626" t="s">
        <v>43</v>
      </c>
      <c r="T626">
        <v>885.01</v>
      </c>
      <c r="U626">
        <f t="shared" si="126"/>
        <v>1376</v>
      </c>
      <c r="V626">
        <f t="shared" si="127"/>
        <v>504</v>
      </c>
      <c r="W626">
        <f t="shared" si="128"/>
        <v>436</v>
      </c>
      <c r="X626">
        <f t="shared" si="129"/>
        <v>0.35149999999999998</v>
      </c>
      <c r="Y626" s="1">
        <f t="shared" si="130"/>
        <v>70869540</v>
      </c>
      <c r="Z626">
        <f t="shared" si="131"/>
        <v>51504.026162790695</v>
      </c>
      <c r="AA626">
        <f t="shared" si="132"/>
        <v>99996</v>
      </c>
      <c r="AB626">
        <f t="shared" si="133"/>
        <v>5091</v>
      </c>
      <c r="AC626">
        <f t="shared" si="134"/>
        <v>1838251.4</v>
      </c>
      <c r="AD626">
        <f t="shared" si="135"/>
        <v>1335.9385174418603</v>
      </c>
      <c r="AE626">
        <f t="shared" si="136"/>
        <v>0.35149999999999998</v>
      </c>
      <c r="AF626">
        <f t="shared" si="137"/>
        <v>1270182463.6899998</v>
      </c>
      <c r="AG626" t="str">
        <f t="shared" si="138"/>
        <v>Active</v>
      </c>
      <c r="AH626">
        <f t="shared" si="139"/>
        <v>10620.119999999999</v>
      </c>
    </row>
    <row r="627" spans="1:34" x14ac:dyDescent="0.35">
      <c r="A627" t="s">
        <v>1802</v>
      </c>
      <c r="B627" t="s">
        <v>1803</v>
      </c>
      <c r="C627">
        <v>35</v>
      </c>
      <c r="D627" t="s">
        <v>22</v>
      </c>
      <c r="E627" t="s">
        <v>32</v>
      </c>
      <c r="F627" t="s">
        <v>46</v>
      </c>
      <c r="G627">
        <v>168337</v>
      </c>
      <c r="H627">
        <v>729</v>
      </c>
      <c r="I627">
        <v>22208</v>
      </c>
      <c r="J627">
        <v>4.0599999999999996</v>
      </c>
      <c r="K627">
        <v>360</v>
      </c>
      <c r="L627" t="s">
        <v>52</v>
      </c>
      <c r="M627">
        <v>8.5</v>
      </c>
      <c r="N627">
        <v>16655</v>
      </c>
      <c r="O627">
        <v>114272</v>
      </c>
      <c r="P627" t="s">
        <v>985</v>
      </c>
      <c r="Q627" t="s">
        <v>61</v>
      </c>
      <c r="R627" t="s">
        <v>28</v>
      </c>
      <c r="S627" t="s">
        <v>35</v>
      </c>
      <c r="T627">
        <v>64.19</v>
      </c>
      <c r="U627">
        <f t="shared" si="126"/>
        <v>1375</v>
      </c>
      <c r="V627">
        <f t="shared" si="127"/>
        <v>504</v>
      </c>
      <c r="W627">
        <f t="shared" si="128"/>
        <v>436</v>
      </c>
      <c r="X627">
        <f t="shared" si="129"/>
        <v>0.35149999999999998</v>
      </c>
      <c r="Y627" s="1">
        <f t="shared" si="130"/>
        <v>70831345</v>
      </c>
      <c r="Z627">
        <f t="shared" si="131"/>
        <v>51513.705454545452</v>
      </c>
      <c r="AA627">
        <f t="shared" si="132"/>
        <v>99996</v>
      </c>
      <c r="AB627">
        <f t="shared" si="133"/>
        <v>5091</v>
      </c>
      <c r="AC627">
        <f t="shared" si="134"/>
        <v>1837366.39</v>
      </c>
      <c r="AD627">
        <f t="shared" si="135"/>
        <v>1336.2664654545454</v>
      </c>
      <c r="AE627">
        <f t="shared" si="136"/>
        <v>0.35149999999999998</v>
      </c>
      <c r="AF627">
        <f t="shared" si="137"/>
        <v>1268344212.29</v>
      </c>
      <c r="AG627" t="str">
        <f t="shared" si="138"/>
        <v>Active</v>
      </c>
      <c r="AH627">
        <f t="shared" si="139"/>
        <v>770.28</v>
      </c>
    </row>
    <row r="628" spans="1:34" x14ac:dyDescent="0.35">
      <c r="A628" t="s">
        <v>1804</v>
      </c>
      <c r="B628" t="s">
        <v>1805</v>
      </c>
      <c r="C628">
        <v>54</v>
      </c>
      <c r="D628" t="s">
        <v>22</v>
      </c>
      <c r="E628" t="s">
        <v>23</v>
      </c>
      <c r="F628" t="s">
        <v>59</v>
      </c>
      <c r="G628">
        <v>195912</v>
      </c>
      <c r="H628">
        <v>743</v>
      </c>
      <c r="I628">
        <v>32014</v>
      </c>
      <c r="J628">
        <v>11.14</v>
      </c>
      <c r="K628">
        <v>60</v>
      </c>
      <c r="L628" t="s">
        <v>33</v>
      </c>
      <c r="M628">
        <v>14.95</v>
      </c>
      <c r="N628">
        <v>64895</v>
      </c>
      <c r="O628">
        <v>114963</v>
      </c>
      <c r="P628" t="s">
        <v>1118</v>
      </c>
      <c r="Q628" t="s">
        <v>27</v>
      </c>
      <c r="R628" t="s">
        <v>48</v>
      </c>
      <c r="S628" t="s">
        <v>29</v>
      </c>
      <c r="T628">
        <v>593.01</v>
      </c>
      <c r="U628">
        <f t="shared" si="126"/>
        <v>1374</v>
      </c>
      <c r="V628">
        <f t="shared" si="127"/>
        <v>504</v>
      </c>
      <c r="W628">
        <f t="shared" si="128"/>
        <v>435</v>
      </c>
      <c r="X628">
        <f t="shared" si="129"/>
        <v>0.35149999999999998</v>
      </c>
      <c r="Y628" s="1">
        <f t="shared" si="130"/>
        <v>70809137</v>
      </c>
      <c r="Z628">
        <f t="shared" si="131"/>
        <v>51535.034206695782</v>
      </c>
      <c r="AA628">
        <f t="shared" si="132"/>
        <v>99996</v>
      </c>
      <c r="AB628">
        <f t="shared" si="133"/>
        <v>5091</v>
      </c>
      <c r="AC628">
        <f t="shared" si="134"/>
        <v>1837302.2</v>
      </c>
      <c r="AD628">
        <f t="shared" si="135"/>
        <v>1337.1922852983987</v>
      </c>
      <c r="AE628">
        <f t="shared" si="136"/>
        <v>0.35149999999999998</v>
      </c>
      <c r="AF628">
        <f t="shared" si="137"/>
        <v>1266506845.8999999</v>
      </c>
      <c r="AG628" t="str">
        <f t="shared" si="138"/>
        <v>Active</v>
      </c>
      <c r="AH628">
        <f t="shared" si="139"/>
        <v>7116.12</v>
      </c>
    </row>
    <row r="629" spans="1:34" x14ac:dyDescent="0.35">
      <c r="A629" t="s">
        <v>1806</v>
      </c>
      <c r="B629" t="s">
        <v>1807</v>
      </c>
      <c r="C629">
        <v>50</v>
      </c>
      <c r="D629" t="s">
        <v>38</v>
      </c>
      <c r="E629" t="s">
        <v>32</v>
      </c>
      <c r="F629" t="s">
        <v>24</v>
      </c>
      <c r="G629">
        <v>190791</v>
      </c>
      <c r="H629">
        <v>680</v>
      </c>
      <c r="I629">
        <v>62082</v>
      </c>
      <c r="J629">
        <v>5.88</v>
      </c>
      <c r="K629">
        <v>24</v>
      </c>
      <c r="L629" t="s">
        <v>40</v>
      </c>
      <c r="M629">
        <v>27.3</v>
      </c>
      <c r="N629">
        <v>55183</v>
      </c>
      <c r="O629">
        <v>106959</v>
      </c>
      <c r="P629" t="s">
        <v>1808</v>
      </c>
      <c r="Q629" t="s">
        <v>27</v>
      </c>
      <c r="R629" t="s">
        <v>28</v>
      </c>
      <c r="S629" t="s">
        <v>43</v>
      </c>
      <c r="T629">
        <v>2738.85</v>
      </c>
      <c r="U629">
        <f t="shared" si="126"/>
        <v>1373</v>
      </c>
      <c r="V629">
        <f t="shared" si="127"/>
        <v>504</v>
      </c>
      <c r="W629">
        <f t="shared" si="128"/>
        <v>435</v>
      </c>
      <c r="X629">
        <f t="shared" si="129"/>
        <v>0.35149999999999998</v>
      </c>
      <c r="Y629" s="1">
        <f t="shared" si="130"/>
        <v>70777123</v>
      </c>
      <c r="Z629">
        <f t="shared" si="131"/>
        <v>51549.25200291333</v>
      </c>
      <c r="AA629">
        <f t="shared" si="132"/>
        <v>99996</v>
      </c>
      <c r="AB629">
        <f t="shared" si="133"/>
        <v>5091</v>
      </c>
      <c r="AC629">
        <f t="shared" si="134"/>
        <v>1836709.19</v>
      </c>
      <c r="AD629">
        <f t="shared" si="135"/>
        <v>1337.7342971595046</v>
      </c>
      <c r="AE629">
        <f t="shared" si="136"/>
        <v>0.35149999999999998</v>
      </c>
      <c r="AF629">
        <f t="shared" si="137"/>
        <v>1264669543.7</v>
      </c>
      <c r="AG629" t="str">
        <f t="shared" si="138"/>
        <v>Active</v>
      </c>
      <c r="AH629">
        <f t="shared" si="139"/>
        <v>32866.199999999997</v>
      </c>
    </row>
    <row r="630" spans="1:34" x14ac:dyDescent="0.35">
      <c r="A630" t="s">
        <v>1809</v>
      </c>
      <c r="B630" t="s">
        <v>1810</v>
      </c>
      <c r="C630">
        <v>45</v>
      </c>
      <c r="D630" t="s">
        <v>22</v>
      </c>
      <c r="E630" t="s">
        <v>39</v>
      </c>
      <c r="F630" t="s">
        <v>46</v>
      </c>
      <c r="G630">
        <v>90813</v>
      </c>
      <c r="H630">
        <v>361</v>
      </c>
      <c r="I630">
        <v>28459</v>
      </c>
      <c r="J630">
        <v>14.66</v>
      </c>
      <c r="K630">
        <v>360</v>
      </c>
      <c r="L630" t="s">
        <v>25</v>
      </c>
      <c r="M630">
        <v>23.11</v>
      </c>
      <c r="N630">
        <v>11214</v>
      </c>
      <c r="O630">
        <v>65320</v>
      </c>
      <c r="P630" t="s">
        <v>1811</v>
      </c>
      <c r="Q630" t="s">
        <v>42</v>
      </c>
      <c r="R630" t="s">
        <v>28</v>
      </c>
      <c r="S630" t="s">
        <v>29</v>
      </c>
      <c r="T630">
        <v>90.64</v>
      </c>
      <c r="U630">
        <f t="shared" si="126"/>
        <v>1372</v>
      </c>
      <c r="V630">
        <f t="shared" si="127"/>
        <v>504</v>
      </c>
      <c r="W630">
        <f t="shared" si="128"/>
        <v>435</v>
      </c>
      <c r="X630">
        <f t="shared" si="129"/>
        <v>0.35149999999999998</v>
      </c>
      <c r="Y630" s="1">
        <f t="shared" si="130"/>
        <v>70715041</v>
      </c>
      <c r="Z630">
        <f t="shared" si="131"/>
        <v>51541.575072886299</v>
      </c>
      <c r="AA630">
        <f t="shared" si="132"/>
        <v>99996</v>
      </c>
      <c r="AB630">
        <f t="shared" si="133"/>
        <v>5091</v>
      </c>
      <c r="AC630">
        <f t="shared" si="134"/>
        <v>1833970.3399999996</v>
      </c>
      <c r="AD630">
        <f t="shared" si="135"/>
        <v>1336.713075801749</v>
      </c>
      <c r="AE630">
        <f t="shared" si="136"/>
        <v>0.35149999999999998</v>
      </c>
      <c r="AF630">
        <f t="shared" si="137"/>
        <v>1262832834.5099998</v>
      </c>
      <c r="AG630" t="str">
        <f t="shared" si="138"/>
        <v>Active</v>
      </c>
      <c r="AH630">
        <f t="shared" si="139"/>
        <v>1087.68</v>
      </c>
    </row>
    <row r="631" spans="1:34" x14ac:dyDescent="0.35">
      <c r="A631" t="s">
        <v>1812</v>
      </c>
      <c r="B631" t="s">
        <v>1813</v>
      </c>
      <c r="C631">
        <v>27</v>
      </c>
      <c r="D631" t="s">
        <v>22</v>
      </c>
      <c r="E631" t="s">
        <v>39</v>
      </c>
      <c r="F631" t="s">
        <v>24</v>
      </c>
      <c r="G631">
        <v>41154</v>
      </c>
      <c r="H631">
        <v>427</v>
      </c>
      <c r="I631">
        <v>51406</v>
      </c>
      <c r="J631">
        <v>4.54</v>
      </c>
      <c r="K631">
        <v>60</v>
      </c>
      <c r="L631" t="s">
        <v>33</v>
      </c>
      <c r="M631">
        <v>15.41</v>
      </c>
      <c r="N631">
        <v>56066</v>
      </c>
      <c r="O631">
        <v>91229</v>
      </c>
      <c r="P631" t="s">
        <v>120</v>
      </c>
      <c r="Q631" t="s">
        <v>27</v>
      </c>
      <c r="R631" t="s">
        <v>48</v>
      </c>
      <c r="S631" t="s">
        <v>35</v>
      </c>
      <c r="T631">
        <v>895.66</v>
      </c>
      <c r="U631">
        <f t="shared" si="126"/>
        <v>1371</v>
      </c>
      <c r="V631">
        <f t="shared" si="127"/>
        <v>503</v>
      </c>
      <c r="W631">
        <f t="shared" si="128"/>
        <v>435</v>
      </c>
      <c r="X631">
        <f t="shared" si="129"/>
        <v>0.35149999999999998</v>
      </c>
      <c r="Y631" s="1">
        <f t="shared" si="130"/>
        <v>70686582</v>
      </c>
      <c r="Z631">
        <f t="shared" si="131"/>
        <v>51558.4113785558</v>
      </c>
      <c r="AA631">
        <f t="shared" si="132"/>
        <v>99996</v>
      </c>
      <c r="AB631">
        <f t="shared" si="133"/>
        <v>5091</v>
      </c>
      <c r="AC631">
        <f t="shared" si="134"/>
        <v>1833879.6999999997</v>
      </c>
      <c r="AD631">
        <f t="shared" si="135"/>
        <v>1337.6219547775345</v>
      </c>
      <c r="AE631">
        <f t="shared" si="136"/>
        <v>0.35149999999999998</v>
      </c>
      <c r="AF631">
        <f t="shared" si="137"/>
        <v>1260998864.1699998</v>
      </c>
      <c r="AG631" t="str">
        <f t="shared" si="138"/>
        <v>Active</v>
      </c>
      <c r="AH631">
        <f t="shared" si="139"/>
        <v>10747.92</v>
      </c>
    </row>
    <row r="632" spans="1:34" x14ac:dyDescent="0.35">
      <c r="A632" t="s">
        <v>1814</v>
      </c>
      <c r="B632" t="s">
        <v>1815</v>
      </c>
      <c r="C632">
        <v>37</v>
      </c>
      <c r="D632" t="s">
        <v>38</v>
      </c>
      <c r="E632" t="s">
        <v>39</v>
      </c>
      <c r="F632" t="s">
        <v>24</v>
      </c>
      <c r="G632">
        <v>27758</v>
      </c>
      <c r="H632">
        <v>745</v>
      </c>
      <c r="I632">
        <v>59146</v>
      </c>
      <c r="J632">
        <v>18.18</v>
      </c>
      <c r="K632">
        <v>36</v>
      </c>
      <c r="L632" t="s">
        <v>86</v>
      </c>
      <c r="M632">
        <v>18.18</v>
      </c>
      <c r="N632">
        <v>14161</v>
      </c>
      <c r="O632">
        <v>91920</v>
      </c>
      <c r="P632" t="s">
        <v>1816</v>
      </c>
      <c r="Q632" t="s">
        <v>27</v>
      </c>
      <c r="R632" t="s">
        <v>28</v>
      </c>
      <c r="S632" t="s">
        <v>29</v>
      </c>
      <c r="T632">
        <v>1941.63</v>
      </c>
      <c r="U632">
        <f t="shared" si="126"/>
        <v>1370</v>
      </c>
      <c r="V632">
        <f t="shared" si="127"/>
        <v>503</v>
      </c>
      <c r="W632">
        <f t="shared" si="128"/>
        <v>435</v>
      </c>
      <c r="X632">
        <f t="shared" si="129"/>
        <v>0.35149999999999998</v>
      </c>
      <c r="Y632" s="1">
        <f t="shared" si="130"/>
        <v>70635176</v>
      </c>
      <c r="Z632">
        <f t="shared" si="131"/>
        <v>51558.522627737228</v>
      </c>
      <c r="AA632">
        <f t="shared" si="132"/>
        <v>99996</v>
      </c>
      <c r="AB632">
        <f t="shared" si="133"/>
        <v>5091</v>
      </c>
      <c r="AC632">
        <f t="shared" si="134"/>
        <v>1832984.0399999996</v>
      </c>
      <c r="AD632">
        <f t="shared" si="135"/>
        <v>1337.9445547445252</v>
      </c>
      <c r="AE632">
        <f t="shared" si="136"/>
        <v>0.35149999999999998</v>
      </c>
      <c r="AF632">
        <f t="shared" si="137"/>
        <v>1259164984.4699996</v>
      </c>
      <c r="AG632" t="str">
        <f t="shared" si="138"/>
        <v>Active</v>
      </c>
      <c r="AH632">
        <f t="shared" si="139"/>
        <v>23299.56</v>
      </c>
    </row>
    <row r="633" spans="1:34" x14ac:dyDescent="0.35">
      <c r="A633" t="s">
        <v>1817</v>
      </c>
      <c r="B633" t="s">
        <v>1818</v>
      </c>
      <c r="C633">
        <v>57</v>
      </c>
      <c r="D633" t="s">
        <v>38</v>
      </c>
      <c r="E633" t="s">
        <v>23</v>
      </c>
      <c r="F633" t="s">
        <v>59</v>
      </c>
      <c r="G633">
        <v>103876</v>
      </c>
      <c r="H633">
        <v>567</v>
      </c>
      <c r="I633">
        <v>46449</v>
      </c>
      <c r="J633">
        <v>10.85</v>
      </c>
      <c r="K633">
        <v>36</v>
      </c>
      <c r="L633" t="s">
        <v>33</v>
      </c>
      <c r="M633">
        <v>28.91</v>
      </c>
      <c r="N633">
        <v>48328</v>
      </c>
      <c r="O633">
        <v>190086</v>
      </c>
      <c r="P633" t="s">
        <v>1622</v>
      </c>
      <c r="Q633" t="s">
        <v>42</v>
      </c>
      <c r="R633" t="s">
        <v>48</v>
      </c>
      <c r="S633" t="s">
        <v>29</v>
      </c>
      <c r="T633">
        <v>1430.24</v>
      </c>
      <c r="U633">
        <f t="shared" si="126"/>
        <v>1369</v>
      </c>
      <c r="V633">
        <f t="shared" si="127"/>
        <v>503</v>
      </c>
      <c r="W633">
        <f t="shared" si="128"/>
        <v>435</v>
      </c>
      <c r="X633">
        <f t="shared" si="129"/>
        <v>0.35149999999999998</v>
      </c>
      <c r="Y633" s="1">
        <f t="shared" si="130"/>
        <v>70576030</v>
      </c>
      <c r="Z633">
        <f t="shared" si="131"/>
        <v>51552.980277574876</v>
      </c>
      <c r="AA633">
        <f t="shared" si="132"/>
        <v>99996</v>
      </c>
      <c r="AB633">
        <f t="shared" si="133"/>
        <v>5091</v>
      </c>
      <c r="AC633">
        <f t="shared" si="134"/>
        <v>1831042.4099999992</v>
      </c>
      <c r="AD633">
        <f t="shared" si="135"/>
        <v>1337.5035865595319</v>
      </c>
      <c r="AE633">
        <f t="shared" si="136"/>
        <v>0.35149999999999998</v>
      </c>
      <c r="AF633">
        <f t="shared" si="137"/>
        <v>1257332000.4299996</v>
      </c>
      <c r="AG633" t="str">
        <f t="shared" si="138"/>
        <v>Active</v>
      </c>
      <c r="AH633">
        <f t="shared" si="139"/>
        <v>17162.88</v>
      </c>
    </row>
    <row r="634" spans="1:34" x14ac:dyDescent="0.35">
      <c r="A634" t="s">
        <v>1819</v>
      </c>
      <c r="B634" t="s">
        <v>1820</v>
      </c>
      <c r="C634">
        <v>59</v>
      </c>
      <c r="D634" t="s">
        <v>22</v>
      </c>
      <c r="E634" t="s">
        <v>23</v>
      </c>
      <c r="F634" t="s">
        <v>59</v>
      </c>
      <c r="G634">
        <v>196327</v>
      </c>
      <c r="H634">
        <v>470</v>
      </c>
      <c r="I634">
        <v>62971</v>
      </c>
      <c r="J634">
        <v>5.01</v>
      </c>
      <c r="K634">
        <v>120</v>
      </c>
      <c r="L634" t="s">
        <v>25</v>
      </c>
      <c r="M634">
        <v>6.69</v>
      </c>
      <c r="N634">
        <v>1095</v>
      </c>
      <c r="O634">
        <v>135710</v>
      </c>
      <c r="P634" t="s">
        <v>1634</v>
      </c>
      <c r="Q634" t="s">
        <v>42</v>
      </c>
      <c r="R634" t="s">
        <v>28</v>
      </c>
      <c r="S634" t="s">
        <v>49</v>
      </c>
      <c r="T634">
        <v>551.04999999999995</v>
      </c>
      <c r="U634">
        <f t="shared" si="126"/>
        <v>1368</v>
      </c>
      <c r="V634">
        <f t="shared" si="127"/>
        <v>502</v>
      </c>
      <c r="W634">
        <f t="shared" si="128"/>
        <v>435</v>
      </c>
      <c r="X634">
        <f t="shared" si="129"/>
        <v>0.35149999999999998</v>
      </c>
      <c r="Y634" s="1">
        <f t="shared" si="130"/>
        <v>70529581</v>
      </c>
      <c r="Z634">
        <f t="shared" si="131"/>
        <v>51556.711257309944</v>
      </c>
      <c r="AA634">
        <f t="shared" si="132"/>
        <v>99996</v>
      </c>
      <c r="AB634">
        <f t="shared" si="133"/>
        <v>5091</v>
      </c>
      <c r="AC634">
        <f t="shared" si="134"/>
        <v>1829612.1699999995</v>
      </c>
      <c r="AD634">
        <f t="shared" si="135"/>
        <v>1337.4357967836254</v>
      </c>
      <c r="AE634">
        <f t="shared" si="136"/>
        <v>0.35149999999999998</v>
      </c>
      <c r="AF634">
        <f t="shared" si="137"/>
        <v>1255500958.0199993</v>
      </c>
      <c r="AG634" t="str">
        <f t="shared" si="138"/>
        <v>Active</v>
      </c>
      <c r="AH634">
        <f t="shared" si="139"/>
        <v>6612.5999999999995</v>
      </c>
    </row>
    <row r="635" spans="1:34" x14ac:dyDescent="0.35">
      <c r="A635" t="s">
        <v>1821</v>
      </c>
      <c r="B635" t="s">
        <v>1822</v>
      </c>
      <c r="C635">
        <v>29</v>
      </c>
      <c r="D635" t="s">
        <v>22</v>
      </c>
      <c r="E635" t="s">
        <v>39</v>
      </c>
      <c r="F635" t="s">
        <v>46</v>
      </c>
      <c r="G635">
        <v>147922</v>
      </c>
      <c r="H635">
        <v>797</v>
      </c>
      <c r="I635">
        <v>27191</v>
      </c>
      <c r="J635">
        <v>3.5</v>
      </c>
      <c r="K635">
        <v>180</v>
      </c>
      <c r="L635" t="s">
        <v>40</v>
      </c>
      <c r="M635">
        <v>37.15</v>
      </c>
      <c r="N635">
        <v>52047</v>
      </c>
      <c r="O635">
        <v>175423</v>
      </c>
      <c r="P635" t="s">
        <v>1308</v>
      </c>
      <c r="Q635" t="s">
        <v>61</v>
      </c>
      <c r="R635" t="s">
        <v>28</v>
      </c>
      <c r="S635" t="s">
        <v>35</v>
      </c>
      <c r="T635">
        <v>156.35</v>
      </c>
      <c r="U635">
        <f t="shared" si="126"/>
        <v>1367</v>
      </c>
      <c r="V635">
        <f t="shared" si="127"/>
        <v>501</v>
      </c>
      <c r="W635">
        <f t="shared" si="128"/>
        <v>435</v>
      </c>
      <c r="X635">
        <f t="shared" si="129"/>
        <v>0.35149999999999998</v>
      </c>
      <c r="Y635" s="1">
        <f t="shared" si="130"/>
        <v>70466610</v>
      </c>
      <c r="Z635">
        <f t="shared" si="131"/>
        <v>51548.361375274326</v>
      </c>
      <c r="AA635">
        <f t="shared" si="132"/>
        <v>99996</v>
      </c>
      <c r="AB635">
        <f t="shared" si="133"/>
        <v>5091</v>
      </c>
      <c r="AC635">
        <f t="shared" si="134"/>
        <v>1829061.1199999992</v>
      </c>
      <c r="AD635">
        <f t="shared" si="135"/>
        <v>1338.0110607168976</v>
      </c>
      <c r="AE635">
        <f t="shared" si="136"/>
        <v>0.35149999999999998</v>
      </c>
      <c r="AF635">
        <f t="shared" si="137"/>
        <v>1253671345.8499992</v>
      </c>
      <c r="AG635" t="str">
        <f t="shared" si="138"/>
        <v>Active</v>
      </c>
      <c r="AH635">
        <f t="shared" si="139"/>
        <v>1876.1999999999998</v>
      </c>
    </row>
    <row r="636" spans="1:34" x14ac:dyDescent="0.35">
      <c r="A636" t="s">
        <v>1823</v>
      </c>
      <c r="B636" t="s">
        <v>1824</v>
      </c>
      <c r="C636">
        <v>48</v>
      </c>
      <c r="D636" t="s">
        <v>38</v>
      </c>
      <c r="E636" t="s">
        <v>39</v>
      </c>
      <c r="F636" t="s">
        <v>46</v>
      </c>
      <c r="G636">
        <v>126720</v>
      </c>
      <c r="H636">
        <v>552</v>
      </c>
      <c r="I636">
        <v>64441</v>
      </c>
      <c r="J636">
        <v>10.94</v>
      </c>
      <c r="K636">
        <v>180</v>
      </c>
      <c r="L636" t="s">
        <v>40</v>
      </c>
      <c r="M636">
        <v>9.5</v>
      </c>
      <c r="N636">
        <v>59772</v>
      </c>
      <c r="O636">
        <v>113874</v>
      </c>
      <c r="P636" t="s">
        <v>1825</v>
      </c>
      <c r="Q636" t="s">
        <v>61</v>
      </c>
      <c r="R636" t="s">
        <v>48</v>
      </c>
      <c r="S636" t="s">
        <v>68</v>
      </c>
      <c r="T636">
        <v>397.17</v>
      </c>
      <c r="U636">
        <f t="shared" si="126"/>
        <v>1366</v>
      </c>
      <c r="V636">
        <f t="shared" si="127"/>
        <v>501</v>
      </c>
      <c r="W636">
        <f t="shared" si="128"/>
        <v>434</v>
      </c>
      <c r="X636">
        <f t="shared" si="129"/>
        <v>0.35149999999999998</v>
      </c>
      <c r="Y636" s="1">
        <f t="shared" si="130"/>
        <v>70439419</v>
      </c>
      <c r="Z636">
        <f t="shared" si="131"/>
        <v>51566.1925329429</v>
      </c>
      <c r="AA636">
        <f t="shared" si="132"/>
        <v>99996</v>
      </c>
      <c r="AB636">
        <f t="shared" si="133"/>
        <v>5091</v>
      </c>
      <c r="AC636">
        <f t="shared" si="134"/>
        <v>1828904.7699999993</v>
      </c>
      <c r="AD636">
        <f t="shared" si="135"/>
        <v>1338.8761127379205</v>
      </c>
      <c r="AE636">
        <f t="shared" si="136"/>
        <v>0.35149999999999998</v>
      </c>
      <c r="AF636">
        <f t="shared" si="137"/>
        <v>1251842284.7299991</v>
      </c>
      <c r="AG636" t="str">
        <f t="shared" si="138"/>
        <v>Active</v>
      </c>
      <c r="AH636">
        <f t="shared" si="139"/>
        <v>4766.04</v>
      </c>
    </row>
    <row r="637" spans="1:34" x14ac:dyDescent="0.35">
      <c r="A637" t="s">
        <v>1826</v>
      </c>
      <c r="B637" t="s">
        <v>1827</v>
      </c>
      <c r="C637">
        <v>48</v>
      </c>
      <c r="D637" t="s">
        <v>22</v>
      </c>
      <c r="E637" t="s">
        <v>23</v>
      </c>
      <c r="F637" t="s">
        <v>24</v>
      </c>
      <c r="G637">
        <v>70110</v>
      </c>
      <c r="H637">
        <v>665</v>
      </c>
      <c r="I637">
        <v>91946</v>
      </c>
      <c r="J637">
        <v>13.57</v>
      </c>
      <c r="K637">
        <v>60</v>
      </c>
      <c r="L637" t="s">
        <v>86</v>
      </c>
      <c r="M637">
        <v>20.47</v>
      </c>
      <c r="N637">
        <v>61733</v>
      </c>
      <c r="O637">
        <v>158332</v>
      </c>
      <c r="P637" t="s">
        <v>1697</v>
      </c>
      <c r="Q637" t="s">
        <v>61</v>
      </c>
      <c r="R637" t="s">
        <v>28</v>
      </c>
      <c r="S637" t="s">
        <v>49</v>
      </c>
      <c r="T637">
        <v>1740.38</v>
      </c>
      <c r="U637">
        <f t="shared" si="126"/>
        <v>1365</v>
      </c>
      <c r="V637">
        <f t="shared" si="127"/>
        <v>501</v>
      </c>
      <c r="W637">
        <f t="shared" si="128"/>
        <v>433</v>
      </c>
      <c r="X637">
        <f t="shared" si="129"/>
        <v>0.35149999999999998</v>
      </c>
      <c r="Y637" s="1">
        <f t="shared" si="130"/>
        <v>70374978</v>
      </c>
      <c r="Z637">
        <f t="shared" si="131"/>
        <v>51556.760439560443</v>
      </c>
      <c r="AA637">
        <f t="shared" si="132"/>
        <v>99996</v>
      </c>
      <c r="AB637">
        <f t="shared" si="133"/>
        <v>5091</v>
      </c>
      <c r="AC637">
        <f t="shared" si="134"/>
        <v>1828507.5999999992</v>
      </c>
      <c r="AD637">
        <f t="shared" si="135"/>
        <v>1339.5660073260067</v>
      </c>
      <c r="AE637">
        <f t="shared" si="136"/>
        <v>0.35149999999999998</v>
      </c>
      <c r="AF637">
        <f t="shared" si="137"/>
        <v>1250013379.9599988</v>
      </c>
      <c r="AG637" t="str">
        <f t="shared" si="138"/>
        <v>Active</v>
      </c>
      <c r="AH637">
        <f t="shared" si="139"/>
        <v>20884.560000000001</v>
      </c>
    </row>
    <row r="638" spans="1:34" x14ac:dyDescent="0.35">
      <c r="A638" t="s">
        <v>1828</v>
      </c>
      <c r="B638" t="s">
        <v>1829</v>
      </c>
      <c r="C638">
        <v>65</v>
      </c>
      <c r="D638" t="s">
        <v>22</v>
      </c>
      <c r="E638" t="s">
        <v>23</v>
      </c>
      <c r="F638" t="s">
        <v>24</v>
      </c>
      <c r="G638">
        <v>29563</v>
      </c>
      <c r="H638">
        <v>609</v>
      </c>
      <c r="I638">
        <v>97692</v>
      </c>
      <c r="J638">
        <v>21.47</v>
      </c>
      <c r="K638">
        <v>24</v>
      </c>
      <c r="L638" t="s">
        <v>33</v>
      </c>
      <c r="M638">
        <v>31.33</v>
      </c>
      <c r="N638">
        <v>17331</v>
      </c>
      <c r="O638">
        <v>115073</v>
      </c>
      <c r="P638" t="s">
        <v>313</v>
      </c>
      <c r="Q638" t="s">
        <v>27</v>
      </c>
      <c r="R638" t="s">
        <v>48</v>
      </c>
      <c r="S638" t="s">
        <v>68</v>
      </c>
      <c r="T638">
        <v>4944.4399999999996</v>
      </c>
      <c r="U638">
        <f t="shared" si="126"/>
        <v>1364</v>
      </c>
      <c r="V638">
        <f t="shared" si="127"/>
        <v>501</v>
      </c>
      <c r="W638">
        <f t="shared" si="128"/>
        <v>432</v>
      </c>
      <c r="X638">
        <f t="shared" si="129"/>
        <v>0.35149999999999998</v>
      </c>
      <c r="Y638" s="1">
        <f t="shared" si="130"/>
        <v>70283032</v>
      </c>
      <c r="Z638">
        <f t="shared" si="131"/>
        <v>51527.149560117301</v>
      </c>
      <c r="AA638">
        <f t="shared" si="132"/>
        <v>99996</v>
      </c>
      <c r="AB638">
        <f t="shared" si="133"/>
        <v>5091</v>
      </c>
      <c r="AC638">
        <f t="shared" si="134"/>
        <v>1826767.2199999993</v>
      </c>
      <c r="AD638">
        <f t="shared" si="135"/>
        <v>1339.2721554252194</v>
      </c>
      <c r="AE638">
        <f t="shared" si="136"/>
        <v>0.35149999999999998</v>
      </c>
      <c r="AF638">
        <f t="shared" si="137"/>
        <v>1248184872.3599989</v>
      </c>
      <c r="AG638" t="str">
        <f t="shared" si="138"/>
        <v>Active</v>
      </c>
      <c r="AH638">
        <f t="shared" si="139"/>
        <v>59333.279999999999</v>
      </c>
    </row>
    <row r="639" spans="1:34" x14ac:dyDescent="0.35">
      <c r="A639" t="s">
        <v>1830</v>
      </c>
      <c r="B639" t="s">
        <v>1831</v>
      </c>
      <c r="C639">
        <v>61</v>
      </c>
      <c r="D639" t="s">
        <v>38</v>
      </c>
      <c r="E639" t="s">
        <v>32</v>
      </c>
      <c r="F639" t="s">
        <v>46</v>
      </c>
      <c r="G639">
        <v>196181</v>
      </c>
      <c r="H639">
        <v>597</v>
      </c>
      <c r="I639">
        <v>83775</v>
      </c>
      <c r="J639">
        <v>7.75</v>
      </c>
      <c r="K639">
        <v>24</v>
      </c>
      <c r="L639" t="s">
        <v>33</v>
      </c>
      <c r="M639">
        <v>36.72</v>
      </c>
      <c r="N639">
        <v>48855</v>
      </c>
      <c r="O639">
        <v>29728</v>
      </c>
      <c r="P639" t="s">
        <v>1832</v>
      </c>
      <c r="Q639" t="s">
        <v>42</v>
      </c>
      <c r="R639" t="s">
        <v>28</v>
      </c>
      <c r="S639" t="s">
        <v>43</v>
      </c>
      <c r="T639">
        <v>3761.15</v>
      </c>
      <c r="U639">
        <f t="shared" si="126"/>
        <v>1363</v>
      </c>
      <c r="V639">
        <f t="shared" si="127"/>
        <v>501</v>
      </c>
      <c r="W639">
        <f t="shared" si="128"/>
        <v>432</v>
      </c>
      <c r="X639">
        <f t="shared" si="129"/>
        <v>0.35149999999999998</v>
      </c>
      <c r="Y639" s="1">
        <f t="shared" si="130"/>
        <v>70185340</v>
      </c>
      <c r="Z639">
        <f t="shared" si="131"/>
        <v>51493.279530447544</v>
      </c>
      <c r="AA639">
        <f t="shared" si="132"/>
        <v>99996</v>
      </c>
      <c r="AB639">
        <f t="shared" si="133"/>
        <v>5091</v>
      </c>
      <c r="AC639">
        <f t="shared" si="134"/>
        <v>1821822.7799999993</v>
      </c>
      <c r="AD639">
        <f t="shared" si="135"/>
        <v>1336.6271313279526</v>
      </c>
      <c r="AE639">
        <f t="shared" si="136"/>
        <v>0.35149999999999998</v>
      </c>
      <c r="AF639">
        <f t="shared" si="137"/>
        <v>1246358105.1399987</v>
      </c>
      <c r="AG639" t="str">
        <f t="shared" si="138"/>
        <v>Active</v>
      </c>
      <c r="AH639">
        <f t="shared" si="139"/>
        <v>45133.8</v>
      </c>
    </row>
    <row r="640" spans="1:34" x14ac:dyDescent="0.35">
      <c r="A640" t="s">
        <v>1833</v>
      </c>
      <c r="B640" t="s">
        <v>1834</v>
      </c>
      <c r="C640">
        <v>31</v>
      </c>
      <c r="D640" t="s">
        <v>22</v>
      </c>
      <c r="E640" t="s">
        <v>32</v>
      </c>
      <c r="F640" t="s">
        <v>59</v>
      </c>
      <c r="G640">
        <v>63842</v>
      </c>
      <c r="H640">
        <v>626</v>
      </c>
      <c r="I640">
        <v>88905</v>
      </c>
      <c r="J640">
        <v>7.53</v>
      </c>
      <c r="K640">
        <v>240</v>
      </c>
      <c r="L640" t="s">
        <v>33</v>
      </c>
      <c r="M640">
        <v>11.49</v>
      </c>
      <c r="N640">
        <v>27818</v>
      </c>
      <c r="O640">
        <v>181094</v>
      </c>
      <c r="P640" t="s">
        <v>1835</v>
      </c>
      <c r="Q640" t="s">
        <v>27</v>
      </c>
      <c r="R640" t="s">
        <v>28</v>
      </c>
      <c r="S640" t="s">
        <v>49</v>
      </c>
      <c r="T640">
        <v>398.33</v>
      </c>
      <c r="U640">
        <f t="shared" si="126"/>
        <v>1362</v>
      </c>
      <c r="V640">
        <f t="shared" si="127"/>
        <v>500</v>
      </c>
      <c r="W640">
        <f t="shared" si="128"/>
        <v>432</v>
      </c>
      <c r="X640">
        <f t="shared" si="129"/>
        <v>0.35149999999999998</v>
      </c>
      <c r="Y640" s="1">
        <f t="shared" si="130"/>
        <v>70101565</v>
      </c>
      <c r="Z640">
        <f t="shared" si="131"/>
        <v>51469.577826725406</v>
      </c>
      <c r="AA640">
        <f t="shared" si="132"/>
        <v>99996</v>
      </c>
      <c r="AB640">
        <f t="shared" si="133"/>
        <v>5091</v>
      </c>
      <c r="AC640">
        <f t="shared" si="134"/>
        <v>1818061.6299999992</v>
      </c>
      <c r="AD640">
        <f t="shared" si="135"/>
        <v>1334.8470117474296</v>
      </c>
      <c r="AE640">
        <f t="shared" si="136"/>
        <v>0.35149999999999998</v>
      </c>
      <c r="AF640">
        <f t="shared" si="137"/>
        <v>1244536282.3599985</v>
      </c>
      <c r="AG640" t="str">
        <f t="shared" si="138"/>
        <v>Active</v>
      </c>
      <c r="AH640">
        <f t="shared" si="139"/>
        <v>4779.96</v>
      </c>
    </row>
    <row r="641" spans="1:34" x14ac:dyDescent="0.35">
      <c r="A641" t="s">
        <v>1836</v>
      </c>
      <c r="B641" t="s">
        <v>1837</v>
      </c>
      <c r="C641">
        <v>41</v>
      </c>
      <c r="D641" t="s">
        <v>22</v>
      </c>
      <c r="E641" t="s">
        <v>39</v>
      </c>
      <c r="F641" t="s">
        <v>46</v>
      </c>
      <c r="G641">
        <v>175762</v>
      </c>
      <c r="H641">
        <v>626</v>
      </c>
      <c r="I641">
        <v>45512</v>
      </c>
      <c r="J641">
        <v>10.34</v>
      </c>
      <c r="K641">
        <v>240</v>
      </c>
      <c r="L641" t="s">
        <v>86</v>
      </c>
      <c r="M641">
        <v>29.98</v>
      </c>
      <c r="N641">
        <v>31351</v>
      </c>
      <c r="O641">
        <v>84016</v>
      </c>
      <c r="P641" t="s">
        <v>1838</v>
      </c>
      <c r="Q641" t="s">
        <v>61</v>
      </c>
      <c r="R641" t="s">
        <v>28</v>
      </c>
      <c r="S641" t="s">
        <v>49</v>
      </c>
      <c r="T641">
        <v>209.24</v>
      </c>
      <c r="U641">
        <f t="shared" si="126"/>
        <v>1361</v>
      </c>
      <c r="V641">
        <f t="shared" si="127"/>
        <v>500</v>
      </c>
      <c r="W641">
        <f t="shared" si="128"/>
        <v>432</v>
      </c>
      <c r="X641">
        <f t="shared" si="129"/>
        <v>0.35149999999999998</v>
      </c>
      <c r="Y641" s="1">
        <f t="shared" si="130"/>
        <v>70012660</v>
      </c>
      <c r="Z641">
        <f t="shared" si="131"/>
        <v>51442.072005878028</v>
      </c>
      <c r="AA641">
        <f t="shared" si="132"/>
        <v>99996</v>
      </c>
      <c r="AB641">
        <f t="shared" si="133"/>
        <v>5091</v>
      </c>
      <c r="AC641">
        <f t="shared" si="134"/>
        <v>1817663.2999999991</v>
      </c>
      <c r="AD641">
        <f t="shared" si="135"/>
        <v>1335.5351212343858</v>
      </c>
      <c r="AE641">
        <f t="shared" si="136"/>
        <v>0.35149999999999998</v>
      </c>
      <c r="AF641">
        <f t="shared" si="137"/>
        <v>1242718220.7299984</v>
      </c>
      <c r="AG641" t="str">
        <f t="shared" si="138"/>
        <v>Active</v>
      </c>
      <c r="AH641">
        <f t="shared" si="139"/>
        <v>2510.88</v>
      </c>
    </row>
    <row r="642" spans="1:34" x14ac:dyDescent="0.35">
      <c r="A642" t="s">
        <v>1839</v>
      </c>
      <c r="B642" t="s">
        <v>1840</v>
      </c>
      <c r="C642">
        <v>51</v>
      </c>
      <c r="D642" t="s">
        <v>38</v>
      </c>
      <c r="E642" t="s">
        <v>39</v>
      </c>
      <c r="F642" t="s">
        <v>24</v>
      </c>
      <c r="G642">
        <v>29389</v>
      </c>
      <c r="H642">
        <v>659</v>
      </c>
      <c r="I642">
        <v>64083</v>
      </c>
      <c r="J642">
        <v>5.59</v>
      </c>
      <c r="K642">
        <v>240</v>
      </c>
      <c r="L642" t="s">
        <v>25</v>
      </c>
      <c r="M642">
        <v>9.81</v>
      </c>
      <c r="N642">
        <v>79627</v>
      </c>
      <c r="O642">
        <v>15082</v>
      </c>
      <c r="P642" t="s">
        <v>1129</v>
      </c>
      <c r="Q642" t="s">
        <v>61</v>
      </c>
      <c r="R642" t="s">
        <v>48</v>
      </c>
      <c r="S642" t="s">
        <v>68</v>
      </c>
      <c r="T642">
        <v>281.94</v>
      </c>
      <c r="U642">
        <f t="shared" ref="U642:U705" si="140">COUNTA(A642:A2641)</f>
        <v>1360</v>
      </c>
      <c r="V642">
        <f t="shared" ref="V642:V705" si="141">COUNTIF(Q642:Q2641,"APPROVED")</f>
        <v>500</v>
      </c>
      <c r="W642">
        <f t="shared" ref="W642:W705" si="142">COUNTIF(Q642:Q2642,"Rejected")</f>
        <v>431</v>
      </c>
      <c r="X642">
        <f t="shared" ref="X642:X705" si="143">703/2000</f>
        <v>0.35149999999999998</v>
      </c>
      <c r="Y642" s="1">
        <f t="shared" ref="Y642:Y705" si="144">SUM(I642:I2641)</f>
        <v>69967148</v>
      </c>
      <c r="Z642">
        <f t="shared" ref="Z642:Z705" si="145">AVERAGE(I642:I20641)</f>
        <v>51446.432352941178</v>
      </c>
      <c r="AA642">
        <f t="shared" ref="AA642:AA705" si="146">MAX(I642:I2641)</f>
        <v>99996</v>
      </c>
      <c r="AB642">
        <f t="shared" ref="AB642:AB705" si="147">MIN(I642:I2641)</f>
        <v>5091</v>
      </c>
      <c r="AC642">
        <f t="shared" ref="AC642:AC705" si="148">SUM(T642:T2641)</f>
        <v>1817454.0599999991</v>
      </c>
      <c r="AD642">
        <f t="shared" ref="AD642:AD705" si="149">AVERAGE(T642:T2641)</f>
        <v>1336.3632794117641</v>
      </c>
      <c r="AE642">
        <f t="shared" ref="AE642:AE705" si="150">703/2000</f>
        <v>0.35149999999999998</v>
      </c>
      <c r="AF642">
        <f t="shared" ref="AF642:AF705" si="151">SUM(AC642:AC2641)</f>
        <v>1240900557.4299984</v>
      </c>
      <c r="AG642" t="str">
        <f t="shared" ref="AG642:AG705" si="152">IF(AH642=0,"Bad", IF(AH641&lt;I641, "Active", IF(AH641=I641, "Good", "Over Paid")))</f>
        <v>Active</v>
      </c>
      <c r="AH642">
        <f t="shared" ref="AH642:AH705" si="153">T642*12</f>
        <v>3383.2799999999997</v>
      </c>
    </row>
    <row r="643" spans="1:34" x14ac:dyDescent="0.35">
      <c r="A643" t="s">
        <v>1841</v>
      </c>
      <c r="B643" t="s">
        <v>1842</v>
      </c>
      <c r="C643">
        <v>55</v>
      </c>
      <c r="D643" t="s">
        <v>22</v>
      </c>
      <c r="E643" t="s">
        <v>32</v>
      </c>
      <c r="F643" t="s">
        <v>59</v>
      </c>
      <c r="G643">
        <v>25739</v>
      </c>
      <c r="H643">
        <v>767</v>
      </c>
      <c r="I643">
        <v>8449</v>
      </c>
      <c r="J643">
        <v>22.18</v>
      </c>
      <c r="K643">
        <v>36</v>
      </c>
      <c r="L643" t="s">
        <v>25</v>
      </c>
      <c r="M643">
        <v>51.45</v>
      </c>
      <c r="N643">
        <v>29995</v>
      </c>
      <c r="O643">
        <v>156074</v>
      </c>
      <c r="P643" t="s">
        <v>1843</v>
      </c>
      <c r="Q643" t="s">
        <v>27</v>
      </c>
      <c r="R643" t="s">
        <v>28</v>
      </c>
      <c r="S643" t="s">
        <v>29</v>
      </c>
      <c r="T643">
        <v>286.75</v>
      </c>
      <c r="U643">
        <f t="shared" si="140"/>
        <v>1359</v>
      </c>
      <c r="V643">
        <f t="shared" si="141"/>
        <v>500</v>
      </c>
      <c r="W643">
        <f t="shared" si="142"/>
        <v>430</v>
      </c>
      <c r="X643">
        <f t="shared" si="143"/>
        <v>0.35149999999999998</v>
      </c>
      <c r="Y643" s="1">
        <f t="shared" si="144"/>
        <v>69903065</v>
      </c>
      <c r="Z643">
        <f t="shared" si="145"/>
        <v>51437.133922001471</v>
      </c>
      <c r="AA643">
        <f t="shared" si="146"/>
        <v>99996</v>
      </c>
      <c r="AB643">
        <f t="shared" si="147"/>
        <v>5091</v>
      </c>
      <c r="AC643">
        <f t="shared" si="148"/>
        <v>1817172.1199999989</v>
      </c>
      <c r="AD643">
        <f t="shared" si="149"/>
        <v>1337.1391611479021</v>
      </c>
      <c r="AE643">
        <f t="shared" si="150"/>
        <v>0.35149999999999998</v>
      </c>
      <c r="AF643">
        <f t="shared" si="151"/>
        <v>1239083103.3699985</v>
      </c>
      <c r="AG643" t="str">
        <f t="shared" si="152"/>
        <v>Active</v>
      </c>
      <c r="AH643">
        <f t="shared" si="153"/>
        <v>3441</v>
      </c>
    </row>
    <row r="644" spans="1:34" x14ac:dyDescent="0.35">
      <c r="A644" t="s">
        <v>1844</v>
      </c>
      <c r="B644" t="s">
        <v>1845</v>
      </c>
      <c r="C644">
        <v>21</v>
      </c>
      <c r="D644" t="s">
        <v>22</v>
      </c>
      <c r="E644" t="s">
        <v>39</v>
      </c>
      <c r="F644" t="s">
        <v>59</v>
      </c>
      <c r="G644">
        <v>97020</v>
      </c>
      <c r="H644">
        <v>484</v>
      </c>
      <c r="I644">
        <v>13722</v>
      </c>
      <c r="J644">
        <v>16.71</v>
      </c>
      <c r="K644">
        <v>24</v>
      </c>
      <c r="L644" t="s">
        <v>40</v>
      </c>
      <c r="M644">
        <v>50.27</v>
      </c>
      <c r="N644">
        <v>74780</v>
      </c>
      <c r="O644">
        <v>145209</v>
      </c>
      <c r="P644" t="s">
        <v>1846</v>
      </c>
      <c r="Q644" t="s">
        <v>61</v>
      </c>
      <c r="R644" t="s">
        <v>28</v>
      </c>
      <c r="S644" t="s">
        <v>49</v>
      </c>
      <c r="T644">
        <v>667.29</v>
      </c>
      <c r="U644">
        <f t="shared" si="140"/>
        <v>1358</v>
      </c>
      <c r="V644">
        <f t="shared" si="141"/>
        <v>500</v>
      </c>
      <c r="W644">
        <f t="shared" si="142"/>
        <v>430</v>
      </c>
      <c r="X644">
        <f t="shared" si="143"/>
        <v>0.35149999999999998</v>
      </c>
      <c r="Y644" s="1">
        <f t="shared" si="144"/>
        <v>69894616</v>
      </c>
      <c r="Z644">
        <f t="shared" si="145"/>
        <v>51468.78939617084</v>
      </c>
      <c r="AA644">
        <f t="shared" si="146"/>
        <v>99996</v>
      </c>
      <c r="AB644">
        <f t="shared" si="147"/>
        <v>5091</v>
      </c>
      <c r="AC644">
        <f t="shared" si="148"/>
        <v>1816885.3699999989</v>
      </c>
      <c r="AD644">
        <f t="shared" si="149"/>
        <v>1337.9126435935191</v>
      </c>
      <c r="AE644">
        <f t="shared" si="150"/>
        <v>0.35149999999999998</v>
      </c>
      <c r="AF644">
        <f t="shared" si="151"/>
        <v>1237265931.2499983</v>
      </c>
      <c r="AG644" t="str">
        <f t="shared" si="152"/>
        <v>Active</v>
      </c>
      <c r="AH644">
        <f t="shared" si="153"/>
        <v>8007.48</v>
      </c>
    </row>
    <row r="645" spans="1:34" x14ac:dyDescent="0.35">
      <c r="A645" t="s">
        <v>1847</v>
      </c>
      <c r="B645" t="s">
        <v>1848</v>
      </c>
      <c r="C645">
        <v>54</v>
      </c>
      <c r="D645" t="s">
        <v>38</v>
      </c>
      <c r="E645" t="s">
        <v>39</v>
      </c>
      <c r="F645" t="s">
        <v>59</v>
      </c>
      <c r="G645">
        <v>127505</v>
      </c>
      <c r="H645">
        <v>406</v>
      </c>
      <c r="I645">
        <v>35628</v>
      </c>
      <c r="J645">
        <v>21.59</v>
      </c>
      <c r="K645">
        <v>48</v>
      </c>
      <c r="L645" t="s">
        <v>52</v>
      </c>
      <c r="M645">
        <v>47.59</v>
      </c>
      <c r="N645">
        <v>59458</v>
      </c>
      <c r="O645">
        <v>141962</v>
      </c>
      <c r="P645" t="s">
        <v>1849</v>
      </c>
      <c r="Q645" t="s">
        <v>61</v>
      </c>
      <c r="R645" t="s">
        <v>48</v>
      </c>
      <c r="S645" t="s">
        <v>43</v>
      </c>
      <c r="T645">
        <v>902.5</v>
      </c>
      <c r="U645">
        <f t="shared" si="140"/>
        <v>1357</v>
      </c>
      <c r="V645">
        <f t="shared" si="141"/>
        <v>500</v>
      </c>
      <c r="W645">
        <f t="shared" si="142"/>
        <v>429</v>
      </c>
      <c r="X645">
        <f t="shared" si="143"/>
        <v>0.35149999999999998</v>
      </c>
      <c r="Y645" s="1">
        <f t="shared" si="144"/>
        <v>69880894</v>
      </c>
      <c r="Z645">
        <f t="shared" si="145"/>
        <v>51496.605747973474</v>
      </c>
      <c r="AA645">
        <f t="shared" si="146"/>
        <v>99996</v>
      </c>
      <c r="AB645">
        <f t="shared" si="147"/>
        <v>5091</v>
      </c>
      <c r="AC645">
        <f t="shared" si="148"/>
        <v>1816218.0799999991</v>
      </c>
      <c r="AD645">
        <f t="shared" si="149"/>
        <v>1338.4068386145905</v>
      </c>
      <c r="AE645">
        <f t="shared" si="150"/>
        <v>0.35149999999999998</v>
      </c>
      <c r="AF645">
        <f t="shared" si="151"/>
        <v>1235449045.8799984</v>
      </c>
      <c r="AG645" t="str">
        <f t="shared" si="152"/>
        <v>Active</v>
      </c>
      <c r="AH645">
        <f t="shared" si="153"/>
        <v>10830</v>
      </c>
    </row>
    <row r="646" spans="1:34" x14ac:dyDescent="0.35">
      <c r="A646" t="s">
        <v>1850</v>
      </c>
      <c r="B646" t="s">
        <v>1851</v>
      </c>
      <c r="C646">
        <v>62</v>
      </c>
      <c r="D646" t="s">
        <v>38</v>
      </c>
      <c r="E646" t="s">
        <v>39</v>
      </c>
      <c r="F646" t="s">
        <v>59</v>
      </c>
      <c r="G646">
        <v>143306</v>
      </c>
      <c r="H646">
        <v>483</v>
      </c>
      <c r="I646">
        <v>49165</v>
      </c>
      <c r="J646">
        <v>21.94</v>
      </c>
      <c r="K646">
        <v>120</v>
      </c>
      <c r="L646" t="s">
        <v>86</v>
      </c>
      <c r="M646">
        <v>12.77</v>
      </c>
      <c r="N646">
        <v>5242</v>
      </c>
      <c r="O646">
        <v>146859</v>
      </c>
      <c r="P646" t="s">
        <v>1832</v>
      </c>
      <c r="Q646" t="s">
        <v>27</v>
      </c>
      <c r="R646" t="s">
        <v>28</v>
      </c>
      <c r="S646" t="s">
        <v>29</v>
      </c>
      <c r="T646">
        <v>499.6</v>
      </c>
      <c r="U646">
        <f t="shared" si="140"/>
        <v>1356</v>
      </c>
      <c r="V646">
        <f t="shared" si="141"/>
        <v>500</v>
      </c>
      <c r="W646">
        <f t="shared" si="142"/>
        <v>428</v>
      </c>
      <c r="X646">
        <f t="shared" si="143"/>
        <v>0.35149999999999998</v>
      </c>
      <c r="Y646" s="1">
        <f t="shared" si="144"/>
        <v>69845266</v>
      </c>
      <c r="Z646">
        <f t="shared" si="145"/>
        <v>51508.308259587022</v>
      </c>
      <c r="AA646">
        <f t="shared" si="146"/>
        <v>99996</v>
      </c>
      <c r="AB646">
        <f t="shared" si="147"/>
        <v>5091</v>
      </c>
      <c r="AC646">
        <f t="shared" si="148"/>
        <v>1815315.5799999989</v>
      </c>
      <c r="AD646">
        <f t="shared" si="149"/>
        <v>1338.7283038348075</v>
      </c>
      <c r="AE646">
        <f t="shared" si="150"/>
        <v>0.35149999999999998</v>
      </c>
      <c r="AF646">
        <f t="shared" si="151"/>
        <v>1233632827.7999985</v>
      </c>
      <c r="AG646" t="str">
        <f t="shared" si="152"/>
        <v>Active</v>
      </c>
      <c r="AH646">
        <f t="shared" si="153"/>
        <v>5995.2000000000007</v>
      </c>
    </row>
    <row r="647" spans="1:34" x14ac:dyDescent="0.35">
      <c r="A647" t="s">
        <v>1852</v>
      </c>
      <c r="B647" t="s">
        <v>1853</v>
      </c>
      <c r="C647">
        <v>21</v>
      </c>
      <c r="D647" t="s">
        <v>22</v>
      </c>
      <c r="E647" t="s">
        <v>39</v>
      </c>
      <c r="F647" t="s">
        <v>46</v>
      </c>
      <c r="G647">
        <v>159819</v>
      </c>
      <c r="H647">
        <v>431</v>
      </c>
      <c r="I647">
        <v>52284</v>
      </c>
      <c r="J647">
        <v>21.71</v>
      </c>
      <c r="K647">
        <v>120</v>
      </c>
      <c r="L647" t="s">
        <v>86</v>
      </c>
      <c r="M647">
        <v>38.21</v>
      </c>
      <c r="N647">
        <v>49994</v>
      </c>
      <c r="O647">
        <v>193671</v>
      </c>
      <c r="P647" t="s">
        <v>1854</v>
      </c>
      <c r="Q647" t="s">
        <v>42</v>
      </c>
      <c r="R647" t="s">
        <v>28</v>
      </c>
      <c r="S647" t="s">
        <v>68</v>
      </c>
      <c r="T647">
        <v>530.29</v>
      </c>
      <c r="U647">
        <f t="shared" si="140"/>
        <v>1355</v>
      </c>
      <c r="V647">
        <f t="shared" si="141"/>
        <v>500</v>
      </c>
      <c r="W647">
        <f t="shared" si="142"/>
        <v>428</v>
      </c>
      <c r="X647">
        <f t="shared" si="143"/>
        <v>0.35149999999999998</v>
      </c>
      <c r="Y647" s="1">
        <f t="shared" si="144"/>
        <v>69796101</v>
      </c>
      <c r="Z647">
        <f t="shared" si="145"/>
        <v>51510.037638376387</v>
      </c>
      <c r="AA647">
        <f t="shared" si="146"/>
        <v>99996</v>
      </c>
      <c r="AB647">
        <f t="shared" si="147"/>
        <v>5091</v>
      </c>
      <c r="AC647">
        <f t="shared" si="148"/>
        <v>1814815.9799999991</v>
      </c>
      <c r="AD647">
        <f t="shared" si="149"/>
        <v>1339.3475867158666</v>
      </c>
      <c r="AE647">
        <f t="shared" si="150"/>
        <v>0.35149999999999998</v>
      </c>
      <c r="AF647">
        <f t="shared" si="151"/>
        <v>1231817512.2199988</v>
      </c>
      <c r="AG647" t="str">
        <f t="shared" si="152"/>
        <v>Active</v>
      </c>
      <c r="AH647">
        <f t="shared" si="153"/>
        <v>6363.48</v>
      </c>
    </row>
    <row r="648" spans="1:34" x14ac:dyDescent="0.35">
      <c r="A648" t="s">
        <v>1855</v>
      </c>
      <c r="B648" t="s">
        <v>1856</v>
      </c>
      <c r="C648">
        <v>46</v>
      </c>
      <c r="D648" t="s">
        <v>22</v>
      </c>
      <c r="E648" t="s">
        <v>39</v>
      </c>
      <c r="F648" t="s">
        <v>59</v>
      </c>
      <c r="G648">
        <v>157190</v>
      </c>
      <c r="H648">
        <v>366</v>
      </c>
      <c r="I648">
        <v>48283</v>
      </c>
      <c r="J648">
        <v>7.98</v>
      </c>
      <c r="K648">
        <v>60</v>
      </c>
      <c r="L648" t="s">
        <v>40</v>
      </c>
      <c r="M648">
        <v>47.7</v>
      </c>
      <c r="N648">
        <v>6155</v>
      </c>
      <c r="O648">
        <v>165511</v>
      </c>
      <c r="P648" t="s">
        <v>1857</v>
      </c>
      <c r="Q648" t="s">
        <v>42</v>
      </c>
      <c r="R648" t="s">
        <v>48</v>
      </c>
      <c r="S648" t="s">
        <v>29</v>
      </c>
      <c r="T648">
        <v>868.93</v>
      </c>
      <c r="U648">
        <f t="shared" si="140"/>
        <v>1354</v>
      </c>
      <c r="V648">
        <f t="shared" si="141"/>
        <v>499</v>
      </c>
      <c r="W648">
        <f t="shared" si="142"/>
        <v>428</v>
      </c>
      <c r="X648">
        <f t="shared" si="143"/>
        <v>0.35149999999999998</v>
      </c>
      <c r="Y648" s="1">
        <f t="shared" si="144"/>
        <v>69743817</v>
      </c>
      <c r="Z648">
        <f t="shared" si="145"/>
        <v>51509.466026587885</v>
      </c>
      <c r="AA648">
        <f t="shared" si="146"/>
        <v>99996</v>
      </c>
      <c r="AB648">
        <f t="shared" si="147"/>
        <v>5091</v>
      </c>
      <c r="AC648">
        <f t="shared" si="148"/>
        <v>1814285.689999999</v>
      </c>
      <c r="AD648">
        <f t="shared" si="149"/>
        <v>1339.9451181683892</v>
      </c>
      <c r="AE648">
        <f t="shared" si="150"/>
        <v>0.35149999999999998</v>
      </c>
      <c r="AF648">
        <f t="shared" si="151"/>
        <v>1230002696.2399988</v>
      </c>
      <c r="AG648" t="str">
        <f t="shared" si="152"/>
        <v>Active</v>
      </c>
      <c r="AH648">
        <f t="shared" si="153"/>
        <v>10427.16</v>
      </c>
    </row>
    <row r="649" spans="1:34" x14ac:dyDescent="0.35">
      <c r="A649" t="s">
        <v>1858</v>
      </c>
      <c r="B649" t="s">
        <v>1859</v>
      </c>
      <c r="C649">
        <v>61</v>
      </c>
      <c r="D649" t="s">
        <v>38</v>
      </c>
      <c r="E649" t="s">
        <v>39</v>
      </c>
      <c r="F649" t="s">
        <v>46</v>
      </c>
      <c r="G649">
        <v>112650</v>
      </c>
      <c r="H649">
        <v>786</v>
      </c>
      <c r="I649">
        <v>41039</v>
      </c>
      <c r="J649">
        <v>21.37</v>
      </c>
      <c r="K649">
        <v>180</v>
      </c>
      <c r="L649" t="s">
        <v>33</v>
      </c>
      <c r="M649">
        <v>56.48</v>
      </c>
      <c r="N649">
        <v>26097</v>
      </c>
      <c r="O649">
        <v>200714</v>
      </c>
      <c r="P649" t="s">
        <v>1344</v>
      </c>
      <c r="Q649" t="s">
        <v>61</v>
      </c>
      <c r="R649" t="s">
        <v>48</v>
      </c>
      <c r="S649" t="s">
        <v>35</v>
      </c>
      <c r="T649">
        <v>276.72000000000003</v>
      </c>
      <c r="U649">
        <f t="shared" si="140"/>
        <v>1353</v>
      </c>
      <c r="V649">
        <f t="shared" si="141"/>
        <v>498</v>
      </c>
      <c r="W649">
        <f t="shared" si="142"/>
        <v>428</v>
      </c>
      <c r="X649">
        <f t="shared" si="143"/>
        <v>0.35149999999999998</v>
      </c>
      <c r="Y649" s="1">
        <f t="shared" si="144"/>
        <v>69695534</v>
      </c>
      <c r="Z649">
        <f t="shared" si="145"/>
        <v>51511.850702143383</v>
      </c>
      <c r="AA649">
        <f t="shared" si="146"/>
        <v>99996</v>
      </c>
      <c r="AB649">
        <f t="shared" si="147"/>
        <v>5091</v>
      </c>
      <c r="AC649">
        <f t="shared" si="148"/>
        <v>1813416.7599999988</v>
      </c>
      <c r="AD649">
        <f t="shared" si="149"/>
        <v>1340.2932446415364</v>
      </c>
      <c r="AE649">
        <f t="shared" si="150"/>
        <v>0.35149999999999998</v>
      </c>
      <c r="AF649">
        <f t="shared" si="151"/>
        <v>1228188410.5499988</v>
      </c>
      <c r="AG649" t="str">
        <f t="shared" si="152"/>
        <v>Active</v>
      </c>
      <c r="AH649">
        <f t="shared" si="153"/>
        <v>3320.6400000000003</v>
      </c>
    </row>
    <row r="650" spans="1:34" x14ac:dyDescent="0.35">
      <c r="A650" t="s">
        <v>1860</v>
      </c>
      <c r="B650" t="s">
        <v>1861</v>
      </c>
      <c r="C650">
        <v>28</v>
      </c>
      <c r="D650" t="s">
        <v>22</v>
      </c>
      <c r="E650" t="s">
        <v>32</v>
      </c>
      <c r="F650" t="s">
        <v>24</v>
      </c>
      <c r="G650">
        <v>128151</v>
      </c>
      <c r="H650">
        <v>822</v>
      </c>
      <c r="I650">
        <v>39041</v>
      </c>
      <c r="J650">
        <v>23.47</v>
      </c>
      <c r="K650">
        <v>36</v>
      </c>
      <c r="L650" t="s">
        <v>52</v>
      </c>
      <c r="M650">
        <v>32.270000000000003</v>
      </c>
      <c r="N650">
        <v>11971</v>
      </c>
      <c r="O650">
        <v>133789</v>
      </c>
      <c r="P650" t="s">
        <v>1862</v>
      </c>
      <c r="Q650" t="s">
        <v>27</v>
      </c>
      <c r="R650" t="s">
        <v>48</v>
      </c>
      <c r="S650" t="s">
        <v>43</v>
      </c>
      <c r="T650">
        <v>1339</v>
      </c>
      <c r="U650">
        <f t="shared" si="140"/>
        <v>1352</v>
      </c>
      <c r="V650">
        <f t="shared" si="141"/>
        <v>498</v>
      </c>
      <c r="W650">
        <f t="shared" si="142"/>
        <v>427</v>
      </c>
      <c r="X650">
        <f t="shared" si="143"/>
        <v>0.35149999999999998</v>
      </c>
      <c r="Y650" s="1">
        <f t="shared" si="144"/>
        <v>69654495</v>
      </c>
      <c r="Z650">
        <f t="shared" si="145"/>
        <v>51519.596893491122</v>
      </c>
      <c r="AA650">
        <f t="shared" si="146"/>
        <v>99996</v>
      </c>
      <c r="AB650">
        <f t="shared" si="147"/>
        <v>5091</v>
      </c>
      <c r="AC650">
        <f t="shared" si="148"/>
        <v>1813140.0399999989</v>
      </c>
      <c r="AD650">
        <f t="shared" si="149"/>
        <v>1341.0799112426027</v>
      </c>
      <c r="AE650">
        <f t="shared" si="150"/>
        <v>0.35149999999999998</v>
      </c>
      <c r="AF650">
        <f t="shared" si="151"/>
        <v>1226374993.7899988</v>
      </c>
      <c r="AG650" t="str">
        <f t="shared" si="152"/>
        <v>Active</v>
      </c>
      <c r="AH650">
        <f t="shared" si="153"/>
        <v>16068</v>
      </c>
    </row>
    <row r="651" spans="1:34" x14ac:dyDescent="0.35">
      <c r="A651" t="s">
        <v>1863</v>
      </c>
      <c r="B651" t="s">
        <v>1864</v>
      </c>
      <c r="C651">
        <v>41</v>
      </c>
      <c r="D651" t="s">
        <v>22</v>
      </c>
      <c r="E651" t="s">
        <v>39</v>
      </c>
      <c r="F651" t="s">
        <v>46</v>
      </c>
      <c r="G651">
        <v>151037</v>
      </c>
      <c r="H651">
        <v>416</v>
      </c>
      <c r="I651">
        <v>33235</v>
      </c>
      <c r="J651">
        <v>21.1</v>
      </c>
      <c r="K651">
        <v>360</v>
      </c>
      <c r="L651" t="s">
        <v>25</v>
      </c>
      <c r="M651">
        <v>34.11</v>
      </c>
      <c r="N651">
        <v>44916</v>
      </c>
      <c r="O651">
        <v>56522</v>
      </c>
      <c r="P651" t="s">
        <v>1865</v>
      </c>
      <c r="Q651" t="s">
        <v>61</v>
      </c>
      <c r="R651" t="s">
        <v>48</v>
      </c>
      <c r="S651" t="s">
        <v>35</v>
      </c>
      <c r="T651">
        <v>111.8</v>
      </c>
      <c r="U651">
        <f t="shared" si="140"/>
        <v>1351</v>
      </c>
      <c r="V651">
        <f t="shared" si="141"/>
        <v>498</v>
      </c>
      <c r="W651">
        <f t="shared" si="142"/>
        <v>427</v>
      </c>
      <c r="X651">
        <f t="shared" si="143"/>
        <v>0.35149999999999998</v>
      </c>
      <c r="Y651" s="1">
        <f t="shared" si="144"/>
        <v>69615454</v>
      </c>
      <c r="Z651">
        <f t="shared" si="145"/>
        <v>51528.83345669874</v>
      </c>
      <c r="AA651">
        <f t="shared" si="146"/>
        <v>99996</v>
      </c>
      <c r="AB651">
        <f t="shared" si="147"/>
        <v>5091</v>
      </c>
      <c r="AC651">
        <f t="shared" si="148"/>
        <v>1811801.0399999989</v>
      </c>
      <c r="AD651">
        <f t="shared" si="149"/>
        <v>1341.0814507772013</v>
      </c>
      <c r="AE651">
        <f t="shared" si="150"/>
        <v>0.35149999999999998</v>
      </c>
      <c r="AF651">
        <f t="shared" si="151"/>
        <v>1224561853.7499988</v>
      </c>
      <c r="AG651" t="str">
        <f t="shared" si="152"/>
        <v>Active</v>
      </c>
      <c r="AH651">
        <f t="shared" si="153"/>
        <v>1341.6</v>
      </c>
    </row>
    <row r="652" spans="1:34" x14ac:dyDescent="0.35">
      <c r="A652" t="s">
        <v>1866</v>
      </c>
      <c r="B652" t="s">
        <v>1867</v>
      </c>
      <c r="C652">
        <v>58</v>
      </c>
      <c r="D652" t="s">
        <v>38</v>
      </c>
      <c r="E652" t="s">
        <v>32</v>
      </c>
      <c r="F652" t="s">
        <v>59</v>
      </c>
      <c r="G652">
        <v>132556</v>
      </c>
      <c r="H652">
        <v>332</v>
      </c>
      <c r="I652">
        <v>59939</v>
      </c>
      <c r="J652">
        <v>17.989999999999998</v>
      </c>
      <c r="K652">
        <v>120</v>
      </c>
      <c r="L652" t="s">
        <v>40</v>
      </c>
      <c r="M652">
        <v>11.84</v>
      </c>
      <c r="N652">
        <v>41535</v>
      </c>
      <c r="O652">
        <v>186053</v>
      </c>
      <c r="P652" t="s">
        <v>629</v>
      </c>
      <c r="Q652" t="s">
        <v>27</v>
      </c>
      <c r="R652" t="s">
        <v>28</v>
      </c>
      <c r="S652" t="s">
        <v>68</v>
      </c>
      <c r="T652">
        <v>589.35</v>
      </c>
      <c r="U652">
        <f t="shared" si="140"/>
        <v>1350</v>
      </c>
      <c r="V652">
        <f t="shared" si="141"/>
        <v>498</v>
      </c>
      <c r="W652">
        <f t="shared" si="142"/>
        <v>426</v>
      </c>
      <c r="X652">
        <f t="shared" si="143"/>
        <v>0.35149999999999998</v>
      </c>
      <c r="Y652" s="1">
        <f t="shared" si="144"/>
        <v>69582219</v>
      </c>
      <c r="Z652">
        <f t="shared" si="145"/>
        <v>51542.384444444448</v>
      </c>
      <c r="AA652">
        <f t="shared" si="146"/>
        <v>99996</v>
      </c>
      <c r="AB652">
        <f t="shared" si="147"/>
        <v>5091</v>
      </c>
      <c r="AC652">
        <f t="shared" si="148"/>
        <v>1811689.2399999988</v>
      </c>
      <c r="AD652">
        <f t="shared" si="149"/>
        <v>1341.9920296296289</v>
      </c>
      <c r="AE652">
        <f t="shared" si="150"/>
        <v>0.35149999999999998</v>
      </c>
      <c r="AF652">
        <f t="shared" si="151"/>
        <v>1222750052.7099988</v>
      </c>
      <c r="AG652" t="str">
        <f t="shared" si="152"/>
        <v>Active</v>
      </c>
      <c r="AH652">
        <f t="shared" si="153"/>
        <v>7072.2000000000007</v>
      </c>
    </row>
    <row r="653" spans="1:34" x14ac:dyDescent="0.35">
      <c r="A653" t="s">
        <v>1868</v>
      </c>
      <c r="B653" t="s">
        <v>1869</v>
      </c>
      <c r="C653">
        <v>46</v>
      </c>
      <c r="D653" t="s">
        <v>22</v>
      </c>
      <c r="E653" t="s">
        <v>39</v>
      </c>
      <c r="F653" t="s">
        <v>59</v>
      </c>
      <c r="G653">
        <v>155427</v>
      </c>
      <c r="H653">
        <v>574</v>
      </c>
      <c r="I653">
        <v>10058</v>
      </c>
      <c r="J653">
        <v>15.64</v>
      </c>
      <c r="K653">
        <v>60</v>
      </c>
      <c r="L653" t="s">
        <v>33</v>
      </c>
      <c r="M653">
        <v>20.079999999999998</v>
      </c>
      <c r="N653">
        <v>11704</v>
      </c>
      <c r="O653">
        <v>68979</v>
      </c>
      <c r="P653" t="s">
        <v>1788</v>
      </c>
      <c r="Q653" t="s">
        <v>42</v>
      </c>
      <c r="R653" t="s">
        <v>28</v>
      </c>
      <c r="S653" t="s">
        <v>49</v>
      </c>
      <c r="T653">
        <v>193.85</v>
      </c>
      <c r="U653">
        <f t="shared" si="140"/>
        <v>1349</v>
      </c>
      <c r="V653">
        <f t="shared" si="141"/>
        <v>498</v>
      </c>
      <c r="W653">
        <f t="shared" si="142"/>
        <v>426</v>
      </c>
      <c r="X653">
        <f t="shared" si="143"/>
        <v>0.35149999999999998</v>
      </c>
      <c r="Y653" s="1">
        <f t="shared" si="144"/>
        <v>69522280</v>
      </c>
      <c r="Z653">
        <f t="shared" si="145"/>
        <v>51536.160118606378</v>
      </c>
      <c r="AA653">
        <f t="shared" si="146"/>
        <v>99996</v>
      </c>
      <c r="AB653">
        <f t="shared" si="147"/>
        <v>5091</v>
      </c>
      <c r="AC653">
        <f t="shared" si="148"/>
        <v>1811099.889999999</v>
      </c>
      <c r="AD653">
        <f t="shared" si="149"/>
        <v>1342.5499555226086</v>
      </c>
      <c r="AE653">
        <f t="shared" si="150"/>
        <v>0.35149999999999998</v>
      </c>
      <c r="AF653">
        <f t="shared" si="151"/>
        <v>1220938363.4699988</v>
      </c>
      <c r="AG653" t="str">
        <f t="shared" si="152"/>
        <v>Active</v>
      </c>
      <c r="AH653">
        <f t="shared" si="153"/>
        <v>2326.1999999999998</v>
      </c>
    </row>
    <row r="654" spans="1:34" x14ac:dyDescent="0.35">
      <c r="A654" t="s">
        <v>1870</v>
      </c>
      <c r="B654" t="s">
        <v>1871</v>
      </c>
      <c r="C654">
        <v>46</v>
      </c>
      <c r="D654" t="s">
        <v>38</v>
      </c>
      <c r="E654" t="s">
        <v>39</v>
      </c>
      <c r="F654" t="s">
        <v>46</v>
      </c>
      <c r="G654">
        <v>39368</v>
      </c>
      <c r="H654">
        <v>461</v>
      </c>
      <c r="I654">
        <v>75843</v>
      </c>
      <c r="J654">
        <v>21.56</v>
      </c>
      <c r="K654">
        <v>48</v>
      </c>
      <c r="L654" t="s">
        <v>33</v>
      </c>
      <c r="M654">
        <v>55.09</v>
      </c>
      <c r="N654">
        <v>56705</v>
      </c>
      <c r="O654">
        <v>189680</v>
      </c>
      <c r="P654" t="s">
        <v>1540</v>
      </c>
      <c r="Q654" t="s">
        <v>42</v>
      </c>
      <c r="R654" t="s">
        <v>28</v>
      </c>
      <c r="S654" t="s">
        <v>29</v>
      </c>
      <c r="T654">
        <v>1920.72</v>
      </c>
      <c r="U654">
        <f t="shared" si="140"/>
        <v>1348</v>
      </c>
      <c r="V654">
        <f t="shared" si="141"/>
        <v>497</v>
      </c>
      <c r="W654">
        <f t="shared" si="142"/>
        <v>426</v>
      </c>
      <c r="X654">
        <f t="shared" si="143"/>
        <v>0.35149999999999998</v>
      </c>
      <c r="Y654" s="1">
        <f t="shared" si="144"/>
        <v>69512222</v>
      </c>
      <c r="Z654">
        <f t="shared" si="145"/>
        <v>51566.930267062315</v>
      </c>
      <c r="AA654">
        <f t="shared" si="146"/>
        <v>99996</v>
      </c>
      <c r="AB654">
        <f t="shared" si="147"/>
        <v>5091</v>
      </c>
      <c r="AC654">
        <f t="shared" si="148"/>
        <v>1810906.0399999989</v>
      </c>
      <c r="AD654">
        <f t="shared" si="149"/>
        <v>1343.4021068249249</v>
      </c>
      <c r="AE654">
        <f t="shared" si="150"/>
        <v>0.35149999999999998</v>
      </c>
      <c r="AF654">
        <f t="shared" si="151"/>
        <v>1219127263.579999</v>
      </c>
      <c r="AG654" t="str">
        <f t="shared" si="152"/>
        <v>Active</v>
      </c>
      <c r="AH654">
        <f t="shared" si="153"/>
        <v>23048.639999999999</v>
      </c>
    </row>
    <row r="655" spans="1:34" x14ac:dyDescent="0.35">
      <c r="A655" t="s">
        <v>1872</v>
      </c>
      <c r="B655" t="s">
        <v>1873</v>
      </c>
      <c r="C655">
        <v>29</v>
      </c>
      <c r="D655" t="s">
        <v>22</v>
      </c>
      <c r="E655" t="s">
        <v>23</v>
      </c>
      <c r="F655" t="s">
        <v>46</v>
      </c>
      <c r="G655">
        <v>154358</v>
      </c>
      <c r="H655">
        <v>429</v>
      </c>
      <c r="I655">
        <v>35249</v>
      </c>
      <c r="J655">
        <v>19.38</v>
      </c>
      <c r="K655">
        <v>12</v>
      </c>
      <c r="L655" t="s">
        <v>33</v>
      </c>
      <c r="M655">
        <v>37.69</v>
      </c>
      <c r="N655">
        <v>4031</v>
      </c>
      <c r="O655">
        <v>102270</v>
      </c>
      <c r="P655" t="s">
        <v>1106</v>
      </c>
      <c r="Q655" t="s">
        <v>27</v>
      </c>
      <c r="R655" t="s">
        <v>28</v>
      </c>
      <c r="S655" t="s">
        <v>49</v>
      </c>
      <c r="T655">
        <v>3506.69</v>
      </c>
      <c r="U655">
        <f t="shared" si="140"/>
        <v>1347</v>
      </c>
      <c r="V655">
        <f t="shared" si="141"/>
        <v>496</v>
      </c>
      <c r="W655">
        <f t="shared" si="142"/>
        <v>426</v>
      </c>
      <c r="X655">
        <f t="shared" si="143"/>
        <v>0.35149999999999998</v>
      </c>
      <c r="Y655" s="1">
        <f t="shared" si="144"/>
        <v>69436379</v>
      </c>
      <c r="Z655">
        <f t="shared" si="145"/>
        <v>51548.907943578321</v>
      </c>
      <c r="AA655">
        <f t="shared" si="146"/>
        <v>99996</v>
      </c>
      <c r="AB655">
        <f t="shared" si="147"/>
        <v>5091</v>
      </c>
      <c r="AC655">
        <f t="shared" si="148"/>
        <v>1808985.3199999989</v>
      </c>
      <c r="AD655">
        <f t="shared" si="149"/>
        <v>1342.9735115070519</v>
      </c>
      <c r="AE655">
        <f t="shared" si="150"/>
        <v>0.35149999999999998</v>
      </c>
      <c r="AF655">
        <f t="shared" si="151"/>
        <v>1217316357.5399992</v>
      </c>
      <c r="AG655" t="str">
        <f t="shared" si="152"/>
        <v>Active</v>
      </c>
      <c r="AH655">
        <f t="shared" si="153"/>
        <v>42080.28</v>
      </c>
    </row>
    <row r="656" spans="1:34" x14ac:dyDescent="0.35">
      <c r="A656" t="s">
        <v>1874</v>
      </c>
      <c r="B656" t="s">
        <v>1875</v>
      </c>
      <c r="C656">
        <v>52</v>
      </c>
      <c r="D656" t="s">
        <v>38</v>
      </c>
      <c r="E656" t="s">
        <v>39</v>
      </c>
      <c r="F656" t="s">
        <v>24</v>
      </c>
      <c r="G656">
        <v>30570</v>
      </c>
      <c r="H656">
        <v>651</v>
      </c>
      <c r="I656">
        <v>47738</v>
      </c>
      <c r="J656">
        <v>17.03</v>
      </c>
      <c r="K656">
        <v>360</v>
      </c>
      <c r="L656" t="s">
        <v>40</v>
      </c>
      <c r="M656">
        <v>14.09</v>
      </c>
      <c r="N656">
        <v>22454</v>
      </c>
      <c r="O656">
        <v>106822</v>
      </c>
      <c r="P656" t="s">
        <v>1607</v>
      </c>
      <c r="Q656" t="s">
        <v>42</v>
      </c>
      <c r="R656" t="s">
        <v>28</v>
      </c>
      <c r="S656" t="s">
        <v>29</v>
      </c>
      <c r="T656">
        <v>155.19</v>
      </c>
      <c r="U656">
        <f t="shared" si="140"/>
        <v>1346</v>
      </c>
      <c r="V656">
        <f t="shared" si="141"/>
        <v>496</v>
      </c>
      <c r="W656">
        <f t="shared" si="142"/>
        <v>426</v>
      </c>
      <c r="X656">
        <f t="shared" si="143"/>
        <v>0.35149999999999998</v>
      </c>
      <c r="Y656" s="1">
        <f t="shared" si="144"/>
        <v>69401130</v>
      </c>
      <c r="Z656">
        <f t="shared" si="145"/>
        <v>51561.017830609213</v>
      </c>
      <c r="AA656">
        <f t="shared" si="146"/>
        <v>99996</v>
      </c>
      <c r="AB656">
        <f t="shared" si="147"/>
        <v>5091</v>
      </c>
      <c r="AC656">
        <f t="shared" si="148"/>
        <v>1805478.629999999</v>
      </c>
      <c r="AD656">
        <f t="shared" si="149"/>
        <v>1341.3659955423468</v>
      </c>
      <c r="AE656">
        <f t="shared" si="150"/>
        <v>0.35149999999999998</v>
      </c>
      <c r="AF656">
        <f t="shared" si="151"/>
        <v>1215507372.2199988</v>
      </c>
      <c r="AG656" t="str">
        <f t="shared" si="152"/>
        <v>Over Paid</v>
      </c>
      <c r="AH656">
        <f t="shared" si="153"/>
        <v>1862.28</v>
      </c>
    </row>
    <row r="657" spans="1:34" x14ac:dyDescent="0.35">
      <c r="A657" t="s">
        <v>1876</v>
      </c>
      <c r="B657" t="s">
        <v>1877</v>
      </c>
      <c r="C657">
        <v>59</v>
      </c>
      <c r="D657" t="s">
        <v>38</v>
      </c>
      <c r="E657" t="s">
        <v>39</v>
      </c>
      <c r="F657" t="s">
        <v>24</v>
      </c>
      <c r="G657">
        <v>36669</v>
      </c>
      <c r="H657">
        <v>623</v>
      </c>
      <c r="I657">
        <v>81239</v>
      </c>
      <c r="J657">
        <v>12.78</v>
      </c>
      <c r="K657">
        <v>48</v>
      </c>
      <c r="L657" t="s">
        <v>86</v>
      </c>
      <c r="M657">
        <v>30.91</v>
      </c>
      <c r="N657">
        <v>59309</v>
      </c>
      <c r="O657">
        <v>53098</v>
      </c>
      <c r="P657" t="s">
        <v>1878</v>
      </c>
      <c r="Q657" t="s">
        <v>61</v>
      </c>
      <c r="R657" t="s">
        <v>48</v>
      </c>
      <c r="S657" t="s">
        <v>35</v>
      </c>
      <c r="T657">
        <v>1908.78</v>
      </c>
      <c r="U657">
        <f t="shared" si="140"/>
        <v>1345</v>
      </c>
      <c r="V657">
        <f t="shared" si="141"/>
        <v>495</v>
      </c>
      <c r="W657">
        <f t="shared" si="142"/>
        <v>426</v>
      </c>
      <c r="X657">
        <f t="shared" si="143"/>
        <v>0.35149999999999998</v>
      </c>
      <c r="Y657" s="1">
        <f t="shared" si="144"/>
        <v>69353392</v>
      </c>
      <c r="Z657">
        <f t="shared" si="145"/>
        <v>51563.86022304833</v>
      </c>
      <c r="AA657">
        <f t="shared" si="146"/>
        <v>99996</v>
      </c>
      <c r="AB657">
        <f t="shared" si="147"/>
        <v>5091</v>
      </c>
      <c r="AC657">
        <f t="shared" si="148"/>
        <v>1805323.4399999988</v>
      </c>
      <c r="AD657">
        <f t="shared" si="149"/>
        <v>1342.2479107806682</v>
      </c>
      <c r="AE657">
        <f t="shared" si="150"/>
        <v>0.35149999999999998</v>
      </c>
      <c r="AF657">
        <f t="shared" si="151"/>
        <v>1213701893.5899985</v>
      </c>
      <c r="AG657" t="str">
        <f t="shared" si="152"/>
        <v>Active</v>
      </c>
      <c r="AH657">
        <f t="shared" si="153"/>
        <v>22905.360000000001</v>
      </c>
    </row>
    <row r="658" spans="1:34" x14ac:dyDescent="0.35">
      <c r="A658" t="s">
        <v>1879</v>
      </c>
      <c r="B658" t="s">
        <v>1880</v>
      </c>
      <c r="C658">
        <v>38</v>
      </c>
      <c r="D658" t="s">
        <v>38</v>
      </c>
      <c r="E658" t="s">
        <v>23</v>
      </c>
      <c r="F658" t="s">
        <v>24</v>
      </c>
      <c r="G658">
        <v>148374</v>
      </c>
      <c r="H658">
        <v>463</v>
      </c>
      <c r="I658">
        <v>5381</v>
      </c>
      <c r="J658">
        <v>16.93</v>
      </c>
      <c r="K658">
        <v>12</v>
      </c>
      <c r="L658" t="s">
        <v>86</v>
      </c>
      <c r="M658">
        <v>19.899999999999999</v>
      </c>
      <c r="N658">
        <v>79691</v>
      </c>
      <c r="O658">
        <v>183517</v>
      </c>
      <c r="P658" t="s">
        <v>1272</v>
      </c>
      <c r="Q658" t="s">
        <v>61</v>
      </c>
      <c r="R658" t="s">
        <v>48</v>
      </c>
      <c r="S658" t="s">
        <v>49</v>
      </c>
      <c r="T658">
        <v>524.33000000000004</v>
      </c>
      <c r="U658">
        <f t="shared" si="140"/>
        <v>1344</v>
      </c>
      <c r="V658">
        <f t="shared" si="141"/>
        <v>495</v>
      </c>
      <c r="W658">
        <f t="shared" si="142"/>
        <v>425</v>
      </c>
      <c r="X658">
        <f t="shared" si="143"/>
        <v>0.35149999999999998</v>
      </c>
      <c r="Y658" s="1">
        <f t="shared" si="144"/>
        <v>69272153</v>
      </c>
      <c r="Z658">
        <f t="shared" si="145"/>
        <v>51541.780505952382</v>
      </c>
      <c r="AA658">
        <f t="shared" si="146"/>
        <v>99996</v>
      </c>
      <c r="AB658">
        <f t="shared" si="147"/>
        <v>5091</v>
      </c>
      <c r="AC658">
        <f t="shared" si="148"/>
        <v>1803414.6599999988</v>
      </c>
      <c r="AD658">
        <f t="shared" si="149"/>
        <v>1341.8263839285705</v>
      </c>
      <c r="AE658">
        <f t="shared" si="150"/>
        <v>0.35149999999999998</v>
      </c>
      <c r="AF658">
        <f t="shared" si="151"/>
        <v>1211896570.1499987</v>
      </c>
      <c r="AG658" t="str">
        <f t="shared" si="152"/>
        <v>Active</v>
      </c>
      <c r="AH658">
        <f t="shared" si="153"/>
        <v>6291.9600000000009</v>
      </c>
    </row>
    <row r="659" spans="1:34" x14ac:dyDescent="0.35">
      <c r="A659" t="s">
        <v>1881</v>
      </c>
      <c r="B659" t="s">
        <v>1882</v>
      </c>
      <c r="C659">
        <v>29</v>
      </c>
      <c r="D659" t="s">
        <v>22</v>
      </c>
      <c r="E659" t="s">
        <v>39</v>
      </c>
      <c r="F659" t="s">
        <v>24</v>
      </c>
      <c r="G659">
        <v>137275</v>
      </c>
      <c r="H659">
        <v>545</v>
      </c>
      <c r="I659">
        <v>37763</v>
      </c>
      <c r="J659">
        <v>14.64</v>
      </c>
      <c r="K659">
        <v>180</v>
      </c>
      <c r="L659" t="s">
        <v>33</v>
      </c>
      <c r="M659">
        <v>10.49</v>
      </c>
      <c r="N659">
        <v>32139</v>
      </c>
      <c r="O659">
        <v>122571</v>
      </c>
      <c r="P659" t="s">
        <v>1883</v>
      </c>
      <c r="Q659" t="s">
        <v>42</v>
      </c>
      <c r="R659" t="s">
        <v>48</v>
      </c>
      <c r="S659" t="s">
        <v>35</v>
      </c>
      <c r="T659">
        <v>240.51</v>
      </c>
      <c r="U659">
        <f t="shared" si="140"/>
        <v>1343</v>
      </c>
      <c r="V659">
        <f t="shared" si="141"/>
        <v>495</v>
      </c>
      <c r="W659">
        <f t="shared" si="142"/>
        <v>424</v>
      </c>
      <c r="X659">
        <f t="shared" si="143"/>
        <v>0.35149999999999998</v>
      </c>
      <c r="Y659" s="1">
        <f t="shared" si="144"/>
        <v>69266772</v>
      </c>
      <c r="Z659">
        <f t="shared" si="145"/>
        <v>51576.151898734177</v>
      </c>
      <c r="AA659">
        <f t="shared" si="146"/>
        <v>99996</v>
      </c>
      <c r="AB659">
        <f t="shared" si="147"/>
        <v>5091</v>
      </c>
      <c r="AC659">
        <f t="shared" si="148"/>
        <v>1802890.3299999987</v>
      </c>
      <c r="AD659">
        <f t="shared" si="149"/>
        <v>1342.4350930752037</v>
      </c>
      <c r="AE659">
        <f t="shared" si="150"/>
        <v>0.35149999999999998</v>
      </c>
      <c r="AF659">
        <f t="shared" si="151"/>
        <v>1210093155.4899986</v>
      </c>
      <c r="AG659" t="str">
        <f t="shared" si="152"/>
        <v>Over Paid</v>
      </c>
      <c r="AH659">
        <f t="shared" si="153"/>
        <v>2886.12</v>
      </c>
    </row>
    <row r="660" spans="1:34" x14ac:dyDescent="0.35">
      <c r="A660" t="s">
        <v>1884</v>
      </c>
      <c r="B660" t="s">
        <v>1885</v>
      </c>
      <c r="C660">
        <v>28</v>
      </c>
      <c r="D660" t="s">
        <v>38</v>
      </c>
      <c r="E660" t="s">
        <v>23</v>
      </c>
      <c r="F660" t="s">
        <v>24</v>
      </c>
      <c r="G660">
        <v>21878</v>
      </c>
      <c r="H660">
        <v>796</v>
      </c>
      <c r="I660">
        <v>67280</v>
      </c>
      <c r="J660">
        <v>20.67</v>
      </c>
      <c r="K660">
        <v>12</v>
      </c>
      <c r="L660" t="s">
        <v>52</v>
      </c>
      <c r="M660">
        <v>20.66</v>
      </c>
      <c r="N660">
        <v>54585</v>
      </c>
      <c r="O660">
        <v>3080</v>
      </c>
      <c r="P660" t="s">
        <v>556</v>
      </c>
      <c r="Q660" t="s">
        <v>61</v>
      </c>
      <c r="R660" t="s">
        <v>28</v>
      </c>
      <c r="S660" t="s">
        <v>68</v>
      </c>
      <c r="T660">
        <v>6765.56</v>
      </c>
      <c r="U660">
        <f t="shared" si="140"/>
        <v>1342</v>
      </c>
      <c r="V660">
        <f t="shared" si="141"/>
        <v>494</v>
      </c>
      <c r="W660">
        <f t="shared" si="142"/>
        <v>424</v>
      </c>
      <c r="X660">
        <f t="shared" si="143"/>
        <v>0.35149999999999998</v>
      </c>
      <c r="Y660" s="1">
        <f t="shared" si="144"/>
        <v>69229009</v>
      </c>
      <c r="Z660">
        <f t="shared" si="145"/>
        <v>51586.444858420269</v>
      </c>
      <c r="AA660">
        <f t="shared" si="146"/>
        <v>99996</v>
      </c>
      <c r="AB660">
        <f t="shared" si="147"/>
        <v>5091</v>
      </c>
      <c r="AC660">
        <f t="shared" si="148"/>
        <v>1802649.8199999987</v>
      </c>
      <c r="AD660">
        <f t="shared" si="149"/>
        <v>1343.2561997019363</v>
      </c>
      <c r="AE660">
        <f t="shared" si="150"/>
        <v>0.35149999999999998</v>
      </c>
      <c r="AF660">
        <f t="shared" si="151"/>
        <v>1208290265.1599984</v>
      </c>
      <c r="AG660" t="str">
        <f t="shared" si="152"/>
        <v>Active</v>
      </c>
      <c r="AH660">
        <f t="shared" si="153"/>
        <v>81186.720000000001</v>
      </c>
    </row>
    <row r="661" spans="1:34" x14ac:dyDescent="0.35">
      <c r="A661" t="s">
        <v>1886</v>
      </c>
      <c r="B661" t="s">
        <v>1887</v>
      </c>
      <c r="C661">
        <v>45</v>
      </c>
      <c r="D661" t="s">
        <v>22</v>
      </c>
      <c r="E661" t="s">
        <v>32</v>
      </c>
      <c r="F661" t="s">
        <v>24</v>
      </c>
      <c r="G661">
        <v>57813</v>
      </c>
      <c r="H661">
        <v>500</v>
      </c>
      <c r="I661">
        <v>6817</v>
      </c>
      <c r="J661">
        <v>15.61</v>
      </c>
      <c r="K661">
        <v>120</v>
      </c>
      <c r="L661" t="s">
        <v>25</v>
      </c>
      <c r="M661">
        <v>25.76</v>
      </c>
      <c r="N661">
        <v>40197</v>
      </c>
      <c r="O661">
        <v>206877</v>
      </c>
      <c r="P661" t="s">
        <v>1489</v>
      </c>
      <c r="Q661" t="s">
        <v>61</v>
      </c>
      <c r="R661" t="s">
        <v>48</v>
      </c>
      <c r="S661" t="s">
        <v>43</v>
      </c>
      <c r="T661">
        <v>65.680000000000007</v>
      </c>
      <c r="U661">
        <f t="shared" si="140"/>
        <v>1341</v>
      </c>
      <c r="V661">
        <f t="shared" si="141"/>
        <v>494</v>
      </c>
      <c r="W661">
        <f t="shared" si="142"/>
        <v>423</v>
      </c>
      <c r="X661">
        <f t="shared" si="143"/>
        <v>0.35149999999999998</v>
      </c>
      <c r="Y661" s="1">
        <f t="shared" si="144"/>
        <v>69161729</v>
      </c>
      <c r="Z661">
        <f t="shared" si="145"/>
        <v>51574.741983594329</v>
      </c>
      <c r="AA661">
        <f t="shared" si="146"/>
        <v>99996</v>
      </c>
      <c r="AB661">
        <f t="shared" si="147"/>
        <v>5091</v>
      </c>
      <c r="AC661">
        <f t="shared" si="148"/>
        <v>1795884.2599999986</v>
      </c>
      <c r="AD661">
        <f t="shared" si="149"/>
        <v>1339.2127218493652</v>
      </c>
      <c r="AE661">
        <f t="shared" si="150"/>
        <v>0.35149999999999998</v>
      </c>
      <c r="AF661">
        <f t="shared" si="151"/>
        <v>1206487615.3399982</v>
      </c>
      <c r="AG661" t="str">
        <f t="shared" si="152"/>
        <v>Over Paid</v>
      </c>
      <c r="AH661">
        <f t="shared" si="153"/>
        <v>788.16000000000008</v>
      </c>
    </row>
    <row r="662" spans="1:34" x14ac:dyDescent="0.35">
      <c r="A662" t="s">
        <v>1888</v>
      </c>
      <c r="B662" t="s">
        <v>1889</v>
      </c>
      <c r="C662">
        <v>38</v>
      </c>
      <c r="D662" t="s">
        <v>38</v>
      </c>
      <c r="E662" t="s">
        <v>39</v>
      </c>
      <c r="F662" t="s">
        <v>24</v>
      </c>
      <c r="G662">
        <v>54358</v>
      </c>
      <c r="H662">
        <v>436</v>
      </c>
      <c r="I662">
        <v>41965</v>
      </c>
      <c r="J662">
        <v>16.2</v>
      </c>
      <c r="K662">
        <v>120</v>
      </c>
      <c r="L662" t="s">
        <v>52</v>
      </c>
      <c r="M662">
        <v>22.83</v>
      </c>
      <c r="N662">
        <v>19250</v>
      </c>
      <c r="O662">
        <v>86544</v>
      </c>
      <c r="P662" t="s">
        <v>1890</v>
      </c>
      <c r="Q662" t="s">
        <v>27</v>
      </c>
      <c r="R662" t="s">
        <v>48</v>
      </c>
      <c r="S662" t="s">
        <v>35</v>
      </c>
      <c r="T662">
        <v>406.36</v>
      </c>
      <c r="U662">
        <f t="shared" si="140"/>
        <v>1340</v>
      </c>
      <c r="V662">
        <f t="shared" si="141"/>
        <v>494</v>
      </c>
      <c r="W662">
        <f t="shared" si="142"/>
        <v>422</v>
      </c>
      <c r="X662">
        <f t="shared" si="143"/>
        <v>0.35149999999999998</v>
      </c>
      <c r="Y662" s="1">
        <f t="shared" si="144"/>
        <v>69154912</v>
      </c>
      <c r="Z662">
        <f t="shared" si="145"/>
        <v>51608.143283582089</v>
      </c>
      <c r="AA662">
        <f t="shared" si="146"/>
        <v>99996</v>
      </c>
      <c r="AB662">
        <f t="shared" si="147"/>
        <v>5091</v>
      </c>
      <c r="AC662">
        <f t="shared" si="148"/>
        <v>1795818.5799999987</v>
      </c>
      <c r="AD662">
        <f t="shared" si="149"/>
        <v>1340.1631194029842</v>
      </c>
      <c r="AE662">
        <f t="shared" si="150"/>
        <v>0.35149999999999998</v>
      </c>
      <c r="AF662">
        <f t="shared" si="151"/>
        <v>1204691731.0799985</v>
      </c>
      <c r="AG662" t="str">
        <f t="shared" si="152"/>
        <v>Active</v>
      </c>
      <c r="AH662">
        <f t="shared" si="153"/>
        <v>4876.32</v>
      </c>
    </row>
    <row r="663" spans="1:34" x14ac:dyDescent="0.35">
      <c r="A663" t="s">
        <v>1891</v>
      </c>
      <c r="B663" t="s">
        <v>1892</v>
      </c>
      <c r="C663">
        <v>58</v>
      </c>
      <c r="D663" t="s">
        <v>22</v>
      </c>
      <c r="E663" t="s">
        <v>39</v>
      </c>
      <c r="F663" t="s">
        <v>24</v>
      </c>
      <c r="G663">
        <v>35967</v>
      </c>
      <c r="H663">
        <v>494</v>
      </c>
      <c r="I663">
        <v>11377</v>
      </c>
      <c r="J663">
        <v>18.32</v>
      </c>
      <c r="K663">
        <v>12</v>
      </c>
      <c r="L663" t="s">
        <v>52</v>
      </c>
      <c r="M663">
        <v>32.19</v>
      </c>
      <c r="N663">
        <v>18074</v>
      </c>
      <c r="O663">
        <v>111330</v>
      </c>
      <c r="P663" t="s">
        <v>1893</v>
      </c>
      <c r="Q663" t="s">
        <v>42</v>
      </c>
      <c r="R663" t="s">
        <v>28</v>
      </c>
      <c r="S663" t="s">
        <v>29</v>
      </c>
      <c r="T663">
        <v>1121.77</v>
      </c>
      <c r="U663">
        <f t="shared" si="140"/>
        <v>1339</v>
      </c>
      <c r="V663">
        <f t="shared" si="141"/>
        <v>494</v>
      </c>
      <c r="W663">
        <f t="shared" si="142"/>
        <v>422</v>
      </c>
      <c r="X663">
        <f t="shared" si="143"/>
        <v>0.35149999999999998</v>
      </c>
      <c r="Y663" s="1">
        <f t="shared" si="144"/>
        <v>69112947</v>
      </c>
      <c r="Z663">
        <f t="shared" si="145"/>
        <v>51615.345033607169</v>
      </c>
      <c r="AA663">
        <f t="shared" si="146"/>
        <v>99996</v>
      </c>
      <c r="AB663">
        <f t="shared" si="147"/>
        <v>5091</v>
      </c>
      <c r="AC663">
        <f t="shared" si="148"/>
        <v>1795412.2199999986</v>
      </c>
      <c r="AD663">
        <f t="shared" si="149"/>
        <v>1340.8605078416717</v>
      </c>
      <c r="AE663">
        <f t="shared" si="150"/>
        <v>0.35149999999999998</v>
      </c>
      <c r="AF663">
        <f t="shared" si="151"/>
        <v>1202895912.4999986</v>
      </c>
      <c r="AG663" t="str">
        <f t="shared" si="152"/>
        <v>Active</v>
      </c>
      <c r="AH663">
        <f t="shared" si="153"/>
        <v>13461.24</v>
      </c>
    </row>
    <row r="664" spans="1:34" x14ac:dyDescent="0.35">
      <c r="A664" t="s">
        <v>1894</v>
      </c>
      <c r="B664" t="s">
        <v>1895</v>
      </c>
      <c r="C664">
        <v>44</v>
      </c>
      <c r="D664" t="s">
        <v>38</v>
      </c>
      <c r="E664" t="s">
        <v>23</v>
      </c>
      <c r="F664" t="s">
        <v>46</v>
      </c>
      <c r="G664">
        <v>99117</v>
      </c>
      <c r="H664">
        <v>306</v>
      </c>
      <c r="I664">
        <v>20900</v>
      </c>
      <c r="J664">
        <v>3.59</v>
      </c>
      <c r="K664">
        <v>180</v>
      </c>
      <c r="L664" t="s">
        <v>86</v>
      </c>
      <c r="M664">
        <v>39.479999999999997</v>
      </c>
      <c r="N664">
        <v>51609</v>
      </c>
      <c r="O664">
        <v>151812</v>
      </c>
      <c r="P664" t="s">
        <v>1896</v>
      </c>
      <c r="Q664" t="s">
        <v>27</v>
      </c>
      <c r="R664" t="s">
        <v>28</v>
      </c>
      <c r="S664" t="s">
        <v>68</v>
      </c>
      <c r="T664">
        <v>120.28</v>
      </c>
      <c r="U664">
        <f t="shared" si="140"/>
        <v>1338</v>
      </c>
      <c r="V664">
        <f t="shared" si="141"/>
        <v>493</v>
      </c>
      <c r="W664">
        <f t="shared" si="142"/>
        <v>422</v>
      </c>
      <c r="X664">
        <f t="shared" si="143"/>
        <v>0.35149999999999998</v>
      </c>
      <c r="Y664" s="1">
        <f t="shared" si="144"/>
        <v>69101570</v>
      </c>
      <c r="Z664">
        <f t="shared" si="145"/>
        <v>51645.418535127057</v>
      </c>
      <c r="AA664">
        <f t="shared" si="146"/>
        <v>99996</v>
      </c>
      <c r="AB664">
        <f t="shared" si="147"/>
        <v>5091</v>
      </c>
      <c r="AC664">
        <f t="shared" si="148"/>
        <v>1794290.4499999986</v>
      </c>
      <c r="AD664">
        <f t="shared" si="149"/>
        <v>1341.0242526158434</v>
      </c>
      <c r="AE664">
        <f t="shared" si="150"/>
        <v>0.35149999999999998</v>
      </c>
      <c r="AF664">
        <f t="shared" si="151"/>
        <v>1201100500.2799988</v>
      </c>
      <c r="AG664" t="str">
        <f t="shared" si="152"/>
        <v>Over Paid</v>
      </c>
      <c r="AH664">
        <f t="shared" si="153"/>
        <v>1443.3600000000001</v>
      </c>
    </row>
    <row r="665" spans="1:34" x14ac:dyDescent="0.35">
      <c r="A665" t="s">
        <v>1897</v>
      </c>
      <c r="B665" t="s">
        <v>1898</v>
      </c>
      <c r="C665">
        <v>43</v>
      </c>
      <c r="D665" t="s">
        <v>38</v>
      </c>
      <c r="E665" t="s">
        <v>39</v>
      </c>
      <c r="F665" t="s">
        <v>46</v>
      </c>
      <c r="G665">
        <v>100619</v>
      </c>
      <c r="H665">
        <v>615</v>
      </c>
      <c r="I665">
        <v>47224</v>
      </c>
      <c r="J665">
        <v>3.5</v>
      </c>
      <c r="K665">
        <v>360</v>
      </c>
      <c r="L665" t="s">
        <v>33</v>
      </c>
      <c r="M665">
        <v>43.38</v>
      </c>
      <c r="N665">
        <v>79992</v>
      </c>
      <c r="O665">
        <v>1006</v>
      </c>
      <c r="P665" t="s">
        <v>307</v>
      </c>
      <c r="Q665" t="s">
        <v>61</v>
      </c>
      <c r="R665" t="s">
        <v>48</v>
      </c>
      <c r="S665" t="s">
        <v>35</v>
      </c>
      <c r="T665">
        <v>135.77000000000001</v>
      </c>
      <c r="U665">
        <f t="shared" si="140"/>
        <v>1337</v>
      </c>
      <c r="V665">
        <f t="shared" si="141"/>
        <v>493</v>
      </c>
      <c r="W665">
        <f t="shared" si="142"/>
        <v>422</v>
      </c>
      <c r="X665">
        <f t="shared" si="143"/>
        <v>0.35149999999999998</v>
      </c>
      <c r="Y665" s="1">
        <f t="shared" si="144"/>
        <v>69080670</v>
      </c>
      <c r="Z665">
        <f t="shared" si="145"/>
        <v>51668.414360508599</v>
      </c>
      <c r="AA665">
        <f t="shared" si="146"/>
        <v>99996</v>
      </c>
      <c r="AB665">
        <f t="shared" si="147"/>
        <v>5091</v>
      </c>
      <c r="AC665">
        <f t="shared" si="148"/>
        <v>1794170.1699999985</v>
      </c>
      <c r="AD665">
        <f t="shared" si="149"/>
        <v>1341.9372999252046</v>
      </c>
      <c r="AE665">
        <f t="shared" si="150"/>
        <v>0.35149999999999998</v>
      </c>
      <c r="AF665">
        <f t="shared" si="151"/>
        <v>1199306209.8299992</v>
      </c>
      <c r="AG665" t="str">
        <f t="shared" si="152"/>
        <v>Active</v>
      </c>
      <c r="AH665">
        <f t="shared" si="153"/>
        <v>1629.2400000000002</v>
      </c>
    </row>
    <row r="666" spans="1:34" x14ac:dyDescent="0.35">
      <c r="A666" t="s">
        <v>1899</v>
      </c>
      <c r="B666" t="s">
        <v>1900</v>
      </c>
      <c r="C666">
        <v>37</v>
      </c>
      <c r="D666" t="s">
        <v>38</v>
      </c>
      <c r="E666" t="s">
        <v>32</v>
      </c>
      <c r="F666" t="s">
        <v>46</v>
      </c>
      <c r="G666">
        <v>189432</v>
      </c>
      <c r="H666">
        <v>765</v>
      </c>
      <c r="I666">
        <v>41246</v>
      </c>
      <c r="J666">
        <v>20.82</v>
      </c>
      <c r="K666">
        <v>360</v>
      </c>
      <c r="L666" t="s">
        <v>25</v>
      </c>
      <c r="M666">
        <v>11.86</v>
      </c>
      <c r="N666">
        <v>73797</v>
      </c>
      <c r="O666">
        <v>23392</v>
      </c>
      <c r="P666" t="s">
        <v>1901</v>
      </c>
      <c r="Q666" t="s">
        <v>61</v>
      </c>
      <c r="R666" t="s">
        <v>48</v>
      </c>
      <c r="S666" t="s">
        <v>68</v>
      </c>
      <c r="T666">
        <v>138.43</v>
      </c>
      <c r="U666">
        <f t="shared" si="140"/>
        <v>1336</v>
      </c>
      <c r="V666">
        <f t="shared" si="141"/>
        <v>493</v>
      </c>
      <c r="W666">
        <f t="shared" si="142"/>
        <v>421</v>
      </c>
      <c r="X666">
        <f t="shared" si="143"/>
        <v>0.35149999999999998</v>
      </c>
      <c r="Y666" s="1">
        <f t="shared" si="144"/>
        <v>69033446</v>
      </c>
      <c r="Z666">
        <f t="shared" si="145"/>
        <v>51671.741017964072</v>
      </c>
      <c r="AA666">
        <f t="shared" si="146"/>
        <v>99996</v>
      </c>
      <c r="AB666">
        <f t="shared" si="147"/>
        <v>5091</v>
      </c>
      <c r="AC666">
        <f t="shared" si="148"/>
        <v>1794034.3999999985</v>
      </c>
      <c r="AD666">
        <f t="shared" si="149"/>
        <v>1342.8401197604778</v>
      </c>
      <c r="AE666">
        <f t="shared" si="150"/>
        <v>0.35149999999999998</v>
      </c>
      <c r="AF666">
        <f t="shared" si="151"/>
        <v>1197512039.6599989</v>
      </c>
      <c r="AG666" t="str">
        <f t="shared" si="152"/>
        <v>Active</v>
      </c>
      <c r="AH666">
        <f t="shared" si="153"/>
        <v>1661.16</v>
      </c>
    </row>
    <row r="667" spans="1:34" x14ac:dyDescent="0.35">
      <c r="A667" t="s">
        <v>1902</v>
      </c>
      <c r="B667" t="s">
        <v>1903</v>
      </c>
      <c r="C667">
        <v>47</v>
      </c>
      <c r="D667" t="s">
        <v>22</v>
      </c>
      <c r="E667" t="s">
        <v>32</v>
      </c>
      <c r="F667" t="s">
        <v>24</v>
      </c>
      <c r="G667">
        <v>82130</v>
      </c>
      <c r="H667">
        <v>607</v>
      </c>
      <c r="I667">
        <v>61360</v>
      </c>
      <c r="J667">
        <v>21.81</v>
      </c>
      <c r="K667">
        <v>360</v>
      </c>
      <c r="L667" t="s">
        <v>40</v>
      </c>
      <c r="M667">
        <v>35.950000000000003</v>
      </c>
      <c r="N667">
        <v>19730</v>
      </c>
      <c r="O667">
        <v>159610</v>
      </c>
      <c r="P667" t="s">
        <v>1904</v>
      </c>
      <c r="Q667" t="s">
        <v>42</v>
      </c>
      <c r="R667" t="s">
        <v>48</v>
      </c>
      <c r="S667" t="s">
        <v>29</v>
      </c>
      <c r="T667">
        <v>207.62</v>
      </c>
      <c r="U667">
        <f t="shared" si="140"/>
        <v>1335</v>
      </c>
      <c r="V667">
        <f t="shared" si="141"/>
        <v>493</v>
      </c>
      <c r="W667">
        <f t="shared" si="142"/>
        <v>420</v>
      </c>
      <c r="X667">
        <f t="shared" si="143"/>
        <v>0.35149999999999998</v>
      </c>
      <c r="Y667" s="1">
        <f t="shared" si="144"/>
        <v>68992200</v>
      </c>
      <c r="Z667">
        <f t="shared" si="145"/>
        <v>51679.550561797754</v>
      </c>
      <c r="AA667">
        <f t="shared" si="146"/>
        <v>99996</v>
      </c>
      <c r="AB667">
        <f t="shared" si="147"/>
        <v>5091</v>
      </c>
      <c r="AC667">
        <f t="shared" si="148"/>
        <v>1793895.9699999986</v>
      </c>
      <c r="AD667">
        <f t="shared" si="149"/>
        <v>1343.742299625467</v>
      </c>
      <c r="AE667">
        <f t="shared" si="150"/>
        <v>0.35149999999999998</v>
      </c>
      <c r="AF667">
        <f t="shared" si="151"/>
        <v>1195718005.2599988</v>
      </c>
      <c r="AG667" t="str">
        <f t="shared" si="152"/>
        <v>Active</v>
      </c>
      <c r="AH667">
        <f t="shared" si="153"/>
        <v>2491.44</v>
      </c>
    </row>
    <row r="668" spans="1:34" x14ac:dyDescent="0.35">
      <c r="A668" t="s">
        <v>1905</v>
      </c>
      <c r="B668" t="s">
        <v>1906</v>
      </c>
      <c r="C668">
        <v>25</v>
      </c>
      <c r="D668" t="s">
        <v>38</v>
      </c>
      <c r="E668" t="s">
        <v>32</v>
      </c>
      <c r="F668" t="s">
        <v>24</v>
      </c>
      <c r="G668">
        <v>105187</v>
      </c>
      <c r="H668">
        <v>372</v>
      </c>
      <c r="I668">
        <v>30381</v>
      </c>
      <c r="J668">
        <v>8.48</v>
      </c>
      <c r="K668">
        <v>48</v>
      </c>
      <c r="L668" t="s">
        <v>86</v>
      </c>
      <c r="M668">
        <v>48.69</v>
      </c>
      <c r="N668">
        <v>16020</v>
      </c>
      <c r="O668">
        <v>55994</v>
      </c>
      <c r="P668" t="s">
        <v>737</v>
      </c>
      <c r="Q668" t="s">
        <v>27</v>
      </c>
      <c r="R668" t="s">
        <v>28</v>
      </c>
      <c r="S668" t="s">
        <v>35</v>
      </c>
      <c r="T668">
        <v>686.61</v>
      </c>
      <c r="U668">
        <f t="shared" si="140"/>
        <v>1334</v>
      </c>
      <c r="V668">
        <f t="shared" si="141"/>
        <v>492</v>
      </c>
      <c r="W668">
        <f t="shared" si="142"/>
        <v>420</v>
      </c>
      <c r="X668">
        <f t="shared" si="143"/>
        <v>0.35149999999999998</v>
      </c>
      <c r="Y668" s="1">
        <f t="shared" si="144"/>
        <v>68930840</v>
      </c>
      <c r="Z668">
        <f t="shared" si="145"/>
        <v>51672.293853073461</v>
      </c>
      <c r="AA668">
        <f t="shared" si="146"/>
        <v>99996</v>
      </c>
      <c r="AB668">
        <f t="shared" si="147"/>
        <v>5091</v>
      </c>
      <c r="AC668">
        <f t="shared" si="148"/>
        <v>1793688.3499999987</v>
      </c>
      <c r="AD668">
        <f t="shared" si="149"/>
        <v>1344.5939655172403</v>
      </c>
      <c r="AE668">
        <f t="shared" si="150"/>
        <v>0.35149999999999998</v>
      </c>
      <c r="AF668">
        <f t="shared" si="151"/>
        <v>1193924109.289999</v>
      </c>
      <c r="AG668" t="str">
        <f t="shared" si="152"/>
        <v>Active</v>
      </c>
      <c r="AH668">
        <f t="shared" si="153"/>
        <v>8239.32</v>
      </c>
    </row>
    <row r="669" spans="1:34" x14ac:dyDescent="0.35">
      <c r="A669" t="s">
        <v>1907</v>
      </c>
      <c r="B669" t="s">
        <v>1908</v>
      </c>
      <c r="C669">
        <v>33</v>
      </c>
      <c r="D669" t="s">
        <v>22</v>
      </c>
      <c r="E669" t="s">
        <v>32</v>
      </c>
      <c r="F669" t="s">
        <v>46</v>
      </c>
      <c r="G669">
        <v>173824</v>
      </c>
      <c r="H669">
        <v>813</v>
      </c>
      <c r="I669">
        <v>13781</v>
      </c>
      <c r="J669">
        <v>16.649999999999999</v>
      </c>
      <c r="K669">
        <v>240</v>
      </c>
      <c r="L669" t="s">
        <v>33</v>
      </c>
      <c r="M669">
        <v>7.75</v>
      </c>
      <c r="N669">
        <v>77864</v>
      </c>
      <c r="O669">
        <v>96306</v>
      </c>
      <c r="P669" t="s">
        <v>1909</v>
      </c>
      <c r="Q669" t="s">
        <v>42</v>
      </c>
      <c r="R669" t="s">
        <v>48</v>
      </c>
      <c r="S669" t="s">
        <v>49</v>
      </c>
      <c r="T669">
        <v>66.98</v>
      </c>
      <c r="U669">
        <f t="shared" si="140"/>
        <v>1333</v>
      </c>
      <c r="V669">
        <f t="shared" si="141"/>
        <v>492</v>
      </c>
      <c r="W669">
        <f t="shared" si="142"/>
        <v>420</v>
      </c>
      <c r="X669">
        <f t="shared" si="143"/>
        <v>0.35149999999999998</v>
      </c>
      <c r="Y669" s="1">
        <f t="shared" si="144"/>
        <v>68900459</v>
      </c>
      <c r="Z669">
        <f t="shared" si="145"/>
        <v>51688.266316579145</v>
      </c>
      <c r="AA669">
        <f t="shared" si="146"/>
        <v>99996</v>
      </c>
      <c r="AB669">
        <f t="shared" si="147"/>
        <v>5091</v>
      </c>
      <c r="AC669">
        <f t="shared" si="148"/>
        <v>1793001.7399999986</v>
      </c>
      <c r="AD669">
        <f t="shared" si="149"/>
        <v>1345.0875768942226</v>
      </c>
      <c r="AE669">
        <f t="shared" si="150"/>
        <v>0.35149999999999998</v>
      </c>
      <c r="AF669">
        <f t="shared" si="151"/>
        <v>1192130420.9399991</v>
      </c>
      <c r="AG669" t="str">
        <f t="shared" si="152"/>
        <v>Active</v>
      </c>
      <c r="AH669">
        <f t="shared" si="153"/>
        <v>803.76</v>
      </c>
    </row>
    <row r="670" spans="1:34" x14ac:dyDescent="0.35">
      <c r="A670" t="s">
        <v>1910</v>
      </c>
      <c r="B670" t="s">
        <v>1911</v>
      </c>
      <c r="C670">
        <v>48</v>
      </c>
      <c r="D670" t="s">
        <v>22</v>
      </c>
      <c r="E670" t="s">
        <v>32</v>
      </c>
      <c r="F670" t="s">
        <v>46</v>
      </c>
      <c r="G670">
        <v>102004</v>
      </c>
      <c r="H670">
        <v>560</v>
      </c>
      <c r="I670">
        <v>31021</v>
      </c>
      <c r="J670">
        <v>8.6</v>
      </c>
      <c r="K670">
        <v>12</v>
      </c>
      <c r="L670" t="s">
        <v>33</v>
      </c>
      <c r="M670">
        <v>26.42</v>
      </c>
      <c r="N670">
        <v>42898</v>
      </c>
      <c r="O670">
        <v>36379</v>
      </c>
      <c r="P670" t="s">
        <v>1912</v>
      </c>
      <c r="Q670" t="s">
        <v>27</v>
      </c>
      <c r="R670" t="s">
        <v>28</v>
      </c>
      <c r="S670" t="s">
        <v>29</v>
      </c>
      <c r="T670">
        <v>2807.4</v>
      </c>
      <c r="U670">
        <f t="shared" si="140"/>
        <v>1332</v>
      </c>
      <c r="V670">
        <f t="shared" si="141"/>
        <v>491</v>
      </c>
      <c r="W670">
        <f t="shared" si="142"/>
        <v>420</v>
      </c>
      <c r="X670">
        <f t="shared" si="143"/>
        <v>0.35149999999999998</v>
      </c>
      <c r="Y670" s="1">
        <f t="shared" si="144"/>
        <v>68886678</v>
      </c>
      <c r="Z670">
        <f t="shared" si="145"/>
        <v>51716.725225225222</v>
      </c>
      <c r="AA670">
        <f t="shared" si="146"/>
        <v>99996</v>
      </c>
      <c r="AB670">
        <f t="shared" si="147"/>
        <v>5091</v>
      </c>
      <c r="AC670">
        <f t="shared" si="148"/>
        <v>1792934.7599999986</v>
      </c>
      <c r="AD670">
        <f t="shared" si="149"/>
        <v>1346.0471171171162</v>
      </c>
      <c r="AE670">
        <f t="shared" si="150"/>
        <v>0.35149999999999998</v>
      </c>
      <c r="AF670">
        <f t="shared" si="151"/>
        <v>1190337419.1999991</v>
      </c>
      <c r="AG670" t="str">
        <f t="shared" si="152"/>
        <v>Active</v>
      </c>
      <c r="AH670">
        <f t="shared" si="153"/>
        <v>33688.800000000003</v>
      </c>
    </row>
    <row r="671" spans="1:34" x14ac:dyDescent="0.35">
      <c r="A671" t="s">
        <v>1913</v>
      </c>
      <c r="B671" t="s">
        <v>1914</v>
      </c>
      <c r="C671">
        <v>42</v>
      </c>
      <c r="D671" t="s">
        <v>22</v>
      </c>
      <c r="E671" t="s">
        <v>23</v>
      </c>
      <c r="F671" t="s">
        <v>46</v>
      </c>
      <c r="G671">
        <v>174577</v>
      </c>
      <c r="H671">
        <v>709</v>
      </c>
      <c r="I671">
        <v>97801</v>
      </c>
      <c r="J671">
        <v>10.26</v>
      </c>
      <c r="K671">
        <v>36</v>
      </c>
      <c r="L671" t="s">
        <v>25</v>
      </c>
      <c r="M671">
        <v>5.6</v>
      </c>
      <c r="N671">
        <v>16082</v>
      </c>
      <c r="O671">
        <v>20361</v>
      </c>
      <c r="P671" t="s">
        <v>1024</v>
      </c>
      <c r="Q671" t="s">
        <v>42</v>
      </c>
      <c r="R671" t="s">
        <v>28</v>
      </c>
      <c r="S671" t="s">
        <v>49</v>
      </c>
      <c r="T671">
        <v>2995.43</v>
      </c>
      <c r="U671">
        <f t="shared" si="140"/>
        <v>1331</v>
      </c>
      <c r="V671">
        <f t="shared" si="141"/>
        <v>491</v>
      </c>
      <c r="W671">
        <f t="shared" si="142"/>
        <v>420</v>
      </c>
      <c r="X671">
        <f t="shared" si="143"/>
        <v>0.35149999999999998</v>
      </c>
      <c r="Y671" s="1">
        <f t="shared" si="144"/>
        <v>68855657</v>
      </c>
      <c r="Z671">
        <f t="shared" si="145"/>
        <v>51732.27422990233</v>
      </c>
      <c r="AA671">
        <f t="shared" si="146"/>
        <v>99996</v>
      </c>
      <c r="AB671">
        <f t="shared" si="147"/>
        <v>5091</v>
      </c>
      <c r="AC671">
        <f t="shared" si="148"/>
        <v>1790127.3599999985</v>
      </c>
      <c r="AD671">
        <f t="shared" si="149"/>
        <v>1344.9491810668658</v>
      </c>
      <c r="AE671">
        <f t="shared" si="150"/>
        <v>0.35149999999999998</v>
      </c>
      <c r="AF671">
        <f t="shared" si="151"/>
        <v>1188544484.4399993</v>
      </c>
      <c r="AG671" t="str">
        <f t="shared" si="152"/>
        <v>Over Paid</v>
      </c>
      <c r="AH671">
        <f t="shared" si="153"/>
        <v>35945.159999999996</v>
      </c>
    </row>
    <row r="672" spans="1:34" x14ac:dyDescent="0.35">
      <c r="A672" t="s">
        <v>1915</v>
      </c>
      <c r="B672" t="s">
        <v>1916</v>
      </c>
      <c r="C672">
        <v>35</v>
      </c>
      <c r="D672" t="s">
        <v>22</v>
      </c>
      <c r="E672" t="s">
        <v>32</v>
      </c>
      <c r="F672" t="s">
        <v>24</v>
      </c>
      <c r="G672">
        <v>141090</v>
      </c>
      <c r="H672">
        <v>431</v>
      </c>
      <c r="I672">
        <v>88417</v>
      </c>
      <c r="J672">
        <v>7.3</v>
      </c>
      <c r="K672">
        <v>240</v>
      </c>
      <c r="L672" t="s">
        <v>86</v>
      </c>
      <c r="M672">
        <v>57.47</v>
      </c>
      <c r="N672">
        <v>13600</v>
      </c>
      <c r="O672">
        <v>204518</v>
      </c>
      <c r="P672" t="s">
        <v>1917</v>
      </c>
      <c r="Q672" t="s">
        <v>42</v>
      </c>
      <c r="R672" t="s">
        <v>28</v>
      </c>
      <c r="S672" t="s">
        <v>29</v>
      </c>
      <c r="T672">
        <v>395.3</v>
      </c>
      <c r="U672">
        <f t="shared" si="140"/>
        <v>1330</v>
      </c>
      <c r="V672">
        <f t="shared" si="141"/>
        <v>490</v>
      </c>
      <c r="W672">
        <f t="shared" si="142"/>
        <v>420</v>
      </c>
      <c r="X672">
        <f t="shared" si="143"/>
        <v>0.35149999999999998</v>
      </c>
      <c r="Y672" s="1">
        <f t="shared" si="144"/>
        <v>68757856</v>
      </c>
      <c r="Z672">
        <f t="shared" si="145"/>
        <v>51697.636090225562</v>
      </c>
      <c r="AA672">
        <f t="shared" si="146"/>
        <v>99996</v>
      </c>
      <c r="AB672">
        <f t="shared" si="147"/>
        <v>5091</v>
      </c>
      <c r="AC672">
        <f t="shared" si="148"/>
        <v>1787131.9299999983</v>
      </c>
      <c r="AD672">
        <f t="shared" si="149"/>
        <v>1343.7082180451116</v>
      </c>
      <c r="AE672">
        <f t="shared" si="150"/>
        <v>0.35149999999999998</v>
      </c>
      <c r="AF672">
        <f t="shared" si="151"/>
        <v>1186754357.0799992</v>
      </c>
      <c r="AG672" t="str">
        <f t="shared" si="152"/>
        <v>Active</v>
      </c>
      <c r="AH672">
        <f t="shared" si="153"/>
        <v>4743.6000000000004</v>
      </c>
    </row>
    <row r="673" spans="1:34" x14ac:dyDescent="0.35">
      <c r="A673" t="s">
        <v>1918</v>
      </c>
      <c r="B673" t="s">
        <v>1919</v>
      </c>
      <c r="C673">
        <v>39</v>
      </c>
      <c r="D673" t="s">
        <v>22</v>
      </c>
      <c r="E673" t="s">
        <v>39</v>
      </c>
      <c r="F673" t="s">
        <v>46</v>
      </c>
      <c r="G673">
        <v>84852</v>
      </c>
      <c r="H673">
        <v>371</v>
      </c>
      <c r="I673">
        <v>82002</v>
      </c>
      <c r="J673">
        <v>17.64</v>
      </c>
      <c r="K673">
        <v>180</v>
      </c>
      <c r="L673" t="s">
        <v>40</v>
      </c>
      <c r="M673">
        <v>16.95</v>
      </c>
      <c r="N673">
        <v>50767</v>
      </c>
      <c r="O673">
        <v>22284</v>
      </c>
      <c r="P673" t="s">
        <v>313</v>
      </c>
      <c r="Q673" t="s">
        <v>27</v>
      </c>
      <c r="R673" t="s">
        <v>48</v>
      </c>
      <c r="S673" t="s">
        <v>35</v>
      </c>
      <c r="T673">
        <v>535.92999999999995</v>
      </c>
      <c r="U673">
        <f t="shared" si="140"/>
        <v>1329</v>
      </c>
      <c r="V673">
        <f t="shared" si="141"/>
        <v>489</v>
      </c>
      <c r="W673">
        <f t="shared" si="142"/>
        <v>420</v>
      </c>
      <c r="X673">
        <f t="shared" si="143"/>
        <v>0.35149999999999998</v>
      </c>
      <c r="Y673" s="1">
        <f t="shared" si="144"/>
        <v>68669439</v>
      </c>
      <c r="Z673">
        <f t="shared" si="145"/>
        <v>51670.00677200903</v>
      </c>
      <c r="AA673">
        <f t="shared" si="146"/>
        <v>99996</v>
      </c>
      <c r="AB673">
        <f t="shared" si="147"/>
        <v>5091</v>
      </c>
      <c r="AC673">
        <f t="shared" si="148"/>
        <v>1786736.6299999983</v>
      </c>
      <c r="AD673">
        <f t="shared" si="149"/>
        <v>1344.4218434913455</v>
      </c>
      <c r="AE673">
        <f t="shared" si="150"/>
        <v>0.35149999999999998</v>
      </c>
      <c r="AF673">
        <f t="shared" si="151"/>
        <v>1184967225.1499994</v>
      </c>
      <c r="AG673" t="str">
        <f t="shared" si="152"/>
        <v>Active</v>
      </c>
      <c r="AH673">
        <f t="shared" si="153"/>
        <v>6431.16</v>
      </c>
    </row>
    <row r="674" spans="1:34" x14ac:dyDescent="0.35">
      <c r="A674" t="s">
        <v>1920</v>
      </c>
      <c r="B674" t="s">
        <v>1921</v>
      </c>
      <c r="C674">
        <v>65</v>
      </c>
      <c r="D674" t="s">
        <v>22</v>
      </c>
      <c r="E674" t="s">
        <v>23</v>
      </c>
      <c r="F674" t="s">
        <v>46</v>
      </c>
      <c r="G674">
        <v>40454</v>
      </c>
      <c r="H674">
        <v>838</v>
      </c>
      <c r="I674">
        <v>15436</v>
      </c>
      <c r="J674">
        <v>15.52</v>
      </c>
      <c r="K674">
        <v>36</v>
      </c>
      <c r="L674" t="s">
        <v>33</v>
      </c>
      <c r="M674">
        <v>23.23</v>
      </c>
      <c r="N674">
        <v>21729</v>
      </c>
      <c r="O674">
        <v>14541</v>
      </c>
      <c r="P674" t="s">
        <v>1755</v>
      </c>
      <c r="Q674" t="s">
        <v>42</v>
      </c>
      <c r="R674" t="s">
        <v>28</v>
      </c>
      <c r="S674" t="s">
        <v>68</v>
      </c>
      <c r="T674">
        <v>495.32</v>
      </c>
      <c r="U674">
        <f t="shared" si="140"/>
        <v>1328</v>
      </c>
      <c r="V674">
        <f t="shared" si="141"/>
        <v>489</v>
      </c>
      <c r="W674">
        <f t="shared" si="142"/>
        <v>420</v>
      </c>
      <c r="X674">
        <f t="shared" si="143"/>
        <v>0.35149999999999998</v>
      </c>
      <c r="Y674" s="1">
        <f t="shared" si="144"/>
        <v>68587437</v>
      </c>
      <c r="Z674">
        <f t="shared" si="145"/>
        <v>51647.16641566265</v>
      </c>
      <c r="AA674">
        <f t="shared" si="146"/>
        <v>99996</v>
      </c>
      <c r="AB674">
        <f t="shared" si="147"/>
        <v>5091</v>
      </c>
      <c r="AC674">
        <f t="shared" si="148"/>
        <v>1786200.6999999983</v>
      </c>
      <c r="AD674">
        <f t="shared" si="149"/>
        <v>1345.0306475903601</v>
      </c>
      <c r="AE674">
        <f t="shared" si="150"/>
        <v>0.35149999999999998</v>
      </c>
      <c r="AF674">
        <f t="shared" si="151"/>
        <v>1183180488.519999</v>
      </c>
      <c r="AG674" t="str">
        <f t="shared" si="152"/>
        <v>Active</v>
      </c>
      <c r="AH674">
        <f t="shared" si="153"/>
        <v>5943.84</v>
      </c>
    </row>
    <row r="675" spans="1:34" x14ac:dyDescent="0.35">
      <c r="A675" t="s">
        <v>1922</v>
      </c>
      <c r="B675" t="s">
        <v>1923</v>
      </c>
      <c r="C675">
        <v>28</v>
      </c>
      <c r="D675" t="s">
        <v>22</v>
      </c>
      <c r="E675" t="s">
        <v>39</v>
      </c>
      <c r="F675" t="s">
        <v>24</v>
      </c>
      <c r="G675">
        <v>159335</v>
      </c>
      <c r="H675">
        <v>390</v>
      </c>
      <c r="I675">
        <v>43445</v>
      </c>
      <c r="J675">
        <v>24</v>
      </c>
      <c r="K675">
        <v>180</v>
      </c>
      <c r="L675" t="s">
        <v>86</v>
      </c>
      <c r="M675">
        <v>45.19</v>
      </c>
      <c r="N675">
        <v>16803</v>
      </c>
      <c r="O675">
        <v>109991</v>
      </c>
      <c r="P675" t="s">
        <v>1924</v>
      </c>
      <c r="Q675" t="s">
        <v>27</v>
      </c>
      <c r="R675" t="s">
        <v>28</v>
      </c>
      <c r="S675" t="s">
        <v>29</v>
      </c>
      <c r="T675">
        <v>299.29000000000002</v>
      </c>
      <c r="U675">
        <f t="shared" si="140"/>
        <v>1327</v>
      </c>
      <c r="V675">
        <f t="shared" si="141"/>
        <v>488</v>
      </c>
      <c r="W675">
        <f t="shared" si="142"/>
        <v>420</v>
      </c>
      <c r="X675">
        <f t="shared" si="143"/>
        <v>0.35149999999999998</v>
      </c>
      <c r="Y675" s="1">
        <f t="shared" si="144"/>
        <v>68572001</v>
      </c>
      <c r="Z675">
        <f t="shared" si="145"/>
        <v>51674.454408440091</v>
      </c>
      <c r="AA675">
        <f t="shared" si="146"/>
        <v>99996</v>
      </c>
      <c r="AB675">
        <f t="shared" si="147"/>
        <v>5091</v>
      </c>
      <c r="AC675">
        <f t="shared" si="148"/>
        <v>1785705.3799999983</v>
      </c>
      <c r="AD675">
        <f t="shared" si="149"/>
        <v>1345.6709721175571</v>
      </c>
      <c r="AE675">
        <f t="shared" si="150"/>
        <v>0.35149999999999998</v>
      </c>
      <c r="AF675">
        <f t="shared" si="151"/>
        <v>1181394287.819999</v>
      </c>
      <c r="AG675" t="str">
        <f t="shared" si="152"/>
        <v>Active</v>
      </c>
      <c r="AH675">
        <f t="shared" si="153"/>
        <v>3591.4800000000005</v>
      </c>
    </row>
    <row r="676" spans="1:34" x14ac:dyDescent="0.35">
      <c r="A676" t="s">
        <v>1925</v>
      </c>
      <c r="B676" t="s">
        <v>1926</v>
      </c>
      <c r="C676">
        <v>38</v>
      </c>
      <c r="D676" t="s">
        <v>38</v>
      </c>
      <c r="E676" t="s">
        <v>39</v>
      </c>
      <c r="F676" t="s">
        <v>59</v>
      </c>
      <c r="G676">
        <v>64940</v>
      </c>
      <c r="H676">
        <v>841</v>
      </c>
      <c r="I676">
        <v>91352</v>
      </c>
      <c r="J676">
        <v>9</v>
      </c>
      <c r="K676">
        <v>36</v>
      </c>
      <c r="L676" t="s">
        <v>33</v>
      </c>
      <c r="M676">
        <v>44.5</v>
      </c>
      <c r="N676">
        <v>77667</v>
      </c>
      <c r="O676">
        <v>79754</v>
      </c>
      <c r="P676" t="s">
        <v>1927</v>
      </c>
      <c r="Q676" t="s">
        <v>27</v>
      </c>
      <c r="R676" t="s">
        <v>48</v>
      </c>
      <c r="S676" t="s">
        <v>68</v>
      </c>
      <c r="T676">
        <v>2765.94</v>
      </c>
      <c r="U676">
        <f t="shared" si="140"/>
        <v>1326</v>
      </c>
      <c r="V676">
        <f t="shared" si="141"/>
        <v>488</v>
      </c>
      <c r="W676">
        <f t="shared" si="142"/>
        <v>420</v>
      </c>
      <c r="X676">
        <f t="shared" si="143"/>
        <v>0.35149999999999998</v>
      </c>
      <c r="Y676" s="1">
        <f t="shared" si="144"/>
        <v>68528556</v>
      </c>
      <c r="Z676">
        <f t="shared" si="145"/>
        <v>51680.660633484164</v>
      </c>
      <c r="AA676">
        <f t="shared" si="146"/>
        <v>99996</v>
      </c>
      <c r="AB676">
        <f t="shared" si="147"/>
        <v>5091</v>
      </c>
      <c r="AC676">
        <f t="shared" si="148"/>
        <v>1785406.0899999982</v>
      </c>
      <c r="AD676">
        <f t="shared" si="149"/>
        <v>1346.4600980392142</v>
      </c>
      <c r="AE676">
        <f t="shared" si="150"/>
        <v>0.35149999999999998</v>
      </c>
      <c r="AF676">
        <f t="shared" si="151"/>
        <v>1179608582.4399993</v>
      </c>
      <c r="AG676" t="str">
        <f t="shared" si="152"/>
        <v>Active</v>
      </c>
      <c r="AH676">
        <f t="shared" si="153"/>
        <v>33191.279999999999</v>
      </c>
    </row>
    <row r="677" spans="1:34" x14ac:dyDescent="0.35">
      <c r="A677" t="s">
        <v>1928</v>
      </c>
      <c r="B677" t="s">
        <v>1929</v>
      </c>
      <c r="C677">
        <v>38</v>
      </c>
      <c r="D677" t="s">
        <v>22</v>
      </c>
      <c r="E677" t="s">
        <v>32</v>
      </c>
      <c r="F677" t="s">
        <v>24</v>
      </c>
      <c r="G677">
        <v>24637</v>
      </c>
      <c r="H677">
        <v>462</v>
      </c>
      <c r="I677">
        <v>16578</v>
      </c>
      <c r="J677">
        <v>18.170000000000002</v>
      </c>
      <c r="K677">
        <v>60</v>
      </c>
      <c r="L677" t="s">
        <v>52</v>
      </c>
      <c r="M677">
        <v>45.12</v>
      </c>
      <c r="N677">
        <v>67821</v>
      </c>
      <c r="O677">
        <v>174294</v>
      </c>
      <c r="P677" t="s">
        <v>1135</v>
      </c>
      <c r="Q677" t="s">
        <v>42</v>
      </c>
      <c r="R677" t="s">
        <v>28</v>
      </c>
      <c r="S677" t="s">
        <v>49</v>
      </c>
      <c r="T677">
        <v>326.5</v>
      </c>
      <c r="U677">
        <f t="shared" si="140"/>
        <v>1325</v>
      </c>
      <c r="V677">
        <f t="shared" si="141"/>
        <v>488</v>
      </c>
      <c r="W677">
        <f t="shared" si="142"/>
        <v>420</v>
      </c>
      <c r="X677">
        <f t="shared" si="143"/>
        <v>0.35149999999999998</v>
      </c>
      <c r="Y677" s="1">
        <f t="shared" si="144"/>
        <v>68437204</v>
      </c>
      <c r="Z677">
        <f t="shared" si="145"/>
        <v>51650.720000000001</v>
      </c>
      <c r="AA677">
        <f t="shared" si="146"/>
        <v>99996</v>
      </c>
      <c r="AB677">
        <f t="shared" si="147"/>
        <v>5091</v>
      </c>
      <c r="AC677">
        <f t="shared" si="148"/>
        <v>1782640.1499999978</v>
      </c>
      <c r="AD677">
        <f t="shared" si="149"/>
        <v>1345.3887924528285</v>
      </c>
      <c r="AE677">
        <f t="shared" si="150"/>
        <v>0.35149999999999998</v>
      </c>
      <c r="AF677">
        <f t="shared" si="151"/>
        <v>1177823176.3499994</v>
      </c>
      <c r="AG677" t="str">
        <f t="shared" si="152"/>
        <v>Active</v>
      </c>
      <c r="AH677">
        <f t="shared" si="153"/>
        <v>3918</v>
      </c>
    </row>
    <row r="678" spans="1:34" x14ac:dyDescent="0.35">
      <c r="A678" t="s">
        <v>1930</v>
      </c>
      <c r="B678" t="s">
        <v>1931</v>
      </c>
      <c r="C678">
        <v>30</v>
      </c>
      <c r="D678" t="s">
        <v>38</v>
      </c>
      <c r="E678" t="s">
        <v>39</v>
      </c>
      <c r="F678" t="s">
        <v>46</v>
      </c>
      <c r="G678">
        <v>75437</v>
      </c>
      <c r="H678">
        <v>320</v>
      </c>
      <c r="I678">
        <v>98636</v>
      </c>
      <c r="J678">
        <v>4.3499999999999996</v>
      </c>
      <c r="K678">
        <v>60</v>
      </c>
      <c r="L678" t="s">
        <v>40</v>
      </c>
      <c r="M678">
        <v>32.57</v>
      </c>
      <c r="N678">
        <v>41354</v>
      </c>
      <c r="O678">
        <v>65048</v>
      </c>
      <c r="P678" t="s">
        <v>1332</v>
      </c>
      <c r="Q678" t="s">
        <v>61</v>
      </c>
      <c r="R678" t="s">
        <v>28</v>
      </c>
      <c r="S678" t="s">
        <v>68</v>
      </c>
      <c r="T678">
        <v>1715.44</v>
      </c>
      <c r="U678">
        <f t="shared" si="140"/>
        <v>1324</v>
      </c>
      <c r="V678">
        <f t="shared" si="141"/>
        <v>487</v>
      </c>
      <c r="W678">
        <f t="shared" si="142"/>
        <v>420</v>
      </c>
      <c r="X678">
        <f t="shared" si="143"/>
        <v>0.35149999999999998</v>
      </c>
      <c r="Y678" s="1">
        <f t="shared" si="144"/>
        <v>68420626</v>
      </c>
      <c r="Z678">
        <f t="shared" si="145"/>
        <v>51677.209969788521</v>
      </c>
      <c r="AA678">
        <f t="shared" si="146"/>
        <v>99996</v>
      </c>
      <c r="AB678">
        <f t="shared" si="147"/>
        <v>5091</v>
      </c>
      <c r="AC678">
        <f t="shared" si="148"/>
        <v>1782313.6499999978</v>
      </c>
      <c r="AD678">
        <f t="shared" si="149"/>
        <v>1346.1583459214485</v>
      </c>
      <c r="AE678">
        <f t="shared" si="150"/>
        <v>0.35149999999999998</v>
      </c>
      <c r="AF678">
        <f t="shared" si="151"/>
        <v>1176040536.1999993</v>
      </c>
      <c r="AG678" t="str">
        <f t="shared" si="152"/>
        <v>Active</v>
      </c>
      <c r="AH678">
        <f t="shared" si="153"/>
        <v>20585.28</v>
      </c>
    </row>
    <row r="679" spans="1:34" x14ac:dyDescent="0.35">
      <c r="A679" t="s">
        <v>1932</v>
      </c>
      <c r="B679" t="s">
        <v>1933</v>
      </c>
      <c r="C679">
        <v>38</v>
      </c>
      <c r="D679" t="s">
        <v>38</v>
      </c>
      <c r="E679" t="s">
        <v>32</v>
      </c>
      <c r="F679" t="s">
        <v>24</v>
      </c>
      <c r="G679">
        <v>93193</v>
      </c>
      <c r="H679">
        <v>810</v>
      </c>
      <c r="I679">
        <v>72985</v>
      </c>
      <c r="J679">
        <v>20.89</v>
      </c>
      <c r="K679">
        <v>360</v>
      </c>
      <c r="L679" t="s">
        <v>33</v>
      </c>
      <c r="M679">
        <v>25.77</v>
      </c>
      <c r="N679">
        <v>20387</v>
      </c>
      <c r="O679">
        <v>72929</v>
      </c>
      <c r="P679" t="s">
        <v>1934</v>
      </c>
      <c r="Q679" t="s">
        <v>61</v>
      </c>
      <c r="R679" t="s">
        <v>48</v>
      </c>
      <c r="S679" t="s">
        <v>68</v>
      </c>
      <c r="T679">
        <v>245.09</v>
      </c>
      <c r="U679">
        <f t="shared" si="140"/>
        <v>1323</v>
      </c>
      <c r="V679">
        <f t="shared" si="141"/>
        <v>487</v>
      </c>
      <c r="W679">
        <f t="shared" si="142"/>
        <v>419</v>
      </c>
      <c r="X679">
        <f t="shared" si="143"/>
        <v>0.35149999999999998</v>
      </c>
      <c r="Y679" s="1">
        <f t="shared" si="144"/>
        <v>68321990</v>
      </c>
      <c r="Z679">
        <f t="shared" si="145"/>
        <v>51641.715797430086</v>
      </c>
      <c r="AA679">
        <f t="shared" si="146"/>
        <v>99996</v>
      </c>
      <c r="AB679">
        <f t="shared" si="147"/>
        <v>5091</v>
      </c>
      <c r="AC679">
        <f t="shared" si="148"/>
        <v>1780598.2099999979</v>
      </c>
      <c r="AD679">
        <f t="shared" si="149"/>
        <v>1345.8792214663627</v>
      </c>
      <c r="AE679">
        <f t="shared" si="150"/>
        <v>0.35149999999999998</v>
      </c>
      <c r="AF679">
        <f t="shared" si="151"/>
        <v>1174258222.5499995</v>
      </c>
      <c r="AG679" t="str">
        <f t="shared" si="152"/>
        <v>Active</v>
      </c>
      <c r="AH679">
        <f t="shared" si="153"/>
        <v>2941.08</v>
      </c>
    </row>
    <row r="680" spans="1:34" x14ac:dyDescent="0.35">
      <c r="A680" t="s">
        <v>1935</v>
      </c>
      <c r="B680" t="s">
        <v>1936</v>
      </c>
      <c r="C680">
        <v>51</v>
      </c>
      <c r="D680" t="s">
        <v>22</v>
      </c>
      <c r="E680" t="s">
        <v>32</v>
      </c>
      <c r="F680" t="s">
        <v>59</v>
      </c>
      <c r="G680">
        <v>46306</v>
      </c>
      <c r="H680">
        <v>829</v>
      </c>
      <c r="I680">
        <v>44624</v>
      </c>
      <c r="J680">
        <v>8.52</v>
      </c>
      <c r="K680">
        <v>12</v>
      </c>
      <c r="L680" t="s">
        <v>33</v>
      </c>
      <c r="M680">
        <v>25.86</v>
      </c>
      <c r="N680">
        <v>74920</v>
      </c>
      <c r="O680">
        <v>199652</v>
      </c>
      <c r="P680" t="s">
        <v>579</v>
      </c>
      <c r="Q680" t="s">
        <v>61</v>
      </c>
      <c r="R680" t="s">
        <v>28</v>
      </c>
      <c r="S680" t="s">
        <v>49</v>
      </c>
      <c r="T680">
        <v>4035.5</v>
      </c>
      <c r="U680">
        <f t="shared" si="140"/>
        <v>1322</v>
      </c>
      <c r="V680">
        <f t="shared" si="141"/>
        <v>487</v>
      </c>
      <c r="W680">
        <f t="shared" si="142"/>
        <v>418</v>
      </c>
      <c r="X680">
        <f t="shared" si="143"/>
        <v>0.35149999999999998</v>
      </c>
      <c r="Y680" s="1">
        <f t="shared" si="144"/>
        <v>68249005</v>
      </c>
      <c r="Z680">
        <f t="shared" si="145"/>
        <v>51625.571104387294</v>
      </c>
      <c r="AA680">
        <f t="shared" si="146"/>
        <v>99996</v>
      </c>
      <c r="AB680">
        <f t="shared" si="147"/>
        <v>5091</v>
      </c>
      <c r="AC680">
        <f t="shared" si="148"/>
        <v>1780353.1199999978</v>
      </c>
      <c r="AD680">
        <f t="shared" si="149"/>
        <v>1346.7118910741285</v>
      </c>
      <c r="AE680">
        <f t="shared" si="150"/>
        <v>0.35149999999999998</v>
      </c>
      <c r="AF680">
        <f t="shared" si="151"/>
        <v>1172477624.3399994</v>
      </c>
      <c r="AG680" t="str">
        <f t="shared" si="152"/>
        <v>Active</v>
      </c>
      <c r="AH680">
        <f t="shared" si="153"/>
        <v>48426</v>
      </c>
    </row>
    <row r="681" spans="1:34" x14ac:dyDescent="0.35">
      <c r="A681" t="s">
        <v>1937</v>
      </c>
      <c r="B681" t="s">
        <v>1938</v>
      </c>
      <c r="C681">
        <v>64</v>
      </c>
      <c r="D681" t="s">
        <v>22</v>
      </c>
      <c r="E681" t="s">
        <v>39</v>
      </c>
      <c r="F681" t="s">
        <v>24</v>
      </c>
      <c r="G681">
        <v>134329</v>
      </c>
      <c r="H681">
        <v>347</v>
      </c>
      <c r="I681">
        <v>94117</v>
      </c>
      <c r="J681">
        <v>14.64</v>
      </c>
      <c r="K681">
        <v>24</v>
      </c>
      <c r="L681" t="s">
        <v>33</v>
      </c>
      <c r="M681">
        <v>14.25</v>
      </c>
      <c r="N681">
        <v>28451</v>
      </c>
      <c r="O681">
        <v>180353</v>
      </c>
      <c r="P681" t="s">
        <v>1939</v>
      </c>
      <c r="Q681" t="s">
        <v>27</v>
      </c>
      <c r="R681" t="s">
        <v>28</v>
      </c>
      <c r="S681" t="s">
        <v>35</v>
      </c>
      <c r="T681">
        <v>4495.66</v>
      </c>
      <c r="U681">
        <f t="shared" si="140"/>
        <v>1321</v>
      </c>
      <c r="V681">
        <f t="shared" si="141"/>
        <v>487</v>
      </c>
      <c r="W681">
        <f t="shared" si="142"/>
        <v>417</v>
      </c>
      <c r="X681">
        <f t="shared" si="143"/>
        <v>0.35149999999999998</v>
      </c>
      <c r="Y681" s="1">
        <f t="shared" si="144"/>
        <v>68204381</v>
      </c>
      <c r="Z681">
        <f t="shared" si="145"/>
        <v>51630.871309613925</v>
      </c>
      <c r="AA681">
        <f t="shared" si="146"/>
        <v>99996</v>
      </c>
      <c r="AB681">
        <f t="shared" si="147"/>
        <v>5091</v>
      </c>
      <c r="AC681">
        <f t="shared" si="148"/>
        <v>1776317.6199999978</v>
      </c>
      <c r="AD681">
        <f t="shared" si="149"/>
        <v>1344.6764723694155</v>
      </c>
      <c r="AE681">
        <f t="shared" si="150"/>
        <v>0.35149999999999998</v>
      </c>
      <c r="AF681">
        <f t="shared" si="151"/>
        <v>1170697271.2199998</v>
      </c>
      <c r="AG681" t="str">
        <f t="shared" si="152"/>
        <v>Over Paid</v>
      </c>
      <c r="AH681">
        <f t="shared" si="153"/>
        <v>53947.92</v>
      </c>
    </row>
    <row r="682" spans="1:34" x14ac:dyDescent="0.35">
      <c r="A682" t="s">
        <v>1940</v>
      </c>
      <c r="B682" t="s">
        <v>1941</v>
      </c>
      <c r="C682">
        <v>44</v>
      </c>
      <c r="D682" t="s">
        <v>38</v>
      </c>
      <c r="E682" t="s">
        <v>39</v>
      </c>
      <c r="F682" t="s">
        <v>46</v>
      </c>
      <c r="G682">
        <v>194939</v>
      </c>
      <c r="H682">
        <v>358</v>
      </c>
      <c r="I682">
        <v>51735</v>
      </c>
      <c r="J682">
        <v>10.93</v>
      </c>
      <c r="K682">
        <v>120</v>
      </c>
      <c r="L682" t="s">
        <v>52</v>
      </c>
      <c r="M682">
        <v>57.53</v>
      </c>
      <c r="N682">
        <v>12220</v>
      </c>
      <c r="O682">
        <v>126691</v>
      </c>
      <c r="P682" t="s">
        <v>1942</v>
      </c>
      <c r="Q682" t="s">
        <v>61</v>
      </c>
      <c r="R682" t="s">
        <v>48</v>
      </c>
      <c r="S682" t="s">
        <v>43</v>
      </c>
      <c r="T682">
        <v>478.25</v>
      </c>
      <c r="U682">
        <f t="shared" si="140"/>
        <v>1320</v>
      </c>
      <c r="V682">
        <f t="shared" si="141"/>
        <v>487</v>
      </c>
      <c r="W682">
        <f t="shared" si="142"/>
        <v>417</v>
      </c>
      <c r="X682">
        <f t="shared" si="143"/>
        <v>0.35149999999999998</v>
      </c>
      <c r="Y682" s="1">
        <f t="shared" si="144"/>
        <v>68110264</v>
      </c>
      <c r="Z682">
        <f t="shared" si="145"/>
        <v>51598.684848484845</v>
      </c>
      <c r="AA682">
        <f t="shared" si="146"/>
        <v>99996</v>
      </c>
      <c r="AB682">
        <f t="shared" si="147"/>
        <v>5091</v>
      </c>
      <c r="AC682">
        <f t="shared" si="148"/>
        <v>1771821.9599999979</v>
      </c>
      <c r="AD682">
        <f t="shared" si="149"/>
        <v>1342.2893636363619</v>
      </c>
      <c r="AE682">
        <f t="shared" si="150"/>
        <v>0.35149999999999998</v>
      </c>
      <c r="AF682">
        <f t="shared" si="151"/>
        <v>1168920953.6000001</v>
      </c>
      <c r="AG682" t="str">
        <f t="shared" si="152"/>
        <v>Active</v>
      </c>
      <c r="AH682">
        <f t="shared" si="153"/>
        <v>5739</v>
      </c>
    </row>
    <row r="683" spans="1:34" x14ac:dyDescent="0.35">
      <c r="A683" t="s">
        <v>1943</v>
      </c>
      <c r="B683" t="s">
        <v>1944</v>
      </c>
      <c r="C683">
        <v>65</v>
      </c>
      <c r="D683" t="s">
        <v>22</v>
      </c>
      <c r="E683" t="s">
        <v>32</v>
      </c>
      <c r="F683" t="s">
        <v>24</v>
      </c>
      <c r="G683">
        <v>163766</v>
      </c>
      <c r="H683">
        <v>425</v>
      </c>
      <c r="I683">
        <v>77466</v>
      </c>
      <c r="J683">
        <v>15.2</v>
      </c>
      <c r="K683">
        <v>120</v>
      </c>
      <c r="L683" t="s">
        <v>52</v>
      </c>
      <c r="M683">
        <v>51.83</v>
      </c>
      <c r="N683">
        <v>79952</v>
      </c>
      <c r="O683">
        <v>13737</v>
      </c>
      <c r="P683" t="s">
        <v>1945</v>
      </c>
      <c r="Q683" t="s">
        <v>42</v>
      </c>
      <c r="R683" t="s">
        <v>28</v>
      </c>
      <c r="S683" t="s">
        <v>43</v>
      </c>
      <c r="T683">
        <v>743.67</v>
      </c>
      <c r="U683">
        <f t="shared" si="140"/>
        <v>1319</v>
      </c>
      <c r="V683">
        <f t="shared" si="141"/>
        <v>487</v>
      </c>
      <c r="W683">
        <f t="shared" si="142"/>
        <v>416</v>
      </c>
      <c r="X683">
        <f t="shared" si="143"/>
        <v>0.35149999999999998</v>
      </c>
      <c r="Y683" s="1">
        <f t="shared" si="144"/>
        <v>68058529</v>
      </c>
      <c r="Z683">
        <f t="shared" si="145"/>
        <v>51598.581501137225</v>
      </c>
      <c r="AA683">
        <f t="shared" si="146"/>
        <v>99996</v>
      </c>
      <c r="AB683">
        <f t="shared" si="147"/>
        <v>5091</v>
      </c>
      <c r="AC683">
        <f t="shared" si="148"/>
        <v>1771343.7099999979</v>
      </c>
      <c r="AD683">
        <f t="shared" si="149"/>
        <v>1342.9444351781638</v>
      </c>
      <c r="AE683">
        <f t="shared" si="150"/>
        <v>0.35149999999999998</v>
      </c>
      <c r="AF683">
        <f t="shared" si="151"/>
        <v>1167149131.6400003</v>
      </c>
      <c r="AG683" t="str">
        <f t="shared" si="152"/>
        <v>Active</v>
      </c>
      <c r="AH683">
        <f t="shared" si="153"/>
        <v>8924.0399999999991</v>
      </c>
    </row>
    <row r="684" spans="1:34" x14ac:dyDescent="0.35">
      <c r="A684" t="s">
        <v>1946</v>
      </c>
      <c r="B684" t="s">
        <v>1947</v>
      </c>
      <c r="C684">
        <v>25</v>
      </c>
      <c r="D684" t="s">
        <v>38</v>
      </c>
      <c r="E684" t="s">
        <v>39</v>
      </c>
      <c r="F684" t="s">
        <v>46</v>
      </c>
      <c r="G684">
        <v>187722</v>
      </c>
      <c r="H684">
        <v>443</v>
      </c>
      <c r="I684">
        <v>97506</v>
      </c>
      <c r="J684">
        <v>12.96</v>
      </c>
      <c r="K684">
        <v>240</v>
      </c>
      <c r="L684" t="s">
        <v>25</v>
      </c>
      <c r="M684">
        <v>41.69</v>
      </c>
      <c r="N684">
        <v>72177</v>
      </c>
      <c r="O684">
        <v>237472</v>
      </c>
      <c r="P684" t="s">
        <v>1948</v>
      </c>
      <c r="Q684" t="s">
        <v>27</v>
      </c>
      <c r="R684" t="s">
        <v>28</v>
      </c>
      <c r="S684" t="s">
        <v>49</v>
      </c>
      <c r="T684">
        <v>458.93</v>
      </c>
      <c r="U684">
        <f t="shared" si="140"/>
        <v>1318</v>
      </c>
      <c r="V684">
        <f t="shared" si="141"/>
        <v>486</v>
      </c>
      <c r="W684">
        <f t="shared" si="142"/>
        <v>416</v>
      </c>
      <c r="X684">
        <f t="shared" si="143"/>
        <v>0.35149999999999998</v>
      </c>
      <c r="Y684" s="1">
        <f t="shared" si="144"/>
        <v>67981063</v>
      </c>
      <c r="Z684">
        <f t="shared" si="145"/>
        <v>51578.955235204856</v>
      </c>
      <c r="AA684">
        <f t="shared" si="146"/>
        <v>99996</v>
      </c>
      <c r="AB684">
        <f t="shared" si="147"/>
        <v>5091</v>
      </c>
      <c r="AC684">
        <f t="shared" si="148"/>
        <v>1770600.0399999979</v>
      </c>
      <c r="AD684">
        <f t="shared" si="149"/>
        <v>1343.3991198786023</v>
      </c>
      <c r="AE684">
        <f t="shared" si="150"/>
        <v>0.35149999999999998</v>
      </c>
      <c r="AF684">
        <f t="shared" si="151"/>
        <v>1165377787.9300001</v>
      </c>
      <c r="AG684" t="str">
        <f t="shared" si="152"/>
        <v>Active</v>
      </c>
      <c r="AH684">
        <f t="shared" si="153"/>
        <v>5507.16</v>
      </c>
    </row>
    <row r="685" spans="1:34" x14ac:dyDescent="0.35">
      <c r="A685" t="s">
        <v>1949</v>
      </c>
      <c r="B685" t="s">
        <v>1950</v>
      </c>
      <c r="C685">
        <v>25</v>
      </c>
      <c r="D685" t="s">
        <v>22</v>
      </c>
      <c r="E685" t="s">
        <v>32</v>
      </c>
      <c r="F685" t="s">
        <v>24</v>
      </c>
      <c r="G685">
        <v>102691</v>
      </c>
      <c r="H685">
        <v>332</v>
      </c>
      <c r="I685">
        <v>91514</v>
      </c>
      <c r="J685">
        <v>21.42</v>
      </c>
      <c r="K685">
        <v>360</v>
      </c>
      <c r="L685" t="s">
        <v>25</v>
      </c>
      <c r="M685">
        <v>43.22</v>
      </c>
      <c r="N685">
        <v>11934</v>
      </c>
      <c r="O685">
        <v>149878</v>
      </c>
      <c r="P685" t="s">
        <v>254</v>
      </c>
      <c r="Q685" t="s">
        <v>61</v>
      </c>
      <c r="R685" t="s">
        <v>28</v>
      </c>
      <c r="S685" t="s">
        <v>43</v>
      </c>
      <c r="T685">
        <v>308.66000000000003</v>
      </c>
      <c r="U685">
        <f t="shared" si="140"/>
        <v>1317</v>
      </c>
      <c r="V685">
        <f t="shared" si="141"/>
        <v>486</v>
      </c>
      <c r="W685">
        <f t="shared" si="142"/>
        <v>416</v>
      </c>
      <c r="X685">
        <f t="shared" si="143"/>
        <v>0.35149999999999998</v>
      </c>
      <c r="Y685" s="1">
        <f t="shared" si="144"/>
        <v>67883557</v>
      </c>
      <c r="Z685">
        <f t="shared" si="145"/>
        <v>51544.082763857252</v>
      </c>
      <c r="AA685">
        <f t="shared" si="146"/>
        <v>99996</v>
      </c>
      <c r="AB685">
        <f t="shared" si="147"/>
        <v>5091</v>
      </c>
      <c r="AC685">
        <f t="shared" si="148"/>
        <v>1770141.109999998</v>
      </c>
      <c r="AD685">
        <f t="shared" si="149"/>
        <v>1344.0706985573258</v>
      </c>
      <c r="AE685">
        <f t="shared" si="150"/>
        <v>0.35149999999999998</v>
      </c>
      <c r="AF685">
        <f t="shared" si="151"/>
        <v>1163607187.8900001</v>
      </c>
      <c r="AG685" t="str">
        <f t="shared" si="152"/>
        <v>Active</v>
      </c>
      <c r="AH685">
        <f t="shared" si="153"/>
        <v>3703.92</v>
      </c>
    </row>
    <row r="686" spans="1:34" x14ac:dyDescent="0.35">
      <c r="A686" t="s">
        <v>1951</v>
      </c>
      <c r="B686" t="s">
        <v>1952</v>
      </c>
      <c r="C686">
        <v>45</v>
      </c>
      <c r="D686" t="s">
        <v>22</v>
      </c>
      <c r="E686" t="s">
        <v>39</v>
      </c>
      <c r="F686" t="s">
        <v>24</v>
      </c>
      <c r="G686">
        <v>182650</v>
      </c>
      <c r="H686">
        <v>347</v>
      </c>
      <c r="I686">
        <v>94937</v>
      </c>
      <c r="J686">
        <v>15.58</v>
      </c>
      <c r="K686">
        <v>60</v>
      </c>
      <c r="L686" t="s">
        <v>40</v>
      </c>
      <c r="M686">
        <v>49.44</v>
      </c>
      <c r="N686">
        <v>79050</v>
      </c>
      <c r="O686">
        <v>236011</v>
      </c>
      <c r="P686" t="s">
        <v>637</v>
      </c>
      <c r="Q686" t="s">
        <v>42</v>
      </c>
      <c r="R686" t="s">
        <v>28</v>
      </c>
      <c r="S686" t="s">
        <v>29</v>
      </c>
      <c r="T686">
        <v>1828.8</v>
      </c>
      <c r="U686">
        <f t="shared" si="140"/>
        <v>1316</v>
      </c>
      <c r="V686">
        <f t="shared" si="141"/>
        <v>486</v>
      </c>
      <c r="W686">
        <f t="shared" si="142"/>
        <v>415</v>
      </c>
      <c r="X686">
        <f t="shared" si="143"/>
        <v>0.35149999999999998</v>
      </c>
      <c r="Y686" s="1">
        <f t="shared" si="144"/>
        <v>67792043</v>
      </c>
      <c r="Z686">
        <f t="shared" si="145"/>
        <v>51513.71048632219</v>
      </c>
      <c r="AA686">
        <f t="shared" si="146"/>
        <v>99996</v>
      </c>
      <c r="AB686">
        <f t="shared" si="147"/>
        <v>5091</v>
      </c>
      <c r="AC686">
        <f t="shared" si="148"/>
        <v>1769832.4499999979</v>
      </c>
      <c r="AD686">
        <f t="shared" si="149"/>
        <v>1344.85748480243</v>
      </c>
      <c r="AE686">
        <f t="shared" si="150"/>
        <v>0.35149999999999998</v>
      </c>
      <c r="AF686">
        <f t="shared" si="151"/>
        <v>1161837046.7800002</v>
      </c>
      <c r="AG686" t="str">
        <f t="shared" si="152"/>
        <v>Active</v>
      </c>
      <c r="AH686">
        <f t="shared" si="153"/>
        <v>21945.599999999999</v>
      </c>
    </row>
    <row r="687" spans="1:34" x14ac:dyDescent="0.35">
      <c r="A687" t="s">
        <v>1953</v>
      </c>
      <c r="B687" t="s">
        <v>1954</v>
      </c>
      <c r="C687">
        <v>41</v>
      </c>
      <c r="D687" t="s">
        <v>38</v>
      </c>
      <c r="E687" t="s">
        <v>23</v>
      </c>
      <c r="F687" t="s">
        <v>24</v>
      </c>
      <c r="G687">
        <v>133806</v>
      </c>
      <c r="H687">
        <v>772</v>
      </c>
      <c r="I687">
        <v>70590</v>
      </c>
      <c r="J687">
        <v>9.09</v>
      </c>
      <c r="K687">
        <v>360</v>
      </c>
      <c r="L687" t="s">
        <v>52</v>
      </c>
      <c r="M687">
        <v>18.21</v>
      </c>
      <c r="N687">
        <v>38383</v>
      </c>
      <c r="O687">
        <v>122078</v>
      </c>
      <c r="P687" t="s">
        <v>1955</v>
      </c>
      <c r="Q687" t="s">
        <v>27</v>
      </c>
      <c r="R687" t="s">
        <v>48</v>
      </c>
      <c r="S687" t="s">
        <v>29</v>
      </c>
      <c r="T687">
        <v>213.91</v>
      </c>
      <c r="U687">
        <f t="shared" si="140"/>
        <v>1315</v>
      </c>
      <c r="V687">
        <f t="shared" si="141"/>
        <v>485</v>
      </c>
      <c r="W687">
        <f t="shared" si="142"/>
        <v>415</v>
      </c>
      <c r="X687">
        <f t="shared" si="143"/>
        <v>0.35149999999999998</v>
      </c>
      <c r="Y687" s="1">
        <f t="shared" si="144"/>
        <v>67697106</v>
      </c>
      <c r="Z687">
        <f t="shared" si="145"/>
        <v>51480.688973384029</v>
      </c>
      <c r="AA687">
        <f t="shared" si="146"/>
        <v>99996</v>
      </c>
      <c r="AB687">
        <f t="shared" si="147"/>
        <v>5091</v>
      </c>
      <c r="AC687">
        <f t="shared" si="148"/>
        <v>1768003.6499999978</v>
      </c>
      <c r="AD687">
        <f t="shared" si="149"/>
        <v>1344.4894676806066</v>
      </c>
      <c r="AE687">
        <f t="shared" si="150"/>
        <v>0.35149999999999998</v>
      </c>
      <c r="AF687">
        <f t="shared" si="151"/>
        <v>1160067214.3300002</v>
      </c>
      <c r="AG687" t="str">
        <f t="shared" si="152"/>
        <v>Active</v>
      </c>
      <c r="AH687">
        <f t="shared" si="153"/>
        <v>2566.92</v>
      </c>
    </row>
    <row r="688" spans="1:34" x14ac:dyDescent="0.35">
      <c r="A688" t="s">
        <v>1956</v>
      </c>
      <c r="B688" t="s">
        <v>1957</v>
      </c>
      <c r="C688">
        <v>57</v>
      </c>
      <c r="D688" t="s">
        <v>22</v>
      </c>
      <c r="E688" t="s">
        <v>39</v>
      </c>
      <c r="F688" t="s">
        <v>59</v>
      </c>
      <c r="G688">
        <v>36182</v>
      </c>
      <c r="H688">
        <v>791</v>
      </c>
      <c r="I688">
        <v>64785</v>
      </c>
      <c r="J688">
        <v>18.52</v>
      </c>
      <c r="K688">
        <v>180</v>
      </c>
      <c r="L688" t="s">
        <v>33</v>
      </c>
      <c r="M688">
        <v>15.35</v>
      </c>
      <c r="N688">
        <v>73911</v>
      </c>
      <c r="O688">
        <v>199364</v>
      </c>
      <c r="P688" t="s">
        <v>1958</v>
      </c>
      <c r="Q688" t="s">
        <v>42</v>
      </c>
      <c r="R688" t="s">
        <v>48</v>
      </c>
      <c r="S688" t="s">
        <v>43</v>
      </c>
      <c r="T688">
        <v>426.57</v>
      </c>
      <c r="U688">
        <f t="shared" si="140"/>
        <v>1314</v>
      </c>
      <c r="V688">
        <f t="shared" si="141"/>
        <v>485</v>
      </c>
      <c r="W688">
        <f t="shared" si="142"/>
        <v>415</v>
      </c>
      <c r="X688">
        <f t="shared" si="143"/>
        <v>0.35149999999999998</v>
      </c>
      <c r="Y688" s="1">
        <f t="shared" si="144"/>
        <v>67626516</v>
      </c>
      <c r="Z688">
        <f t="shared" si="145"/>
        <v>51466.146118721459</v>
      </c>
      <c r="AA688">
        <f t="shared" si="146"/>
        <v>99996</v>
      </c>
      <c r="AB688">
        <f t="shared" si="147"/>
        <v>5091</v>
      </c>
      <c r="AC688">
        <f t="shared" si="148"/>
        <v>1767789.7399999979</v>
      </c>
      <c r="AD688">
        <f t="shared" si="149"/>
        <v>1345.3498782343972</v>
      </c>
      <c r="AE688">
        <f t="shared" si="150"/>
        <v>0.35149999999999998</v>
      </c>
      <c r="AF688">
        <f t="shared" si="151"/>
        <v>1158299210.6800003</v>
      </c>
      <c r="AG688" t="str">
        <f t="shared" si="152"/>
        <v>Active</v>
      </c>
      <c r="AH688">
        <f t="shared" si="153"/>
        <v>5118.84</v>
      </c>
    </row>
    <row r="689" spans="1:34" x14ac:dyDescent="0.35">
      <c r="A689" t="s">
        <v>1959</v>
      </c>
      <c r="B689" t="s">
        <v>1960</v>
      </c>
      <c r="C689">
        <v>31</v>
      </c>
      <c r="D689" t="s">
        <v>38</v>
      </c>
      <c r="E689" t="s">
        <v>39</v>
      </c>
      <c r="F689" t="s">
        <v>59</v>
      </c>
      <c r="G689">
        <v>113897</v>
      </c>
      <c r="H689">
        <v>334</v>
      </c>
      <c r="I689">
        <v>47143</v>
      </c>
      <c r="J689">
        <v>20.04</v>
      </c>
      <c r="K689">
        <v>48</v>
      </c>
      <c r="L689" t="s">
        <v>40</v>
      </c>
      <c r="M689">
        <v>30.71</v>
      </c>
      <c r="N689">
        <v>67252</v>
      </c>
      <c r="O689">
        <v>245917</v>
      </c>
      <c r="P689" t="s">
        <v>1961</v>
      </c>
      <c r="Q689" t="s">
        <v>42</v>
      </c>
      <c r="R689" t="s">
        <v>48</v>
      </c>
      <c r="S689" t="s">
        <v>29</v>
      </c>
      <c r="T689">
        <v>1178.97</v>
      </c>
      <c r="U689">
        <f t="shared" si="140"/>
        <v>1313</v>
      </c>
      <c r="V689">
        <f t="shared" si="141"/>
        <v>484</v>
      </c>
      <c r="W689">
        <f t="shared" si="142"/>
        <v>415</v>
      </c>
      <c r="X689">
        <f t="shared" si="143"/>
        <v>0.35149999999999998</v>
      </c>
      <c r="Y689" s="1">
        <f t="shared" si="144"/>
        <v>67561731</v>
      </c>
      <c r="Z689">
        <f t="shared" si="145"/>
        <v>51456.002284843868</v>
      </c>
      <c r="AA689">
        <f t="shared" si="146"/>
        <v>99996</v>
      </c>
      <c r="AB689">
        <f t="shared" si="147"/>
        <v>5091</v>
      </c>
      <c r="AC689">
        <f t="shared" si="148"/>
        <v>1767363.1699999978</v>
      </c>
      <c r="AD689">
        <f t="shared" si="149"/>
        <v>1346.0496344249793</v>
      </c>
      <c r="AE689">
        <f t="shared" si="150"/>
        <v>0.35149999999999998</v>
      </c>
      <c r="AF689">
        <f t="shared" si="151"/>
        <v>1156531420.9400003</v>
      </c>
      <c r="AG689" t="str">
        <f t="shared" si="152"/>
        <v>Active</v>
      </c>
      <c r="AH689">
        <f t="shared" si="153"/>
        <v>14147.64</v>
      </c>
    </row>
    <row r="690" spans="1:34" x14ac:dyDescent="0.35">
      <c r="A690" t="s">
        <v>1962</v>
      </c>
      <c r="B690" t="s">
        <v>1963</v>
      </c>
      <c r="C690">
        <v>24</v>
      </c>
      <c r="D690" t="s">
        <v>38</v>
      </c>
      <c r="E690" t="s">
        <v>23</v>
      </c>
      <c r="F690" t="s">
        <v>46</v>
      </c>
      <c r="G690">
        <v>144789</v>
      </c>
      <c r="H690">
        <v>479</v>
      </c>
      <c r="I690">
        <v>6034</v>
      </c>
      <c r="J690">
        <v>8.1199999999999992</v>
      </c>
      <c r="K690">
        <v>360</v>
      </c>
      <c r="L690" t="s">
        <v>86</v>
      </c>
      <c r="M690">
        <v>39.799999999999997</v>
      </c>
      <c r="N690">
        <v>40989</v>
      </c>
      <c r="O690">
        <v>51609</v>
      </c>
      <c r="P690" t="s">
        <v>1964</v>
      </c>
      <c r="Q690" t="s">
        <v>42</v>
      </c>
      <c r="R690" t="s">
        <v>28</v>
      </c>
      <c r="S690" t="s">
        <v>49</v>
      </c>
      <c r="T690">
        <v>18.12</v>
      </c>
      <c r="U690">
        <f t="shared" si="140"/>
        <v>1312</v>
      </c>
      <c r="V690">
        <f t="shared" si="141"/>
        <v>483</v>
      </c>
      <c r="W690">
        <f t="shared" si="142"/>
        <v>415</v>
      </c>
      <c r="X690">
        <f t="shared" si="143"/>
        <v>0.35149999999999998</v>
      </c>
      <c r="Y690" s="1">
        <f t="shared" si="144"/>
        <v>67514588</v>
      </c>
      <c r="Z690">
        <f t="shared" si="145"/>
        <v>51459.289634146342</v>
      </c>
      <c r="AA690">
        <f t="shared" si="146"/>
        <v>99996</v>
      </c>
      <c r="AB690">
        <f t="shared" si="147"/>
        <v>5091</v>
      </c>
      <c r="AC690">
        <f t="shared" si="148"/>
        <v>1766184.1999999979</v>
      </c>
      <c r="AD690">
        <f t="shared" si="149"/>
        <v>1346.1769817073155</v>
      </c>
      <c r="AE690">
        <f t="shared" si="150"/>
        <v>0.35149999999999998</v>
      </c>
      <c r="AF690">
        <f t="shared" si="151"/>
        <v>1154764057.7700005</v>
      </c>
      <c r="AG690" t="str">
        <f t="shared" si="152"/>
        <v>Active</v>
      </c>
      <c r="AH690">
        <f t="shared" si="153"/>
        <v>217.44</v>
      </c>
    </row>
    <row r="691" spans="1:34" x14ac:dyDescent="0.35">
      <c r="A691" t="s">
        <v>1965</v>
      </c>
      <c r="B691" t="s">
        <v>1966</v>
      </c>
      <c r="C691">
        <v>32</v>
      </c>
      <c r="D691" t="s">
        <v>22</v>
      </c>
      <c r="E691" t="s">
        <v>32</v>
      </c>
      <c r="F691" t="s">
        <v>46</v>
      </c>
      <c r="G691">
        <v>25409</v>
      </c>
      <c r="H691">
        <v>368</v>
      </c>
      <c r="I691">
        <v>49246</v>
      </c>
      <c r="J691">
        <v>13.75</v>
      </c>
      <c r="K691">
        <v>24</v>
      </c>
      <c r="L691" t="s">
        <v>40</v>
      </c>
      <c r="M691">
        <v>13.56</v>
      </c>
      <c r="N691">
        <v>996</v>
      </c>
      <c r="O691">
        <v>82207</v>
      </c>
      <c r="P691" t="s">
        <v>1489</v>
      </c>
      <c r="Q691" t="s">
        <v>42</v>
      </c>
      <c r="R691" t="s">
        <v>48</v>
      </c>
      <c r="S691" t="s">
        <v>68</v>
      </c>
      <c r="T691">
        <v>2334.06</v>
      </c>
      <c r="U691">
        <f t="shared" si="140"/>
        <v>1311</v>
      </c>
      <c r="V691">
        <f t="shared" si="141"/>
        <v>482</v>
      </c>
      <c r="W691">
        <f t="shared" si="142"/>
        <v>415</v>
      </c>
      <c r="X691">
        <f t="shared" si="143"/>
        <v>0.35149999999999998</v>
      </c>
      <c r="Y691" s="1">
        <f t="shared" si="144"/>
        <v>67508554</v>
      </c>
      <c r="Z691">
        <f t="shared" si="145"/>
        <v>51493.938977879479</v>
      </c>
      <c r="AA691">
        <f t="shared" si="146"/>
        <v>99996</v>
      </c>
      <c r="AB691">
        <f t="shared" si="147"/>
        <v>5091</v>
      </c>
      <c r="AC691">
        <f t="shared" si="148"/>
        <v>1766166.0799999977</v>
      </c>
      <c r="AD691">
        <f t="shared" si="149"/>
        <v>1347.1899923722333</v>
      </c>
      <c r="AE691">
        <f t="shared" si="150"/>
        <v>0.35149999999999998</v>
      </c>
      <c r="AF691">
        <f t="shared" si="151"/>
        <v>1152997873.5700004</v>
      </c>
      <c r="AG691" t="str">
        <f t="shared" si="152"/>
        <v>Active</v>
      </c>
      <c r="AH691">
        <f t="shared" si="153"/>
        <v>28008.720000000001</v>
      </c>
    </row>
    <row r="692" spans="1:34" x14ac:dyDescent="0.35">
      <c r="A692" t="s">
        <v>1967</v>
      </c>
      <c r="B692" t="s">
        <v>1968</v>
      </c>
      <c r="C692">
        <v>44</v>
      </c>
      <c r="D692" t="s">
        <v>22</v>
      </c>
      <c r="E692" t="s">
        <v>32</v>
      </c>
      <c r="F692" t="s">
        <v>24</v>
      </c>
      <c r="G692">
        <v>192860</v>
      </c>
      <c r="H692">
        <v>687</v>
      </c>
      <c r="I692">
        <v>64992</v>
      </c>
      <c r="J692">
        <v>15.9</v>
      </c>
      <c r="K692">
        <v>36</v>
      </c>
      <c r="L692" t="s">
        <v>25</v>
      </c>
      <c r="M692">
        <v>26.87</v>
      </c>
      <c r="N692">
        <v>60860</v>
      </c>
      <c r="O692">
        <v>77890</v>
      </c>
      <c r="P692" t="s">
        <v>60</v>
      </c>
      <c r="Q692" t="s">
        <v>27</v>
      </c>
      <c r="R692" t="s">
        <v>28</v>
      </c>
      <c r="S692" t="s">
        <v>29</v>
      </c>
      <c r="T692">
        <v>2092.38</v>
      </c>
      <c r="U692">
        <f t="shared" si="140"/>
        <v>1310</v>
      </c>
      <c r="V692">
        <f t="shared" si="141"/>
        <v>481</v>
      </c>
      <c r="W692">
        <f t="shared" si="142"/>
        <v>415</v>
      </c>
      <c r="X692">
        <f t="shared" si="143"/>
        <v>0.35149999999999998</v>
      </c>
      <c r="Y692" s="1">
        <f t="shared" si="144"/>
        <v>67459308</v>
      </c>
      <c r="Z692">
        <f t="shared" si="145"/>
        <v>51495.654961832064</v>
      </c>
      <c r="AA692">
        <f t="shared" si="146"/>
        <v>99996</v>
      </c>
      <c r="AB692">
        <f t="shared" si="147"/>
        <v>5091</v>
      </c>
      <c r="AC692">
        <f t="shared" si="148"/>
        <v>1763832.0199999977</v>
      </c>
      <c r="AD692">
        <f t="shared" si="149"/>
        <v>1346.4366564885479</v>
      </c>
      <c r="AE692">
        <f t="shared" si="150"/>
        <v>0.35149999999999998</v>
      </c>
      <c r="AF692">
        <f t="shared" si="151"/>
        <v>1151231707.4900002</v>
      </c>
      <c r="AG692" t="str">
        <f t="shared" si="152"/>
        <v>Active</v>
      </c>
      <c r="AH692">
        <f t="shared" si="153"/>
        <v>25108.560000000001</v>
      </c>
    </row>
    <row r="693" spans="1:34" x14ac:dyDescent="0.35">
      <c r="A693" t="s">
        <v>1969</v>
      </c>
      <c r="B693" t="s">
        <v>1970</v>
      </c>
      <c r="C693">
        <v>62</v>
      </c>
      <c r="D693" t="s">
        <v>38</v>
      </c>
      <c r="E693" t="s">
        <v>32</v>
      </c>
      <c r="F693" t="s">
        <v>24</v>
      </c>
      <c r="G693">
        <v>179915</v>
      </c>
      <c r="H693">
        <v>593</v>
      </c>
      <c r="I693">
        <v>27604</v>
      </c>
      <c r="J693">
        <v>3.88</v>
      </c>
      <c r="K693">
        <v>60</v>
      </c>
      <c r="L693" t="s">
        <v>40</v>
      </c>
      <c r="M693">
        <v>8.73</v>
      </c>
      <c r="N693">
        <v>77857</v>
      </c>
      <c r="O693">
        <v>235443</v>
      </c>
      <c r="P693" t="s">
        <v>1971</v>
      </c>
      <c r="Q693" t="s">
        <v>27</v>
      </c>
      <c r="R693" t="s">
        <v>48</v>
      </c>
      <c r="S693" t="s">
        <v>43</v>
      </c>
      <c r="T693">
        <v>477.92</v>
      </c>
      <c r="U693">
        <f t="shared" si="140"/>
        <v>1309</v>
      </c>
      <c r="V693">
        <f t="shared" si="141"/>
        <v>481</v>
      </c>
      <c r="W693">
        <f t="shared" si="142"/>
        <v>415</v>
      </c>
      <c r="X693">
        <f t="shared" si="143"/>
        <v>0.35149999999999998</v>
      </c>
      <c r="Y693" s="1">
        <f t="shared" si="144"/>
        <v>67394316</v>
      </c>
      <c r="Z693">
        <f t="shared" si="145"/>
        <v>51485.344537815123</v>
      </c>
      <c r="AA693">
        <f t="shared" si="146"/>
        <v>99996</v>
      </c>
      <c r="AB693">
        <f t="shared" si="147"/>
        <v>5091</v>
      </c>
      <c r="AC693">
        <f t="shared" si="148"/>
        <v>1761739.6399999978</v>
      </c>
      <c r="AD693">
        <f t="shared" si="149"/>
        <v>1345.866799083268</v>
      </c>
      <c r="AE693">
        <f t="shared" si="150"/>
        <v>0.35149999999999998</v>
      </c>
      <c r="AF693">
        <f t="shared" si="151"/>
        <v>1149467875.4700003</v>
      </c>
      <c r="AG693" t="str">
        <f t="shared" si="152"/>
        <v>Active</v>
      </c>
      <c r="AH693">
        <f t="shared" si="153"/>
        <v>5735.04</v>
      </c>
    </row>
    <row r="694" spans="1:34" x14ac:dyDescent="0.35">
      <c r="A694" t="s">
        <v>1972</v>
      </c>
      <c r="B694" t="s">
        <v>1973</v>
      </c>
      <c r="C694">
        <v>56</v>
      </c>
      <c r="D694" t="s">
        <v>22</v>
      </c>
      <c r="E694" t="s">
        <v>39</v>
      </c>
      <c r="F694" t="s">
        <v>46</v>
      </c>
      <c r="G694">
        <v>91287</v>
      </c>
      <c r="H694">
        <v>401</v>
      </c>
      <c r="I694">
        <v>39407</v>
      </c>
      <c r="J694">
        <v>12.08</v>
      </c>
      <c r="K694">
        <v>36</v>
      </c>
      <c r="L694" t="s">
        <v>40</v>
      </c>
      <c r="M694">
        <v>38.65</v>
      </c>
      <c r="N694">
        <v>71925</v>
      </c>
      <c r="O694">
        <v>25875</v>
      </c>
      <c r="P694" t="s">
        <v>1974</v>
      </c>
      <c r="Q694" t="s">
        <v>27</v>
      </c>
      <c r="R694" t="s">
        <v>28</v>
      </c>
      <c r="S694" t="s">
        <v>35</v>
      </c>
      <c r="T694">
        <v>1226.8699999999999</v>
      </c>
      <c r="U694">
        <f t="shared" si="140"/>
        <v>1308</v>
      </c>
      <c r="V694">
        <f t="shared" si="141"/>
        <v>481</v>
      </c>
      <c r="W694">
        <f t="shared" si="142"/>
        <v>415</v>
      </c>
      <c r="X694">
        <f t="shared" si="143"/>
        <v>0.35149999999999998</v>
      </c>
      <c r="Y694" s="1">
        <f t="shared" si="144"/>
        <v>67366712</v>
      </c>
      <c r="Z694">
        <f t="shared" si="145"/>
        <v>51503.602446483179</v>
      </c>
      <c r="AA694">
        <f t="shared" si="146"/>
        <v>99996</v>
      </c>
      <c r="AB694">
        <f t="shared" si="147"/>
        <v>5091</v>
      </c>
      <c r="AC694">
        <f t="shared" si="148"/>
        <v>1761261.7199999979</v>
      </c>
      <c r="AD694">
        <f t="shared" si="149"/>
        <v>1346.5303669724753</v>
      </c>
      <c r="AE694">
        <f t="shared" si="150"/>
        <v>0.35149999999999998</v>
      </c>
      <c r="AF694">
        <f t="shared" si="151"/>
        <v>1147706135.8299999</v>
      </c>
      <c r="AG694" t="str">
        <f t="shared" si="152"/>
        <v>Active</v>
      </c>
      <c r="AH694">
        <f t="shared" si="153"/>
        <v>14722.439999999999</v>
      </c>
    </row>
    <row r="695" spans="1:34" x14ac:dyDescent="0.35">
      <c r="A695" t="s">
        <v>1975</v>
      </c>
      <c r="B695" t="s">
        <v>1976</v>
      </c>
      <c r="C695">
        <v>48</v>
      </c>
      <c r="D695" t="s">
        <v>38</v>
      </c>
      <c r="E695" t="s">
        <v>32</v>
      </c>
      <c r="F695" t="s">
        <v>59</v>
      </c>
      <c r="G695">
        <v>184695</v>
      </c>
      <c r="H695">
        <v>841</v>
      </c>
      <c r="I695">
        <v>75521</v>
      </c>
      <c r="J695">
        <v>8.57</v>
      </c>
      <c r="K695">
        <v>240</v>
      </c>
      <c r="L695" t="s">
        <v>25</v>
      </c>
      <c r="M695">
        <v>28.23</v>
      </c>
      <c r="N695">
        <v>73312</v>
      </c>
      <c r="O695">
        <v>95976</v>
      </c>
      <c r="P695" t="s">
        <v>1977</v>
      </c>
      <c r="Q695" t="s">
        <v>42</v>
      </c>
      <c r="R695" t="s">
        <v>28</v>
      </c>
      <c r="S695" t="s">
        <v>49</v>
      </c>
      <c r="T695">
        <v>341.64</v>
      </c>
      <c r="U695">
        <f t="shared" si="140"/>
        <v>1307</v>
      </c>
      <c r="V695">
        <f t="shared" si="141"/>
        <v>481</v>
      </c>
      <c r="W695">
        <f t="shared" si="142"/>
        <v>415</v>
      </c>
      <c r="X695">
        <f t="shared" si="143"/>
        <v>0.35149999999999998</v>
      </c>
      <c r="Y695" s="1">
        <f t="shared" si="144"/>
        <v>67327305</v>
      </c>
      <c r="Z695">
        <f t="shared" si="145"/>
        <v>51512.857689364959</v>
      </c>
      <c r="AA695">
        <f t="shared" si="146"/>
        <v>99996</v>
      </c>
      <c r="AB695">
        <f t="shared" si="147"/>
        <v>5091</v>
      </c>
      <c r="AC695">
        <f t="shared" si="148"/>
        <v>1760034.8499999978</v>
      </c>
      <c r="AD695">
        <f t="shared" si="149"/>
        <v>1346.6219204284605</v>
      </c>
      <c r="AE695">
        <f t="shared" si="150"/>
        <v>0.35149999999999998</v>
      </c>
      <c r="AF695">
        <f t="shared" si="151"/>
        <v>1145944874.1100001</v>
      </c>
      <c r="AG695" t="str">
        <f t="shared" si="152"/>
        <v>Active</v>
      </c>
      <c r="AH695">
        <f t="shared" si="153"/>
        <v>4099.68</v>
      </c>
    </row>
    <row r="696" spans="1:34" x14ac:dyDescent="0.35">
      <c r="A696" t="s">
        <v>1978</v>
      </c>
      <c r="B696" t="s">
        <v>1979</v>
      </c>
      <c r="C696">
        <v>50</v>
      </c>
      <c r="D696" t="s">
        <v>38</v>
      </c>
      <c r="E696" t="s">
        <v>23</v>
      </c>
      <c r="F696" t="s">
        <v>46</v>
      </c>
      <c r="G696">
        <v>84829</v>
      </c>
      <c r="H696">
        <v>456</v>
      </c>
      <c r="I696">
        <v>43900</v>
      </c>
      <c r="J696">
        <v>12.44</v>
      </c>
      <c r="K696">
        <v>240</v>
      </c>
      <c r="L696" t="s">
        <v>25</v>
      </c>
      <c r="M696">
        <v>50.33</v>
      </c>
      <c r="N696">
        <v>23524</v>
      </c>
      <c r="O696">
        <v>61758</v>
      </c>
      <c r="P696" t="s">
        <v>1980</v>
      </c>
      <c r="Q696" t="s">
        <v>27</v>
      </c>
      <c r="R696" t="s">
        <v>28</v>
      </c>
      <c r="S696" t="s">
        <v>35</v>
      </c>
      <c r="T696">
        <v>205.67</v>
      </c>
      <c r="U696">
        <f t="shared" si="140"/>
        <v>1306</v>
      </c>
      <c r="V696">
        <f t="shared" si="141"/>
        <v>480</v>
      </c>
      <c r="W696">
        <f t="shared" si="142"/>
        <v>415</v>
      </c>
      <c r="X696">
        <f t="shared" si="143"/>
        <v>0.35149999999999998</v>
      </c>
      <c r="Y696" s="1">
        <f t="shared" si="144"/>
        <v>67251784</v>
      </c>
      <c r="Z696">
        <f t="shared" si="145"/>
        <v>51494.474732006129</v>
      </c>
      <c r="AA696">
        <f t="shared" si="146"/>
        <v>99996</v>
      </c>
      <c r="AB696">
        <f t="shared" si="147"/>
        <v>5091</v>
      </c>
      <c r="AC696">
        <f t="shared" si="148"/>
        <v>1759693.2099999979</v>
      </c>
      <c r="AD696">
        <f t="shared" si="149"/>
        <v>1347.3914318529846</v>
      </c>
      <c r="AE696">
        <f t="shared" si="150"/>
        <v>0.35149999999999998</v>
      </c>
      <c r="AF696">
        <f t="shared" si="151"/>
        <v>1144184839.2599998</v>
      </c>
      <c r="AG696" t="str">
        <f t="shared" si="152"/>
        <v>Active</v>
      </c>
      <c r="AH696">
        <f t="shared" si="153"/>
        <v>2468.04</v>
      </c>
    </row>
    <row r="697" spans="1:34" x14ac:dyDescent="0.35">
      <c r="A697" t="s">
        <v>1981</v>
      </c>
      <c r="B697" t="s">
        <v>1982</v>
      </c>
      <c r="C697">
        <v>52</v>
      </c>
      <c r="D697" t="s">
        <v>22</v>
      </c>
      <c r="E697" t="s">
        <v>23</v>
      </c>
      <c r="F697" t="s">
        <v>59</v>
      </c>
      <c r="G697">
        <v>173738</v>
      </c>
      <c r="H697">
        <v>436</v>
      </c>
      <c r="I697">
        <v>94663</v>
      </c>
      <c r="J697">
        <v>22.72</v>
      </c>
      <c r="K697">
        <v>24</v>
      </c>
      <c r="L697" t="s">
        <v>25</v>
      </c>
      <c r="M697">
        <v>47.01</v>
      </c>
      <c r="N697">
        <v>8676</v>
      </c>
      <c r="O697">
        <v>85310</v>
      </c>
      <c r="P697" t="s">
        <v>1948</v>
      </c>
      <c r="Q697" t="s">
        <v>61</v>
      </c>
      <c r="R697" t="s">
        <v>48</v>
      </c>
      <c r="S697" t="s">
        <v>29</v>
      </c>
      <c r="T697">
        <v>4840.43</v>
      </c>
      <c r="U697">
        <f t="shared" si="140"/>
        <v>1305</v>
      </c>
      <c r="V697">
        <f t="shared" si="141"/>
        <v>480</v>
      </c>
      <c r="W697">
        <f t="shared" si="142"/>
        <v>415</v>
      </c>
      <c r="X697">
        <f t="shared" si="143"/>
        <v>0.35149999999999998</v>
      </c>
      <c r="Y697" s="1">
        <f t="shared" si="144"/>
        <v>67207884</v>
      </c>
      <c r="Z697">
        <f t="shared" si="145"/>
        <v>51500.294252873566</v>
      </c>
      <c r="AA697">
        <f t="shared" si="146"/>
        <v>99996</v>
      </c>
      <c r="AB697">
        <f t="shared" si="147"/>
        <v>5091</v>
      </c>
      <c r="AC697">
        <f t="shared" si="148"/>
        <v>1759487.5399999977</v>
      </c>
      <c r="AD697">
        <f t="shared" si="149"/>
        <v>1348.2663141762434</v>
      </c>
      <c r="AE697">
        <f t="shared" si="150"/>
        <v>0.35149999999999998</v>
      </c>
      <c r="AF697">
        <f t="shared" si="151"/>
        <v>1142425146.05</v>
      </c>
      <c r="AG697" t="str">
        <f t="shared" si="152"/>
        <v>Active</v>
      </c>
      <c r="AH697">
        <f t="shared" si="153"/>
        <v>58085.16</v>
      </c>
    </row>
    <row r="698" spans="1:34" x14ac:dyDescent="0.35">
      <c r="A698" t="s">
        <v>1983</v>
      </c>
      <c r="B698" t="s">
        <v>1984</v>
      </c>
      <c r="C698">
        <v>37</v>
      </c>
      <c r="D698" t="s">
        <v>22</v>
      </c>
      <c r="E698" t="s">
        <v>39</v>
      </c>
      <c r="F698" t="s">
        <v>46</v>
      </c>
      <c r="G698">
        <v>75420</v>
      </c>
      <c r="H698">
        <v>567</v>
      </c>
      <c r="I698">
        <v>87023</v>
      </c>
      <c r="J698">
        <v>19.149999999999999</v>
      </c>
      <c r="K698">
        <v>24</v>
      </c>
      <c r="L698" t="s">
        <v>25</v>
      </c>
      <c r="M698">
        <v>30.63</v>
      </c>
      <c r="N698">
        <v>24213</v>
      </c>
      <c r="O698">
        <v>209011</v>
      </c>
      <c r="P698" t="s">
        <v>1985</v>
      </c>
      <c r="Q698" t="s">
        <v>61</v>
      </c>
      <c r="R698" t="s">
        <v>48</v>
      </c>
      <c r="S698" t="s">
        <v>43</v>
      </c>
      <c r="T698">
        <v>4320.33</v>
      </c>
      <c r="U698">
        <f t="shared" si="140"/>
        <v>1304</v>
      </c>
      <c r="V698">
        <f t="shared" si="141"/>
        <v>480</v>
      </c>
      <c r="W698">
        <f t="shared" si="142"/>
        <v>414</v>
      </c>
      <c r="X698">
        <f t="shared" si="143"/>
        <v>0.35149999999999998</v>
      </c>
      <c r="Y698" s="1">
        <f t="shared" si="144"/>
        <v>67113221</v>
      </c>
      <c r="Z698">
        <f t="shared" si="145"/>
        <v>51467.194018404909</v>
      </c>
      <c r="AA698">
        <f t="shared" si="146"/>
        <v>99996</v>
      </c>
      <c r="AB698">
        <f t="shared" si="147"/>
        <v>5091</v>
      </c>
      <c r="AC698">
        <f t="shared" si="148"/>
        <v>1754647.1099999978</v>
      </c>
      <c r="AD698">
        <f t="shared" si="149"/>
        <v>1345.5882745398756</v>
      </c>
      <c r="AE698">
        <f t="shared" si="150"/>
        <v>0.35149999999999998</v>
      </c>
      <c r="AF698">
        <f t="shared" si="151"/>
        <v>1140665658.5099998</v>
      </c>
      <c r="AG698" t="str">
        <f t="shared" si="152"/>
        <v>Active</v>
      </c>
      <c r="AH698">
        <f t="shared" si="153"/>
        <v>51843.96</v>
      </c>
    </row>
    <row r="699" spans="1:34" x14ac:dyDescent="0.35">
      <c r="A699" t="s">
        <v>1986</v>
      </c>
      <c r="B699" t="s">
        <v>1987</v>
      </c>
      <c r="C699">
        <v>24</v>
      </c>
      <c r="D699" t="s">
        <v>38</v>
      </c>
      <c r="E699" t="s">
        <v>32</v>
      </c>
      <c r="F699" t="s">
        <v>59</v>
      </c>
      <c r="G699">
        <v>169641</v>
      </c>
      <c r="H699">
        <v>555</v>
      </c>
      <c r="I699">
        <v>92594</v>
      </c>
      <c r="J699">
        <v>7.77</v>
      </c>
      <c r="K699">
        <v>36</v>
      </c>
      <c r="L699" t="s">
        <v>25</v>
      </c>
      <c r="M699">
        <v>7.19</v>
      </c>
      <c r="N699">
        <v>4147</v>
      </c>
      <c r="O699">
        <v>42107</v>
      </c>
      <c r="P699" t="s">
        <v>1458</v>
      </c>
      <c r="Q699" t="s">
        <v>61</v>
      </c>
      <c r="R699" t="s">
        <v>28</v>
      </c>
      <c r="S699" t="s">
        <v>43</v>
      </c>
      <c r="T699">
        <v>2771.9</v>
      </c>
      <c r="U699">
        <f t="shared" si="140"/>
        <v>1303</v>
      </c>
      <c r="V699">
        <f t="shared" si="141"/>
        <v>480</v>
      </c>
      <c r="W699">
        <f t="shared" si="142"/>
        <v>413</v>
      </c>
      <c r="X699">
        <f t="shared" si="143"/>
        <v>0.35149999999999998</v>
      </c>
      <c r="Y699" s="1">
        <f t="shared" si="144"/>
        <v>67026198</v>
      </c>
      <c r="Z699">
        <f t="shared" si="145"/>
        <v>51439.906369915581</v>
      </c>
      <c r="AA699">
        <f t="shared" si="146"/>
        <v>99996</v>
      </c>
      <c r="AB699">
        <f t="shared" si="147"/>
        <v>5091</v>
      </c>
      <c r="AC699">
        <f t="shared" si="148"/>
        <v>1750326.7799999977</v>
      </c>
      <c r="AD699">
        <f t="shared" si="149"/>
        <v>1343.3052801227918</v>
      </c>
      <c r="AE699">
        <f t="shared" si="150"/>
        <v>0.35149999999999998</v>
      </c>
      <c r="AF699">
        <f t="shared" si="151"/>
        <v>1138911011.3999996</v>
      </c>
      <c r="AG699" t="str">
        <f t="shared" si="152"/>
        <v>Active</v>
      </c>
      <c r="AH699">
        <f t="shared" si="153"/>
        <v>33262.800000000003</v>
      </c>
    </row>
    <row r="700" spans="1:34" x14ac:dyDescent="0.35">
      <c r="A700" t="s">
        <v>1988</v>
      </c>
      <c r="B700" t="s">
        <v>1989</v>
      </c>
      <c r="C700">
        <v>35</v>
      </c>
      <c r="D700" t="s">
        <v>22</v>
      </c>
      <c r="E700" t="s">
        <v>32</v>
      </c>
      <c r="F700" t="s">
        <v>46</v>
      </c>
      <c r="G700">
        <v>53571</v>
      </c>
      <c r="H700">
        <v>784</v>
      </c>
      <c r="I700">
        <v>79665</v>
      </c>
      <c r="J700">
        <v>6.96</v>
      </c>
      <c r="K700">
        <v>120</v>
      </c>
      <c r="L700" t="s">
        <v>52</v>
      </c>
      <c r="M700">
        <v>59.1</v>
      </c>
      <c r="N700">
        <v>22216</v>
      </c>
      <c r="O700">
        <v>246750</v>
      </c>
      <c r="P700" t="s">
        <v>1990</v>
      </c>
      <c r="Q700" t="s">
        <v>27</v>
      </c>
      <c r="R700" t="s">
        <v>28</v>
      </c>
      <c r="S700" t="s">
        <v>29</v>
      </c>
      <c r="T700">
        <v>710.08</v>
      </c>
      <c r="U700">
        <f t="shared" si="140"/>
        <v>1302</v>
      </c>
      <c r="V700">
        <f t="shared" si="141"/>
        <v>480</v>
      </c>
      <c r="W700">
        <f t="shared" si="142"/>
        <v>412</v>
      </c>
      <c r="X700">
        <f t="shared" si="143"/>
        <v>0.35149999999999998</v>
      </c>
      <c r="Y700" s="1">
        <f t="shared" si="144"/>
        <v>66933604</v>
      </c>
      <c r="Z700">
        <f t="shared" si="145"/>
        <v>51408.298003072196</v>
      </c>
      <c r="AA700">
        <f t="shared" si="146"/>
        <v>99996</v>
      </c>
      <c r="AB700">
        <f t="shared" si="147"/>
        <v>5091</v>
      </c>
      <c r="AC700">
        <f t="shared" si="148"/>
        <v>1747554.8799999978</v>
      </c>
      <c r="AD700">
        <f t="shared" si="149"/>
        <v>1342.2080491551442</v>
      </c>
      <c r="AE700">
        <f t="shared" si="150"/>
        <v>0.35149999999999998</v>
      </c>
      <c r="AF700">
        <f t="shared" si="151"/>
        <v>1137160684.6199992</v>
      </c>
      <c r="AG700" t="str">
        <f t="shared" si="152"/>
        <v>Active</v>
      </c>
      <c r="AH700">
        <f t="shared" si="153"/>
        <v>8520.9600000000009</v>
      </c>
    </row>
    <row r="701" spans="1:34" x14ac:dyDescent="0.35">
      <c r="A701" t="s">
        <v>1991</v>
      </c>
      <c r="B701" t="s">
        <v>1992</v>
      </c>
      <c r="C701">
        <v>33</v>
      </c>
      <c r="D701" t="s">
        <v>22</v>
      </c>
      <c r="E701" t="s">
        <v>23</v>
      </c>
      <c r="F701" t="s">
        <v>24</v>
      </c>
      <c r="G701">
        <v>159473</v>
      </c>
      <c r="H701">
        <v>606</v>
      </c>
      <c r="I701">
        <v>34450</v>
      </c>
      <c r="J701">
        <v>8.9600000000000009</v>
      </c>
      <c r="K701">
        <v>180</v>
      </c>
      <c r="L701" t="s">
        <v>33</v>
      </c>
      <c r="M701">
        <v>53.31</v>
      </c>
      <c r="N701">
        <v>21115</v>
      </c>
      <c r="O701">
        <v>202844</v>
      </c>
      <c r="P701" t="s">
        <v>1993</v>
      </c>
      <c r="Q701" t="s">
        <v>61</v>
      </c>
      <c r="R701" t="s">
        <v>28</v>
      </c>
      <c r="S701" t="s">
        <v>49</v>
      </c>
      <c r="T701">
        <v>208.54</v>
      </c>
      <c r="U701">
        <f t="shared" si="140"/>
        <v>1301</v>
      </c>
      <c r="V701">
        <f t="shared" si="141"/>
        <v>480</v>
      </c>
      <c r="W701">
        <f t="shared" si="142"/>
        <v>412</v>
      </c>
      <c r="X701">
        <f t="shared" si="143"/>
        <v>0.35149999999999998</v>
      </c>
      <c r="Y701" s="1">
        <f t="shared" si="144"/>
        <v>66853939</v>
      </c>
      <c r="Z701">
        <f t="shared" si="145"/>
        <v>51386.57878554958</v>
      </c>
      <c r="AA701">
        <f t="shared" si="146"/>
        <v>99996</v>
      </c>
      <c r="AB701">
        <f t="shared" si="147"/>
        <v>5091</v>
      </c>
      <c r="AC701">
        <f t="shared" si="148"/>
        <v>1746844.7999999977</v>
      </c>
      <c r="AD701">
        <f t="shared" si="149"/>
        <v>1342.6939277478846</v>
      </c>
      <c r="AE701">
        <f t="shared" si="150"/>
        <v>0.35149999999999998</v>
      </c>
      <c r="AF701">
        <f t="shared" si="151"/>
        <v>1135413129.7399995</v>
      </c>
      <c r="AG701" t="str">
        <f t="shared" si="152"/>
        <v>Active</v>
      </c>
      <c r="AH701">
        <f t="shared" si="153"/>
        <v>2502.48</v>
      </c>
    </row>
    <row r="702" spans="1:34" x14ac:dyDescent="0.35">
      <c r="A702" t="s">
        <v>1994</v>
      </c>
      <c r="B702" t="s">
        <v>1995</v>
      </c>
      <c r="C702">
        <v>44</v>
      </c>
      <c r="D702" t="s">
        <v>22</v>
      </c>
      <c r="E702" t="s">
        <v>39</v>
      </c>
      <c r="F702" t="s">
        <v>46</v>
      </c>
      <c r="G702">
        <v>35684</v>
      </c>
      <c r="H702">
        <v>451</v>
      </c>
      <c r="I702">
        <v>80777</v>
      </c>
      <c r="J702">
        <v>12.26</v>
      </c>
      <c r="K702">
        <v>48</v>
      </c>
      <c r="L702" t="s">
        <v>25</v>
      </c>
      <c r="M702">
        <v>24.39</v>
      </c>
      <c r="N702">
        <v>13288</v>
      </c>
      <c r="O702">
        <v>125625</v>
      </c>
      <c r="P702" t="s">
        <v>1996</v>
      </c>
      <c r="Q702" t="s">
        <v>42</v>
      </c>
      <c r="R702" t="s">
        <v>48</v>
      </c>
      <c r="S702" t="s">
        <v>68</v>
      </c>
      <c r="T702">
        <v>1889.17</v>
      </c>
      <c r="U702">
        <f t="shared" si="140"/>
        <v>1300</v>
      </c>
      <c r="V702">
        <f t="shared" si="141"/>
        <v>480</v>
      </c>
      <c r="W702">
        <f t="shared" si="142"/>
        <v>411</v>
      </c>
      <c r="X702">
        <f t="shared" si="143"/>
        <v>0.35149999999999998</v>
      </c>
      <c r="Y702" s="1">
        <f t="shared" si="144"/>
        <v>66819489</v>
      </c>
      <c r="Z702">
        <f t="shared" si="145"/>
        <v>51399.606923076921</v>
      </c>
      <c r="AA702">
        <f t="shared" si="146"/>
        <v>99996</v>
      </c>
      <c r="AB702">
        <f t="shared" si="147"/>
        <v>5091</v>
      </c>
      <c r="AC702">
        <f t="shared" si="148"/>
        <v>1746636.2599999977</v>
      </c>
      <c r="AD702">
        <f t="shared" si="149"/>
        <v>1343.566353846152</v>
      </c>
      <c r="AE702">
        <f t="shared" si="150"/>
        <v>0.35149999999999998</v>
      </c>
      <c r="AF702">
        <f t="shared" si="151"/>
        <v>1133666284.9399993</v>
      </c>
      <c r="AG702" t="str">
        <f t="shared" si="152"/>
        <v>Active</v>
      </c>
      <c r="AH702">
        <f t="shared" si="153"/>
        <v>22670.04</v>
      </c>
    </row>
    <row r="703" spans="1:34" x14ac:dyDescent="0.35">
      <c r="A703" t="s">
        <v>1997</v>
      </c>
      <c r="B703" t="s">
        <v>1998</v>
      </c>
      <c r="C703">
        <v>62</v>
      </c>
      <c r="D703" t="s">
        <v>38</v>
      </c>
      <c r="E703" t="s">
        <v>23</v>
      </c>
      <c r="F703" t="s">
        <v>24</v>
      </c>
      <c r="G703">
        <v>166428</v>
      </c>
      <c r="H703">
        <v>624</v>
      </c>
      <c r="I703">
        <v>57133</v>
      </c>
      <c r="J703">
        <v>16.55</v>
      </c>
      <c r="K703">
        <v>48</v>
      </c>
      <c r="L703" t="s">
        <v>33</v>
      </c>
      <c r="M703">
        <v>14.72</v>
      </c>
      <c r="N703">
        <v>70846</v>
      </c>
      <c r="O703">
        <v>7409</v>
      </c>
      <c r="P703" t="s">
        <v>1999</v>
      </c>
      <c r="Q703" t="s">
        <v>42</v>
      </c>
      <c r="R703" t="s">
        <v>48</v>
      </c>
      <c r="S703" t="s">
        <v>43</v>
      </c>
      <c r="T703">
        <v>1387.26</v>
      </c>
      <c r="U703">
        <f t="shared" si="140"/>
        <v>1299</v>
      </c>
      <c r="V703">
        <f t="shared" si="141"/>
        <v>479</v>
      </c>
      <c r="W703">
        <f t="shared" si="142"/>
        <v>411</v>
      </c>
      <c r="X703">
        <f t="shared" si="143"/>
        <v>0.35149999999999998</v>
      </c>
      <c r="Y703" s="1">
        <f t="shared" si="144"/>
        <v>66738712</v>
      </c>
      <c r="Z703">
        <f t="shared" si="145"/>
        <v>51376.991531947649</v>
      </c>
      <c r="AA703">
        <f t="shared" si="146"/>
        <v>99996</v>
      </c>
      <c r="AB703">
        <f t="shared" si="147"/>
        <v>5091</v>
      </c>
      <c r="AC703">
        <f t="shared" si="148"/>
        <v>1744747.0899999978</v>
      </c>
      <c r="AD703">
        <f t="shared" si="149"/>
        <v>1343.1463356428005</v>
      </c>
      <c r="AE703">
        <f t="shared" si="150"/>
        <v>0.35149999999999998</v>
      </c>
      <c r="AF703">
        <f t="shared" si="151"/>
        <v>1131919648.6799994</v>
      </c>
      <c r="AG703" t="str">
        <f t="shared" si="152"/>
        <v>Active</v>
      </c>
      <c r="AH703">
        <f t="shared" si="153"/>
        <v>16647.12</v>
      </c>
    </row>
    <row r="704" spans="1:34" x14ac:dyDescent="0.35">
      <c r="A704" t="s">
        <v>2000</v>
      </c>
      <c r="B704" t="s">
        <v>2001</v>
      </c>
      <c r="C704">
        <v>40</v>
      </c>
      <c r="D704" t="s">
        <v>22</v>
      </c>
      <c r="E704" t="s">
        <v>32</v>
      </c>
      <c r="F704" t="s">
        <v>24</v>
      </c>
      <c r="G704">
        <v>57625</v>
      </c>
      <c r="H704">
        <v>719</v>
      </c>
      <c r="I704">
        <v>78640</v>
      </c>
      <c r="J704">
        <v>9.36</v>
      </c>
      <c r="K704">
        <v>60</v>
      </c>
      <c r="L704" t="s">
        <v>25</v>
      </c>
      <c r="M704">
        <v>35.340000000000003</v>
      </c>
      <c r="N704">
        <v>5208</v>
      </c>
      <c r="O704">
        <v>78543</v>
      </c>
      <c r="P704" t="s">
        <v>2002</v>
      </c>
      <c r="Q704" t="s">
        <v>27</v>
      </c>
      <c r="R704" t="s">
        <v>28</v>
      </c>
      <c r="S704" t="s">
        <v>49</v>
      </c>
      <c r="T704">
        <v>1433.35</v>
      </c>
      <c r="U704">
        <f t="shared" si="140"/>
        <v>1298</v>
      </c>
      <c r="V704">
        <f t="shared" si="141"/>
        <v>478</v>
      </c>
      <c r="W704">
        <f t="shared" si="142"/>
        <v>411</v>
      </c>
      <c r="X704">
        <f t="shared" si="143"/>
        <v>0.35149999999999998</v>
      </c>
      <c r="Y704" s="1">
        <f t="shared" si="144"/>
        <v>66681579</v>
      </c>
      <c r="Z704">
        <f t="shared" si="145"/>
        <v>51372.557010785822</v>
      </c>
      <c r="AA704">
        <f t="shared" si="146"/>
        <v>99996</v>
      </c>
      <c r="AB704">
        <f t="shared" si="147"/>
        <v>5091</v>
      </c>
      <c r="AC704">
        <f t="shared" si="148"/>
        <v>1743359.829999998</v>
      </c>
      <c r="AD704">
        <f t="shared" si="149"/>
        <v>1343.1123497688736</v>
      </c>
      <c r="AE704">
        <f t="shared" si="150"/>
        <v>0.35149999999999998</v>
      </c>
      <c r="AF704">
        <f t="shared" si="151"/>
        <v>1130174901.5899992</v>
      </c>
      <c r="AG704" t="str">
        <f t="shared" si="152"/>
        <v>Active</v>
      </c>
      <c r="AH704">
        <f t="shared" si="153"/>
        <v>17200.199999999997</v>
      </c>
    </row>
    <row r="705" spans="1:34" x14ac:dyDescent="0.35">
      <c r="A705" t="s">
        <v>2003</v>
      </c>
      <c r="B705" t="s">
        <v>2004</v>
      </c>
      <c r="C705">
        <v>60</v>
      </c>
      <c r="D705" t="s">
        <v>22</v>
      </c>
      <c r="E705" t="s">
        <v>32</v>
      </c>
      <c r="F705" t="s">
        <v>24</v>
      </c>
      <c r="G705">
        <v>91400</v>
      </c>
      <c r="H705">
        <v>397</v>
      </c>
      <c r="I705">
        <v>25008</v>
      </c>
      <c r="J705">
        <v>23.94</v>
      </c>
      <c r="K705">
        <v>60</v>
      </c>
      <c r="L705" t="s">
        <v>40</v>
      </c>
      <c r="M705">
        <v>46.97</v>
      </c>
      <c r="N705">
        <v>56632</v>
      </c>
      <c r="O705">
        <v>108131</v>
      </c>
      <c r="P705" t="s">
        <v>2005</v>
      </c>
      <c r="Q705" t="s">
        <v>61</v>
      </c>
      <c r="R705" t="s">
        <v>28</v>
      </c>
      <c r="S705" t="s">
        <v>43</v>
      </c>
      <c r="T705">
        <v>516.58000000000004</v>
      </c>
      <c r="U705">
        <f t="shared" si="140"/>
        <v>1297</v>
      </c>
      <c r="V705">
        <f t="shared" si="141"/>
        <v>478</v>
      </c>
      <c r="W705">
        <f t="shared" si="142"/>
        <v>411</v>
      </c>
      <c r="X705">
        <f t="shared" si="143"/>
        <v>0.35149999999999998</v>
      </c>
      <c r="Y705" s="1">
        <f t="shared" si="144"/>
        <v>66602939</v>
      </c>
      <c r="Z705">
        <f t="shared" si="145"/>
        <v>51351.533538936004</v>
      </c>
      <c r="AA705">
        <f t="shared" si="146"/>
        <v>99996</v>
      </c>
      <c r="AB705">
        <f t="shared" si="147"/>
        <v>5091</v>
      </c>
      <c r="AC705">
        <f t="shared" si="148"/>
        <v>1741926.4799999979</v>
      </c>
      <c r="AD705">
        <f t="shared" si="149"/>
        <v>1343.0427756360816</v>
      </c>
      <c r="AE705">
        <f t="shared" si="150"/>
        <v>0.35149999999999998</v>
      </c>
      <c r="AF705">
        <f t="shared" si="151"/>
        <v>1128431541.759999</v>
      </c>
      <c r="AG705" t="str">
        <f t="shared" si="152"/>
        <v>Active</v>
      </c>
      <c r="AH705">
        <f t="shared" si="153"/>
        <v>6198.9600000000009</v>
      </c>
    </row>
    <row r="706" spans="1:34" x14ac:dyDescent="0.35">
      <c r="A706" t="s">
        <v>2006</v>
      </c>
      <c r="B706" t="s">
        <v>2007</v>
      </c>
      <c r="C706">
        <v>26</v>
      </c>
      <c r="D706" t="s">
        <v>38</v>
      </c>
      <c r="E706" t="s">
        <v>39</v>
      </c>
      <c r="F706" t="s">
        <v>59</v>
      </c>
      <c r="G706">
        <v>161514</v>
      </c>
      <c r="H706">
        <v>712</v>
      </c>
      <c r="I706">
        <v>42311</v>
      </c>
      <c r="J706">
        <v>20.190000000000001</v>
      </c>
      <c r="K706">
        <v>180</v>
      </c>
      <c r="L706" t="s">
        <v>86</v>
      </c>
      <c r="M706">
        <v>22.29</v>
      </c>
      <c r="N706">
        <v>38177</v>
      </c>
      <c r="O706">
        <v>93885</v>
      </c>
      <c r="P706" t="s">
        <v>1857</v>
      </c>
      <c r="Q706" t="s">
        <v>27</v>
      </c>
      <c r="R706" t="s">
        <v>48</v>
      </c>
      <c r="S706" t="s">
        <v>68</v>
      </c>
      <c r="T706">
        <v>282.52</v>
      </c>
      <c r="U706">
        <f t="shared" ref="U706:U769" si="154">COUNTA(A706:A2705)</f>
        <v>1296</v>
      </c>
      <c r="V706">
        <f t="shared" ref="V706:V769" si="155">COUNTIF(Q706:Q2705,"APPROVED")</f>
        <v>478</v>
      </c>
      <c r="W706">
        <f t="shared" ref="W706:W769" si="156">COUNTIF(Q706:Q2706,"Rejected")</f>
        <v>410</v>
      </c>
      <c r="X706">
        <f t="shared" ref="X706:X769" si="157">703/2000</f>
        <v>0.35149999999999998</v>
      </c>
      <c r="Y706" s="1">
        <f t="shared" ref="Y706:Y769" si="158">SUM(I706:I2705)</f>
        <v>66577931</v>
      </c>
      <c r="Z706">
        <f t="shared" ref="Z706:Z769" si="159">AVERAGE(I706:I20705)</f>
        <v>51371.860339506173</v>
      </c>
      <c r="AA706">
        <f t="shared" ref="AA706:AA769" si="160">MAX(I706:I2705)</f>
        <v>99996</v>
      </c>
      <c r="AB706">
        <f t="shared" ref="AB706:AB769" si="161">MIN(I706:I2705)</f>
        <v>5091</v>
      </c>
      <c r="AC706">
        <f t="shared" ref="AC706:AC769" si="162">SUM(T706:T2705)</f>
        <v>1741409.899999998</v>
      </c>
      <c r="AD706">
        <f t="shared" ref="AD706:AD769" si="163">AVERAGE(T706:T2705)</f>
        <v>1343.6804783950602</v>
      </c>
      <c r="AE706">
        <f t="shared" ref="AE706:AE769" si="164">703/2000</f>
        <v>0.35149999999999998</v>
      </c>
      <c r="AF706">
        <f t="shared" ref="AF706:AF769" si="165">SUM(AC706:AC2705)</f>
        <v>1126689615.2799988</v>
      </c>
      <c r="AG706" t="str">
        <f t="shared" ref="AG706:AG769" si="166">IF(AH706=0,"Bad", IF(AH705&lt;I705, "Active", IF(AH705=I705, "Good", "Over Paid")))</f>
        <v>Active</v>
      </c>
      <c r="AH706">
        <f t="shared" ref="AH706:AH769" si="167">T706*12</f>
        <v>3390.24</v>
      </c>
    </row>
    <row r="707" spans="1:34" x14ac:dyDescent="0.35">
      <c r="A707" t="s">
        <v>2008</v>
      </c>
      <c r="B707" t="s">
        <v>2009</v>
      </c>
      <c r="C707">
        <v>22</v>
      </c>
      <c r="D707" t="s">
        <v>22</v>
      </c>
      <c r="E707" t="s">
        <v>23</v>
      </c>
      <c r="F707" t="s">
        <v>24</v>
      </c>
      <c r="G707">
        <v>35604</v>
      </c>
      <c r="H707">
        <v>457</v>
      </c>
      <c r="I707">
        <v>38306</v>
      </c>
      <c r="J707">
        <v>22.52</v>
      </c>
      <c r="K707">
        <v>360</v>
      </c>
      <c r="L707" t="s">
        <v>86</v>
      </c>
      <c r="M707">
        <v>31</v>
      </c>
      <c r="N707">
        <v>61134</v>
      </c>
      <c r="O707">
        <v>225612</v>
      </c>
      <c r="P707" t="s">
        <v>1511</v>
      </c>
      <c r="Q707" t="s">
        <v>61</v>
      </c>
      <c r="R707" t="s">
        <v>48</v>
      </c>
      <c r="S707" t="s">
        <v>49</v>
      </c>
      <c r="T707">
        <v>130.37</v>
      </c>
      <c r="U707">
        <f t="shared" si="154"/>
        <v>1295</v>
      </c>
      <c r="V707">
        <f t="shared" si="155"/>
        <v>478</v>
      </c>
      <c r="W707">
        <f t="shared" si="156"/>
        <v>410</v>
      </c>
      <c r="X707">
        <f t="shared" si="157"/>
        <v>0.35149999999999998</v>
      </c>
      <c r="Y707" s="1">
        <f t="shared" si="158"/>
        <v>66535620</v>
      </c>
      <c r="Z707">
        <f t="shared" si="159"/>
        <v>51378.857142857145</v>
      </c>
      <c r="AA707">
        <f t="shared" si="160"/>
        <v>99996</v>
      </c>
      <c r="AB707">
        <f t="shared" si="161"/>
        <v>5091</v>
      </c>
      <c r="AC707">
        <f t="shared" si="162"/>
        <v>1741127.379999998</v>
      </c>
      <c r="AD707">
        <f t="shared" si="163"/>
        <v>1344.4999073359058</v>
      </c>
      <c r="AE707">
        <f t="shared" si="164"/>
        <v>0.35149999999999998</v>
      </c>
      <c r="AF707">
        <f t="shared" si="165"/>
        <v>1124948205.3799992</v>
      </c>
      <c r="AG707" t="str">
        <f t="shared" si="166"/>
        <v>Active</v>
      </c>
      <c r="AH707">
        <f t="shared" si="167"/>
        <v>1564.44</v>
      </c>
    </row>
    <row r="708" spans="1:34" x14ac:dyDescent="0.35">
      <c r="A708" t="s">
        <v>2010</v>
      </c>
      <c r="B708" t="s">
        <v>2011</v>
      </c>
      <c r="C708">
        <v>45</v>
      </c>
      <c r="D708" t="s">
        <v>38</v>
      </c>
      <c r="E708" t="s">
        <v>23</v>
      </c>
      <c r="F708" t="s">
        <v>24</v>
      </c>
      <c r="G708">
        <v>171337</v>
      </c>
      <c r="H708">
        <v>828</v>
      </c>
      <c r="I708">
        <v>98580</v>
      </c>
      <c r="J708">
        <v>4.4400000000000004</v>
      </c>
      <c r="K708">
        <v>360</v>
      </c>
      <c r="L708" t="s">
        <v>25</v>
      </c>
      <c r="M708">
        <v>5.99</v>
      </c>
      <c r="N708">
        <v>9714</v>
      </c>
      <c r="O708">
        <v>72567</v>
      </c>
      <c r="P708" t="s">
        <v>777</v>
      </c>
      <c r="Q708" t="s">
        <v>27</v>
      </c>
      <c r="R708" t="s">
        <v>28</v>
      </c>
      <c r="S708" t="s">
        <v>49</v>
      </c>
      <c r="T708">
        <v>285.99</v>
      </c>
      <c r="U708">
        <f t="shared" si="154"/>
        <v>1294</v>
      </c>
      <c r="V708">
        <f t="shared" si="155"/>
        <v>478</v>
      </c>
      <c r="W708">
        <f t="shared" si="156"/>
        <v>409</v>
      </c>
      <c r="X708">
        <f t="shared" si="157"/>
        <v>0.35149999999999998</v>
      </c>
      <c r="Y708" s="1">
        <f t="shared" si="158"/>
        <v>66497314</v>
      </c>
      <c r="Z708">
        <f t="shared" si="159"/>
        <v>51388.959814528593</v>
      </c>
      <c r="AA708">
        <f t="shared" si="160"/>
        <v>99996</v>
      </c>
      <c r="AB708">
        <f t="shared" si="161"/>
        <v>5091</v>
      </c>
      <c r="AC708">
        <f t="shared" si="162"/>
        <v>1740997.0099999979</v>
      </c>
      <c r="AD708">
        <f t="shared" si="163"/>
        <v>1345.4381839258099</v>
      </c>
      <c r="AE708">
        <f t="shared" si="164"/>
        <v>0.35149999999999998</v>
      </c>
      <c r="AF708">
        <f t="shared" si="165"/>
        <v>1123207077.9999995</v>
      </c>
      <c r="AG708" t="str">
        <f t="shared" si="166"/>
        <v>Active</v>
      </c>
      <c r="AH708">
        <f t="shared" si="167"/>
        <v>3431.88</v>
      </c>
    </row>
    <row r="709" spans="1:34" x14ac:dyDescent="0.35">
      <c r="A709" t="s">
        <v>2012</v>
      </c>
      <c r="B709" t="s">
        <v>2013</v>
      </c>
      <c r="C709">
        <v>52</v>
      </c>
      <c r="D709" t="s">
        <v>38</v>
      </c>
      <c r="E709" t="s">
        <v>23</v>
      </c>
      <c r="F709" t="s">
        <v>24</v>
      </c>
      <c r="G709">
        <v>94233</v>
      </c>
      <c r="H709">
        <v>350</v>
      </c>
      <c r="I709">
        <v>48691</v>
      </c>
      <c r="J709">
        <v>8.67</v>
      </c>
      <c r="K709">
        <v>240</v>
      </c>
      <c r="L709" t="s">
        <v>52</v>
      </c>
      <c r="M709">
        <v>30.37</v>
      </c>
      <c r="N709">
        <v>2839</v>
      </c>
      <c r="O709">
        <v>36934</v>
      </c>
      <c r="P709" t="s">
        <v>2014</v>
      </c>
      <c r="Q709" t="s">
        <v>61</v>
      </c>
      <c r="R709" t="s">
        <v>48</v>
      </c>
      <c r="S709" t="s">
        <v>43</v>
      </c>
      <c r="T709">
        <v>220.47</v>
      </c>
      <c r="U709">
        <f t="shared" si="154"/>
        <v>1293</v>
      </c>
      <c r="V709">
        <f t="shared" si="155"/>
        <v>478</v>
      </c>
      <c r="W709">
        <f t="shared" si="156"/>
        <v>409</v>
      </c>
      <c r="X709">
        <f t="shared" si="157"/>
        <v>0.35149999999999998</v>
      </c>
      <c r="Y709" s="1">
        <f t="shared" si="158"/>
        <v>66398734</v>
      </c>
      <c r="Z709">
        <f t="shared" si="159"/>
        <v>51352.46249033256</v>
      </c>
      <c r="AA709">
        <f t="shared" si="160"/>
        <v>99996</v>
      </c>
      <c r="AB709">
        <f t="shared" si="161"/>
        <v>5091</v>
      </c>
      <c r="AC709">
        <f t="shared" si="162"/>
        <v>1740711.0199999979</v>
      </c>
      <c r="AD709">
        <f t="shared" si="163"/>
        <v>1346.2575560711507</v>
      </c>
      <c r="AE709">
        <f t="shared" si="164"/>
        <v>0.35149999999999998</v>
      </c>
      <c r="AF709">
        <f t="shared" si="165"/>
        <v>1121466080.9899995</v>
      </c>
      <c r="AG709" t="str">
        <f t="shared" si="166"/>
        <v>Active</v>
      </c>
      <c r="AH709">
        <f t="shared" si="167"/>
        <v>2645.64</v>
      </c>
    </row>
    <row r="710" spans="1:34" x14ac:dyDescent="0.35">
      <c r="A710" t="s">
        <v>2015</v>
      </c>
      <c r="B710" t="s">
        <v>2016</v>
      </c>
      <c r="C710">
        <v>21</v>
      </c>
      <c r="D710" t="s">
        <v>22</v>
      </c>
      <c r="E710" t="s">
        <v>23</v>
      </c>
      <c r="F710" t="s">
        <v>24</v>
      </c>
      <c r="G710">
        <v>117373</v>
      </c>
      <c r="H710">
        <v>842</v>
      </c>
      <c r="I710">
        <v>81330</v>
      </c>
      <c r="J710">
        <v>19.73</v>
      </c>
      <c r="K710">
        <v>180</v>
      </c>
      <c r="L710" t="s">
        <v>25</v>
      </c>
      <c r="M710">
        <v>51.31</v>
      </c>
      <c r="N710">
        <v>7127</v>
      </c>
      <c r="O710">
        <v>5333</v>
      </c>
      <c r="P710" t="s">
        <v>1403</v>
      </c>
      <c r="Q710" t="s">
        <v>27</v>
      </c>
      <c r="R710" t="s">
        <v>28</v>
      </c>
      <c r="S710" t="s">
        <v>43</v>
      </c>
      <c r="T710">
        <v>540.98</v>
      </c>
      <c r="U710">
        <f t="shared" si="154"/>
        <v>1292</v>
      </c>
      <c r="V710">
        <f t="shared" si="155"/>
        <v>478</v>
      </c>
      <c r="W710">
        <f t="shared" si="156"/>
        <v>408</v>
      </c>
      <c r="X710">
        <f t="shared" si="157"/>
        <v>0.35149999999999998</v>
      </c>
      <c r="Y710" s="1">
        <f t="shared" si="158"/>
        <v>66350043</v>
      </c>
      <c r="Z710">
        <f t="shared" si="159"/>
        <v>51354.522445820432</v>
      </c>
      <c r="AA710">
        <f t="shared" si="160"/>
        <v>99996</v>
      </c>
      <c r="AB710">
        <f t="shared" si="161"/>
        <v>5091</v>
      </c>
      <c r="AC710">
        <f t="shared" si="162"/>
        <v>1740490.549999998</v>
      </c>
      <c r="AD710">
        <f t="shared" si="163"/>
        <v>1347.1289086687291</v>
      </c>
      <c r="AE710">
        <f t="shared" si="164"/>
        <v>0.35149999999999998</v>
      </c>
      <c r="AF710">
        <f t="shared" si="165"/>
        <v>1119725369.9699996</v>
      </c>
      <c r="AG710" t="str">
        <f t="shared" si="166"/>
        <v>Active</v>
      </c>
      <c r="AH710">
        <f t="shared" si="167"/>
        <v>6491.76</v>
      </c>
    </row>
    <row r="711" spans="1:34" x14ac:dyDescent="0.35">
      <c r="A711" t="s">
        <v>2017</v>
      </c>
      <c r="B711" t="s">
        <v>2018</v>
      </c>
      <c r="C711">
        <v>62</v>
      </c>
      <c r="D711" t="s">
        <v>22</v>
      </c>
      <c r="E711" t="s">
        <v>32</v>
      </c>
      <c r="F711" t="s">
        <v>59</v>
      </c>
      <c r="G711">
        <v>170230</v>
      </c>
      <c r="H711">
        <v>361</v>
      </c>
      <c r="I711">
        <v>21056</v>
      </c>
      <c r="J711">
        <v>10.33</v>
      </c>
      <c r="K711">
        <v>60</v>
      </c>
      <c r="L711" t="s">
        <v>86</v>
      </c>
      <c r="M711">
        <v>18.87</v>
      </c>
      <c r="N711">
        <v>55111</v>
      </c>
      <c r="O711">
        <v>163</v>
      </c>
      <c r="P711" t="s">
        <v>1236</v>
      </c>
      <c r="Q711" t="s">
        <v>27</v>
      </c>
      <c r="R711" t="s">
        <v>48</v>
      </c>
      <c r="S711" t="s">
        <v>43</v>
      </c>
      <c r="T711">
        <v>387.18</v>
      </c>
      <c r="U711">
        <f t="shared" si="154"/>
        <v>1291</v>
      </c>
      <c r="V711">
        <f t="shared" si="155"/>
        <v>478</v>
      </c>
      <c r="W711">
        <f t="shared" si="156"/>
        <v>408</v>
      </c>
      <c r="X711">
        <f t="shared" si="157"/>
        <v>0.35149999999999998</v>
      </c>
      <c r="Y711" s="1">
        <f t="shared" si="158"/>
        <v>66268713</v>
      </c>
      <c r="Z711">
        <f t="shared" si="159"/>
        <v>51331.303640588689</v>
      </c>
      <c r="AA711">
        <f t="shared" si="160"/>
        <v>99996</v>
      </c>
      <c r="AB711">
        <f t="shared" si="161"/>
        <v>5091</v>
      </c>
      <c r="AC711">
        <f t="shared" si="162"/>
        <v>1739949.569999998</v>
      </c>
      <c r="AD711">
        <f t="shared" si="163"/>
        <v>1347.7533462432207</v>
      </c>
      <c r="AE711">
        <f t="shared" si="164"/>
        <v>0.35149999999999998</v>
      </c>
      <c r="AF711">
        <f t="shared" si="165"/>
        <v>1117984879.4199994</v>
      </c>
      <c r="AG711" t="str">
        <f t="shared" si="166"/>
        <v>Active</v>
      </c>
      <c r="AH711">
        <f t="shared" si="167"/>
        <v>4646.16</v>
      </c>
    </row>
    <row r="712" spans="1:34" x14ac:dyDescent="0.35">
      <c r="A712" t="s">
        <v>2019</v>
      </c>
      <c r="B712" t="s">
        <v>2020</v>
      </c>
      <c r="C712">
        <v>33</v>
      </c>
      <c r="D712" t="s">
        <v>22</v>
      </c>
      <c r="E712" t="s">
        <v>39</v>
      </c>
      <c r="F712" t="s">
        <v>24</v>
      </c>
      <c r="G712">
        <v>64961</v>
      </c>
      <c r="H712">
        <v>494</v>
      </c>
      <c r="I712">
        <v>73012</v>
      </c>
      <c r="J712">
        <v>7.88</v>
      </c>
      <c r="K712">
        <v>24</v>
      </c>
      <c r="L712" t="s">
        <v>86</v>
      </c>
      <c r="M712">
        <v>6.8</v>
      </c>
      <c r="N712">
        <v>13014</v>
      </c>
      <c r="O712">
        <v>4055</v>
      </c>
      <c r="P712" t="s">
        <v>2021</v>
      </c>
      <c r="Q712" t="s">
        <v>61</v>
      </c>
      <c r="R712" t="s">
        <v>28</v>
      </c>
      <c r="S712" t="s">
        <v>35</v>
      </c>
      <c r="T712">
        <v>3281.89</v>
      </c>
      <c r="U712">
        <f t="shared" si="154"/>
        <v>1290</v>
      </c>
      <c r="V712">
        <f t="shared" si="155"/>
        <v>478</v>
      </c>
      <c r="W712">
        <f t="shared" si="156"/>
        <v>408</v>
      </c>
      <c r="X712">
        <f t="shared" si="157"/>
        <v>0.35149999999999998</v>
      </c>
      <c r="Y712" s="1">
        <f t="shared" si="158"/>
        <v>66247657</v>
      </c>
      <c r="Z712">
        <f t="shared" si="159"/>
        <v>51354.772868217056</v>
      </c>
      <c r="AA712">
        <f t="shared" si="160"/>
        <v>99996</v>
      </c>
      <c r="AB712">
        <f t="shared" si="161"/>
        <v>5091</v>
      </c>
      <c r="AC712">
        <f t="shared" si="162"/>
        <v>1739562.389999998</v>
      </c>
      <c r="AD712">
        <f t="shared" si="163"/>
        <v>1348.4979767441846</v>
      </c>
      <c r="AE712">
        <f t="shared" si="164"/>
        <v>0.35149999999999998</v>
      </c>
      <c r="AF712">
        <f t="shared" si="165"/>
        <v>1116244929.8499992</v>
      </c>
      <c r="AG712" t="str">
        <f t="shared" si="166"/>
        <v>Active</v>
      </c>
      <c r="AH712">
        <f t="shared" si="167"/>
        <v>39382.68</v>
      </c>
    </row>
    <row r="713" spans="1:34" x14ac:dyDescent="0.35">
      <c r="A713" t="s">
        <v>2022</v>
      </c>
      <c r="B713" t="s">
        <v>2023</v>
      </c>
      <c r="C713">
        <v>24</v>
      </c>
      <c r="D713" t="s">
        <v>38</v>
      </c>
      <c r="E713" t="s">
        <v>32</v>
      </c>
      <c r="F713" t="s">
        <v>24</v>
      </c>
      <c r="G713">
        <v>183832</v>
      </c>
      <c r="H713">
        <v>702</v>
      </c>
      <c r="I713">
        <v>5637</v>
      </c>
      <c r="J713">
        <v>22.75</v>
      </c>
      <c r="K713">
        <v>36</v>
      </c>
      <c r="L713" t="s">
        <v>25</v>
      </c>
      <c r="M713">
        <v>10.71</v>
      </c>
      <c r="N713">
        <v>46112</v>
      </c>
      <c r="O713">
        <v>35261</v>
      </c>
      <c r="P713" t="s">
        <v>1650</v>
      </c>
      <c r="Q713" t="s">
        <v>42</v>
      </c>
      <c r="R713" t="s">
        <v>28</v>
      </c>
      <c r="S713" t="s">
        <v>29</v>
      </c>
      <c r="T713">
        <v>192.21</v>
      </c>
      <c r="U713">
        <f t="shared" si="154"/>
        <v>1289</v>
      </c>
      <c r="V713">
        <f t="shared" si="155"/>
        <v>478</v>
      </c>
      <c r="W713">
        <f t="shared" si="156"/>
        <v>407</v>
      </c>
      <c r="X713">
        <f t="shared" si="157"/>
        <v>0.35149999999999998</v>
      </c>
      <c r="Y713" s="1">
        <f t="shared" si="158"/>
        <v>66174645</v>
      </c>
      <c r="Z713">
        <f t="shared" si="159"/>
        <v>51337.971295577969</v>
      </c>
      <c r="AA713">
        <f t="shared" si="160"/>
        <v>99996</v>
      </c>
      <c r="AB713">
        <f t="shared" si="161"/>
        <v>5091</v>
      </c>
      <c r="AC713">
        <f t="shared" si="162"/>
        <v>1736280.4999999979</v>
      </c>
      <c r="AD713">
        <f t="shared" si="163"/>
        <v>1346.9980605120231</v>
      </c>
      <c r="AE713">
        <f t="shared" si="164"/>
        <v>0.35149999999999998</v>
      </c>
      <c r="AF713">
        <f t="shared" si="165"/>
        <v>1114505367.4599991</v>
      </c>
      <c r="AG713" t="str">
        <f t="shared" si="166"/>
        <v>Active</v>
      </c>
      <c r="AH713">
        <f t="shared" si="167"/>
        <v>2306.52</v>
      </c>
    </row>
    <row r="714" spans="1:34" x14ac:dyDescent="0.35">
      <c r="A714" t="s">
        <v>2024</v>
      </c>
      <c r="B714" t="s">
        <v>2025</v>
      </c>
      <c r="C714">
        <v>49</v>
      </c>
      <c r="D714" t="s">
        <v>22</v>
      </c>
      <c r="E714" t="s">
        <v>32</v>
      </c>
      <c r="F714" t="s">
        <v>46</v>
      </c>
      <c r="G714">
        <v>42511</v>
      </c>
      <c r="H714">
        <v>480</v>
      </c>
      <c r="I714">
        <v>97418</v>
      </c>
      <c r="J714">
        <v>17.190000000000001</v>
      </c>
      <c r="K714">
        <v>12</v>
      </c>
      <c r="L714" t="s">
        <v>86</v>
      </c>
      <c r="M714">
        <v>7.05</v>
      </c>
      <c r="N714">
        <v>76491</v>
      </c>
      <c r="O714">
        <v>137569</v>
      </c>
      <c r="P714" t="s">
        <v>2026</v>
      </c>
      <c r="Q714" t="s">
        <v>42</v>
      </c>
      <c r="R714" t="s">
        <v>28</v>
      </c>
      <c r="S714" t="s">
        <v>43</v>
      </c>
      <c r="T714">
        <v>9513.68</v>
      </c>
      <c r="U714">
        <f t="shared" si="154"/>
        <v>1288</v>
      </c>
      <c r="V714">
        <f t="shared" si="155"/>
        <v>477</v>
      </c>
      <c r="W714">
        <f t="shared" si="156"/>
        <v>407</v>
      </c>
      <c r="X714">
        <f t="shared" si="157"/>
        <v>0.35149999999999998</v>
      </c>
      <c r="Y714" s="1">
        <f t="shared" si="158"/>
        <v>66169008</v>
      </c>
      <c r="Z714">
        <f t="shared" si="159"/>
        <v>51373.453416149066</v>
      </c>
      <c r="AA714">
        <f t="shared" si="160"/>
        <v>99996</v>
      </c>
      <c r="AB714">
        <f t="shared" si="161"/>
        <v>5091</v>
      </c>
      <c r="AC714">
        <f t="shared" si="162"/>
        <v>1736088.2899999977</v>
      </c>
      <c r="AD714">
        <f t="shared" si="163"/>
        <v>1347.894635093166</v>
      </c>
      <c r="AE714">
        <f t="shared" si="164"/>
        <v>0.35149999999999998</v>
      </c>
      <c r="AF714">
        <f t="shared" si="165"/>
        <v>1112769086.9599988</v>
      </c>
      <c r="AG714" t="str">
        <f t="shared" si="166"/>
        <v>Active</v>
      </c>
      <c r="AH714">
        <f t="shared" si="167"/>
        <v>114164.16</v>
      </c>
    </row>
    <row r="715" spans="1:34" x14ac:dyDescent="0.35">
      <c r="A715" t="s">
        <v>2027</v>
      </c>
      <c r="B715" t="s">
        <v>2028</v>
      </c>
      <c r="C715">
        <v>27</v>
      </c>
      <c r="D715" t="s">
        <v>38</v>
      </c>
      <c r="E715" t="s">
        <v>23</v>
      </c>
      <c r="F715" t="s">
        <v>24</v>
      </c>
      <c r="G715">
        <v>181005</v>
      </c>
      <c r="H715">
        <v>773</v>
      </c>
      <c r="I715">
        <v>87043</v>
      </c>
      <c r="J715">
        <v>7.01</v>
      </c>
      <c r="K715">
        <v>24</v>
      </c>
      <c r="L715" t="s">
        <v>25</v>
      </c>
      <c r="M715">
        <v>45.28</v>
      </c>
      <c r="N715">
        <v>3700</v>
      </c>
      <c r="O715">
        <v>225510</v>
      </c>
      <c r="P715" t="s">
        <v>719</v>
      </c>
      <c r="Q715" t="s">
        <v>27</v>
      </c>
      <c r="R715" t="s">
        <v>48</v>
      </c>
      <c r="S715" t="s">
        <v>43</v>
      </c>
      <c r="T715">
        <v>3881.03</v>
      </c>
      <c r="U715">
        <f t="shared" si="154"/>
        <v>1287</v>
      </c>
      <c r="V715">
        <f t="shared" si="155"/>
        <v>476</v>
      </c>
      <c r="W715">
        <f t="shared" si="156"/>
        <v>407</v>
      </c>
      <c r="X715">
        <f t="shared" si="157"/>
        <v>0.35149999999999998</v>
      </c>
      <c r="Y715" s="1">
        <f t="shared" si="158"/>
        <v>66071590</v>
      </c>
      <c r="Z715">
        <f t="shared" si="159"/>
        <v>51337.67676767677</v>
      </c>
      <c r="AA715">
        <f t="shared" si="160"/>
        <v>99996</v>
      </c>
      <c r="AB715">
        <f t="shared" si="161"/>
        <v>5091</v>
      </c>
      <c r="AC715">
        <f t="shared" si="162"/>
        <v>1726574.609999998</v>
      </c>
      <c r="AD715">
        <f t="shared" si="163"/>
        <v>1341.549813519812</v>
      </c>
      <c r="AE715">
        <f t="shared" si="164"/>
        <v>0.35149999999999998</v>
      </c>
      <c r="AF715">
        <f t="shared" si="165"/>
        <v>1111032998.6699986</v>
      </c>
      <c r="AG715" t="str">
        <f t="shared" si="166"/>
        <v>Over Paid</v>
      </c>
      <c r="AH715">
        <f t="shared" si="167"/>
        <v>46572.36</v>
      </c>
    </row>
    <row r="716" spans="1:34" x14ac:dyDescent="0.35">
      <c r="A716" t="s">
        <v>2029</v>
      </c>
      <c r="B716" t="s">
        <v>2030</v>
      </c>
      <c r="C716">
        <v>46</v>
      </c>
      <c r="D716" t="s">
        <v>22</v>
      </c>
      <c r="E716" t="s">
        <v>23</v>
      </c>
      <c r="F716" t="s">
        <v>24</v>
      </c>
      <c r="G716">
        <v>91647</v>
      </c>
      <c r="H716">
        <v>381</v>
      </c>
      <c r="I716">
        <v>82605</v>
      </c>
      <c r="J716">
        <v>23.6</v>
      </c>
      <c r="K716">
        <v>12</v>
      </c>
      <c r="L716" t="s">
        <v>86</v>
      </c>
      <c r="M716">
        <v>14.3</v>
      </c>
      <c r="N716">
        <v>42908</v>
      </c>
      <c r="O716">
        <v>18512</v>
      </c>
      <c r="P716" t="s">
        <v>474</v>
      </c>
      <c r="Q716" t="s">
        <v>42</v>
      </c>
      <c r="R716" t="s">
        <v>48</v>
      </c>
      <c r="S716" t="s">
        <v>43</v>
      </c>
      <c r="T716">
        <v>8508.32</v>
      </c>
      <c r="U716">
        <f t="shared" si="154"/>
        <v>1286</v>
      </c>
      <c r="V716">
        <f t="shared" si="155"/>
        <v>476</v>
      </c>
      <c r="W716">
        <f t="shared" si="156"/>
        <v>407</v>
      </c>
      <c r="X716">
        <f t="shared" si="157"/>
        <v>0.35149999999999998</v>
      </c>
      <c r="Y716" s="1">
        <f t="shared" si="158"/>
        <v>65984547</v>
      </c>
      <c r="Z716">
        <f t="shared" si="159"/>
        <v>51309.912130637633</v>
      </c>
      <c r="AA716">
        <f t="shared" si="160"/>
        <v>99996</v>
      </c>
      <c r="AB716">
        <f t="shared" si="161"/>
        <v>5091</v>
      </c>
      <c r="AC716">
        <f t="shared" si="162"/>
        <v>1722693.579999998</v>
      </c>
      <c r="AD716">
        <f t="shared" si="163"/>
        <v>1339.5751010886454</v>
      </c>
      <c r="AE716">
        <f t="shared" si="164"/>
        <v>0.35149999999999998</v>
      </c>
      <c r="AF716">
        <f t="shared" si="165"/>
        <v>1109306424.059999</v>
      </c>
      <c r="AG716" t="str">
        <f t="shared" si="166"/>
        <v>Active</v>
      </c>
      <c r="AH716">
        <f t="shared" si="167"/>
        <v>102099.84</v>
      </c>
    </row>
    <row r="717" spans="1:34" x14ac:dyDescent="0.35">
      <c r="A717" t="s">
        <v>2031</v>
      </c>
      <c r="B717" t="s">
        <v>2032</v>
      </c>
      <c r="C717">
        <v>30</v>
      </c>
      <c r="D717" t="s">
        <v>38</v>
      </c>
      <c r="E717" t="s">
        <v>23</v>
      </c>
      <c r="F717" t="s">
        <v>46</v>
      </c>
      <c r="G717">
        <v>189322</v>
      </c>
      <c r="H717">
        <v>430</v>
      </c>
      <c r="I717">
        <v>66459</v>
      </c>
      <c r="J717">
        <v>4</v>
      </c>
      <c r="K717">
        <v>36</v>
      </c>
      <c r="L717" t="s">
        <v>40</v>
      </c>
      <c r="M717">
        <v>13.67</v>
      </c>
      <c r="N717">
        <v>22739</v>
      </c>
      <c r="O717">
        <v>20752</v>
      </c>
      <c r="P717" t="s">
        <v>415</v>
      </c>
      <c r="Q717" t="s">
        <v>61</v>
      </c>
      <c r="R717" t="s">
        <v>28</v>
      </c>
      <c r="S717" t="s">
        <v>29</v>
      </c>
      <c r="T717">
        <v>1919.93</v>
      </c>
      <c r="U717">
        <f t="shared" si="154"/>
        <v>1285</v>
      </c>
      <c r="V717">
        <f t="shared" si="155"/>
        <v>475</v>
      </c>
      <c r="W717">
        <f t="shared" si="156"/>
        <v>407</v>
      </c>
      <c r="X717">
        <f t="shared" si="157"/>
        <v>0.35149999999999998</v>
      </c>
      <c r="Y717" s="1">
        <f t="shared" si="158"/>
        <v>65901942</v>
      </c>
      <c r="Z717">
        <f t="shared" si="159"/>
        <v>51285.557976653698</v>
      </c>
      <c r="AA717">
        <f t="shared" si="160"/>
        <v>99996</v>
      </c>
      <c r="AB717">
        <f t="shared" si="161"/>
        <v>5091</v>
      </c>
      <c r="AC717">
        <f t="shared" si="162"/>
        <v>1714185.2599999979</v>
      </c>
      <c r="AD717">
        <f t="shared" si="163"/>
        <v>1333.9963112840451</v>
      </c>
      <c r="AE717">
        <f t="shared" si="164"/>
        <v>0.35149999999999998</v>
      </c>
      <c r="AF717">
        <f t="shared" si="165"/>
        <v>1107583730.4799991</v>
      </c>
      <c r="AG717" t="str">
        <f t="shared" si="166"/>
        <v>Over Paid</v>
      </c>
      <c r="AH717">
        <f t="shared" si="167"/>
        <v>23039.16</v>
      </c>
    </row>
    <row r="718" spans="1:34" x14ac:dyDescent="0.35">
      <c r="A718" t="s">
        <v>2033</v>
      </c>
      <c r="B718" t="s">
        <v>2034</v>
      </c>
      <c r="C718">
        <v>34</v>
      </c>
      <c r="D718" t="s">
        <v>38</v>
      </c>
      <c r="E718" t="s">
        <v>32</v>
      </c>
      <c r="F718" t="s">
        <v>46</v>
      </c>
      <c r="G718">
        <v>108395</v>
      </c>
      <c r="H718">
        <v>713</v>
      </c>
      <c r="I718">
        <v>44166</v>
      </c>
      <c r="J718">
        <v>5.55</v>
      </c>
      <c r="K718">
        <v>240</v>
      </c>
      <c r="L718" t="s">
        <v>40</v>
      </c>
      <c r="M718">
        <v>45.17</v>
      </c>
      <c r="N718">
        <v>17467</v>
      </c>
      <c r="O718">
        <v>172541</v>
      </c>
      <c r="P718" t="s">
        <v>2035</v>
      </c>
      <c r="Q718" t="s">
        <v>42</v>
      </c>
      <c r="R718" t="s">
        <v>28</v>
      </c>
      <c r="S718" t="s">
        <v>35</v>
      </c>
      <c r="T718">
        <v>194.24</v>
      </c>
      <c r="U718">
        <f t="shared" si="154"/>
        <v>1284</v>
      </c>
      <c r="V718">
        <f t="shared" si="155"/>
        <v>475</v>
      </c>
      <c r="W718">
        <f t="shared" si="156"/>
        <v>406</v>
      </c>
      <c r="X718">
        <f t="shared" si="157"/>
        <v>0.35149999999999998</v>
      </c>
      <c r="Y718" s="1">
        <f t="shared" si="158"/>
        <v>65835483</v>
      </c>
      <c r="Z718">
        <f t="shared" si="159"/>
        <v>51273.740654205605</v>
      </c>
      <c r="AA718">
        <f t="shared" si="160"/>
        <v>99996</v>
      </c>
      <c r="AB718">
        <f t="shared" si="161"/>
        <v>5091</v>
      </c>
      <c r="AC718">
        <f t="shared" si="162"/>
        <v>1712265.329999998</v>
      </c>
      <c r="AD718">
        <f t="shared" si="163"/>
        <v>1333.5399766355124</v>
      </c>
      <c r="AE718">
        <f t="shared" si="164"/>
        <v>0.35149999999999998</v>
      </c>
      <c r="AF718">
        <f t="shared" si="165"/>
        <v>1105869545.2199988</v>
      </c>
      <c r="AG718" t="str">
        <f t="shared" si="166"/>
        <v>Active</v>
      </c>
      <c r="AH718">
        <f t="shared" si="167"/>
        <v>2330.88</v>
      </c>
    </row>
    <row r="719" spans="1:34" x14ac:dyDescent="0.35">
      <c r="A719" t="s">
        <v>2036</v>
      </c>
      <c r="B719" t="s">
        <v>2037</v>
      </c>
      <c r="C719">
        <v>65</v>
      </c>
      <c r="D719" t="s">
        <v>38</v>
      </c>
      <c r="E719" t="s">
        <v>23</v>
      </c>
      <c r="F719" t="s">
        <v>59</v>
      </c>
      <c r="G719">
        <v>164425</v>
      </c>
      <c r="H719">
        <v>597</v>
      </c>
      <c r="I719">
        <v>30371</v>
      </c>
      <c r="J719">
        <v>15.64</v>
      </c>
      <c r="K719">
        <v>24</v>
      </c>
      <c r="L719" t="s">
        <v>33</v>
      </c>
      <c r="M719">
        <v>53.47</v>
      </c>
      <c r="N719">
        <v>49489</v>
      </c>
      <c r="O719">
        <v>142108</v>
      </c>
      <c r="P719" t="s">
        <v>1115</v>
      </c>
      <c r="Q719" t="s">
        <v>42</v>
      </c>
      <c r="R719" t="s">
        <v>28</v>
      </c>
      <c r="S719" t="s">
        <v>35</v>
      </c>
      <c r="T719">
        <v>1463.38</v>
      </c>
      <c r="U719">
        <f t="shared" si="154"/>
        <v>1283</v>
      </c>
      <c r="V719">
        <f t="shared" si="155"/>
        <v>474</v>
      </c>
      <c r="W719">
        <f t="shared" si="156"/>
        <v>406</v>
      </c>
      <c r="X719">
        <f t="shared" si="157"/>
        <v>0.35149999999999998</v>
      </c>
      <c r="Y719" s="1">
        <f t="shared" si="158"/>
        <v>65791317</v>
      </c>
      <c r="Z719">
        <f t="shared" si="159"/>
        <v>51279.280592361654</v>
      </c>
      <c r="AA719">
        <f t="shared" si="160"/>
        <v>99996</v>
      </c>
      <c r="AB719">
        <f t="shared" si="161"/>
        <v>5091</v>
      </c>
      <c r="AC719">
        <f t="shared" si="162"/>
        <v>1712071.089999998</v>
      </c>
      <c r="AD719">
        <f t="shared" si="163"/>
        <v>1334.4279734996087</v>
      </c>
      <c r="AE719">
        <f t="shared" si="164"/>
        <v>0.35149999999999998</v>
      </c>
      <c r="AF719">
        <f t="shared" si="165"/>
        <v>1104157279.8899987</v>
      </c>
      <c r="AG719" t="str">
        <f t="shared" si="166"/>
        <v>Active</v>
      </c>
      <c r="AH719">
        <f t="shared" si="167"/>
        <v>17560.560000000001</v>
      </c>
    </row>
    <row r="720" spans="1:34" x14ac:dyDescent="0.35">
      <c r="A720" t="s">
        <v>2038</v>
      </c>
      <c r="B720" t="s">
        <v>2039</v>
      </c>
      <c r="C720">
        <v>56</v>
      </c>
      <c r="D720" t="s">
        <v>22</v>
      </c>
      <c r="E720" t="s">
        <v>23</v>
      </c>
      <c r="F720" t="s">
        <v>46</v>
      </c>
      <c r="G720">
        <v>76096</v>
      </c>
      <c r="H720">
        <v>300</v>
      </c>
      <c r="I720">
        <v>50543</v>
      </c>
      <c r="J720">
        <v>15.29</v>
      </c>
      <c r="K720">
        <v>48</v>
      </c>
      <c r="L720" t="s">
        <v>52</v>
      </c>
      <c r="M720">
        <v>22.56</v>
      </c>
      <c r="N720">
        <v>11379</v>
      </c>
      <c r="O720">
        <v>197464</v>
      </c>
      <c r="P720" t="s">
        <v>2040</v>
      </c>
      <c r="Q720" t="s">
        <v>27</v>
      </c>
      <c r="R720" t="s">
        <v>48</v>
      </c>
      <c r="S720" t="s">
        <v>49</v>
      </c>
      <c r="T720">
        <v>1213.98</v>
      </c>
      <c r="U720">
        <f t="shared" si="154"/>
        <v>1282</v>
      </c>
      <c r="V720">
        <f t="shared" si="155"/>
        <v>473</v>
      </c>
      <c r="W720">
        <f t="shared" si="156"/>
        <v>406</v>
      </c>
      <c r="X720">
        <f t="shared" si="157"/>
        <v>0.35149999999999998</v>
      </c>
      <c r="Y720" s="1">
        <f t="shared" si="158"/>
        <v>65760946</v>
      </c>
      <c r="Z720">
        <f t="shared" si="159"/>
        <v>51295.589703588143</v>
      </c>
      <c r="AA720">
        <f t="shared" si="160"/>
        <v>99996</v>
      </c>
      <c r="AB720">
        <f t="shared" si="161"/>
        <v>5091</v>
      </c>
      <c r="AC720">
        <f t="shared" si="162"/>
        <v>1710607.7099999981</v>
      </c>
      <c r="AD720">
        <f t="shared" si="163"/>
        <v>1334.3273868954743</v>
      </c>
      <c r="AE720">
        <f t="shared" si="164"/>
        <v>0.35149999999999998</v>
      </c>
      <c r="AF720">
        <f t="shared" si="165"/>
        <v>1102445208.7999985</v>
      </c>
      <c r="AG720" t="str">
        <f t="shared" si="166"/>
        <v>Active</v>
      </c>
      <c r="AH720">
        <f t="shared" si="167"/>
        <v>14567.76</v>
      </c>
    </row>
    <row r="721" spans="1:34" x14ac:dyDescent="0.35">
      <c r="A721" t="s">
        <v>2041</v>
      </c>
      <c r="B721" t="s">
        <v>2042</v>
      </c>
      <c r="C721">
        <v>51</v>
      </c>
      <c r="D721" t="s">
        <v>38</v>
      </c>
      <c r="E721" t="s">
        <v>32</v>
      </c>
      <c r="F721" t="s">
        <v>59</v>
      </c>
      <c r="G721">
        <v>90086</v>
      </c>
      <c r="H721">
        <v>351</v>
      </c>
      <c r="I721">
        <v>71576</v>
      </c>
      <c r="J721">
        <v>11.43</v>
      </c>
      <c r="K721">
        <v>360</v>
      </c>
      <c r="L721" t="s">
        <v>86</v>
      </c>
      <c r="M721">
        <v>17.41</v>
      </c>
      <c r="N721">
        <v>64676</v>
      </c>
      <c r="O721">
        <v>144772</v>
      </c>
      <c r="P721" t="s">
        <v>1566</v>
      </c>
      <c r="Q721" t="s">
        <v>42</v>
      </c>
      <c r="R721" t="s">
        <v>48</v>
      </c>
      <c r="S721" t="s">
        <v>29</v>
      </c>
      <c r="T721">
        <v>221.55</v>
      </c>
      <c r="U721">
        <f t="shared" si="154"/>
        <v>1281</v>
      </c>
      <c r="V721">
        <f t="shared" si="155"/>
        <v>473</v>
      </c>
      <c r="W721">
        <f t="shared" si="156"/>
        <v>406</v>
      </c>
      <c r="X721">
        <f t="shared" si="157"/>
        <v>0.35149999999999998</v>
      </c>
      <c r="Y721" s="1">
        <f t="shared" si="158"/>
        <v>65710403</v>
      </c>
      <c r="Z721">
        <f t="shared" si="159"/>
        <v>51296.177205308355</v>
      </c>
      <c r="AA721">
        <f t="shared" si="160"/>
        <v>99996</v>
      </c>
      <c r="AB721">
        <f t="shared" si="161"/>
        <v>5091</v>
      </c>
      <c r="AC721">
        <f t="shared" si="162"/>
        <v>1709393.7299999981</v>
      </c>
      <c r="AD721">
        <f t="shared" si="163"/>
        <v>1334.4213348946121</v>
      </c>
      <c r="AE721">
        <f t="shared" si="164"/>
        <v>0.35149999999999998</v>
      </c>
      <c r="AF721">
        <f t="shared" si="165"/>
        <v>1100734601.0899982</v>
      </c>
      <c r="AG721" t="str">
        <f t="shared" si="166"/>
        <v>Active</v>
      </c>
      <c r="AH721">
        <f t="shared" si="167"/>
        <v>2658.6000000000004</v>
      </c>
    </row>
    <row r="722" spans="1:34" x14ac:dyDescent="0.35">
      <c r="A722" t="s">
        <v>2043</v>
      </c>
      <c r="B722" t="s">
        <v>2044</v>
      </c>
      <c r="C722">
        <v>52</v>
      </c>
      <c r="D722" t="s">
        <v>22</v>
      </c>
      <c r="E722" t="s">
        <v>23</v>
      </c>
      <c r="F722" t="s">
        <v>59</v>
      </c>
      <c r="G722">
        <v>164468</v>
      </c>
      <c r="H722">
        <v>378</v>
      </c>
      <c r="I722">
        <v>65291</v>
      </c>
      <c r="J722">
        <v>15.06</v>
      </c>
      <c r="K722">
        <v>36</v>
      </c>
      <c r="L722" t="s">
        <v>52</v>
      </c>
      <c r="M722">
        <v>38.03</v>
      </c>
      <c r="N722">
        <v>49811</v>
      </c>
      <c r="O722">
        <v>210193</v>
      </c>
      <c r="P722" t="s">
        <v>2045</v>
      </c>
      <c r="Q722" t="s">
        <v>42</v>
      </c>
      <c r="R722" t="s">
        <v>28</v>
      </c>
      <c r="S722" t="s">
        <v>49</v>
      </c>
      <c r="T722">
        <v>2086.77</v>
      </c>
      <c r="U722">
        <f t="shared" si="154"/>
        <v>1280</v>
      </c>
      <c r="V722">
        <f t="shared" si="155"/>
        <v>472</v>
      </c>
      <c r="W722">
        <f t="shared" si="156"/>
        <v>406</v>
      </c>
      <c r="X722">
        <f t="shared" si="157"/>
        <v>0.35149999999999998</v>
      </c>
      <c r="Y722" s="1">
        <f t="shared" si="158"/>
        <v>65638827</v>
      </c>
      <c r="Z722">
        <f t="shared" si="159"/>
        <v>51280.333593750001</v>
      </c>
      <c r="AA722">
        <f t="shared" si="160"/>
        <v>99996</v>
      </c>
      <c r="AB722">
        <f t="shared" si="161"/>
        <v>5091</v>
      </c>
      <c r="AC722">
        <f t="shared" si="162"/>
        <v>1709172.1799999981</v>
      </c>
      <c r="AD722">
        <f t="shared" si="163"/>
        <v>1335.2907656249986</v>
      </c>
      <c r="AE722">
        <f t="shared" si="164"/>
        <v>0.35149999999999998</v>
      </c>
      <c r="AF722">
        <f t="shared" si="165"/>
        <v>1099025207.3599982</v>
      </c>
      <c r="AG722" t="str">
        <f t="shared" si="166"/>
        <v>Active</v>
      </c>
      <c r="AH722">
        <f t="shared" si="167"/>
        <v>25041.239999999998</v>
      </c>
    </row>
    <row r="723" spans="1:34" x14ac:dyDescent="0.35">
      <c r="A723" t="s">
        <v>2046</v>
      </c>
      <c r="B723" t="s">
        <v>2047</v>
      </c>
      <c r="C723">
        <v>44</v>
      </c>
      <c r="D723" t="s">
        <v>22</v>
      </c>
      <c r="E723" t="s">
        <v>39</v>
      </c>
      <c r="F723" t="s">
        <v>59</v>
      </c>
      <c r="G723">
        <v>81585</v>
      </c>
      <c r="H723">
        <v>405</v>
      </c>
      <c r="I723">
        <v>6506</v>
      </c>
      <c r="J723">
        <v>11.99</v>
      </c>
      <c r="K723">
        <v>48</v>
      </c>
      <c r="L723" t="s">
        <v>33</v>
      </c>
      <c r="M723">
        <v>58.02</v>
      </c>
      <c r="N723">
        <v>38704</v>
      </c>
      <c r="O723">
        <v>77215</v>
      </c>
      <c r="P723" t="s">
        <v>2048</v>
      </c>
      <c r="Q723" t="s">
        <v>42</v>
      </c>
      <c r="R723" t="s">
        <v>28</v>
      </c>
      <c r="S723" t="s">
        <v>29</v>
      </c>
      <c r="T723">
        <v>151.79</v>
      </c>
      <c r="U723">
        <f t="shared" si="154"/>
        <v>1279</v>
      </c>
      <c r="V723">
        <f t="shared" si="155"/>
        <v>471</v>
      </c>
      <c r="W723">
        <f t="shared" si="156"/>
        <v>406</v>
      </c>
      <c r="X723">
        <f t="shared" si="157"/>
        <v>0.35149999999999998</v>
      </c>
      <c r="Y723" s="1">
        <f t="shared" si="158"/>
        <v>65573536</v>
      </c>
      <c r="Z723">
        <f t="shared" si="159"/>
        <v>51269.379202501957</v>
      </c>
      <c r="AA723">
        <f t="shared" si="160"/>
        <v>99996</v>
      </c>
      <c r="AB723">
        <f t="shared" si="161"/>
        <v>5091</v>
      </c>
      <c r="AC723">
        <f t="shared" si="162"/>
        <v>1707085.4099999978</v>
      </c>
      <c r="AD723">
        <f t="shared" si="163"/>
        <v>1334.7032134480046</v>
      </c>
      <c r="AE723">
        <f t="shared" si="164"/>
        <v>0.35149999999999998</v>
      </c>
      <c r="AF723">
        <f t="shared" si="165"/>
        <v>1097316035.1799982</v>
      </c>
      <c r="AG723" t="str">
        <f t="shared" si="166"/>
        <v>Active</v>
      </c>
      <c r="AH723">
        <f t="shared" si="167"/>
        <v>1821.48</v>
      </c>
    </row>
    <row r="724" spans="1:34" x14ac:dyDescent="0.35">
      <c r="A724" t="s">
        <v>2049</v>
      </c>
      <c r="B724" t="s">
        <v>2050</v>
      </c>
      <c r="C724">
        <v>56</v>
      </c>
      <c r="D724" t="s">
        <v>22</v>
      </c>
      <c r="E724" t="s">
        <v>32</v>
      </c>
      <c r="F724" t="s">
        <v>46</v>
      </c>
      <c r="G724">
        <v>81964</v>
      </c>
      <c r="H724">
        <v>577</v>
      </c>
      <c r="I724">
        <v>42788</v>
      </c>
      <c r="J724">
        <v>7.33</v>
      </c>
      <c r="K724">
        <v>180</v>
      </c>
      <c r="L724" t="s">
        <v>33</v>
      </c>
      <c r="M724">
        <v>27.97</v>
      </c>
      <c r="N724">
        <v>48725</v>
      </c>
      <c r="O724">
        <v>6739</v>
      </c>
      <c r="P724" t="s">
        <v>1040</v>
      </c>
      <c r="Q724" t="s">
        <v>61</v>
      </c>
      <c r="R724" t="s">
        <v>48</v>
      </c>
      <c r="S724" t="s">
        <v>49</v>
      </c>
      <c r="T724">
        <v>255.14</v>
      </c>
      <c r="U724">
        <f t="shared" si="154"/>
        <v>1278</v>
      </c>
      <c r="V724">
        <f t="shared" si="155"/>
        <v>470</v>
      </c>
      <c r="W724">
        <f t="shared" si="156"/>
        <v>406</v>
      </c>
      <c r="X724">
        <f t="shared" si="157"/>
        <v>0.35149999999999998</v>
      </c>
      <c r="Y724" s="1">
        <f t="shared" si="158"/>
        <v>65567030</v>
      </c>
      <c r="Z724">
        <f t="shared" si="159"/>
        <v>51304.40532081377</v>
      </c>
      <c r="AA724">
        <f t="shared" si="160"/>
        <v>99996</v>
      </c>
      <c r="AB724">
        <f t="shared" si="161"/>
        <v>5091</v>
      </c>
      <c r="AC724">
        <f t="shared" si="162"/>
        <v>1706933.6199999978</v>
      </c>
      <c r="AD724">
        <f t="shared" si="163"/>
        <v>1335.6288106416257</v>
      </c>
      <c r="AE724">
        <f t="shared" si="164"/>
        <v>0.35149999999999998</v>
      </c>
      <c r="AF724">
        <f t="shared" si="165"/>
        <v>1095608949.7699981</v>
      </c>
      <c r="AG724" t="str">
        <f t="shared" si="166"/>
        <v>Active</v>
      </c>
      <c r="AH724">
        <f t="shared" si="167"/>
        <v>3061.68</v>
      </c>
    </row>
    <row r="725" spans="1:34" x14ac:dyDescent="0.35">
      <c r="A725" t="s">
        <v>2051</v>
      </c>
      <c r="B725" t="s">
        <v>2052</v>
      </c>
      <c r="C725">
        <v>26</v>
      </c>
      <c r="D725" t="s">
        <v>22</v>
      </c>
      <c r="E725" t="s">
        <v>32</v>
      </c>
      <c r="F725" t="s">
        <v>59</v>
      </c>
      <c r="G725">
        <v>171551</v>
      </c>
      <c r="H725">
        <v>801</v>
      </c>
      <c r="I725">
        <v>54315</v>
      </c>
      <c r="J725">
        <v>18.78</v>
      </c>
      <c r="K725">
        <v>360</v>
      </c>
      <c r="L725" t="s">
        <v>86</v>
      </c>
      <c r="M725">
        <v>25.73</v>
      </c>
      <c r="N725">
        <v>1671</v>
      </c>
      <c r="O725">
        <v>7455</v>
      </c>
      <c r="P725" t="s">
        <v>1464</v>
      </c>
      <c r="Q725" t="s">
        <v>61</v>
      </c>
      <c r="R725" t="s">
        <v>48</v>
      </c>
      <c r="S725" t="s">
        <v>68</v>
      </c>
      <c r="T725">
        <v>179.21</v>
      </c>
      <c r="U725">
        <f t="shared" si="154"/>
        <v>1277</v>
      </c>
      <c r="V725">
        <f t="shared" si="155"/>
        <v>470</v>
      </c>
      <c r="W725">
        <f t="shared" si="156"/>
        <v>405</v>
      </c>
      <c r="X725">
        <f t="shared" si="157"/>
        <v>0.35149999999999998</v>
      </c>
      <c r="Y725" s="1">
        <f t="shared" si="158"/>
        <v>65524242</v>
      </c>
      <c r="Z725">
        <f t="shared" si="159"/>
        <v>51311.074393108851</v>
      </c>
      <c r="AA725">
        <f t="shared" si="160"/>
        <v>99996</v>
      </c>
      <c r="AB725">
        <f t="shared" si="161"/>
        <v>5091</v>
      </c>
      <c r="AC725">
        <f t="shared" si="162"/>
        <v>1706678.4799999979</v>
      </c>
      <c r="AD725">
        <f t="shared" si="163"/>
        <v>1336.4749256068894</v>
      </c>
      <c r="AE725">
        <f t="shared" si="164"/>
        <v>0.35149999999999998</v>
      </c>
      <c r="AF725">
        <f t="shared" si="165"/>
        <v>1093902016.1499979</v>
      </c>
      <c r="AG725" t="str">
        <f t="shared" si="166"/>
        <v>Active</v>
      </c>
      <c r="AH725">
        <f t="shared" si="167"/>
        <v>2150.52</v>
      </c>
    </row>
    <row r="726" spans="1:34" x14ac:dyDescent="0.35">
      <c r="A726" t="s">
        <v>2053</v>
      </c>
      <c r="B726" t="s">
        <v>2054</v>
      </c>
      <c r="C726">
        <v>49</v>
      </c>
      <c r="D726" t="s">
        <v>38</v>
      </c>
      <c r="E726" t="s">
        <v>23</v>
      </c>
      <c r="F726" t="s">
        <v>46</v>
      </c>
      <c r="G726">
        <v>124986</v>
      </c>
      <c r="H726">
        <v>667</v>
      </c>
      <c r="I726">
        <v>69201</v>
      </c>
      <c r="J726">
        <v>4.03</v>
      </c>
      <c r="K726">
        <v>12</v>
      </c>
      <c r="L726" t="s">
        <v>25</v>
      </c>
      <c r="M726">
        <v>31.51</v>
      </c>
      <c r="N726">
        <v>18979</v>
      </c>
      <c r="O726">
        <v>183931</v>
      </c>
      <c r="P726" t="s">
        <v>492</v>
      </c>
      <c r="Q726" t="s">
        <v>61</v>
      </c>
      <c r="R726" t="s">
        <v>48</v>
      </c>
      <c r="S726" t="s">
        <v>35</v>
      </c>
      <c r="T726">
        <v>5999.15</v>
      </c>
      <c r="U726">
        <f t="shared" si="154"/>
        <v>1276</v>
      </c>
      <c r="V726">
        <f t="shared" si="155"/>
        <v>470</v>
      </c>
      <c r="W726">
        <f t="shared" si="156"/>
        <v>404</v>
      </c>
      <c r="X726">
        <f t="shared" si="157"/>
        <v>0.35149999999999998</v>
      </c>
      <c r="Y726" s="1">
        <f t="shared" si="158"/>
        <v>65469927</v>
      </c>
      <c r="Z726">
        <f t="shared" si="159"/>
        <v>51308.720219435738</v>
      </c>
      <c r="AA726">
        <f t="shared" si="160"/>
        <v>99996</v>
      </c>
      <c r="AB726">
        <f t="shared" si="161"/>
        <v>5091</v>
      </c>
      <c r="AC726">
        <f t="shared" si="162"/>
        <v>1706499.2699999977</v>
      </c>
      <c r="AD726">
        <f t="shared" si="163"/>
        <v>1337.3818730407506</v>
      </c>
      <c r="AE726">
        <f t="shared" si="164"/>
        <v>0.35149999999999998</v>
      </c>
      <c r="AF726">
        <f t="shared" si="165"/>
        <v>1092195337.6699977</v>
      </c>
      <c r="AG726" t="str">
        <f t="shared" si="166"/>
        <v>Active</v>
      </c>
      <c r="AH726">
        <f t="shared" si="167"/>
        <v>71989.799999999988</v>
      </c>
    </row>
    <row r="727" spans="1:34" x14ac:dyDescent="0.35">
      <c r="A727" t="s">
        <v>2055</v>
      </c>
      <c r="B727" t="s">
        <v>2056</v>
      </c>
      <c r="C727">
        <v>51</v>
      </c>
      <c r="D727" t="s">
        <v>22</v>
      </c>
      <c r="E727" t="s">
        <v>39</v>
      </c>
      <c r="F727" t="s">
        <v>24</v>
      </c>
      <c r="G727">
        <v>198371</v>
      </c>
      <c r="H727">
        <v>687</v>
      </c>
      <c r="I727">
        <v>72382</v>
      </c>
      <c r="J727">
        <v>12.42</v>
      </c>
      <c r="K727">
        <v>48</v>
      </c>
      <c r="L727" t="s">
        <v>25</v>
      </c>
      <c r="M727">
        <v>26.97</v>
      </c>
      <c r="N727">
        <v>20026</v>
      </c>
      <c r="O727">
        <v>48290</v>
      </c>
      <c r="P727" t="s">
        <v>2057</v>
      </c>
      <c r="Q727" t="s">
        <v>42</v>
      </c>
      <c r="R727" t="s">
        <v>48</v>
      </c>
      <c r="S727" t="s">
        <v>49</v>
      </c>
      <c r="T727">
        <v>1695.25</v>
      </c>
      <c r="U727">
        <f t="shared" si="154"/>
        <v>1275</v>
      </c>
      <c r="V727">
        <f t="shared" si="155"/>
        <v>470</v>
      </c>
      <c r="W727">
        <f t="shared" si="156"/>
        <v>403</v>
      </c>
      <c r="X727">
        <f t="shared" si="157"/>
        <v>0.35149999999999998</v>
      </c>
      <c r="Y727" s="1">
        <f t="shared" si="158"/>
        <v>65400726</v>
      </c>
      <c r="Z727">
        <f t="shared" si="159"/>
        <v>51294.687058823532</v>
      </c>
      <c r="AA727">
        <f t="shared" si="160"/>
        <v>99996</v>
      </c>
      <c r="AB727">
        <f t="shared" si="161"/>
        <v>5091</v>
      </c>
      <c r="AC727">
        <f t="shared" si="162"/>
        <v>1700500.1199999978</v>
      </c>
      <c r="AD727">
        <f t="shared" si="163"/>
        <v>1333.7255843137239</v>
      </c>
      <c r="AE727">
        <f t="shared" si="164"/>
        <v>0.35149999999999998</v>
      </c>
      <c r="AF727">
        <f t="shared" si="165"/>
        <v>1090488838.3999977</v>
      </c>
      <c r="AG727" t="str">
        <f t="shared" si="166"/>
        <v>Over Paid</v>
      </c>
      <c r="AH727">
        <f t="shared" si="167"/>
        <v>20343</v>
      </c>
    </row>
    <row r="728" spans="1:34" x14ac:dyDescent="0.35">
      <c r="A728" t="s">
        <v>2058</v>
      </c>
      <c r="B728" t="s">
        <v>2059</v>
      </c>
      <c r="C728">
        <v>62</v>
      </c>
      <c r="D728" t="s">
        <v>22</v>
      </c>
      <c r="E728" t="s">
        <v>39</v>
      </c>
      <c r="F728" t="s">
        <v>46</v>
      </c>
      <c r="G728">
        <v>22709</v>
      </c>
      <c r="H728">
        <v>763</v>
      </c>
      <c r="I728">
        <v>75378</v>
      </c>
      <c r="J728">
        <v>3.6</v>
      </c>
      <c r="K728">
        <v>24</v>
      </c>
      <c r="L728" t="s">
        <v>40</v>
      </c>
      <c r="M728">
        <v>10.17</v>
      </c>
      <c r="N728">
        <v>57795</v>
      </c>
      <c r="O728">
        <v>131199</v>
      </c>
      <c r="P728" t="s">
        <v>2060</v>
      </c>
      <c r="Q728" t="s">
        <v>27</v>
      </c>
      <c r="R728" t="s">
        <v>28</v>
      </c>
      <c r="S728" t="s">
        <v>43</v>
      </c>
      <c r="T728">
        <v>3253.82</v>
      </c>
      <c r="U728">
        <f t="shared" si="154"/>
        <v>1274</v>
      </c>
      <c r="V728">
        <f t="shared" si="155"/>
        <v>469</v>
      </c>
      <c r="W728">
        <f t="shared" si="156"/>
        <v>403</v>
      </c>
      <c r="X728">
        <f t="shared" si="157"/>
        <v>0.35149999999999998</v>
      </c>
      <c r="Y728" s="1">
        <f t="shared" si="158"/>
        <v>65328344</v>
      </c>
      <c r="Z728">
        <f t="shared" si="159"/>
        <v>51278.135007849291</v>
      </c>
      <c r="AA728">
        <f t="shared" si="160"/>
        <v>99996</v>
      </c>
      <c r="AB728">
        <f t="shared" si="161"/>
        <v>5091</v>
      </c>
      <c r="AC728">
        <f t="shared" si="162"/>
        <v>1698804.8699999978</v>
      </c>
      <c r="AD728">
        <f t="shared" si="163"/>
        <v>1333.4418131868115</v>
      </c>
      <c r="AE728">
        <f t="shared" si="164"/>
        <v>0.35149999999999998</v>
      </c>
      <c r="AF728">
        <f t="shared" si="165"/>
        <v>1088788338.2799976</v>
      </c>
      <c r="AG728" t="str">
        <f t="shared" si="166"/>
        <v>Active</v>
      </c>
      <c r="AH728">
        <f t="shared" si="167"/>
        <v>39045.840000000004</v>
      </c>
    </row>
    <row r="729" spans="1:34" x14ac:dyDescent="0.35">
      <c r="A729" t="s">
        <v>2061</v>
      </c>
      <c r="B729" t="s">
        <v>2062</v>
      </c>
      <c r="C729">
        <v>56</v>
      </c>
      <c r="D729" t="s">
        <v>38</v>
      </c>
      <c r="E729" t="s">
        <v>32</v>
      </c>
      <c r="F729" t="s">
        <v>24</v>
      </c>
      <c r="G729">
        <v>127681</v>
      </c>
      <c r="H729">
        <v>541</v>
      </c>
      <c r="I729">
        <v>92661</v>
      </c>
      <c r="J729">
        <v>4.4800000000000004</v>
      </c>
      <c r="K729">
        <v>12</v>
      </c>
      <c r="L729" t="s">
        <v>52</v>
      </c>
      <c r="M729">
        <v>12.16</v>
      </c>
      <c r="N729">
        <v>13210</v>
      </c>
      <c r="O729">
        <v>110055</v>
      </c>
      <c r="P729" t="s">
        <v>1063</v>
      </c>
      <c r="Q729" t="s">
        <v>42</v>
      </c>
      <c r="R729" t="s">
        <v>48</v>
      </c>
      <c r="S729" t="s">
        <v>35</v>
      </c>
      <c r="T729">
        <v>8067.68</v>
      </c>
      <c r="U729">
        <f t="shared" si="154"/>
        <v>1273</v>
      </c>
      <c r="V729">
        <f t="shared" si="155"/>
        <v>469</v>
      </c>
      <c r="W729">
        <f t="shared" si="156"/>
        <v>403</v>
      </c>
      <c r="X729">
        <f t="shared" si="157"/>
        <v>0.35149999999999998</v>
      </c>
      <c r="Y729" s="1">
        <f t="shared" si="158"/>
        <v>65252966</v>
      </c>
      <c r="Z729">
        <f t="shared" si="159"/>
        <v>51259.203456402196</v>
      </c>
      <c r="AA729">
        <f t="shared" si="160"/>
        <v>99996</v>
      </c>
      <c r="AB729">
        <f t="shared" si="161"/>
        <v>5091</v>
      </c>
      <c r="AC729">
        <f t="shared" si="162"/>
        <v>1695551.0499999977</v>
      </c>
      <c r="AD729">
        <f t="shared" si="163"/>
        <v>1331.9332678711687</v>
      </c>
      <c r="AE729">
        <f t="shared" si="164"/>
        <v>0.35149999999999998</v>
      </c>
      <c r="AF729">
        <f t="shared" si="165"/>
        <v>1087089533.4099975</v>
      </c>
      <c r="AG729" t="str">
        <f t="shared" si="166"/>
        <v>Active</v>
      </c>
      <c r="AH729">
        <f t="shared" si="167"/>
        <v>96812.160000000003</v>
      </c>
    </row>
    <row r="730" spans="1:34" x14ac:dyDescent="0.35">
      <c r="A730" t="s">
        <v>2063</v>
      </c>
      <c r="B730" t="s">
        <v>2064</v>
      </c>
      <c r="C730">
        <v>29</v>
      </c>
      <c r="D730" t="s">
        <v>38</v>
      </c>
      <c r="E730" t="s">
        <v>39</v>
      </c>
      <c r="F730" t="s">
        <v>24</v>
      </c>
      <c r="G730">
        <v>158244</v>
      </c>
      <c r="H730">
        <v>414</v>
      </c>
      <c r="I730">
        <v>26347</v>
      </c>
      <c r="J730">
        <v>22.24</v>
      </c>
      <c r="K730">
        <v>120</v>
      </c>
      <c r="L730" t="s">
        <v>86</v>
      </c>
      <c r="M730">
        <v>33.520000000000003</v>
      </c>
      <c r="N730">
        <v>61562</v>
      </c>
      <c r="O730">
        <v>160763</v>
      </c>
      <c r="P730" t="s">
        <v>2065</v>
      </c>
      <c r="Q730" t="s">
        <v>61</v>
      </c>
      <c r="R730" t="s">
        <v>28</v>
      </c>
      <c r="S730" t="s">
        <v>68</v>
      </c>
      <c r="T730">
        <v>268.39</v>
      </c>
      <c r="U730">
        <f t="shared" si="154"/>
        <v>1272</v>
      </c>
      <c r="V730">
        <f t="shared" si="155"/>
        <v>468</v>
      </c>
      <c r="W730">
        <f t="shared" si="156"/>
        <v>403</v>
      </c>
      <c r="X730">
        <f t="shared" si="157"/>
        <v>0.35149999999999998</v>
      </c>
      <c r="Y730" s="1">
        <f t="shared" si="158"/>
        <v>65160305</v>
      </c>
      <c r="Z730">
        <f t="shared" si="159"/>
        <v>51226.654874213833</v>
      </c>
      <c r="AA730">
        <f t="shared" si="160"/>
        <v>99996</v>
      </c>
      <c r="AB730">
        <f t="shared" si="161"/>
        <v>5091</v>
      </c>
      <c r="AC730">
        <f t="shared" si="162"/>
        <v>1687483.369999998</v>
      </c>
      <c r="AD730">
        <f t="shared" si="163"/>
        <v>1326.6378694968537</v>
      </c>
      <c r="AE730">
        <f t="shared" si="164"/>
        <v>0.35149999999999998</v>
      </c>
      <c r="AF730">
        <f t="shared" si="165"/>
        <v>1085393982.3599975</v>
      </c>
      <c r="AG730" t="str">
        <f t="shared" si="166"/>
        <v>Over Paid</v>
      </c>
      <c r="AH730">
        <f t="shared" si="167"/>
        <v>3220.68</v>
      </c>
    </row>
    <row r="731" spans="1:34" x14ac:dyDescent="0.35">
      <c r="A731" t="s">
        <v>2066</v>
      </c>
      <c r="B731" t="s">
        <v>2067</v>
      </c>
      <c r="C731">
        <v>57</v>
      </c>
      <c r="D731" t="s">
        <v>22</v>
      </c>
      <c r="E731" t="s">
        <v>39</v>
      </c>
      <c r="F731" t="s">
        <v>24</v>
      </c>
      <c r="G731">
        <v>25816</v>
      </c>
      <c r="H731">
        <v>684</v>
      </c>
      <c r="I731">
        <v>90290</v>
      </c>
      <c r="J731">
        <v>11.46</v>
      </c>
      <c r="K731">
        <v>180</v>
      </c>
      <c r="L731" t="s">
        <v>40</v>
      </c>
      <c r="M731">
        <v>16.03</v>
      </c>
      <c r="N731">
        <v>38776</v>
      </c>
      <c r="O731">
        <v>142640</v>
      </c>
      <c r="P731" t="s">
        <v>582</v>
      </c>
      <c r="Q731" t="s">
        <v>42</v>
      </c>
      <c r="R731" t="s">
        <v>28</v>
      </c>
      <c r="S731" t="s">
        <v>43</v>
      </c>
      <c r="T731">
        <v>559.1</v>
      </c>
      <c r="U731">
        <f t="shared" si="154"/>
        <v>1271</v>
      </c>
      <c r="V731">
        <f t="shared" si="155"/>
        <v>468</v>
      </c>
      <c r="W731">
        <f t="shared" si="156"/>
        <v>402</v>
      </c>
      <c r="X731">
        <f t="shared" si="157"/>
        <v>0.35149999999999998</v>
      </c>
      <c r="Y731" s="1">
        <f t="shared" si="158"/>
        <v>65133958</v>
      </c>
      <c r="Z731">
        <f t="shared" si="159"/>
        <v>51246.229740361923</v>
      </c>
      <c r="AA731">
        <f t="shared" si="160"/>
        <v>99996</v>
      </c>
      <c r="AB731">
        <f t="shared" si="161"/>
        <v>5091</v>
      </c>
      <c r="AC731">
        <f t="shared" si="162"/>
        <v>1687214.9799999981</v>
      </c>
      <c r="AD731">
        <f t="shared" si="163"/>
        <v>1327.4704799370559</v>
      </c>
      <c r="AE731">
        <f t="shared" si="164"/>
        <v>0.35149999999999998</v>
      </c>
      <c r="AF731">
        <f t="shared" si="165"/>
        <v>1083706498.9899976</v>
      </c>
      <c r="AG731" t="str">
        <f t="shared" si="166"/>
        <v>Active</v>
      </c>
      <c r="AH731">
        <f t="shared" si="167"/>
        <v>6709.2000000000007</v>
      </c>
    </row>
    <row r="732" spans="1:34" x14ac:dyDescent="0.35">
      <c r="A732" t="s">
        <v>2068</v>
      </c>
      <c r="B732" t="s">
        <v>2069</v>
      </c>
      <c r="C732">
        <v>40</v>
      </c>
      <c r="D732" t="s">
        <v>38</v>
      </c>
      <c r="E732" t="s">
        <v>32</v>
      </c>
      <c r="F732" t="s">
        <v>46</v>
      </c>
      <c r="G732">
        <v>157834</v>
      </c>
      <c r="H732">
        <v>674</v>
      </c>
      <c r="I732">
        <v>50506</v>
      </c>
      <c r="J732">
        <v>19.22</v>
      </c>
      <c r="K732">
        <v>36</v>
      </c>
      <c r="L732" t="s">
        <v>40</v>
      </c>
      <c r="M732">
        <v>53.74</v>
      </c>
      <c r="N732">
        <v>31510</v>
      </c>
      <c r="O732">
        <v>54708</v>
      </c>
      <c r="P732" t="s">
        <v>2070</v>
      </c>
      <c r="Q732" t="s">
        <v>61</v>
      </c>
      <c r="R732" t="s">
        <v>28</v>
      </c>
      <c r="S732" t="s">
        <v>35</v>
      </c>
      <c r="T732">
        <v>1672.59</v>
      </c>
      <c r="U732">
        <f t="shared" si="154"/>
        <v>1270</v>
      </c>
      <c r="V732">
        <f t="shared" si="155"/>
        <v>467</v>
      </c>
      <c r="W732">
        <f t="shared" si="156"/>
        <v>402</v>
      </c>
      <c r="X732">
        <f t="shared" si="157"/>
        <v>0.35149999999999998</v>
      </c>
      <c r="Y732" s="1">
        <f t="shared" si="158"/>
        <v>65043668</v>
      </c>
      <c r="Z732">
        <f t="shared" si="159"/>
        <v>51215.486614173227</v>
      </c>
      <c r="AA732">
        <f t="shared" si="160"/>
        <v>99996</v>
      </c>
      <c r="AB732">
        <f t="shared" si="161"/>
        <v>5091</v>
      </c>
      <c r="AC732">
        <f t="shared" si="162"/>
        <v>1686655.879999998</v>
      </c>
      <c r="AD732">
        <f t="shared" si="163"/>
        <v>1328.0754960629906</v>
      </c>
      <c r="AE732">
        <f t="shared" si="164"/>
        <v>0.35149999999999998</v>
      </c>
      <c r="AF732">
        <f t="shared" si="165"/>
        <v>1082019284.0099974</v>
      </c>
      <c r="AG732" t="str">
        <f t="shared" si="166"/>
        <v>Active</v>
      </c>
      <c r="AH732">
        <f t="shared" si="167"/>
        <v>20071.079999999998</v>
      </c>
    </row>
    <row r="733" spans="1:34" x14ac:dyDescent="0.35">
      <c r="A733" t="s">
        <v>2071</v>
      </c>
      <c r="B733" t="s">
        <v>2072</v>
      </c>
      <c r="C733">
        <v>55</v>
      </c>
      <c r="D733" t="s">
        <v>22</v>
      </c>
      <c r="E733" t="s">
        <v>32</v>
      </c>
      <c r="F733" t="s">
        <v>59</v>
      </c>
      <c r="G733">
        <v>172374</v>
      </c>
      <c r="H733">
        <v>742</v>
      </c>
      <c r="I733">
        <v>56161</v>
      </c>
      <c r="J733">
        <v>15.31</v>
      </c>
      <c r="K733">
        <v>60</v>
      </c>
      <c r="L733" t="s">
        <v>33</v>
      </c>
      <c r="M733">
        <v>11.6</v>
      </c>
      <c r="N733">
        <v>77243</v>
      </c>
      <c r="O733">
        <v>194967</v>
      </c>
      <c r="P733" t="s">
        <v>2073</v>
      </c>
      <c r="Q733" t="s">
        <v>61</v>
      </c>
      <c r="R733" t="s">
        <v>28</v>
      </c>
      <c r="S733" t="s">
        <v>49</v>
      </c>
      <c r="T733">
        <v>1079.32</v>
      </c>
      <c r="U733">
        <f t="shared" si="154"/>
        <v>1269</v>
      </c>
      <c r="V733">
        <f t="shared" si="155"/>
        <v>467</v>
      </c>
      <c r="W733">
        <f t="shared" si="156"/>
        <v>401</v>
      </c>
      <c r="X733">
        <f t="shared" si="157"/>
        <v>0.35149999999999998</v>
      </c>
      <c r="Y733" s="1">
        <f t="shared" si="158"/>
        <v>64993162</v>
      </c>
      <c r="Z733">
        <f t="shared" si="159"/>
        <v>51216.04570527975</v>
      </c>
      <c r="AA733">
        <f t="shared" si="160"/>
        <v>99996</v>
      </c>
      <c r="AB733">
        <f t="shared" si="161"/>
        <v>5091</v>
      </c>
      <c r="AC733">
        <f t="shared" si="162"/>
        <v>1684983.2899999979</v>
      </c>
      <c r="AD733">
        <f t="shared" si="163"/>
        <v>1327.8040110323072</v>
      </c>
      <c r="AE733">
        <f t="shared" si="164"/>
        <v>0.35149999999999998</v>
      </c>
      <c r="AF733">
        <f t="shared" si="165"/>
        <v>1080332628.129998</v>
      </c>
      <c r="AG733" t="str">
        <f t="shared" si="166"/>
        <v>Active</v>
      </c>
      <c r="AH733">
        <f t="shared" si="167"/>
        <v>12951.84</v>
      </c>
    </row>
    <row r="734" spans="1:34" x14ac:dyDescent="0.35">
      <c r="A734" t="s">
        <v>2074</v>
      </c>
      <c r="B734" t="s">
        <v>2075</v>
      </c>
      <c r="C734">
        <v>50</v>
      </c>
      <c r="D734" t="s">
        <v>22</v>
      </c>
      <c r="E734" t="s">
        <v>32</v>
      </c>
      <c r="F734" t="s">
        <v>46</v>
      </c>
      <c r="G734">
        <v>113783</v>
      </c>
      <c r="H734">
        <v>766</v>
      </c>
      <c r="I734">
        <v>14590</v>
      </c>
      <c r="J734">
        <v>10.24</v>
      </c>
      <c r="K734">
        <v>120</v>
      </c>
      <c r="L734" t="s">
        <v>40</v>
      </c>
      <c r="M734">
        <v>58.93</v>
      </c>
      <c r="N734">
        <v>27701</v>
      </c>
      <c r="O734">
        <v>35713</v>
      </c>
      <c r="P734" t="s">
        <v>519</v>
      </c>
      <c r="Q734" t="s">
        <v>61</v>
      </c>
      <c r="R734" t="s">
        <v>48</v>
      </c>
      <c r="S734" t="s">
        <v>49</v>
      </c>
      <c r="T734">
        <v>134.03</v>
      </c>
      <c r="U734">
        <f t="shared" si="154"/>
        <v>1268</v>
      </c>
      <c r="V734">
        <f t="shared" si="155"/>
        <v>467</v>
      </c>
      <c r="W734">
        <f t="shared" si="156"/>
        <v>400</v>
      </c>
      <c r="X734">
        <f t="shared" si="157"/>
        <v>0.35149999999999998</v>
      </c>
      <c r="Y734" s="1">
        <f t="shared" si="158"/>
        <v>64937001</v>
      </c>
      <c r="Z734">
        <f t="shared" si="159"/>
        <v>51212.145899053627</v>
      </c>
      <c r="AA734">
        <f t="shared" si="160"/>
        <v>99996</v>
      </c>
      <c r="AB734">
        <f t="shared" si="161"/>
        <v>5091</v>
      </c>
      <c r="AC734">
        <f t="shared" si="162"/>
        <v>1683903.9699999979</v>
      </c>
      <c r="AD734">
        <f t="shared" si="163"/>
        <v>1327.9999763406922</v>
      </c>
      <c r="AE734">
        <f t="shared" si="164"/>
        <v>0.35149999999999998</v>
      </c>
      <c r="AF734">
        <f t="shared" si="165"/>
        <v>1078647644.8399987</v>
      </c>
      <c r="AG734" t="str">
        <f t="shared" si="166"/>
        <v>Active</v>
      </c>
      <c r="AH734">
        <f t="shared" si="167"/>
        <v>1608.3600000000001</v>
      </c>
    </row>
    <row r="735" spans="1:34" x14ac:dyDescent="0.35">
      <c r="A735" t="s">
        <v>2076</v>
      </c>
      <c r="B735" t="s">
        <v>2077</v>
      </c>
      <c r="C735">
        <v>54</v>
      </c>
      <c r="D735" t="s">
        <v>38</v>
      </c>
      <c r="E735" t="s">
        <v>39</v>
      </c>
      <c r="F735" t="s">
        <v>46</v>
      </c>
      <c r="G735">
        <v>43141</v>
      </c>
      <c r="H735">
        <v>311</v>
      </c>
      <c r="I735">
        <v>73488</v>
      </c>
      <c r="J735">
        <v>12.09</v>
      </c>
      <c r="K735">
        <v>360</v>
      </c>
      <c r="L735" t="s">
        <v>40</v>
      </c>
      <c r="M735">
        <v>6.55</v>
      </c>
      <c r="N735">
        <v>62692</v>
      </c>
      <c r="O735">
        <v>70002</v>
      </c>
      <c r="P735" t="s">
        <v>2078</v>
      </c>
      <c r="Q735" t="s">
        <v>27</v>
      </c>
      <c r="R735" t="s">
        <v>48</v>
      </c>
      <c r="S735" t="s">
        <v>68</v>
      </c>
      <c r="T735">
        <v>228.81</v>
      </c>
      <c r="U735">
        <f t="shared" si="154"/>
        <v>1267</v>
      </c>
      <c r="V735">
        <f t="shared" si="155"/>
        <v>467</v>
      </c>
      <c r="W735">
        <f t="shared" si="156"/>
        <v>399</v>
      </c>
      <c r="X735">
        <f t="shared" si="157"/>
        <v>0.35149999999999998</v>
      </c>
      <c r="Y735" s="1">
        <f t="shared" si="158"/>
        <v>64922411</v>
      </c>
      <c r="Z735">
        <f t="shared" si="159"/>
        <v>51241.050513022892</v>
      </c>
      <c r="AA735">
        <f t="shared" si="160"/>
        <v>99996</v>
      </c>
      <c r="AB735">
        <f t="shared" si="161"/>
        <v>5091</v>
      </c>
      <c r="AC735">
        <f t="shared" si="162"/>
        <v>1683769.9399999978</v>
      </c>
      <c r="AD735">
        <f t="shared" si="163"/>
        <v>1328.9423362273069</v>
      </c>
      <c r="AE735">
        <f t="shared" si="164"/>
        <v>0.35149999999999998</v>
      </c>
      <c r="AF735">
        <f t="shared" si="165"/>
        <v>1076963740.8699989</v>
      </c>
      <c r="AG735" t="str">
        <f t="shared" si="166"/>
        <v>Active</v>
      </c>
      <c r="AH735">
        <f t="shared" si="167"/>
        <v>2745.7200000000003</v>
      </c>
    </row>
    <row r="736" spans="1:34" x14ac:dyDescent="0.35">
      <c r="A736" t="s">
        <v>2079</v>
      </c>
      <c r="B736" t="s">
        <v>2080</v>
      </c>
      <c r="C736">
        <v>24</v>
      </c>
      <c r="D736" t="s">
        <v>38</v>
      </c>
      <c r="E736" t="s">
        <v>32</v>
      </c>
      <c r="F736" t="s">
        <v>46</v>
      </c>
      <c r="G736">
        <v>62423</v>
      </c>
      <c r="H736">
        <v>609</v>
      </c>
      <c r="I736">
        <v>57778</v>
      </c>
      <c r="J736">
        <v>15.64</v>
      </c>
      <c r="K736">
        <v>36</v>
      </c>
      <c r="L736" t="s">
        <v>40</v>
      </c>
      <c r="M736">
        <v>34.74</v>
      </c>
      <c r="N736">
        <v>52816</v>
      </c>
      <c r="O736">
        <v>84585</v>
      </c>
      <c r="P736" t="s">
        <v>2081</v>
      </c>
      <c r="Q736" t="s">
        <v>61</v>
      </c>
      <c r="R736" t="s">
        <v>48</v>
      </c>
      <c r="S736" t="s">
        <v>29</v>
      </c>
      <c r="T736">
        <v>1855.96</v>
      </c>
      <c r="U736">
        <f t="shared" si="154"/>
        <v>1266</v>
      </c>
      <c r="V736">
        <f t="shared" si="155"/>
        <v>467</v>
      </c>
      <c r="W736">
        <f t="shared" si="156"/>
        <v>399</v>
      </c>
      <c r="X736">
        <f t="shared" si="157"/>
        <v>0.35149999999999998</v>
      </c>
      <c r="Y736" s="1">
        <f t="shared" si="158"/>
        <v>64848923</v>
      </c>
      <c r="Z736">
        <f t="shared" si="159"/>
        <v>51223.47788309637</v>
      </c>
      <c r="AA736">
        <f t="shared" si="160"/>
        <v>99996</v>
      </c>
      <c r="AB736">
        <f t="shared" si="161"/>
        <v>5091</v>
      </c>
      <c r="AC736">
        <f t="shared" si="162"/>
        <v>1683541.129999998</v>
      </c>
      <c r="AD736">
        <f t="shared" si="163"/>
        <v>1329.8113191153222</v>
      </c>
      <c r="AE736">
        <f t="shared" si="164"/>
        <v>0.35149999999999998</v>
      </c>
      <c r="AF736">
        <f t="shared" si="165"/>
        <v>1075279970.9299991</v>
      </c>
      <c r="AG736" t="str">
        <f t="shared" si="166"/>
        <v>Active</v>
      </c>
      <c r="AH736">
        <f t="shared" si="167"/>
        <v>22271.52</v>
      </c>
    </row>
    <row r="737" spans="1:34" x14ac:dyDescent="0.35">
      <c r="A737" t="s">
        <v>2082</v>
      </c>
      <c r="B737" t="s">
        <v>2083</v>
      </c>
      <c r="C737">
        <v>35</v>
      </c>
      <c r="D737" t="s">
        <v>22</v>
      </c>
      <c r="E737" t="s">
        <v>23</v>
      </c>
      <c r="F737" t="s">
        <v>59</v>
      </c>
      <c r="G737">
        <v>122462</v>
      </c>
      <c r="H737">
        <v>575</v>
      </c>
      <c r="I737">
        <v>98975</v>
      </c>
      <c r="J737">
        <v>22.22</v>
      </c>
      <c r="K737">
        <v>48</v>
      </c>
      <c r="L737" t="s">
        <v>40</v>
      </c>
      <c r="M737">
        <v>41.3</v>
      </c>
      <c r="N737">
        <v>20898</v>
      </c>
      <c r="O737">
        <v>217090</v>
      </c>
      <c r="P737" t="s">
        <v>1634</v>
      </c>
      <c r="Q737" t="s">
        <v>27</v>
      </c>
      <c r="R737" t="s">
        <v>28</v>
      </c>
      <c r="S737" t="s">
        <v>35</v>
      </c>
      <c r="T737">
        <v>2520.15</v>
      </c>
      <c r="U737">
        <f t="shared" si="154"/>
        <v>1265</v>
      </c>
      <c r="V737">
        <f t="shared" si="155"/>
        <v>467</v>
      </c>
      <c r="W737">
        <f t="shared" si="156"/>
        <v>398</v>
      </c>
      <c r="X737">
        <f t="shared" si="157"/>
        <v>0.35149999999999998</v>
      </c>
      <c r="Y737" s="1">
        <f t="shared" si="158"/>
        <v>64791145</v>
      </c>
      <c r="Z737">
        <f t="shared" si="159"/>
        <v>51218.296442687744</v>
      </c>
      <c r="AA737">
        <f t="shared" si="160"/>
        <v>99996</v>
      </c>
      <c r="AB737">
        <f t="shared" si="161"/>
        <v>5091</v>
      </c>
      <c r="AC737">
        <f t="shared" si="162"/>
        <v>1681685.1699999981</v>
      </c>
      <c r="AD737">
        <f t="shared" si="163"/>
        <v>1329.3953913043463</v>
      </c>
      <c r="AE737">
        <f t="shared" si="164"/>
        <v>0.35149999999999998</v>
      </c>
      <c r="AF737">
        <f t="shared" si="165"/>
        <v>1073596429.7999991</v>
      </c>
      <c r="AG737" t="str">
        <f t="shared" si="166"/>
        <v>Active</v>
      </c>
      <c r="AH737">
        <f t="shared" si="167"/>
        <v>30241.800000000003</v>
      </c>
    </row>
    <row r="738" spans="1:34" x14ac:dyDescent="0.35">
      <c r="A738" t="s">
        <v>2084</v>
      </c>
      <c r="B738" t="s">
        <v>2085</v>
      </c>
      <c r="C738">
        <v>22</v>
      </c>
      <c r="D738" t="s">
        <v>22</v>
      </c>
      <c r="E738" t="s">
        <v>23</v>
      </c>
      <c r="F738" t="s">
        <v>24</v>
      </c>
      <c r="G738">
        <v>25800</v>
      </c>
      <c r="H738">
        <v>402</v>
      </c>
      <c r="I738">
        <v>65711</v>
      </c>
      <c r="J738">
        <v>6.32</v>
      </c>
      <c r="K738">
        <v>36</v>
      </c>
      <c r="L738" t="s">
        <v>33</v>
      </c>
      <c r="M738">
        <v>28.12</v>
      </c>
      <c r="N738">
        <v>60111</v>
      </c>
      <c r="O738">
        <v>86593</v>
      </c>
      <c r="P738" t="s">
        <v>1161</v>
      </c>
      <c r="Q738" t="s">
        <v>61</v>
      </c>
      <c r="R738" t="s">
        <v>48</v>
      </c>
      <c r="S738" t="s">
        <v>49</v>
      </c>
      <c r="T738">
        <v>1940.66</v>
      </c>
      <c r="U738">
        <f t="shared" si="154"/>
        <v>1264</v>
      </c>
      <c r="V738">
        <f t="shared" si="155"/>
        <v>467</v>
      </c>
      <c r="W738">
        <f t="shared" si="156"/>
        <v>398</v>
      </c>
      <c r="X738">
        <f t="shared" si="157"/>
        <v>0.35149999999999998</v>
      </c>
      <c r="Y738" s="1">
        <f t="shared" si="158"/>
        <v>64692170</v>
      </c>
      <c r="Z738">
        <f t="shared" si="159"/>
        <v>51180.514240506331</v>
      </c>
      <c r="AA738">
        <f t="shared" si="160"/>
        <v>99996</v>
      </c>
      <c r="AB738">
        <f t="shared" si="161"/>
        <v>5091</v>
      </c>
      <c r="AC738">
        <f t="shared" si="162"/>
        <v>1679165.0199999982</v>
      </c>
      <c r="AD738">
        <f t="shared" si="163"/>
        <v>1328.4533386075934</v>
      </c>
      <c r="AE738">
        <f t="shared" si="164"/>
        <v>0.35149999999999998</v>
      </c>
      <c r="AF738">
        <f t="shared" si="165"/>
        <v>1071914744.629999</v>
      </c>
      <c r="AG738" t="str">
        <f t="shared" si="166"/>
        <v>Active</v>
      </c>
      <c r="AH738">
        <f t="shared" si="167"/>
        <v>23287.920000000002</v>
      </c>
    </row>
    <row r="739" spans="1:34" x14ac:dyDescent="0.35">
      <c r="A739" t="s">
        <v>2086</v>
      </c>
      <c r="B739" t="s">
        <v>2087</v>
      </c>
      <c r="C739">
        <v>33</v>
      </c>
      <c r="D739" t="s">
        <v>38</v>
      </c>
      <c r="E739" t="s">
        <v>32</v>
      </c>
      <c r="F739" t="s">
        <v>24</v>
      </c>
      <c r="G739">
        <v>45308</v>
      </c>
      <c r="H739">
        <v>594</v>
      </c>
      <c r="I739">
        <v>77157</v>
      </c>
      <c r="J739">
        <v>23.37</v>
      </c>
      <c r="K739">
        <v>36</v>
      </c>
      <c r="L739" t="s">
        <v>86</v>
      </c>
      <c r="M739">
        <v>5.27</v>
      </c>
      <c r="N739">
        <v>26400</v>
      </c>
      <c r="O739">
        <v>51067</v>
      </c>
      <c r="P739" t="s">
        <v>2088</v>
      </c>
      <c r="Q739" t="s">
        <v>61</v>
      </c>
      <c r="R739" t="s">
        <v>28</v>
      </c>
      <c r="S739" t="s">
        <v>35</v>
      </c>
      <c r="T739">
        <v>2644.13</v>
      </c>
      <c r="U739">
        <f t="shared" si="154"/>
        <v>1263</v>
      </c>
      <c r="V739">
        <f t="shared" si="155"/>
        <v>467</v>
      </c>
      <c r="W739">
        <f t="shared" si="156"/>
        <v>397</v>
      </c>
      <c r="X739">
        <f t="shared" si="157"/>
        <v>0.35149999999999998</v>
      </c>
      <c r="Y739" s="1">
        <f t="shared" si="158"/>
        <v>64626459</v>
      </c>
      <c r="Z739">
        <f t="shared" si="159"/>
        <v>51169.009501187647</v>
      </c>
      <c r="AA739">
        <f t="shared" si="160"/>
        <v>99996</v>
      </c>
      <c r="AB739">
        <f t="shared" si="161"/>
        <v>5091</v>
      </c>
      <c r="AC739">
        <f t="shared" si="162"/>
        <v>1677224.3599999982</v>
      </c>
      <c r="AD739">
        <f t="shared" si="163"/>
        <v>1327.9686144101331</v>
      </c>
      <c r="AE739">
        <f t="shared" si="164"/>
        <v>0.35149999999999998</v>
      </c>
      <c r="AF739">
        <f t="shared" si="165"/>
        <v>1070235579.6099991</v>
      </c>
      <c r="AG739" t="str">
        <f t="shared" si="166"/>
        <v>Active</v>
      </c>
      <c r="AH739">
        <f t="shared" si="167"/>
        <v>31729.56</v>
      </c>
    </row>
    <row r="740" spans="1:34" x14ac:dyDescent="0.35">
      <c r="A740" t="s">
        <v>2089</v>
      </c>
      <c r="B740" t="s">
        <v>2090</v>
      </c>
      <c r="C740">
        <v>33</v>
      </c>
      <c r="D740" t="s">
        <v>22</v>
      </c>
      <c r="E740" t="s">
        <v>32</v>
      </c>
      <c r="F740" t="s">
        <v>46</v>
      </c>
      <c r="G740">
        <v>158530</v>
      </c>
      <c r="H740">
        <v>557</v>
      </c>
      <c r="I740">
        <v>47406</v>
      </c>
      <c r="J740">
        <v>5.42</v>
      </c>
      <c r="K740">
        <v>24</v>
      </c>
      <c r="L740" t="s">
        <v>25</v>
      </c>
      <c r="M740">
        <v>38.69</v>
      </c>
      <c r="N740">
        <v>11443</v>
      </c>
      <c r="O740">
        <v>241052</v>
      </c>
      <c r="P740" t="s">
        <v>102</v>
      </c>
      <c r="Q740" t="s">
        <v>42</v>
      </c>
      <c r="R740" t="s">
        <v>48</v>
      </c>
      <c r="S740" t="s">
        <v>29</v>
      </c>
      <c r="T740">
        <v>2082.31</v>
      </c>
      <c r="U740">
        <f t="shared" si="154"/>
        <v>1262</v>
      </c>
      <c r="V740">
        <f t="shared" si="155"/>
        <v>467</v>
      </c>
      <c r="W740">
        <f t="shared" si="156"/>
        <v>396</v>
      </c>
      <c r="X740">
        <f t="shared" si="157"/>
        <v>0.35149999999999998</v>
      </c>
      <c r="Y740" s="1">
        <f t="shared" si="158"/>
        <v>64549302</v>
      </c>
      <c r="Z740">
        <f t="shared" si="159"/>
        <v>51148.416798732171</v>
      </c>
      <c r="AA740">
        <f t="shared" si="160"/>
        <v>99996</v>
      </c>
      <c r="AB740">
        <f t="shared" si="161"/>
        <v>5091</v>
      </c>
      <c r="AC740">
        <f t="shared" si="162"/>
        <v>1674580.2299999981</v>
      </c>
      <c r="AD740">
        <f t="shared" si="163"/>
        <v>1326.9256973058623</v>
      </c>
      <c r="AE740">
        <f t="shared" si="164"/>
        <v>0.35149999999999998</v>
      </c>
      <c r="AF740">
        <f t="shared" si="165"/>
        <v>1068558355.249999</v>
      </c>
      <c r="AG740" t="str">
        <f t="shared" si="166"/>
        <v>Active</v>
      </c>
      <c r="AH740">
        <f t="shared" si="167"/>
        <v>24987.72</v>
      </c>
    </row>
    <row r="741" spans="1:34" x14ac:dyDescent="0.35">
      <c r="A741" t="s">
        <v>2091</v>
      </c>
      <c r="B741" t="s">
        <v>2092</v>
      </c>
      <c r="C741">
        <v>30</v>
      </c>
      <c r="D741" t="s">
        <v>38</v>
      </c>
      <c r="E741" t="s">
        <v>39</v>
      </c>
      <c r="F741" t="s">
        <v>24</v>
      </c>
      <c r="G741">
        <v>82489</v>
      </c>
      <c r="H741">
        <v>612</v>
      </c>
      <c r="I741">
        <v>28254</v>
      </c>
      <c r="J741">
        <v>9.89</v>
      </c>
      <c r="K741">
        <v>360</v>
      </c>
      <c r="L741" t="s">
        <v>25</v>
      </c>
      <c r="M741">
        <v>57.48</v>
      </c>
      <c r="N741">
        <v>19204</v>
      </c>
      <c r="O741">
        <v>170034</v>
      </c>
      <c r="P741" t="s">
        <v>2093</v>
      </c>
      <c r="Q741" t="s">
        <v>61</v>
      </c>
      <c r="R741" t="s">
        <v>28</v>
      </c>
      <c r="S741" t="s">
        <v>49</v>
      </c>
      <c r="T741">
        <v>86.25</v>
      </c>
      <c r="U741">
        <f t="shared" si="154"/>
        <v>1261</v>
      </c>
      <c r="V741">
        <f t="shared" si="155"/>
        <v>466</v>
      </c>
      <c r="W741">
        <f t="shared" si="156"/>
        <v>396</v>
      </c>
      <c r="X741">
        <f t="shared" si="157"/>
        <v>0.35149999999999998</v>
      </c>
      <c r="Y741" s="1">
        <f t="shared" si="158"/>
        <v>64501896</v>
      </c>
      <c r="Z741">
        <f t="shared" si="159"/>
        <v>51151.384615384617</v>
      </c>
      <c r="AA741">
        <f t="shared" si="160"/>
        <v>99996</v>
      </c>
      <c r="AB741">
        <f t="shared" si="161"/>
        <v>5091</v>
      </c>
      <c r="AC741">
        <f t="shared" si="162"/>
        <v>1672497.9199999981</v>
      </c>
      <c r="AD741">
        <f t="shared" si="163"/>
        <v>1326.3266613798558</v>
      </c>
      <c r="AE741">
        <f t="shared" si="164"/>
        <v>0.35149999999999998</v>
      </c>
      <c r="AF741">
        <f t="shared" si="165"/>
        <v>1066883775.0199991</v>
      </c>
      <c r="AG741" t="str">
        <f t="shared" si="166"/>
        <v>Active</v>
      </c>
      <c r="AH741">
        <f t="shared" si="167"/>
        <v>1035</v>
      </c>
    </row>
    <row r="742" spans="1:34" x14ac:dyDescent="0.35">
      <c r="A742" t="s">
        <v>2094</v>
      </c>
      <c r="B742" t="s">
        <v>2095</v>
      </c>
      <c r="C742">
        <v>50</v>
      </c>
      <c r="D742" t="s">
        <v>22</v>
      </c>
      <c r="E742" t="s">
        <v>23</v>
      </c>
      <c r="F742" t="s">
        <v>24</v>
      </c>
      <c r="G742">
        <v>159383</v>
      </c>
      <c r="H742">
        <v>747</v>
      </c>
      <c r="I742">
        <v>7495</v>
      </c>
      <c r="J742">
        <v>17.04</v>
      </c>
      <c r="K742">
        <v>240</v>
      </c>
      <c r="L742" t="s">
        <v>40</v>
      </c>
      <c r="M742">
        <v>10.93</v>
      </c>
      <c r="N742">
        <v>75472</v>
      </c>
      <c r="O742">
        <v>29463</v>
      </c>
      <c r="P742" t="s">
        <v>1909</v>
      </c>
      <c r="Q742" t="s">
        <v>27</v>
      </c>
      <c r="R742" t="s">
        <v>48</v>
      </c>
      <c r="S742" t="s">
        <v>35</v>
      </c>
      <c r="T742">
        <v>36.549999999999997</v>
      </c>
      <c r="U742">
        <f t="shared" si="154"/>
        <v>1260</v>
      </c>
      <c r="V742">
        <f t="shared" si="155"/>
        <v>466</v>
      </c>
      <c r="W742">
        <f t="shared" si="156"/>
        <v>395</v>
      </c>
      <c r="X742">
        <f t="shared" si="157"/>
        <v>0.35149999999999998</v>
      </c>
      <c r="Y742" s="1">
        <f t="shared" si="158"/>
        <v>64473642</v>
      </c>
      <c r="Z742">
        <f t="shared" si="159"/>
        <v>51169.557142857142</v>
      </c>
      <c r="AA742">
        <f t="shared" si="160"/>
        <v>99996</v>
      </c>
      <c r="AB742">
        <f t="shared" si="161"/>
        <v>5091</v>
      </c>
      <c r="AC742">
        <f t="shared" si="162"/>
        <v>1672411.6699999981</v>
      </c>
      <c r="AD742">
        <f t="shared" si="163"/>
        <v>1327.3108492063477</v>
      </c>
      <c r="AE742">
        <f t="shared" si="164"/>
        <v>0.35149999999999998</v>
      </c>
      <c r="AF742">
        <f t="shared" si="165"/>
        <v>1065211277.0999992</v>
      </c>
      <c r="AG742" t="str">
        <f t="shared" si="166"/>
        <v>Active</v>
      </c>
      <c r="AH742">
        <f t="shared" si="167"/>
        <v>438.59999999999997</v>
      </c>
    </row>
    <row r="743" spans="1:34" x14ac:dyDescent="0.35">
      <c r="A743" t="s">
        <v>2096</v>
      </c>
      <c r="B743" t="s">
        <v>2097</v>
      </c>
      <c r="C743">
        <v>65</v>
      </c>
      <c r="D743" t="s">
        <v>38</v>
      </c>
      <c r="E743" t="s">
        <v>32</v>
      </c>
      <c r="F743" t="s">
        <v>46</v>
      </c>
      <c r="G743">
        <v>100112</v>
      </c>
      <c r="H743">
        <v>673</v>
      </c>
      <c r="I743">
        <v>46260</v>
      </c>
      <c r="J743">
        <v>10.85</v>
      </c>
      <c r="K743">
        <v>24</v>
      </c>
      <c r="L743" t="s">
        <v>40</v>
      </c>
      <c r="M743">
        <v>40.35</v>
      </c>
      <c r="N743">
        <v>10586</v>
      </c>
      <c r="O743">
        <v>56427</v>
      </c>
      <c r="P743" t="s">
        <v>863</v>
      </c>
      <c r="Q743" t="s">
        <v>61</v>
      </c>
      <c r="R743" t="s">
        <v>48</v>
      </c>
      <c r="S743" t="s">
        <v>43</v>
      </c>
      <c r="T743">
        <v>2136.63</v>
      </c>
      <c r="U743">
        <f t="shared" si="154"/>
        <v>1259</v>
      </c>
      <c r="V743">
        <f t="shared" si="155"/>
        <v>466</v>
      </c>
      <c r="W743">
        <f t="shared" si="156"/>
        <v>395</v>
      </c>
      <c r="X743">
        <f t="shared" si="157"/>
        <v>0.35149999999999998</v>
      </c>
      <c r="Y743" s="1">
        <f t="shared" si="158"/>
        <v>64466147</v>
      </c>
      <c r="Z743">
        <f t="shared" si="159"/>
        <v>51204.24702144559</v>
      </c>
      <c r="AA743">
        <f t="shared" si="160"/>
        <v>99996</v>
      </c>
      <c r="AB743">
        <f t="shared" si="161"/>
        <v>5091</v>
      </c>
      <c r="AC743">
        <f t="shared" si="162"/>
        <v>1672375.119999998</v>
      </c>
      <c r="AD743">
        <f t="shared" si="163"/>
        <v>1328.3360762509913</v>
      </c>
      <c r="AE743">
        <f t="shared" si="164"/>
        <v>0.35149999999999998</v>
      </c>
      <c r="AF743">
        <f t="shared" si="165"/>
        <v>1063538865.4299994</v>
      </c>
      <c r="AG743" t="str">
        <f t="shared" si="166"/>
        <v>Active</v>
      </c>
      <c r="AH743">
        <f t="shared" si="167"/>
        <v>25639.56</v>
      </c>
    </row>
    <row r="744" spans="1:34" x14ac:dyDescent="0.35">
      <c r="A744" t="s">
        <v>2098</v>
      </c>
      <c r="B744" t="s">
        <v>2099</v>
      </c>
      <c r="C744">
        <v>30</v>
      </c>
      <c r="D744" t="s">
        <v>38</v>
      </c>
      <c r="E744" t="s">
        <v>23</v>
      </c>
      <c r="F744" t="s">
        <v>46</v>
      </c>
      <c r="G744">
        <v>121741</v>
      </c>
      <c r="H744">
        <v>588</v>
      </c>
      <c r="I744">
        <v>45978</v>
      </c>
      <c r="J744">
        <v>4.54</v>
      </c>
      <c r="K744">
        <v>360</v>
      </c>
      <c r="L744" t="s">
        <v>25</v>
      </c>
      <c r="M744">
        <v>40.549999999999997</v>
      </c>
      <c r="N744">
        <v>3975</v>
      </c>
      <c r="O744">
        <v>171884</v>
      </c>
      <c r="P744" t="s">
        <v>2100</v>
      </c>
      <c r="Q744" t="s">
        <v>61</v>
      </c>
      <c r="R744" t="s">
        <v>28</v>
      </c>
      <c r="S744" t="s">
        <v>49</v>
      </c>
      <c r="T744">
        <v>133.52000000000001</v>
      </c>
      <c r="U744">
        <f t="shared" si="154"/>
        <v>1258</v>
      </c>
      <c r="V744">
        <f t="shared" si="155"/>
        <v>466</v>
      </c>
      <c r="W744">
        <f t="shared" si="156"/>
        <v>394</v>
      </c>
      <c r="X744">
        <f t="shared" si="157"/>
        <v>0.35149999999999998</v>
      </c>
      <c r="Y744" s="1">
        <f t="shared" si="158"/>
        <v>64419887</v>
      </c>
      <c r="Z744">
        <f t="shared" si="159"/>
        <v>51208.177265500795</v>
      </c>
      <c r="AA744">
        <f t="shared" si="160"/>
        <v>99996</v>
      </c>
      <c r="AB744">
        <f t="shared" si="161"/>
        <v>5091</v>
      </c>
      <c r="AC744">
        <f t="shared" si="162"/>
        <v>1670238.4899999979</v>
      </c>
      <c r="AD744">
        <f t="shared" si="163"/>
        <v>1327.6935532591399</v>
      </c>
      <c r="AE744">
        <f t="shared" si="164"/>
        <v>0.35149999999999998</v>
      </c>
      <c r="AF744">
        <f t="shared" si="165"/>
        <v>1061866490.3099993</v>
      </c>
      <c r="AG744" t="str">
        <f t="shared" si="166"/>
        <v>Active</v>
      </c>
      <c r="AH744">
        <f t="shared" si="167"/>
        <v>1602.2400000000002</v>
      </c>
    </row>
    <row r="745" spans="1:34" x14ac:dyDescent="0.35">
      <c r="A745" t="s">
        <v>2101</v>
      </c>
      <c r="B745" t="s">
        <v>2102</v>
      </c>
      <c r="C745">
        <v>32</v>
      </c>
      <c r="D745" t="s">
        <v>22</v>
      </c>
      <c r="E745" t="s">
        <v>39</v>
      </c>
      <c r="F745" t="s">
        <v>24</v>
      </c>
      <c r="G745">
        <v>57708</v>
      </c>
      <c r="H745">
        <v>468</v>
      </c>
      <c r="I745">
        <v>63785</v>
      </c>
      <c r="J745">
        <v>13.67</v>
      </c>
      <c r="K745">
        <v>360</v>
      </c>
      <c r="L745" t="s">
        <v>52</v>
      </c>
      <c r="M745">
        <v>22.79</v>
      </c>
      <c r="N745">
        <v>61091</v>
      </c>
      <c r="O745">
        <v>190211</v>
      </c>
      <c r="P745" t="s">
        <v>2103</v>
      </c>
      <c r="Q745" t="s">
        <v>61</v>
      </c>
      <c r="R745" t="s">
        <v>28</v>
      </c>
      <c r="S745" t="s">
        <v>29</v>
      </c>
      <c r="T745">
        <v>201.4</v>
      </c>
      <c r="U745">
        <f t="shared" si="154"/>
        <v>1257</v>
      </c>
      <c r="V745">
        <f t="shared" si="155"/>
        <v>466</v>
      </c>
      <c r="W745">
        <f t="shared" si="156"/>
        <v>393</v>
      </c>
      <c r="X745">
        <f t="shared" si="157"/>
        <v>0.35149999999999998</v>
      </c>
      <c r="Y745" s="1">
        <f t="shared" si="158"/>
        <v>64373909</v>
      </c>
      <c r="Z745">
        <f t="shared" si="159"/>
        <v>51212.33810660302</v>
      </c>
      <c r="AA745">
        <f t="shared" si="160"/>
        <v>99996</v>
      </c>
      <c r="AB745">
        <f t="shared" si="161"/>
        <v>5091</v>
      </c>
      <c r="AC745">
        <f t="shared" si="162"/>
        <v>1670104.9699999979</v>
      </c>
      <c r="AD745">
        <f t="shared" si="163"/>
        <v>1328.643571996816</v>
      </c>
      <c r="AE745">
        <f t="shared" si="164"/>
        <v>0.35149999999999998</v>
      </c>
      <c r="AF745">
        <f t="shared" si="165"/>
        <v>1060196251.8199993</v>
      </c>
      <c r="AG745" t="str">
        <f t="shared" si="166"/>
        <v>Active</v>
      </c>
      <c r="AH745">
        <f t="shared" si="167"/>
        <v>2416.8000000000002</v>
      </c>
    </row>
    <row r="746" spans="1:34" x14ac:dyDescent="0.35">
      <c r="A746" t="s">
        <v>2104</v>
      </c>
      <c r="B746" t="s">
        <v>2105</v>
      </c>
      <c r="C746">
        <v>43</v>
      </c>
      <c r="D746" t="s">
        <v>38</v>
      </c>
      <c r="E746" t="s">
        <v>32</v>
      </c>
      <c r="F746" t="s">
        <v>46</v>
      </c>
      <c r="G746">
        <v>127491</v>
      </c>
      <c r="H746">
        <v>795</v>
      </c>
      <c r="I746">
        <v>92398</v>
      </c>
      <c r="J746">
        <v>6.2</v>
      </c>
      <c r="K746">
        <v>120</v>
      </c>
      <c r="L746" t="s">
        <v>86</v>
      </c>
      <c r="M746">
        <v>12.13</v>
      </c>
      <c r="N746">
        <v>31523</v>
      </c>
      <c r="O746">
        <v>177835</v>
      </c>
      <c r="P746" t="s">
        <v>2106</v>
      </c>
      <c r="Q746" t="s">
        <v>61</v>
      </c>
      <c r="R746" t="s">
        <v>48</v>
      </c>
      <c r="S746" t="s">
        <v>68</v>
      </c>
      <c r="T746">
        <v>817.72</v>
      </c>
      <c r="U746">
        <f t="shared" si="154"/>
        <v>1256</v>
      </c>
      <c r="V746">
        <f t="shared" si="155"/>
        <v>466</v>
      </c>
      <c r="W746">
        <f t="shared" si="156"/>
        <v>392</v>
      </c>
      <c r="X746">
        <f t="shared" si="157"/>
        <v>0.35149999999999998</v>
      </c>
      <c r="Y746" s="1">
        <f t="shared" si="158"/>
        <v>64310124</v>
      </c>
      <c r="Z746">
        <f t="shared" si="159"/>
        <v>51202.328025477706</v>
      </c>
      <c r="AA746">
        <f t="shared" si="160"/>
        <v>99996</v>
      </c>
      <c r="AB746">
        <f t="shared" si="161"/>
        <v>5091</v>
      </c>
      <c r="AC746">
        <f t="shared" si="162"/>
        <v>1669903.569999998</v>
      </c>
      <c r="AD746">
        <f t="shared" si="163"/>
        <v>1329.5410589171959</v>
      </c>
      <c r="AE746">
        <f t="shared" si="164"/>
        <v>0.35149999999999998</v>
      </c>
      <c r="AF746">
        <f t="shared" si="165"/>
        <v>1058526146.8499993</v>
      </c>
      <c r="AG746" t="str">
        <f t="shared" si="166"/>
        <v>Active</v>
      </c>
      <c r="AH746">
        <f t="shared" si="167"/>
        <v>9812.64</v>
      </c>
    </row>
    <row r="747" spans="1:34" x14ac:dyDescent="0.35">
      <c r="A747" t="s">
        <v>2107</v>
      </c>
      <c r="B747" t="s">
        <v>2108</v>
      </c>
      <c r="C747">
        <v>53</v>
      </c>
      <c r="D747" t="s">
        <v>38</v>
      </c>
      <c r="E747" t="s">
        <v>23</v>
      </c>
      <c r="F747" t="s">
        <v>46</v>
      </c>
      <c r="G747">
        <v>144347</v>
      </c>
      <c r="H747">
        <v>415</v>
      </c>
      <c r="I747">
        <v>36919</v>
      </c>
      <c r="J747">
        <v>7.48</v>
      </c>
      <c r="K747">
        <v>48</v>
      </c>
      <c r="L747" t="s">
        <v>40</v>
      </c>
      <c r="M747">
        <v>33.520000000000003</v>
      </c>
      <c r="N747">
        <v>79916</v>
      </c>
      <c r="O747">
        <v>184047</v>
      </c>
      <c r="P747" t="s">
        <v>2109</v>
      </c>
      <c r="Q747" t="s">
        <v>61</v>
      </c>
      <c r="R747" t="s">
        <v>48</v>
      </c>
      <c r="S747" t="s">
        <v>29</v>
      </c>
      <c r="T747">
        <v>826.68</v>
      </c>
      <c r="U747">
        <f t="shared" si="154"/>
        <v>1255</v>
      </c>
      <c r="V747">
        <f t="shared" si="155"/>
        <v>466</v>
      </c>
      <c r="W747">
        <f t="shared" si="156"/>
        <v>391</v>
      </c>
      <c r="X747">
        <f t="shared" si="157"/>
        <v>0.35149999999999998</v>
      </c>
      <c r="Y747" s="1">
        <f t="shared" si="158"/>
        <v>64217726</v>
      </c>
      <c r="Z747">
        <f t="shared" si="159"/>
        <v>51169.50278884462</v>
      </c>
      <c r="AA747">
        <f t="shared" si="160"/>
        <v>99996</v>
      </c>
      <c r="AB747">
        <f t="shared" si="161"/>
        <v>5091</v>
      </c>
      <c r="AC747">
        <f t="shared" si="162"/>
        <v>1669085.8499999982</v>
      </c>
      <c r="AD747">
        <f t="shared" si="163"/>
        <v>1329.9488844621501</v>
      </c>
      <c r="AE747">
        <f t="shared" si="164"/>
        <v>0.35149999999999998</v>
      </c>
      <c r="AF747">
        <f t="shared" si="165"/>
        <v>1056856243.2799994</v>
      </c>
      <c r="AG747" t="str">
        <f t="shared" si="166"/>
        <v>Active</v>
      </c>
      <c r="AH747">
        <f t="shared" si="167"/>
        <v>9920.16</v>
      </c>
    </row>
    <row r="748" spans="1:34" x14ac:dyDescent="0.35">
      <c r="A748" t="s">
        <v>2110</v>
      </c>
      <c r="B748" t="s">
        <v>2111</v>
      </c>
      <c r="C748">
        <v>59</v>
      </c>
      <c r="D748" t="s">
        <v>22</v>
      </c>
      <c r="E748" t="s">
        <v>32</v>
      </c>
      <c r="F748" t="s">
        <v>46</v>
      </c>
      <c r="G748">
        <v>97647</v>
      </c>
      <c r="H748">
        <v>501</v>
      </c>
      <c r="I748">
        <v>12194</v>
      </c>
      <c r="J748">
        <v>12.46</v>
      </c>
      <c r="K748">
        <v>360</v>
      </c>
      <c r="L748" t="s">
        <v>52</v>
      </c>
      <c r="M748">
        <v>20.21</v>
      </c>
      <c r="N748">
        <v>3436</v>
      </c>
      <c r="O748">
        <v>154865</v>
      </c>
      <c r="P748" t="s">
        <v>2112</v>
      </c>
      <c r="Q748" t="s">
        <v>61</v>
      </c>
      <c r="R748" t="s">
        <v>28</v>
      </c>
      <c r="S748" t="s">
        <v>29</v>
      </c>
      <c r="T748">
        <v>38.090000000000003</v>
      </c>
      <c r="U748">
        <f t="shared" si="154"/>
        <v>1254</v>
      </c>
      <c r="V748">
        <f t="shared" si="155"/>
        <v>466</v>
      </c>
      <c r="W748">
        <f t="shared" si="156"/>
        <v>390</v>
      </c>
      <c r="X748">
        <f t="shared" si="157"/>
        <v>0.35149999999999998</v>
      </c>
      <c r="Y748" s="1">
        <f t="shared" si="158"/>
        <v>64180807</v>
      </c>
      <c r="Z748">
        <f t="shared" si="159"/>
        <v>51180.8668261563</v>
      </c>
      <c r="AA748">
        <f t="shared" si="160"/>
        <v>99996</v>
      </c>
      <c r="AB748">
        <f t="shared" si="161"/>
        <v>5091</v>
      </c>
      <c r="AC748">
        <f t="shared" si="162"/>
        <v>1668259.1699999983</v>
      </c>
      <c r="AD748">
        <f t="shared" si="163"/>
        <v>1330.3502153110035</v>
      </c>
      <c r="AE748">
        <f t="shared" si="164"/>
        <v>0.35149999999999998</v>
      </c>
      <c r="AF748">
        <f t="shared" si="165"/>
        <v>1055187157.4299994</v>
      </c>
      <c r="AG748" t="str">
        <f t="shared" si="166"/>
        <v>Active</v>
      </c>
      <c r="AH748">
        <f t="shared" si="167"/>
        <v>457.08000000000004</v>
      </c>
    </row>
    <row r="749" spans="1:34" x14ac:dyDescent="0.35">
      <c r="A749" t="s">
        <v>2113</v>
      </c>
      <c r="B749" t="s">
        <v>2114</v>
      </c>
      <c r="C749">
        <v>50</v>
      </c>
      <c r="D749" t="s">
        <v>22</v>
      </c>
      <c r="E749" t="s">
        <v>32</v>
      </c>
      <c r="F749" t="s">
        <v>24</v>
      </c>
      <c r="G749">
        <v>179131</v>
      </c>
      <c r="H749">
        <v>677</v>
      </c>
      <c r="I749">
        <v>85540</v>
      </c>
      <c r="J749">
        <v>19.64</v>
      </c>
      <c r="K749">
        <v>360</v>
      </c>
      <c r="L749" t="s">
        <v>86</v>
      </c>
      <c r="M749">
        <v>35.840000000000003</v>
      </c>
      <c r="N749">
        <v>65855</v>
      </c>
      <c r="O749">
        <v>155353</v>
      </c>
      <c r="P749" t="s">
        <v>2115</v>
      </c>
      <c r="Q749" t="s">
        <v>61</v>
      </c>
      <c r="R749" t="s">
        <v>48</v>
      </c>
      <c r="S749" t="s">
        <v>29</v>
      </c>
      <c r="T749">
        <v>284.27999999999997</v>
      </c>
      <c r="U749">
        <f t="shared" si="154"/>
        <v>1253</v>
      </c>
      <c r="V749">
        <f t="shared" si="155"/>
        <v>466</v>
      </c>
      <c r="W749">
        <f t="shared" si="156"/>
        <v>389</v>
      </c>
      <c r="X749">
        <f t="shared" si="157"/>
        <v>0.35149999999999998</v>
      </c>
      <c r="Y749" s="1">
        <f t="shared" si="158"/>
        <v>64168613</v>
      </c>
      <c r="Z749">
        <f t="shared" si="159"/>
        <v>51211.981644054271</v>
      </c>
      <c r="AA749">
        <f t="shared" si="160"/>
        <v>99996</v>
      </c>
      <c r="AB749">
        <f t="shared" si="161"/>
        <v>5091</v>
      </c>
      <c r="AC749">
        <f t="shared" si="162"/>
        <v>1668221.0799999982</v>
      </c>
      <c r="AD749">
        <f t="shared" si="163"/>
        <v>1331.3815482841167</v>
      </c>
      <c r="AE749">
        <f t="shared" si="164"/>
        <v>0.35149999999999998</v>
      </c>
      <c r="AF749">
        <f t="shared" si="165"/>
        <v>1053518898.2599995</v>
      </c>
      <c r="AG749" t="str">
        <f t="shared" si="166"/>
        <v>Active</v>
      </c>
      <c r="AH749">
        <f t="shared" si="167"/>
        <v>3411.3599999999997</v>
      </c>
    </row>
    <row r="750" spans="1:34" x14ac:dyDescent="0.35">
      <c r="A750" t="s">
        <v>2116</v>
      </c>
      <c r="B750" t="s">
        <v>2117</v>
      </c>
      <c r="C750">
        <v>28</v>
      </c>
      <c r="D750" t="s">
        <v>38</v>
      </c>
      <c r="E750" t="s">
        <v>39</v>
      </c>
      <c r="F750" t="s">
        <v>46</v>
      </c>
      <c r="G750">
        <v>103244</v>
      </c>
      <c r="H750">
        <v>488</v>
      </c>
      <c r="I750">
        <v>79263</v>
      </c>
      <c r="J750">
        <v>20.059999999999999</v>
      </c>
      <c r="K750">
        <v>60</v>
      </c>
      <c r="L750" t="s">
        <v>86</v>
      </c>
      <c r="M750">
        <v>20.25</v>
      </c>
      <c r="N750">
        <v>3509</v>
      </c>
      <c r="O750">
        <v>233295</v>
      </c>
      <c r="P750" t="s">
        <v>2118</v>
      </c>
      <c r="Q750" t="s">
        <v>61</v>
      </c>
      <c r="R750" t="s">
        <v>48</v>
      </c>
      <c r="S750" t="s">
        <v>35</v>
      </c>
      <c r="T750">
        <v>1586.05</v>
      </c>
      <c r="U750">
        <f t="shared" si="154"/>
        <v>1252</v>
      </c>
      <c r="V750">
        <f t="shared" si="155"/>
        <v>466</v>
      </c>
      <c r="W750">
        <f t="shared" si="156"/>
        <v>388</v>
      </c>
      <c r="X750">
        <f t="shared" si="157"/>
        <v>0.35149999999999998</v>
      </c>
      <c r="Y750" s="1">
        <f t="shared" si="158"/>
        <v>64083073</v>
      </c>
      <c r="Z750">
        <f t="shared" si="159"/>
        <v>51184.56309904153</v>
      </c>
      <c r="AA750">
        <f t="shared" si="160"/>
        <v>99996</v>
      </c>
      <c r="AB750">
        <f t="shared" si="161"/>
        <v>5091</v>
      </c>
      <c r="AC750">
        <f t="shared" si="162"/>
        <v>1667936.7999999982</v>
      </c>
      <c r="AD750">
        <f t="shared" si="163"/>
        <v>1332.2178913738005</v>
      </c>
      <c r="AE750">
        <f t="shared" si="164"/>
        <v>0.35149999999999998</v>
      </c>
      <c r="AF750">
        <f t="shared" si="165"/>
        <v>1051850677.1799995</v>
      </c>
      <c r="AG750" t="str">
        <f t="shared" si="166"/>
        <v>Active</v>
      </c>
      <c r="AH750">
        <f t="shared" si="167"/>
        <v>19032.599999999999</v>
      </c>
    </row>
    <row r="751" spans="1:34" x14ac:dyDescent="0.35">
      <c r="A751" t="s">
        <v>2119</v>
      </c>
      <c r="B751" t="s">
        <v>2120</v>
      </c>
      <c r="C751">
        <v>29</v>
      </c>
      <c r="D751" t="s">
        <v>22</v>
      </c>
      <c r="E751" t="s">
        <v>23</v>
      </c>
      <c r="F751" t="s">
        <v>59</v>
      </c>
      <c r="G751">
        <v>31113</v>
      </c>
      <c r="H751">
        <v>410</v>
      </c>
      <c r="I751">
        <v>31627</v>
      </c>
      <c r="J751">
        <v>10.95</v>
      </c>
      <c r="K751">
        <v>120</v>
      </c>
      <c r="L751" t="s">
        <v>25</v>
      </c>
      <c r="M751">
        <v>52.23</v>
      </c>
      <c r="N751">
        <v>12155</v>
      </c>
      <c r="O751">
        <v>86634</v>
      </c>
      <c r="P751" t="s">
        <v>2121</v>
      </c>
      <c r="Q751" t="s">
        <v>61</v>
      </c>
      <c r="R751" t="s">
        <v>28</v>
      </c>
      <c r="S751" t="s">
        <v>68</v>
      </c>
      <c r="T751">
        <v>292.42</v>
      </c>
      <c r="U751">
        <f t="shared" si="154"/>
        <v>1251</v>
      </c>
      <c r="V751">
        <f t="shared" si="155"/>
        <v>466</v>
      </c>
      <c r="W751">
        <f t="shared" si="156"/>
        <v>387</v>
      </c>
      <c r="X751">
        <f t="shared" si="157"/>
        <v>0.35149999999999998</v>
      </c>
      <c r="Y751" s="1">
        <f t="shared" si="158"/>
        <v>64003810</v>
      </c>
      <c r="Z751">
        <f t="shared" si="159"/>
        <v>51162.118305355718</v>
      </c>
      <c r="AA751">
        <f t="shared" si="160"/>
        <v>99996</v>
      </c>
      <c r="AB751">
        <f t="shared" si="161"/>
        <v>5091</v>
      </c>
      <c r="AC751">
        <f t="shared" si="162"/>
        <v>1666350.7499999981</v>
      </c>
      <c r="AD751">
        <f t="shared" si="163"/>
        <v>1332.0149880095908</v>
      </c>
      <c r="AE751">
        <f t="shared" si="164"/>
        <v>0.35149999999999998</v>
      </c>
      <c r="AF751">
        <f t="shared" si="165"/>
        <v>1050182740.3799994</v>
      </c>
      <c r="AG751" t="str">
        <f t="shared" si="166"/>
        <v>Active</v>
      </c>
      <c r="AH751">
        <f t="shared" si="167"/>
        <v>3509.04</v>
      </c>
    </row>
    <row r="752" spans="1:34" x14ac:dyDescent="0.35">
      <c r="A752" t="s">
        <v>2122</v>
      </c>
      <c r="B752" t="s">
        <v>2123</v>
      </c>
      <c r="C752">
        <v>29</v>
      </c>
      <c r="D752" t="s">
        <v>22</v>
      </c>
      <c r="E752" t="s">
        <v>32</v>
      </c>
      <c r="F752" t="s">
        <v>46</v>
      </c>
      <c r="G752">
        <v>187951</v>
      </c>
      <c r="H752">
        <v>723</v>
      </c>
      <c r="I752">
        <v>41016</v>
      </c>
      <c r="J752">
        <v>23.37</v>
      </c>
      <c r="K752">
        <v>360</v>
      </c>
      <c r="L752" t="s">
        <v>25</v>
      </c>
      <c r="M752">
        <v>53.17</v>
      </c>
      <c r="N752">
        <v>44394</v>
      </c>
      <c r="O752">
        <v>63734</v>
      </c>
      <c r="P752" t="s">
        <v>2124</v>
      </c>
      <c r="Q752" t="s">
        <v>42</v>
      </c>
      <c r="R752" t="s">
        <v>48</v>
      </c>
      <c r="S752" t="s">
        <v>29</v>
      </c>
      <c r="T752">
        <v>140.56</v>
      </c>
      <c r="U752">
        <f t="shared" si="154"/>
        <v>1250</v>
      </c>
      <c r="V752">
        <f t="shared" si="155"/>
        <v>466</v>
      </c>
      <c r="W752">
        <f t="shared" si="156"/>
        <v>386</v>
      </c>
      <c r="X752">
        <f t="shared" si="157"/>
        <v>0.35149999999999998</v>
      </c>
      <c r="Y752" s="1">
        <f t="shared" si="158"/>
        <v>63972183</v>
      </c>
      <c r="Z752">
        <f t="shared" si="159"/>
        <v>51177.746400000004</v>
      </c>
      <c r="AA752">
        <f t="shared" si="160"/>
        <v>99996</v>
      </c>
      <c r="AB752">
        <f t="shared" si="161"/>
        <v>5091</v>
      </c>
      <c r="AC752">
        <f t="shared" si="162"/>
        <v>1666058.329999998</v>
      </c>
      <c r="AD752">
        <f t="shared" si="163"/>
        <v>1332.8466639999983</v>
      </c>
      <c r="AE752">
        <f t="shared" si="164"/>
        <v>0.35149999999999998</v>
      </c>
      <c r="AF752">
        <f t="shared" si="165"/>
        <v>1048516389.6299994</v>
      </c>
      <c r="AG752" t="str">
        <f t="shared" si="166"/>
        <v>Active</v>
      </c>
      <c r="AH752">
        <f t="shared" si="167"/>
        <v>1686.72</v>
      </c>
    </row>
    <row r="753" spans="1:34" x14ac:dyDescent="0.35">
      <c r="A753" t="s">
        <v>2125</v>
      </c>
      <c r="B753" t="s">
        <v>2126</v>
      </c>
      <c r="C753">
        <v>54</v>
      </c>
      <c r="D753" t="s">
        <v>38</v>
      </c>
      <c r="E753" t="s">
        <v>32</v>
      </c>
      <c r="F753" t="s">
        <v>59</v>
      </c>
      <c r="G753">
        <v>150215</v>
      </c>
      <c r="H753">
        <v>782</v>
      </c>
      <c r="I753">
        <v>14479</v>
      </c>
      <c r="J753">
        <v>13.42</v>
      </c>
      <c r="K753">
        <v>240</v>
      </c>
      <c r="L753" t="s">
        <v>86</v>
      </c>
      <c r="M753">
        <v>37.83</v>
      </c>
      <c r="N753">
        <v>38937</v>
      </c>
      <c r="O753">
        <v>165405</v>
      </c>
      <c r="P753" t="s">
        <v>2127</v>
      </c>
      <c r="Q753" t="s">
        <v>61</v>
      </c>
      <c r="R753" t="s">
        <v>28</v>
      </c>
      <c r="S753" t="s">
        <v>68</v>
      </c>
      <c r="T753">
        <v>68.430000000000007</v>
      </c>
      <c r="U753">
        <f t="shared" si="154"/>
        <v>1249</v>
      </c>
      <c r="V753">
        <f t="shared" si="155"/>
        <v>465</v>
      </c>
      <c r="W753">
        <f t="shared" si="156"/>
        <v>386</v>
      </c>
      <c r="X753">
        <f t="shared" si="157"/>
        <v>0.35149999999999998</v>
      </c>
      <c r="Y753" s="1">
        <f t="shared" si="158"/>
        <v>63931167</v>
      </c>
      <c r="Z753">
        <f t="shared" si="159"/>
        <v>51185.882305844672</v>
      </c>
      <c r="AA753">
        <f t="shared" si="160"/>
        <v>99996</v>
      </c>
      <c r="AB753">
        <f t="shared" si="161"/>
        <v>5091</v>
      </c>
      <c r="AC753">
        <f t="shared" si="162"/>
        <v>1665917.7699999982</v>
      </c>
      <c r="AD753">
        <f t="shared" si="163"/>
        <v>1333.801257005603</v>
      </c>
      <c r="AE753">
        <f t="shared" si="164"/>
        <v>0.35149999999999998</v>
      </c>
      <c r="AF753">
        <f t="shared" si="165"/>
        <v>1046850331.2999995</v>
      </c>
      <c r="AG753" t="str">
        <f t="shared" si="166"/>
        <v>Active</v>
      </c>
      <c r="AH753">
        <f t="shared" si="167"/>
        <v>821.16000000000008</v>
      </c>
    </row>
    <row r="754" spans="1:34" x14ac:dyDescent="0.35">
      <c r="A754" t="s">
        <v>2128</v>
      </c>
      <c r="B754" t="s">
        <v>2129</v>
      </c>
      <c r="C754">
        <v>55</v>
      </c>
      <c r="D754" t="s">
        <v>22</v>
      </c>
      <c r="E754" t="s">
        <v>39</v>
      </c>
      <c r="F754" t="s">
        <v>24</v>
      </c>
      <c r="G754">
        <v>77486</v>
      </c>
      <c r="H754">
        <v>395</v>
      </c>
      <c r="I754">
        <v>76924</v>
      </c>
      <c r="J754">
        <v>10.07</v>
      </c>
      <c r="K754">
        <v>120</v>
      </c>
      <c r="L754" t="s">
        <v>25</v>
      </c>
      <c r="M754">
        <v>6.83</v>
      </c>
      <c r="N754">
        <v>15872</v>
      </c>
      <c r="O754">
        <v>111398</v>
      </c>
      <c r="P754" t="s">
        <v>2130</v>
      </c>
      <c r="Q754" t="s">
        <v>27</v>
      </c>
      <c r="R754" t="s">
        <v>48</v>
      </c>
      <c r="S754" t="s">
        <v>35</v>
      </c>
      <c r="T754">
        <v>705.59</v>
      </c>
      <c r="U754">
        <f t="shared" si="154"/>
        <v>1248</v>
      </c>
      <c r="V754">
        <f t="shared" si="155"/>
        <v>465</v>
      </c>
      <c r="W754">
        <f t="shared" si="156"/>
        <v>385</v>
      </c>
      <c r="X754">
        <f t="shared" si="157"/>
        <v>0.35149999999999998</v>
      </c>
      <c r="Y754" s="1">
        <f t="shared" si="158"/>
        <v>63916688</v>
      </c>
      <c r="Z754">
        <f t="shared" si="159"/>
        <v>51215.294871794875</v>
      </c>
      <c r="AA754">
        <f t="shared" si="160"/>
        <v>99996</v>
      </c>
      <c r="AB754">
        <f t="shared" si="161"/>
        <v>5091</v>
      </c>
      <c r="AC754">
        <f t="shared" si="162"/>
        <v>1665849.3399999982</v>
      </c>
      <c r="AD754">
        <f t="shared" si="163"/>
        <v>1334.8151762820498</v>
      </c>
      <c r="AE754">
        <f t="shared" si="164"/>
        <v>0.35149999999999998</v>
      </c>
      <c r="AF754">
        <f t="shared" si="165"/>
        <v>1045184413.5299996</v>
      </c>
      <c r="AG754" t="str">
        <f t="shared" si="166"/>
        <v>Active</v>
      </c>
      <c r="AH754">
        <f t="shared" si="167"/>
        <v>8467.08</v>
      </c>
    </row>
    <row r="755" spans="1:34" x14ac:dyDescent="0.35">
      <c r="A755" t="s">
        <v>2131</v>
      </c>
      <c r="B755" t="s">
        <v>2132</v>
      </c>
      <c r="C755">
        <v>43</v>
      </c>
      <c r="D755" t="s">
        <v>22</v>
      </c>
      <c r="E755" t="s">
        <v>32</v>
      </c>
      <c r="F755" t="s">
        <v>59</v>
      </c>
      <c r="G755">
        <v>36016</v>
      </c>
      <c r="H755">
        <v>787</v>
      </c>
      <c r="I755">
        <v>55795</v>
      </c>
      <c r="J755">
        <v>10.89</v>
      </c>
      <c r="K755">
        <v>180</v>
      </c>
      <c r="L755" t="s">
        <v>52</v>
      </c>
      <c r="M755">
        <v>59.33</v>
      </c>
      <c r="N755">
        <v>73395</v>
      </c>
      <c r="O755">
        <v>25619</v>
      </c>
      <c r="P755" t="s">
        <v>2133</v>
      </c>
      <c r="Q755" t="s">
        <v>27</v>
      </c>
      <c r="R755" t="s">
        <v>48</v>
      </c>
      <c r="S755" t="s">
        <v>68</v>
      </c>
      <c r="T755">
        <v>343.73</v>
      </c>
      <c r="U755">
        <f t="shared" si="154"/>
        <v>1247</v>
      </c>
      <c r="V755">
        <f t="shared" si="155"/>
        <v>465</v>
      </c>
      <c r="W755">
        <f t="shared" si="156"/>
        <v>385</v>
      </c>
      <c r="X755">
        <f t="shared" si="157"/>
        <v>0.35149999999999998</v>
      </c>
      <c r="Y755" s="1">
        <f t="shared" si="158"/>
        <v>63839764</v>
      </c>
      <c r="Z755">
        <f t="shared" si="159"/>
        <v>51194.678428227744</v>
      </c>
      <c r="AA755">
        <f t="shared" si="160"/>
        <v>99996</v>
      </c>
      <c r="AB755">
        <f t="shared" si="161"/>
        <v>5091</v>
      </c>
      <c r="AC755">
        <f t="shared" si="162"/>
        <v>1665143.7499999981</v>
      </c>
      <c r="AD755">
        <f t="shared" si="163"/>
        <v>1335.3197674418591</v>
      </c>
      <c r="AE755">
        <f t="shared" si="164"/>
        <v>0.35149999999999998</v>
      </c>
      <c r="AF755">
        <f t="shared" si="165"/>
        <v>1043518564.1899996</v>
      </c>
      <c r="AG755" t="str">
        <f t="shared" si="166"/>
        <v>Active</v>
      </c>
      <c r="AH755">
        <f t="shared" si="167"/>
        <v>4124.76</v>
      </c>
    </row>
    <row r="756" spans="1:34" x14ac:dyDescent="0.35">
      <c r="A756" t="s">
        <v>2134</v>
      </c>
      <c r="B756" t="s">
        <v>2135</v>
      </c>
      <c r="C756">
        <v>34</v>
      </c>
      <c r="D756" t="s">
        <v>38</v>
      </c>
      <c r="E756" t="s">
        <v>23</v>
      </c>
      <c r="F756" t="s">
        <v>24</v>
      </c>
      <c r="G756">
        <v>87102</v>
      </c>
      <c r="H756">
        <v>843</v>
      </c>
      <c r="I756">
        <v>11698</v>
      </c>
      <c r="J756">
        <v>3.87</v>
      </c>
      <c r="K756">
        <v>180</v>
      </c>
      <c r="L756" t="s">
        <v>25</v>
      </c>
      <c r="M756">
        <v>46.97</v>
      </c>
      <c r="N756">
        <v>41218</v>
      </c>
      <c r="O756">
        <v>18423</v>
      </c>
      <c r="P756" t="s">
        <v>2136</v>
      </c>
      <c r="Q756" t="s">
        <v>61</v>
      </c>
      <c r="R756" t="s">
        <v>28</v>
      </c>
      <c r="S756" t="s">
        <v>49</v>
      </c>
      <c r="T756">
        <v>67.5</v>
      </c>
      <c r="U756">
        <f t="shared" si="154"/>
        <v>1246</v>
      </c>
      <c r="V756">
        <f t="shared" si="155"/>
        <v>465</v>
      </c>
      <c r="W756">
        <f t="shared" si="156"/>
        <v>385</v>
      </c>
      <c r="X756">
        <f t="shared" si="157"/>
        <v>0.35149999999999998</v>
      </c>
      <c r="Y756" s="1">
        <f t="shared" si="158"/>
        <v>63783969</v>
      </c>
      <c r="Z756">
        <f t="shared" si="159"/>
        <v>51190.986356340291</v>
      </c>
      <c r="AA756">
        <f t="shared" si="160"/>
        <v>99996</v>
      </c>
      <c r="AB756">
        <f t="shared" si="161"/>
        <v>5091</v>
      </c>
      <c r="AC756">
        <f t="shared" si="162"/>
        <v>1664800.0199999982</v>
      </c>
      <c r="AD756">
        <f t="shared" si="163"/>
        <v>1336.1155858747979</v>
      </c>
      <c r="AE756">
        <f t="shared" si="164"/>
        <v>0.35149999999999998</v>
      </c>
      <c r="AF756">
        <f t="shared" si="165"/>
        <v>1041853420.4399996</v>
      </c>
      <c r="AG756" t="str">
        <f t="shared" si="166"/>
        <v>Active</v>
      </c>
      <c r="AH756">
        <f t="shared" si="167"/>
        <v>810</v>
      </c>
    </row>
    <row r="757" spans="1:34" x14ac:dyDescent="0.35">
      <c r="A757" t="s">
        <v>2137</v>
      </c>
      <c r="B757" t="s">
        <v>2138</v>
      </c>
      <c r="C757">
        <v>49</v>
      </c>
      <c r="D757" t="s">
        <v>38</v>
      </c>
      <c r="E757" t="s">
        <v>39</v>
      </c>
      <c r="F757" t="s">
        <v>24</v>
      </c>
      <c r="G757">
        <v>31656</v>
      </c>
      <c r="H757">
        <v>843</v>
      </c>
      <c r="I757">
        <v>38023</v>
      </c>
      <c r="J757">
        <v>15.17</v>
      </c>
      <c r="K757">
        <v>12</v>
      </c>
      <c r="L757" t="s">
        <v>40</v>
      </c>
      <c r="M757">
        <v>18.989999999999998</v>
      </c>
      <c r="N757">
        <v>53879</v>
      </c>
      <c r="O757">
        <v>38874</v>
      </c>
      <c r="P757" t="s">
        <v>385</v>
      </c>
      <c r="Q757" t="s">
        <v>27</v>
      </c>
      <c r="R757" t="s">
        <v>28</v>
      </c>
      <c r="S757" t="s">
        <v>35</v>
      </c>
      <c r="T757">
        <v>3649.26</v>
      </c>
      <c r="U757">
        <f t="shared" si="154"/>
        <v>1245</v>
      </c>
      <c r="V757">
        <f t="shared" si="155"/>
        <v>465</v>
      </c>
      <c r="W757">
        <f t="shared" si="156"/>
        <v>384</v>
      </c>
      <c r="X757">
        <f t="shared" si="157"/>
        <v>0.35149999999999998</v>
      </c>
      <c r="Y757" s="1">
        <f t="shared" si="158"/>
        <v>63772271</v>
      </c>
      <c r="Z757">
        <f t="shared" si="159"/>
        <v>51222.707630522091</v>
      </c>
      <c r="AA757">
        <f t="shared" si="160"/>
        <v>99996</v>
      </c>
      <c r="AB757">
        <f t="shared" si="161"/>
        <v>5091</v>
      </c>
      <c r="AC757">
        <f t="shared" si="162"/>
        <v>1664732.5199999982</v>
      </c>
      <c r="AD757">
        <f t="shared" si="163"/>
        <v>1337.134554216866</v>
      </c>
      <c r="AE757">
        <f t="shared" si="164"/>
        <v>0.35149999999999998</v>
      </c>
      <c r="AF757">
        <f t="shared" si="165"/>
        <v>1040188620.4199996</v>
      </c>
      <c r="AG757" t="str">
        <f t="shared" si="166"/>
        <v>Active</v>
      </c>
      <c r="AH757">
        <f t="shared" si="167"/>
        <v>43791.12</v>
      </c>
    </row>
    <row r="758" spans="1:34" x14ac:dyDescent="0.35">
      <c r="A758" t="s">
        <v>2139</v>
      </c>
      <c r="B758" t="s">
        <v>2140</v>
      </c>
      <c r="C758">
        <v>26</v>
      </c>
      <c r="D758" t="s">
        <v>22</v>
      </c>
      <c r="E758" t="s">
        <v>39</v>
      </c>
      <c r="F758" t="s">
        <v>24</v>
      </c>
      <c r="G758">
        <v>188377</v>
      </c>
      <c r="H758">
        <v>328</v>
      </c>
      <c r="I758">
        <v>52760</v>
      </c>
      <c r="J758">
        <v>11.4</v>
      </c>
      <c r="K758">
        <v>240</v>
      </c>
      <c r="L758" t="s">
        <v>52</v>
      </c>
      <c r="M758">
        <v>57.33</v>
      </c>
      <c r="N758">
        <v>36558</v>
      </c>
      <c r="O758">
        <v>88497</v>
      </c>
      <c r="P758" t="s">
        <v>2141</v>
      </c>
      <c r="Q758" t="s">
        <v>27</v>
      </c>
      <c r="R758" t="s">
        <v>28</v>
      </c>
      <c r="S758" t="s">
        <v>35</v>
      </c>
      <c r="T758">
        <v>244.89</v>
      </c>
      <c r="U758">
        <f t="shared" si="154"/>
        <v>1244</v>
      </c>
      <c r="V758">
        <f t="shared" si="155"/>
        <v>465</v>
      </c>
      <c r="W758">
        <f t="shared" si="156"/>
        <v>384</v>
      </c>
      <c r="X758">
        <f t="shared" si="157"/>
        <v>0.35149999999999998</v>
      </c>
      <c r="Y758" s="1">
        <f t="shared" si="158"/>
        <v>63734248</v>
      </c>
      <c r="Z758">
        <f t="shared" si="159"/>
        <v>51233.318327974273</v>
      </c>
      <c r="AA758">
        <f t="shared" si="160"/>
        <v>99996</v>
      </c>
      <c r="AB758">
        <f t="shared" si="161"/>
        <v>5091</v>
      </c>
      <c r="AC758">
        <f t="shared" si="162"/>
        <v>1661083.2599999981</v>
      </c>
      <c r="AD758">
        <f t="shared" si="163"/>
        <v>1335.2759324758827</v>
      </c>
      <c r="AE758">
        <f t="shared" si="164"/>
        <v>0.35149999999999998</v>
      </c>
      <c r="AF758">
        <f t="shared" si="165"/>
        <v>1038523887.8999995</v>
      </c>
      <c r="AG758" t="str">
        <f t="shared" si="166"/>
        <v>Over Paid</v>
      </c>
      <c r="AH758">
        <f t="shared" si="167"/>
        <v>2938.68</v>
      </c>
    </row>
    <row r="759" spans="1:34" x14ac:dyDescent="0.35">
      <c r="A759" t="s">
        <v>2142</v>
      </c>
      <c r="B759" t="s">
        <v>2143</v>
      </c>
      <c r="C759">
        <v>27</v>
      </c>
      <c r="D759" t="s">
        <v>38</v>
      </c>
      <c r="E759" t="s">
        <v>23</v>
      </c>
      <c r="F759" t="s">
        <v>24</v>
      </c>
      <c r="G759">
        <v>75311</v>
      </c>
      <c r="H759">
        <v>667</v>
      </c>
      <c r="I759">
        <v>16933</v>
      </c>
      <c r="J759">
        <v>3.94</v>
      </c>
      <c r="K759">
        <v>60</v>
      </c>
      <c r="L759" t="s">
        <v>52</v>
      </c>
      <c r="M759">
        <v>9.24</v>
      </c>
      <c r="N759">
        <v>56884</v>
      </c>
      <c r="O759">
        <v>167703</v>
      </c>
      <c r="P759" t="s">
        <v>2144</v>
      </c>
      <c r="Q759" t="s">
        <v>27</v>
      </c>
      <c r="R759" t="s">
        <v>28</v>
      </c>
      <c r="S759" t="s">
        <v>43</v>
      </c>
      <c r="T759">
        <v>293.33999999999997</v>
      </c>
      <c r="U759">
        <f t="shared" si="154"/>
        <v>1243</v>
      </c>
      <c r="V759">
        <f t="shared" si="155"/>
        <v>465</v>
      </c>
      <c r="W759">
        <f t="shared" si="156"/>
        <v>384</v>
      </c>
      <c r="X759">
        <f t="shared" si="157"/>
        <v>0.35149999999999998</v>
      </c>
      <c r="Y759" s="1">
        <f t="shared" si="158"/>
        <v>63681488</v>
      </c>
      <c r="Z759">
        <f t="shared" si="159"/>
        <v>51232.090104585681</v>
      </c>
      <c r="AA759">
        <f t="shared" si="160"/>
        <v>99996</v>
      </c>
      <c r="AB759">
        <f t="shared" si="161"/>
        <v>5091</v>
      </c>
      <c r="AC759">
        <f t="shared" si="162"/>
        <v>1660838.3699999982</v>
      </c>
      <c r="AD759">
        <f t="shared" si="163"/>
        <v>1336.1531536604973</v>
      </c>
      <c r="AE759">
        <f t="shared" si="164"/>
        <v>0.35149999999999998</v>
      </c>
      <c r="AF759">
        <f t="shared" si="165"/>
        <v>1036862804.6399995</v>
      </c>
      <c r="AG759" t="str">
        <f t="shared" si="166"/>
        <v>Active</v>
      </c>
      <c r="AH759">
        <f t="shared" si="167"/>
        <v>3520.08</v>
      </c>
    </row>
    <row r="760" spans="1:34" x14ac:dyDescent="0.35">
      <c r="A760" t="s">
        <v>2145</v>
      </c>
      <c r="B760" t="s">
        <v>2146</v>
      </c>
      <c r="C760">
        <v>29</v>
      </c>
      <c r="D760" t="s">
        <v>22</v>
      </c>
      <c r="E760" t="s">
        <v>23</v>
      </c>
      <c r="F760" t="s">
        <v>46</v>
      </c>
      <c r="G760">
        <v>182256</v>
      </c>
      <c r="H760">
        <v>416</v>
      </c>
      <c r="I760">
        <v>52815</v>
      </c>
      <c r="J760">
        <v>22.07</v>
      </c>
      <c r="K760">
        <v>12</v>
      </c>
      <c r="L760" t="s">
        <v>25</v>
      </c>
      <c r="M760">
        <v>14.59</v>
      </c>
      <c r="N760">
        <v>59487</v>
      </c>
      <c r="O760">
        <v>165749</v>
      </c>
      <c r="P760" t="s">
        <v>2147</v>
      </c>
      <c r="Q760" t="s">
        <v>27</v>
      </c>
      <c r="R760" t="s">
        <v>48</v>
      </c>
      <c r="S760" t="s">
        <v>43</v>
      </c>
      <c r="T760">
        <v>5372.61</v>
      </c>
      <c r="U760">
        <f t="shared" si="154"/>
        <v>1242</v>
      </c>
      <c r="V760">
        <f t="shared" si="155"/>
        <v>465</v>
      </c>
      <c r="W760">
        <f t="shared" si="156"/>
        <v>384</v>
      </c>
      <c r="X760">
        <f t="shared" si="157"/>
        <v>0.35149999999999998</v>
      </c>
      <c r="Y760" s="1">
        <f t="shared" si="158"/>
        <v>63664555</v>
      </c>
      <c r="Z760">
        <f t="shared" si="159"/>
        <v>51259.706119162642</v>
      </c>
      <c r="AA760">
        <f t="shared" si="160"/>
        <v>99996</v>
      </c>
      <c r="AB760">
        <f t="shared" si="161"/>
        <v>5091</v>
      </c>
      <c r="AC760">
        <f t="shared" si="162"/>
        <v>1660545.0299999984</v>
      </c>
      <c r="AD760">
        <f t="shared" si="163"/>
        <v>1336.9927777777764</v>
      </c>
      <c r="AE760">
        <f t="shared" si="164"/>
        <v>0.35149999999999998</v>
      </c>
      <c r="AF760">
        <f t="shared" si="165"/>
        <v>1035201966.2699995</v>
      </c>
      <c r="AG760" t="str">
        <f t="shared" si="166"/>
        <v>Active</v>
      </c>
      <c r="AH760">
        <f t="shared" si="167"/>
        <v>64471.319999999992</v>
      </c>
    </row>
    <row r="761" spans="1:34" x14ac:dyDescent="0.35">
      <c r="A761" t="s">
        <v>2148</v>
      </c>
      <c r="B761" t="s">
        <v>2149</v>
      </c>
      <c r="C761">
        <v>45</v>
      </c>
      <c r="D761" t="s">
        <v>38</v>
      </c>
      <c r="E761" t="s">
        <v>32</v>
      </c>
      <c r="F761" t="s">
        <v>46</v>
      </c>
      <c r="G761">
        <v>194097</v>
      </c>
      <c r="H761">
        <v>728</v>
      </c>
      <c r="I761">
        <v>83666</v>
      </c>
      <c r="J761">
        <v>16.48</v>
      </c>
      <c r="K761">
        <v>24</v>
      </c>
      <c r="L761" t="s">
        <v>86</v>
      </c>
      <c r="M761">
        <v>16.829999999999998</v>
      </c>
      <c r="N761">
        <v>73254</v>
      </c>
      <c r="O761">
        <v>139110</v>
      </c>
      <c r="P761" t="s">
        <v>837</v>
      </c>
      <c r="Q761" t="s">
        <v>27</v>
      </c>
      <c r="R761" t="s">
        <v>48</v>
      </c>
      <c r="S761" t="s">
        <v>35</v>
      </c>
      <c r="T761">
        <v>4060.59</v>
      </c>
      <c r="U761">
        <f t="shared" si="154"/>
        <v>1241</v>
      </c>
      <c r="V761">
        <f t="shared" si="155"/>
        <v>465</v>
      </c>
      <c r="W761">
        <f t="shared" si="156"/>
        <v>384</v>
      </c>
      <c r="X761">
        <f t="shared" si="157"/>
        <v>0.35149999999999998</v>
      </c>
      <c r="Y761" s="1">
        <f t="shared" si="158"/>
        <v>63611740</v>
      </c>
      <c r="Z761">
        <f t="shared" si="159"/>
        <v>51258.452860596291</v>
      </c>
      <c r="AA761">
        <f t="shared" si="160"/>
        <v>99996</v>
      </c>
      <c r="AB761">
        <f t="shared" si="161"/>
        <v>5091</v>
      </c>
      <c r="AC761">
        <f t="shared" si="162"/>
        <v>1655172.4199999985</v>
      </c>
      <c r="AD761">
        <f t="shared" si="163"/>
        <v>1333.7408702659134</v>
      </c>
      <c r="AE761">
        <f t="shared" si="164"/>
        <v>0.35149999999999998</v>
      </c>
      <c r="AF761">
        <f t="shared" si="165"/>
        <v>1033541421.2399995</v>
      </c>
      <c r="AG761" t="str">
        <f t="shared" si="166"/>
        <v>Over Paid</v>
      </c>
      <c r="AH761">
        <f t="shared" si="167"/>
        <v>48727.08</v>
      </c>
    </row>
    <row r="762" spans="1:34" x14ac:dyDescent="0.35">
      <c r="A762" t="s">
        <v>2150</v>
      </c>
      <c r="B762" t="s">
        <v>2151</v>
      </c>
      <c r="C762">
        <v>27</v>
      </c>
      <c r="D762" t="s">
        <v>38</v>
      </c>
      <c r="E762" t="s">
        <v>23</v>
      </c>
      <c r="F762" t="s">
        <v>46</v>
      </c>
      <c r="G762">
        <v>170775</v>
      </c>
      <c r="H762">
        <v>840</v>
      </c>
      <c r="I762">
        <v>19683</v>
      </c>
      <c r="J762">
        <v>18.809999999999999</v>
      </c>
      <c r="K762">
        <v>120</v>
      </c>
      <c r="L762" t="s">
        <v>25</v>
      </c>
      <c r="M762">
        <v>15.91</v>
      </c>
      <c r="N762">
        <v>74069</v>
      </c>
      <c r="O762">
        <v>168422</v>
      </c>
      <c r="P762" t="s">
        <v>2152</v>
      </c>
      <c r="Q762" t="s">
        <v>27</v>
      </c>
      <c r="R762" t="s">
        <v>28</v>
      </c>
      <c r="S762" t="s">
        <v>35</v>
      </c>
      <c r="T762">
        <v>194.88</v>
      </c>
      <c r="U762">
        <f t="shared" si="154"/>
        <v>1240</v>
      </c>
      <c r="V762">
        <f t="shared" si="155"/>
        <v>465</v>
      </c>
      <c r="W762">
        <f t="shared" si="156"/>
        <v>384</v>
      </c>
      <c r="X762">
        <f t="shared" si="157"/>
        <v>0.35149999999999998</v>
      </c>
      <c r="Y762" s="1">
        <f t="shared" si="158"/>
        <v>63528074</v>
      </c>
      <c r="Z762">
        <f t="shared" si="159"/>
        <v>51232.317741935483</v>
      </c>
      <c r="AA762">
        <f t="shared" si="160"/>
        <v>99996</v>
      </c>
      <c r="AB762">
        <f t="shared" si="161"/>
        <v>5091</v>
      </c>
      <c r="AC762">
        <f t="shared" si="162"/>
        <v>1651111.8299999984</v>
      </c>
      <c r="AD762">
        <f t="shared" si="163"/>
        <v>1331.5417983870955</v>
      </c>
      <c r="AE762">
        <f t="shared" si="164"/>
        <v>0.35149999999999998</v>
      </c>
      <c r="AF762">
        <f t="shared" si="165"/>
        <v>1031886248.8199995</v>
      </c>
      <c r="AG762" t="str">
        <f t="shared" si="166"/>
        <v>Active</v>
      </c>
      <c r="AH762">
        <f t="shared" si="167"/>
        <v>2338.56</v>
      </c>
    </row>
    <row r="763" spans="1:34" x14ac:dyDescent="0.35">
      <c r="A763" t="s">
        <v>2153</v>
      </c>
      <c r="B763" t="s">
        <v>2154</v>
      </c>
      <c r="C763">
        <v>52</v>
      </c>
      <c r="D763" t="s">
        <v>38</v>
      </c>
      <c r="E763" t="s">
        <v>32</v>
      </c>
      <c r="F763" t="s">
        <v>59</v>
      </c>
      <c r="G763">
        <v>196944</v>
      </c>
      <c r="H763">
        <v>376</v>
      </c>
      <c r="I763">
        <v>60249</v>
      </c>
      <c r="J763">
        <v>5.74</v>
      </c>
      <c r="K763">
        <v>360</v>
      </c>
      <c r="L763" t="s">
        <v>40</v>
      </c>
      <c r="M763">
        <v>44.73</v>
      </c>
      <c r="N763">
        <v>54753</v>
      </c>
      <c r="O763">
        <v>107124</v>
      </c>
      <c r="P763" t="s">
        <v>2155</v>
      </c>
      <c r="Q763" t="s">
        <v>61</v>
      </c>
      <c r="R763" t="s">
        <v>48</v>
      </c>
      <c r="S763" t="s">
        <v>49</v>
      </c>
      <c r="T763">
        <v>176.96</v>
      </c>
      <c r="U763">
        <f t="shared" si="154"/>
        <v>1239</v>
      </c>
      <c r="V763">
        <f t="shared" si="155"/>
        <v>465</v>
      </c>
      <c r="W763">
        <f t="shared" si="156"/>
        <v>384</v>
      </c>
      <c r="X763">
        <f t="shared" si="157"/>
        <v>0.35149999999999998</v>
      </c>
      <c r="Y763" s="1">
        <f t="shared" si="158"/>
        <v>63508391</v>
      </c>
      <c r="Z763">
        <f t="shared" si="159"/>
        <v>51257.781275221954</v>
      </c>
      <c r="AA763">
        <f t="shared" si="160"/>
        <v>99996</v>
      </c>
      <c r="AB763">
        <f t="shared" si="161"/>
        <v>5091</v>
      </c>
      <c r="AC763">
        <f t="shared" si="162"/>
        <v>1650916.9499999983</v>
      </c>
      <c r="AD763">
        <f t="shared" si="163"/>
        <v>1332.4592009685216</v>
      </c>
      <c r="AE763">
        <f t="shared" si="164"/>
        <v>0.35149999999999998</v>
      </c>
      <c r="AF763">
        <f t="shared" si="165"/>
        <v>1030235136.9899994</v>
      </c>
      <c r="AG763" t="str">
        <f t="shared" si="166"/>
        <v>Active</v>
      </c>
      <c r="AH763">
        <f t="shared" si="167"/>
        <v>2123.52</v>
      </c>
    </row>
    <row r="764" spans="1:34" x14ac:dyDescent="0.35">
      <c r="A764" t="s">
        <v>2156</v>
      </c>
      <c r="B764" t="s">
        <v>2157</v>
      </c>
      <c r="C764">
        <v>48</v>
      </c>
      <c r="D764" t="s">
        <v>22</v>
      </c>
      <c r="E764" t="s">
        <v>23</v>
      </c>
      <c r="F764" t="s">
        <v>46</v>
      </c>
      <c r="G764">
        <v>110362</v>
      </c>
      <c r="H764">
        <v>453</v>
      </c>
      <c r="I764">
        <v>25587</v>
      </c>
      <c r="J764">
        <v>21.57</v>
      </c>
      <c r="K764">
        <v>12</v>
      </c>
      <c r="L764" t="s">
        <v>25</v>
      </c>
      <c r="M764">
        <v>49.14</v>
      </c>
      <c r="N764">
        <v>30159</v>
      </c>
      <c r="O764">
        <v>16881</v>
      </c>
      <c r="P764" t="s">
        <v>785</v>
      </c>
      <c r="Q764" t="s">
        <v>42</v>
      </c>
      <c r="R764" t="s">
        <v>28</v>
      </c>
      <c r="S764" t="s">
        <v>29</v>
      </c>
      <c r="T764">
        <v>2592.1799999999998</v>
      </c>
      <c r="U764">
        <f t="shared" si="154"/>
        <v>1238</v>
      </c>
      <c r="V764">
        <f t="shared" si="155"/>
        <v>465</v>
      </c>
      <c r="W764">
        <f t="shared" si="156"/>
        <v>383</v>
      </c>
      <c r="X764">
        <f t="shared" si="157"/>
        <v>0.35149999999999998</v>
      </c>
      <c r="Y764" s="1">
        <f t="shared" si="158"/>
        <v>63448142</v>
      </c>
      <c r="Z764">
        <f t="shared" si="159"/>
        <v>51250.518578352181</v>
      </c>
      <c r="AA764">
        <f t="shared" si="160"/>
        <v>99996</v>
      </c>
      <c r="AB764">
        <f t="shared" si="161"/>
        <v>5091</v>
      </c>
      <c r="AC764">
        <f t="shared" si="162"/>
        <v>1650739.9899999984</v>
      </c>
      <c r="AD764">
        <f t="shared" si="163"/>
        <v>1333.3925605815818</v>
      </c>
      <c r="AE764">
        <f t="shared" si="164"/>
        <v>0.35149999999999998</v>
      </c>
      <c r="AF764">
        <f t="shared" si="165"/>
        <v>1028584220.0399994</v>
      </c>
      <c r="AG764" t="str">
        <f t="shared" si="166"/>
        <v>Active</v>
      </c>
      <c r="AH764">
        <f t="shared" si="167"/>
        <v>31106.159999999996</v>
      </c>
    </row>
    <row r="765" spans="1:34" x14ac:dyDescent="0.35">
      <c r="A765" t="s">
        <v>2158</v>
      </c>
      <c r="B765" t="s">
        <v>2159</v>
      </c>
      <c r="C765">
        <v>47</v>
      </c>
      <c r="D765" t="s">
        <v>22</v>
      </c>
      <c r="E765" t="s">
        <v>23</v>
      </c>
      <c r="F765" t="s">
        <v>24</v>
      </c>
      <c r="G765">
        <v>59245</v>
      </c>
      <c r="H765">
        <v>841</v>
      </c>
      <c r="I765">
        <v>49965</v>
      </c>
      <c r="J765">
        <v>9.27</v>
      </c>
      <c r="K765">
        <v>360</v>
      </c>
      <c r="L765" t="s">
        <v>40</v>
      </c>
      <c r="M765">
        <v>53.63</v>
      </c>
      <c r="N765">
        <v>15847</v>
      </c>
      <c r="O765">
        <v>249280</v>
      </c>
      <c r="P765" t="s">
        <v>840</v>
      </c>
      <c r="Q765" t="s">
        <v>27</v>
      </c>
      <c r="R765" t="s">
        <v>48</v>
      </c>
      <c r="S765" t="s">
        <v>29</v>
      </c>
      <c r="T765">
        <v>151.66</v>
      </c>
      <c r="U765">
        <f t="shared" si="154"/>
        <v>1237</v>
      </c>
      <c r="V765">
        <f t="shared" si="155"/>
        <v>464</v>
      </c>
      <c r="W765">
        <f t="shared" si="156"/>
        <v>383</v>
      </c>
      <c r="X765">
        <f t="shared" si="157"/>
        <v>0.35149999999999998</v>
      </c>
      <c r="Y765" s="1">
        <f t="shared" si="158"/>
        <v>63422555</v>
      </c>
      <c r="Z765">
        <f t="shared" si="159"/>
        <v>51271.265157639449</v>
      </c>
      <c r="AA765">
        <f t="shared" si="160"/>
        <v>99996</v>
      </c>
      <c r="AB765">
        <f t="shared" si="161"/>
        <v>5091</v>
      </c>
      <c r="AC765">
        <f t="shared" si="162"/>
        <v>1648147.8099999984</v>
      </c>
      <c r="AD765">
        <f t="shared" si="163"/>
        <v>1332.3749474535152</v>
      </c>
      <c r="AE765">
        <f t="shared" si="164"/>
        <v>0.35149999999999998</v>
      </c>
      <c r="AF765">
        <f t="shared" si="165"/>
        <v>1026933480.0499994</v>
      </c>
      <c r="AG765" t="str">
        <f t="shared" si="166"/>
        <v>Over Paid</v>
      </c>
      <c r="AH765">
        <f t="shared" si="167"/>
        <v>1819.92</v>
      </c>
    </row>
    <row r="766" spans="1:34" x14ac:dyDescent="0.35">
      <c r="A766" t="s">
        <v>2160</v>
      </c>
      <c r="B766" t="s">
        <v>2161</v>
      </c>
      <c r="C766">
        <v>39</v>
      </c>
      <c r="D766" t="s">
        <v>22</v>
      </c>
      <c r="E766" t="s">
        <v>39</v>
      </c>
      <c r="F766" t="s">
        <v>24</v>
      </c>
      <c r="G766">
        <v>120855</v>
      </c>
      <c r="H766">
        <v>547</v>
      </c>
      <c r="I766">
        <v>79559</v>
      </c>
      <c r="J766">
        <v>4.59</v>
      </c>
      <c r="K766">
        <v>360</v>
      </c>
      <c r="L766" t="s">
        <v>52</v>
      </c>
      <c r="M766">
        <v>14.26</v>
      </c>
      <c r="N766">
        <v>68680</v>
      </c>
      <c r="O766">
        <v>226959</v>
      </c>
      <c r="P766" t="s">
        <v>123</v>
      </c>
      <c r="Q766" t="s">
        <v>61</v>
      </c>
      <c r="R766" t="s">
        <v>48</v>
      </c>
      <c r="S766" t="s">
        <v>43</v>
      </c>
      <c r="T766">
        <v>231.14</v>
      </c>
      <c r="U766">
        <f t="shared" si="154"/>
        <v>1236</v>
      </c>
      <c r="V766">
        <f t="shared" si="155"/>
        <v>464</v>
      </c>
      <c r="W766">
        <f t="shared" si="156"/>
        <v>383</v>
      </c>
      <c r="X766">
        <f t="shared" si="157"/>
        <v>0.35149999999999998</v>
      </c>
      <c r="Y766" s="1">
        <f t="shared" si="158"/>
        <v>63372590</v>
      </c>
      <c r="Z766">
        <f t="shared" si="159"/>
        <v>51272.322006472488</v>
      </c>
      <c r="AA766">
        <f t="shared" si="160"/>
        <v>99996</v>
      </c>
      <c r="AB766">
        <f t="shared" si="161"/>
        <v>5091</v>
      </c>
      <c r="AC766">
        <f t="shared" si="162"/>
        <v>1647996.1499999985</v>
      </c>
      <c r="AD766">
        <f t="shared" si="163"/>
        <v>1333.3302184466008</v>
      </c>
      <c r="AE766">
        <f t="shared" si="164"/>
        <v>0.35149999999999998</v>
      </c>
      <c r="AF766">
        <f t="shared" si="165"/>
        <v>1025285332.2399993</v>
      </c>
      <c r="AG766" t="str">
        <f t="shared" si="166"/>
        <v>Active</v>
      </c>
      <c r="AH766">
        <f t="shared" si="167"/>
        <v>2773.68</v>
      </c>
    </row>
    <row r="767" spans="1:34" x14ac:dyDescent="0.35">
      <c r="A767" t="s">
        <v>2162</v>
      </c>
      <c r="B767" t="s">
        <v>2163</v>
      </c>
      <c r="C767">
        <v>62</v>
      </c>
      <c r="D767" t="s">
        <v>22</v>
      </c>
      <c r="E767" t="s">
        <v>23</v>
      </c>
      <c r="F767" t="s">
        <v>46</v>
      </c>
      <c r="G767">
        <v>163555</v>
      </c>
      <c r="H767">
        <v>571</v>
      </c>
      <c r="I767">
        <v>32607</v>
      </c>
      <c r="J767">
        <v>14.09</v>
      </c>
      <c r="K767">
        <v>120</v>
      </c>
      <c r="L767" t="s">
        <v>52</v>
      </c>
      <c r="M767">
        <v>47.04</v>
      </c>
      <c r="N767">
        <v>22110</v>
      </c>
      <c r="O767">
        <v>25714</v>
      </c>
      <c r="P767" t="s">
        <v>2164</v>
      </c>
      <c r="Q767" t="s">
        <v>61</v>
      </c>
      <c r="R767" t="s">
        <v>28</v>
      </c>
      <c r="S767" t="s">
        <v>68</v>
      </c>
      <c r="T767">
        <v>310.01</v>
      </c>
      <c r="U767">
        <f t="shared" si="154"/>
        <v>1235</v>
      </c>
      <c r="V767">
        <f t="shared" si="155"/>
        <v>464</v>
      </c>
      <c r="W767">
        <f t="shared" si="156"/>
        <v>382</v>
      </c>
      <c r="X767">
        <f t="shared" si="157"/>
        <v>0.35149999999999998</v>
      </c>
      <c r="Y767" s="1">
        <f t="shared" si="158"/>
        <v>63293031</v>
      </c>
      <c r="Z767">
        <f t="shared" si="159"/>
        <v>51249.417813765183</v>
      </c>
      <c r="AA767">
        <f t="shared" si="160"/>
        <v>99996</v>
      </c>
      <c r="AB767">
        <f t="shared" si="161"/>
        <v>5091</v>
      </c>
      <c r="AC767">
        <f t="shared" si="162"/>
        <v>1647765.0099999984</v>
      </c>
      <c r="AD767">
        <f t="shared" si="163"/>
        <v>1334.222680161942</v>
      </c>
      <c r="AE767">
        <f t="shared" si="164"/>
        <v>0.35149999999999998</v>
      </c>
      <c r="AF767">
        <f t="shared" si="165"/>
        <v>1023637336.0899993</v>
      </c>
      <c r="AG767" t="str">
        <f t="shared" si="166"/>
        <v>Active</v>
      </c>
      <c r="AH767">
        <f t="shared" si="167"/>
        <v>3720.12</v>
      </c>
    </row>
    <row r="768" spans="1:34" x14ac:dyDescent="0.35">
      <c r="A768" t="s">
        <v>2165</v>
      </c>
      <c r="B768" t="s">
        <v>2166</v>
      </c>
      <c r="C768">
        <v>62</v>
      </c>
      <c r="D768" t="s">
        <v>38</v>
      </c>
      <c r="E768" t="s">
        <v>23</v>
      </c>
      <c r="F768" t="s">
        <v>59</v>
      </c>
      <c r="G768">
        <v>177798</v>
      </c>
      <c r="H768">
        <v>567</v>
      </c>
      <c r="I768">
        <v>51324</v>
      </c>
      <c r="J768">
        <v>23.03</v>
      </c>
      <c r="K768">
        <v>12</v>
      </c>
      <c r="L768" t="s">
        <v>86</v>
      </c>
      <c r="M768">
        <v>48.65</v>
      </c>
      <c r="N768">
        <v>6481</v>
      </c>
      <c r="O768">
        <v>100900</v>
      </c>
      <c r="P768" t="s">
        <v>1625</v>
      </c>
      <c r="Q768" t="s">
        <v>42</v>
      </c>
      <c r="R768" t="s">
        <v>48</v>
      </c>
      <c r="S768" t="s">
        <v>68</v>
      </c>
      <c r="T768">
        <v>5261.99</v>
      </c>
      <c r="U768">
        <f t="shared" si="154"/>
        <v>1234</v>
      </c>
      <c r="V768">
        <f t="shared" si="155"/>
        <v>464</v>
      </c>
      <c r="W768">
        <f t="shared" si="156"/>
        <v>381</v>
      </c>
      <c r="X768">
        <f t="shared" si="157"/>
        <v>0.35149999999999998</v>
      </c>
      <c r="Y768" s="1">
        <f t="shared" si="158"/>
        <v>63260424</v>
      </c>
      <c r="Z768">
        <f t="shared" si="159"/>
        <v>51264.525121555918</v>
      </c>
      <c r="AA768">
        <f t="shared" si="160"/>
        <v>99996</v>
      </c>
      <c r="AB768">
        <f t="shared" si="161"/>
        <v>5091</v>
      </c>
      <c r="AC768">
        <f t="shared" si="162"/>
        <v>1647454.9999999984</v>
      </c>
      <c r="AD768">
        <f t="shared" si="163"/>
        <v>1335.0526742301445</v>
      </c>
      <c r="AE768">
        <f t="shared" si="164"/>
        <v>0.35149999999999998</v>
      </c>
      <c r="AF768">
        <f t="shared" si="165"/>
        <v>1021989571.0799993</v>
      </c>
      <c r="AG768" t="str">
        <f t="shared" si="166"/>
        <v>Active</v>
      </c>
      <c r="AH768">
        <f t="shared" si="167"/>
        <v>63143.88</v>
      </c>
    </row>
    <row r="769" spans="1:34" x14ac:dyDescent="0.35">
      <c r="A769" t="s">
        <v>2167</v>
      </c>
      <c r="B769" t="s">
        <v>2168</v>
      </c>
      <c r="C769">
        <v>64</v>
      </c>
      <c r="D769" t="s">
        <v>38</v>
      </c>
      <c r="E769" t="s">
        <v>39</v>
      </c>
      <c r="F769" t="s">
        <v>46</v>
      </c>
      <c r="G769">
        <v>86387</v>
      </c>
      <c r="H769">
        <v>633</v>
      </c>
      <c r="I769">
        <v>16646</v>
      </c>
      <c r="J769">
        <v>15.69</v>
      </c>
      <c r="K769">
        <v>36</v>
      </c>
      <c r="L769" t="s">
        <v>25</v>
      </c>
      <c r="M769">
        <v>28.28</v>
      </c>
      <c r="N769">
        <v>43226</v>
      </c>
      <c r="O769">
        <v>50905</v>
      </c>
      <c r="P769" t="s">
        <v>2169</v>
      </c>
      <c r="Q769" t="s">
        <v>27</v>
      </c>
      <c r="R769" t="s">
        <v>48</v>
      </c>
      <c r="S769" t="s">
        <v>49</v>
      </c>
      <c r="T769">
        <v>534.94000000000005</v>
      </c>
      <c r="U769">
        <f t="shared" si="154"/>
        <v>1233</v>
      </c>
      <c r="V769">
        <f t="shared" si="155"/>
        <v>463</v>
      </c>
      <c r="W769">
        <f t="shared" si="156"/>
        <v>381</v>
      </c>
      <c r="X769">
        <f t="shared" si="157"/>
        <v>0.35149999999999998</v>
      </c>
      <c r="Y769" s="1">
        <f t="shared" si="158"/>
        <v>63209100</v>
      </c>
      <c r="Z769">
        <f t="shared" si="159"/>
        <v>51264.47688564477</v>
      </c>
      <c r="AA769">
        <f t="shared" si="160"/>
        <v>99996</v>
      </c>
      <c r="AB769">
        <f t="shared" si="161"/>
        <v>5091</v>
      </c>
      <c r="AC769">
        <f t="shared" si="162"/>
        <v>1642193.0099999981</v>
      </c>
      <c r="AD769">
        <f t="shared" si="163"/>
        <v>1331.8678102189765</v>
      </c>
      <c r="AE769">
        <f t="shared" si="164"/>
        <v>0.35149999999999998</v>
      </c>
      <c r="AF769">
        <f t="shared" si="165"/>
        <v>1020342116.0799994</v>
      </c>
      <c r="AG769" t="str">
        <f t="shared" si="166"/>
        <v>Over Paid</v>
      </c>
      <c r="AH769">
        <f t="shared" si="167"/>
        <v>6419.2800000000007</v>
      </c>
    </row>
    <row r="770" spans="1:34" x14ac:dyDescent="0.35">
      <c r="A770" t="s">
        <v>2170</v>
      </c>
      <c r="B770" t="s">
        <v>2171</v>
      </c>
      <c r="C770">
        <v>30</v>
      </c>
      <c r="D770" t="s">
        <v>38</v>
      </c>
      <c r="E770" t="s">
        <v>23</v>
      </c>
      <c r="F770" t="s">
        <v>46</v>
      </c>
      <c r="G770">
        <v>65951</v>
      </c>
      <c r="H770">
        <v>542</v>
      </c>
      <c r="I770">
        <v>24416</v>
      </c>
      <c r="J770">
        <v>7.47</v>
      </c>
      <c r="K770">
        <v>24</v>
      </c>
      <c r="L770" t="s">
        <v>40</v>
      </c>
      <c r="M770">
        <v>42.59</v>
      </c>
      <c r="N770">
        <v>6839</v>
      </c>
      <c r="O770">
        <v>48553</v>
      </c>
      <c r="P770" t="s">
        <v>1144</v>
      </c>
      <c r="Q770" t="s">
        <v>42</v>
      </c>
      <c r="R770" t="s">
        <v>48</v>
      </c>
      <c r="S770" t="s">
        <v>49</v>
      </c>
      <c r="T770">
        <v>1093.33</v>
      </c>
      <c r="U770">
        <f t="shared" ref="U770:U833" si="168">COUNTA(A770:A2769)</f>
        <v>1232</v>
      </c>
      <c r="V770">
        <f t="shared" ref="V770:V833" si="169">COUNTIF(Q770:Q2769,"APPROVED")</f>
        <v>463</v>
      </c>
      <c r="W770">
        <f t="shared" ref="W770:W833" si="170">COUNTIF(Q770:Q2770,"Rejected")</f>
        <v>381</v>
      </c>
      <c r="X770">
        <f t="shared" ref="X770:X833" si="171">703/2000</f>
        <v>0.35149999999999998</v>
      </c>
      <c r="Y770" s="1">
        <f t="shared" ref="Y770:Y833" si="172">SUM(I770:I2769)</f>
        <v>63192454</v>
      </c>
      <c r="Z770">
        <f t="shared" ref="Z770:Z833" si="173">AVERAGE(I770:I20769)</f>
        <v>51292.5762987013</v>
      </c>
      <c r="AA770">
        <f t="shared" ref="AA770:AA833" si="174">MAX(I770:I2769)</f>
        <v>99996</v>
      </c>
      <c r="AB770">
        <f t="shared" ref="AB770:AB833" si="175">MIN(I770:I2769)</f>
        <v>5091</v>
      </c>
      <c r="AC770">
        <f t="shared" ref="AC770:AC833" si="176">SUM(T770:T2769)</f>
        <v>1641658.0699999982</v>
      </c>
      <c r="AD770">
        <f t="shared" ref="AD770:AD833" si="177">AVERAGE(T770:T2769)</f>
        <v>1332.5146672077908</v>
      </c>
      <c r="AE770">
        <f t="shared" ref="AE770:AE833" si="178">703/2000</f>
        <v>0.35149999999999998</v>
      </c>
      <c r="AF770">
        <f t="shared" ref="AF770:AF833" si="179">SUM(AC770:AC2769)</f>
        <v>1018699923.0699995</v>
      </c>
      <c r="AG770" t="str">
        <f t="shared" ref="AG770:AG833" si="180">IF(AH770=0,"Bad", IF(AH769&lt;I769, "Active", IF(AH769=I769, "Good", "Over Paid")))</f>
        <v>Active</v>
      </c>
      <c r="AH770">
        <f t="shared" ref="AH770:AH833" si="181">T770*12</f>
        <v>13119.96</v>
      </c>
    </row>
    <row r="771" spans="1:34" x14ac:dyDescent="0.35">
      <c r="A771" t="s">
        <v>2172</v>
      </c>
      <c r="B771" t="s">
        <v>2173</v>
      </c>
      <c r="C771">
        <v>27</v>
      </c>
      <c r="D771" t="s">
        <v>22</v>
      </c>
      <c r="E771" t="s">
        <v>39</v>
      </c>
      <c r="F771" t="s">
        <v>46</v>
      </c>
      <c r="G771">
        <v>133957</v>
      </c>
      <c r="H771">
        <v>386</v>
      </c>
      <c r="I771">
        <v>33625</v>
      </c>
      <c r="J771">
        <v>7.75</v>
      </c>
      <c r="K771">
        <v>36</v>
      </c>
      <c r="L771" t="s">
        <v>25</v>
      </c>
      <c r="M771">
        <v>18.98</v>
      </c>
      <c r="N771">
        <v>396</v>
      </c>
      <c r="O771">
        <v>44989</v>
      </c>
      <c r="P771" t="s">
        <v>2174</v>
      </c>
      <c r="Q771" t="s">
        <v>61</v>
      </c>
      <c r="R771" t="s">
        <v>48</v>
      </c>
      <c r="S771" t="s">
        <v>68</v>
      </c>
      <c r="T771">
        <v>1006.41</v>
      </c>
      <c r="U771">
        <f t="shared" si="168"/>
        <v>1231</v>
      </c>
      <c r="V771">
        <f t="shared" si="169"/>
        <v>462</v>
      </c>
      <c r="W771">
        <f t="shared" si="170"/>
        <v>381</v>
      </c>
      <c r="X771">
        <f t="shared" si="171"/>
        <v>0.35149999999999998</v>
      </c>
      <c r="Y771" s="1">
        <f t="shared" si="172"/>
        <v>63168038</v>
      </c>
      <c r="Z771">
        <f t="shared" si="173"/>
        <v>51314.409423233141</v>
      </c>
      <c r="AA771">
        <f t="shared" si="174"/>
        <v>99996</v>
      </c>
      <c r="AB771">
        <f t="shared" si="175"/>
        <v>5091</v>
      </c>
      <c r="AC771">
        <f t="shared" si="176"/>
        <v>1640564.7399999984</v>
      </c>
      <c r="AD771">
        <f t="shared" si="177"/>
        <v>1332.708968318439</v>
      </c>
      <c r="AE771">
        <f t="shared" si="178"/>
        <v>0.35149999999999998</v>
      </c>
      <c r="AF771">
        <f t="shared" si="179"/>
        <v>1017058264.9999995</v>
      </c>
      <c r="AG771" t="str">
        <f t="shared" si="180"/>
        <v>Active</v>
      </c>
      <c r="AH771">
        <f t="shared" si="181"/>
        <v>12076.92</v>
      </c>
    </row>
    <row r="772" spans="1:34" x14ac:dyDescent="0.35">
      <c r="A772" t="s">
        <v>2175</v>
      </c>
      <c r="B772" t="s">
        <v>2176</v>
      </c>
      <c r="C772">
        <v>38</v>
      </c>
      <c r="D772" t="s">
        <v>22</v>
      </c>
      <c r="E772" t="s">
        <v>39</v>
      </c>
      <c r="F772" t="s">
        <v>24</v>
      </c>
      <c r="G772">
        <v>70523</v>
      </c>
      <c r="H772">
        <v>502</v>
      </c>
      <c r="I772">
        <v>79995</v>
      </c>
      <c r="J772">
        <v>17.579999999999998</v>
      </c>
      <c r="K772">
        <v>36</v>
      </c>
      <c r="L772" t="s">
        <v>52</v>
      </c>
      <c r="M772">
        <v>11.44</v>
      </c>
      <c r="N772">
        <v>64405</v>
      </c>
      <c r="O772">
        <v>221659</v>
      </c>
      <c r="P772" t="s">
        <v>2177</v>
      </c>
      <c r="Q772" t="s">
        <v>42</v>
      </c>
      <c r="R772" t="s">
        <v>48</v>
      </c>
      <c r="S772" t="s">
        <v>43</v>
      </c>
      <c r="T772">
        <v>2612.73</v>
      </c>
      <c r="U772">
        <f t="shared" si="168"/>
        <v>1230</v>
      </c>
      <c r="V772">
        <f t="shared" si="169"/>
        <v>462</v>
      </c>
      <c r="W772">
        <f t="shared" si="170"/>
        <v>380</v>
      </c>
      <c r="X772">
        <f t="shared" si="171"/>
        <v>0.35149999999999998</v>
      </c>
      <c r="Y772" s="1">
        <f t="shared" si="172"/>
        <v>63134413</v>
      </c>
      <c r="Z772">
        <f t="shared" si="173"/>
        <v>51328.791056910566</v>
      </c>
      <c r="AA772">
        <f t="shared" si="174"/>
        <v>99996</v>
      </c>
      <c r="AB772">
        <f t="shared" si="175"/>
        <v>5091</v>
      </c>
      <c r="AC772">
        <f t="shared" si="176"/>
        <v>1639558.3299999982</v>
      </c>
      <c r="AD772">
        <f t="shared" si="177"/>
        <v>1332.974252032519</v>
      </c>
      <c r="AE772">
        <f t="shared" si="178"/>
        <v>0.35149999999999998</v>
      </c>
      <c r="AF772">
        <f t="shared" si="179"/>
        <v>1015417700.2599995</v>
      </c>
      <c r="AG772" t="str">
        <f t="shared" si="180"/>
        <v>Active</v>
      </c>
      <c r="AH772">
        <f t="shared" si="181"/>
        <v>31352.760000000002</v>
      </c>
    </row>
    <row r="773" spans="1:34" x14ac:dyDescent="0.35">
      <c r="A773" t="s">
        <v>2178</v>
      </c>
      <c r="B773" t="s">
        <v>2179</v>
      </c>
      <c r="C773">
        <v>49</v>
      </c>
      <c r="D773" t="s">
        <v>38</v>
      </c>
      <c r="E773" t="s">
        <v>39</v>
      </c>
      <c r="F773" t="s">
        <v>59</v>
      </c>
      <c r="G773">
        <v>141450</v>
      </c>
      <c r="H773">
        <v>591</v>
      </c>
      <c r="I773">
        <v>85930</v>
      </c>
      <c r="J773">
        <v>12.14</v>
      </c>
      <c r="K773">
        <v>120</v>
      </c>
      <c r="L773" t="s">
        <v>25</v>
      </c>
      <c r="M773">
        <v>59.11</v>
      </c>
      <c r="N773">
        <v>70440</v>
      </c>
      <c r="O773">
        <v>51408</v>
      </c>
      <c r="P773" t="s">
        <v>1917</v>
      </c>
      <c r="Q773" t="s">
        <v>61</v>
      </c>
      <c r="R773" t="s">
        <v>48</v>
      </c>
      <c r="S773" t="s">
        <v>68</v>
      </c>
      <c r="T773">
        <v>803.02</v>
      </c>
      <c r="U773">
        <f t="shared" si="168"/>
        <v>1229</v>
      </c>
      <c r="V773">
        <f t="shared" si="169"/>
        <v>461</v>
      </c>
      <c r="W773">
        <f t="shared" si="170"/>
        <v>380</v>
      </c>
      <c r="X773">
        <f t="shared" si="171"/>
        <v>0.35149999999999998</v>
      </c>
      <c r="Y773" s="1">
        <f t="shared" si="172"/>
        <v>63054418</v>
      </c>
      <c r="Z773">
        <f t="shared" si="173"/>
        <v>51305.466232709521</v>
      </c>
      <c r="AA773">
        <f t="shared" si="174"/>
        <v>99996</v>
      </c>
      <c r="AB773">
        <f t="shared" si="175"/>
        <v>5091</v>
      </c>
      <c r="AC773">
        <f t="shared" si="176"/>
        <v>1636945.5999999982</v>
      </c>
      <c r="AD773">
        <f t="shared" si="177"/>
        <v>1331.9329536208286</v>
      </c>
      <c r="AE773">
        <f t="shared" si="178"/>
        <v>0.35149999999999998</v>
      </c>
      <c r="AF773">
        <f t="shared" si="179"/>
        <v>1013778141.9299996</v>
      </c>
      <c r="AG773" t="str">
        <f t="shared" si="180"/>
        <v>Active</v>
      </c>
      <c r="AH773">
        <f t="shared" si="181"/>
        <v>9636.24</v>
      </c>
    </row>
    <row r="774" spans="1:34" x14ac:dyDescent="0.35">
      <c r="A774" t="s">
        <v>2180</v>
      </c>
      <c r="B774" t="s">
        <v>2181</v>
      </c>
      <c r="C774">
        <v>57</v>
      </c>
      <c r="D774" t="s">
        <v>22</v>
      </c>
      <c r="E774" t="s">
        <v>32</v>
      </c>
      <c r="F774" t="s">
        <v>46</v>
      </c>
      <c r="G774">
        <v>118956</v>
      </c>
      <c r="H774">
        <v>787</v>
      </c>
      <c r="I774">
        <v>19850</v>
      </c>
      <c r="J774">
        <v>15.75</v>
      </c>
      <c r="K774">
        <v>48</v>
      </c>
      <c r="L774" t="s">
        <v>86</v>
      </c>
      <c r="M774">
        <v>16.059999999999999</v>
      </c>
      <c r="N774">
        <v>73617</v>
      </c>
      <c r="O774">
        <v>49953</v>
      </c>
      <c r="P774" t="s">
        <v>797</v>
      </c>
      <c r="Q774" t="s">
        <v>61</v>
      </c>
      <c r="R774" t="s">
        <v>48</v>
      </c>
      <c r="S774" t="s">
        <v>49</v>
      </c>
      <c r="T774">
        <v>478.67</v>
      </c>
      <c r="U774">
        <f t="shared" si="168"/>
        <v>1228</v>
      </c>
      <c r="V774">
        <f t="shared" si="169"/>
        <v>461</v>
      </c>
      <c r="W774">
        <f t="shared" si="170"/>
        <v>379</v>
      </c>
      <c r="X774">
        <f t="shared" si="171"/>
        <v>0.35149999999999998</v>
      </c>
      <c r="Y774" s="1">
        <f t="shared" si="172"/>
        <v>62968488</v>
      </c>
      <c r="Z774">
        <f t="shared" si="173"/>
        <v>51277.270358306188</v>
      </c>
      <c r="AA774">
        <f t="shared" si="174"/>
        <v>99996</v>
      </c>
      <c r="AB774">
        <f t="shared" si="175"/>
        <v>5091</v>
      </c>
      <c r="AC774">
        <f t="shared" si="176"/>
        <v>1636142.5799999984</v>
      </c>
      <c r="AD774">
        <f t="shared" si="177"/>
        <v>1332.3636644951127</v>
      </c>
      <c r="AE774">
        <f t="shared" si="178"/>
        <v>0.35149999999999998</v>
      </c>
      <c r="AF774">
        <f t="shared" si="179"/>
        <v>1012141196.3299996</v>
      </c>
      <c r="AG774" t="str">
        <f t="shared" si="180"/>
        <v>Active</v>
      </c>
      <c r="AH774">
        <f t="shared" si="181"/>
        <v>5744.04</v>
      </c>
    </row>
    <row r="775" spans="1:34" x14ac:dyDescent="0.35">
      <c r="A775" t="s">
        <v>2182</v>
      </c>
      <c r="B775" t="s">
        <v>2183</v>
      </c>
      <c r="C775">
        <v>22</v>
      </c>
      <c r="D775" t="s">
        <v>38</v>
      </c>
      <c r="E775" t="s">
        <v>39</v>
      </c>
      <c r="F775" t="s">
        <v>46</v>
      </c>
      <c r="G775">
        <v>132009</v>
      </c>
      <c r="H775">
        <v>652</v>
      </c>
      <c r="I775">
        <v>44203</v>
      </c>
      <c r="J775">
        <v>22.89</v>
      </c>
      <c r="K775">
        <v>24</v>
      </c>
      <c r="L775" t="s">
        <v>52</v>
      </c>
      <c r="M775">
        <v>8.15</v>
      </c>
      <c r="N775">
        <v>37030</v>
      </c>
      <c r="O775">
        <v>41055</v>
      </c>
      <c r="P775" t="s">
        <v>2184</v>
      </c>
      <c r="Q775" t="s">
        <v>27</v>
      </c>
      <c r="R775" t="s">
        <v>28</v>
      </c>
      <c r="S775" t="s">
        <v>29</v>
      </c>
      <c r="T775">
        <v>2263.38</v>
      </c>
      <c r="U775">
        <f t="shared" si="168"/>
        <v>1227</v>
      </c>
      <c r="V775">
        <f t="shared" si="169"/>
        <v>461</v>
      </c>
      <c r="W775">
        <f t="shared" si="170"/>
        <v>378</v>
      </c>
      <c r="X775">
        <f t="shared" si="171"/>
        <v>0.35149999999999998</v>
      </c>
      <c r="Y775" s="1">
        <f t="shared" si="172"/>
        <v>62948638</v>
      </c>
      <c r="Z775">
        <f t="shared" si="173"/>
        <v>51302.88345558272</v>
      </c>
      <c r="AA775">
        <f t="shared" si="174"/>
        <v>99996</v>
      </c>
      <c r="AB775">
        <f t="shared" si="175"/>
        <v>5091</v>
      </c>
      <c r="AC775">
        <f t="shared" si="176"/>
        <v>1635663.9099999983</v>
      </c>
      <c r="AD775">
        <f t="shared" si="177"/>
        <v>1333.0594213528918</v>
      </c>
      <c r="AE775">
        <f t="shared" si="178"/>
        <v>0.35149999999999998</v>
      </c>
      <c r="AF775">
        <f t="shared" si="179"/>
        <v>1010505053.7499996</v>
      </c>
      <c r="AG775" t="str">
        <f t="shared" si="180"/>
        <v>Active</v>
      </c>
      <c r="AH775">
        <f t="shared" si="181"/>
        <v>27160.560000000001</v>
      </c>
    </row>
    <row r="776" spans="1:34" x14ac:dyDescent="0.35">
      <c r="A776" t="s">
        <v>2185</v>
      </c>
      <c r="B776" t="s">
        <v>2186</v>
      </c>
      <c r="C776">
        <v>48</v>
      </c>
      <c r="D776" t="s">
        <v>38</v>
      </c>
      <c r="E776" t="s">
        <v>32</v>
      </c>
      <c r="F776" t="s">
        <v>46</v>
      </c>
      <c r="G776">
        <v>143264</v>
      </c>
      <c r="H776">
        <v>691</v>
      </c>
      <c r="I776">
        <v>49389</v>
      </c>
      <c r="J776">
        <v>9.76</v>
      </c>
      <c r="K776">
        <v>180</v>
      </c>
      <c r="L776" t="s">
        <v>86</v>
      </c>
      <c r="M776">
        <v>16.55</v>
      </c>
      <c r="N776">
        <v>75243</v>
      </c>
      <c r="O776">
        <v>133307</v>
      </c>
      <c r="P776" t="s">
        <v>307</v>
      </c>
      <c r="Q776" t="s">
        <v>61</v>
      </c>
      <c r="R776" t="s">
        <v>28</v>
      </c>
      <c r="S776" t="s">
        <v>49</v>
      </c>
      <c r="T776">
        <v>301.16000000000003</v>
      </c>
      <c r="U776">
        <f t="shared" si="168"/>
        <v>1226</v>
      </c>
      <c r="V776">
        <f t="shared" si="169"/>
        <v>461</v>
      </c>
      <c r="W776">
        <f t="shared" si="170"/>
        <v>378</v>
      </c>
      <c r="X776">
        <f t="shared" si="171"/>
        <v>0.35149999999999998</v>
      </c>
      <c r="Y776" s="1">
        <f t="shared" si="172"/>
        <v>62904435</v>
      </c>
      <c r="Z776">
        <f t="shared" si="173"/>
        <v>51308.674551386626</v>
      </c>
      <c r="AA776">
        <f t="shared" si="174"/>
        <v>99996</v>
      </c>
      <c r="AB776">
        <f t="shared" si="175"/>
        <v>5091</v>
      </c>
      <c r="AC776">
        <f t="shared" si="176"/>
        <v>1633400.5299999986</v>
      </c>
      <c r="AD776">
        <f t="shared" si="177"/>
        <v>1332.3005954322991</v>
      </c>
      <c r="AE776">
        <f t="shared" si="178"/>
        <v>0.35149999999999998</v>
      </c>
      <c r="AF776">
        <f t="shared" si="179"/>
        <v>1008869389.8399997</v>
      </c>
      <c r="AG776" t="str">
        <f t="shared" si="180"/>
        <v>Active</v>
      </c>
      <c r="AH776">
        <f t="shared" si="181"/>
        <v>3613.92</v>
      </c>
    </row>
    <row r="777" spans="1:34" x14ac:dyDescent="0.35">
      <c r="A777" t="s">
        <v>2187</v>
      </c>
      <c r="B777" t="s">
        <v>2188</v>
      </c>
      <c r="C777">
        <v>50</v>
      </c>
      <c r="D777" t="s">
        <v>22</v>
      </c>
      <c r="E777" t="s">
        <v>23</v>
      </c>
      <c r="F777" t="s">
        <v>46</v>
      </c>
      <c r="G777">
        <v>131198</v>
      </c>
      <c r="H777">
        <v>766</v>
      </c>
      <c r="I777">
        <v>8334</v>
      </c>
      <c r="J777">
        <v>7.81</v>
      </c>
      <c r="K777">
        <v>48</v>
      </c>
      <c r="L777" t="s">
        <v>52</v>
      </c>
      <c r="M777">
        <v>15.79</v>
      </c>
      <c r="N777">
        <v>61505</v>
      </c>
      <c r="O777">
        <v>190046</v>
      </c>
      <c r="P777" t="s">
        <v>1650</v>
      </c>
      <c r="Q777" t="s">
        <v>61</v>
      </c>
      <c r="R777" t="s">
        <v>28</v>
      </c>
      <c r="S777" t="s">
        <v>35</v>
      </c>
      <c r="T777">
        <v>187.19</v>
      </c>
      <c r="U777">
        <f t="shared" si="168"/>
        <v>1225</v>
      </c>
      <c r="V777">
        <f t="shared" si="169"/>
        <v>461</v>
      </c>
      <c r="W777">
        <f t="shared" si="170"/>
        <v>377</v>
      </c>
      <c r="X777">
        <f t="shared" si="171"/>
        <v>0.35149999999999998</v>
      </c>
      <c r="Y777" s="1">
        <f t="shared" si="172"/>
        <v>62855046</v>
      </c>
      <c r="Z777">
        <f t="shared" si="173"/>
        <v>51310.241632653058</v>
      </c>
      <c r="AA777">
        <f t="shared" si="174"/>
        <v>99996</v>
      </c>
      <c r="AB777">
        <f t="shared" si="175"/>
        <v>5091</v>
      </c>
      <c r="AC777">
        <f t="shared" si="176"/>
        <v>1633099.3699999987</v>
      </c>
      <c r="AD777">
        <f t="shared" si="177"/>
        <v>1333.1423428571418</v>
      </c>
      <c r="AE777">
        <f t="shared" si="178"/>
        <v>0.35149999999999998</v>
      </c>
      <c r="AF777">
        <f t="shared" si="179"/>
        <v>1007235989.3099997</v>
      </c>
      <c r="AG777" t="str">
        <f t="shared" si="180"/>
        <v>Active</v>
      </c>
      <c r="AH777">
        <f t="shared" si="181"/>
        <v>2246.2799999999997</v>
      </c>
    </row>
    <row r="778" spans="1:34" x14ac:dyDescent="0.35">
      <c r="A778" t="s">
        <v>2189</v>
      </c>
      <c r="B778" t="s">
        <v>2190</v>
      </c>
      <c r="C778">
        <v>23</v>
      </c>
      <c r="D778" t="s">
        <v>38</v>
      </c>
      <c r="E778" t="s">
        <v>32</v>
      </c>
      <c r="F778" t="s">
        <v>46</v>
      </c>
      <c r="G778">
        <v>78949</v>
      </c>
      <c r="H778">
        <v>455</v>
      </c>
      <c r="I778">
        <v>88286</v>
      </c>
      <c r="J778">
        <v>21</v>
      </c>
      <c r="K778">
        <v>120</v>
      </c>
      <c r="L778" t="s">
        <v>86</v>
      </c>
      <c r="M778">
        <v>14.02</v>
      </c>
      <c r="N778">
        <v>33165</v>
      </c>
      <c r="O778">
        <v>203350</v>
      </c>
      <c r="P778" t="s">
        <v>2191</v>
      </c>
      <c r="Q778" t="s">
        <v>61</v>
      </c>
      <c r="R778" t="s">
        <v>28</v>
      </c>
      <c r="S778" t="s">
        <v>35</v>
      </c>
      <c r="T778">
        <v>890.22</v>
      </c>
      <c r="U778">
        <f t="shared" si="168"/>
        <v>1224</v>
      </c>
      <c r="V778">
        <f t="shared" si="169"/>
        <v>461</v>
      </c>
      <c r="W778">
        <f t="shared" si="170"/>
        <v>376</v>
      </c>
      <c r="X778">
        <f t="shared" si="171"/>
        <v>0.35149999999999998</v>
      </c>
      <c r="Y778" s="1">
        <f t="shared" si="172"/>
        <v>62846712</v>
      </c>
      <c r="Z778">
        <f t="shared" si="173"/>
        <v>51345.352941176468</v>
      </c>
      <c r="AA778">
        <f t="shared" si="174"/>
        <v>99996</v>
      </c>
      <c r="AB778">
        <f t="shared" si="175"/>
        <v>5091</v>
      </c>
      <c r="AC778">
        <f t="shared" si="176"/>
        <v>1632912.1799999988</v>
      </c>
      <c r="AD778">
        <f t="shared" si="177"/>
        <v>1334.0785784313716</v>
      </c>
      <c r="AE778">
        <f t="shared" si="178"/>
        <v>0.35149999999999998</v>
      </c>
      <c r="AF778">
        <f t="shared" si="179"/>
        <v>1005602889.9399996</v>
      </c>
      <c r="AG778" t="str">
        <f t="shared" si="180"/>
        <v>Active</v>
      </c>
      <c r="AH778">
        <f t="shared" si="181"/>
        <v>10682.64</v>
      </c>
    </row>
    <row r="779" spans="1:34" x14ac:dyDescent="0.35">
      <c r="A779" t="s">
        <v>2192</v>
      </c>
      <c r="B779" t="s">
        <v>2193</v>
      </c>
      <c r="C779">
        <v>55</v>
      </c>
      <c r="D779" t="s">
        <v>38</v>
      </c>
      <c r="E779" t="s">
        <v>32</v>
      </c>
      <c r="F779" t="s">
        <v>24</v>
      </c>
      <c r="G779">
        <v>158403</v>
      </c>
      <c r="H779">
        <v>606</v>
      </c>
      <c r="I779">
        <v>7207</v>
      </c>
      <c r="J779">
        <v>5.97</v>
      </c>
      <c r="K779">
        <v>60</v>
      </c>
      <c r="L779" t="s">
        <v>40</v>
      </c>
      <c r="M779">
        <v>41.5</v>
      </c>
      <c r="N779">
        <v>56170</v>
      </c>
      <c r="O779">
        <v>46318</v>
      </c>
      <c r="P779" t="s">
        <v>2194</v>
      </c>
      <c r="Q779" t="s">
        <v>42</v>
      </c>
      <c r="R779" t="s">
        <v>48</v>
      </c>
      <c r="S779" t="s">
        <v>35</v>
      </c>
      <c r="T779">
        <v>127.29</v>
      </c>
      <c r="U779">
        <f t="shared" si="168"/>
        <v>1223</v>
      </c>
      <c r="V779">
        <f t="shared" si="169"/>
        <v>461</v>
      </c>
      <c r="W779">
        <f t="shared" si="170"/>
        <v>375</v>
      </c>
      <c r="X779">
        <f t="shared" si="171"/>
        <v>0.35149999999999998</v>
      </c>
      <c r="Y779" s="1">
        <f t="shared" si="172"/>
        <v>62758426</v>
      </c>
      <c r="Z779">
        <f t="shared" si="173"/>
        <v>51315.147996729356</v>
      </c>
      <c r="AA779">
        <f t="shared" si="174"/>
        <v>99996</v>
      </c>
      <c r="AB779">
        <f t="shared" si="175"/>
        <v>5091</v>
      </c>
      <c r="AC779">
        <f t="shared" si="176"/>
        <v>1632021.959999999</v>
      </c>
      <c r="AD779">
        <f t="shared" si="177"/>
        <v>1334.4415044971374</v>
      </c>
      <c r="AE779">
        <f t="shared" si="178"/>
        <v>0.35149999999999998</v>
      </c>
      <c r="AF779">
        <f t="shared" si="179"/>
        <v>1003969977.7599995</v>
      </c>
      <c r="AG779" t="str">
        <f t="shared" si="180"/>
        <v>Active</v>
      </c>
      <c r="AH779">
        <f t="shared" si="181"/>
        <v>1527.48</v>
      </c>
    </row>
    <row r="780" spans="1:34" x14ac:dyDescent="0.35">
      <c r="A780" t="s">
        <v>2195</v>
      </c>
      <c r="B780" t="s">
        <v>2196</v>
      </c>
      <c r="C780">
        <v>28</v>
      </c>
      <c r="D780" t="s">
        <v>22</v>
      </c>
      <c r="E780" t="s">
        <v>39</v>
      </c>
      <c r="F780" t="s">
        <v>24</v>
      </c>
      <c r="G780">
        <v>66987</v>
      </c>
      <c r="H780">
        <v>436</v>
      </c>
      <c r="I780">
        <v>40091</v>
      </c>
      <c r="J780">
        <v>16.29</v>
      </c>
      <c r="K780">
        <v>36</v>
      </c>
      <c r="L780" t="s">
        <v>25</v>
      </c>
      <c r="M780">
        <v>27.83</v>
      </c>
      <c r="N780">
        <v>21090</v>
      </c>
      <c r="O780">
        <v>241086</v>
      </c>
      <c r="P780" t="s">
        <v>1673</v>
      </c>
      <c r="Q780" t="s">
        <v>27</v>
      </c>
      <c r="R780" t="s">
        <v>28</v>
      </c>
      <c r="S780" t="s">
        <v>68</v>
      </c>
      <c r="T780">
        <v>1295.05</v>
      </c>
      <c r="U780">
        <f t="shared" si="168"/>
        <v>1222</v>
      </c>
      <c r="V780">
        <f t="shared" si="169"/>
        <v>460</v>
      </c>
      <c r="W780">
        <f t="shared" si="170"/>
        <v>375</v>
      </c>
      <c r="X780">
        <f t="shared" si="171"/>
        <v>0.35149999999999998</v>
      </c>
      <c r="Y780" s="1">
        <f t="shared" si="172"/>
        <v>62751219</v>
      </c>
      <c r="Z780">
        <f t="shared" si="173"/>
        <v>51351.243044189854</v>
      </c>
      <c r="AA780">
        <f t="shared" si="174"/>
        <v>99996</v>
      </c>
      <c r="AB780">
        <f t="shared" si="175"/>
        <v>5091</v>
      </c>
      <c r="AC780">
        <f t="shared" si="176"/>
        <v>1631894.669999999</v>
      </c>
      <c r="AD780">
        <f t="shared" si="177"/>
        <v>1335.4293535188208</v>
      </c>
      <c r="AE780">
        <f t="shared" si="178"/>
        <v>0.35149999999999998</v>
      </c>
      <c r="AF780">
        <f t="shared" si="179"/>
        <v>1002337955.7999995</v>
      </c>
      <c r="AG780" t="str">
        <f t="shared" si="180"/>
        <v>Active</v>
      </c>
      <c r="AH780">
        <f t="shared" si="181"/>
        <v>15540.599999999999</v>
      </c>
    </row>
    <row r="781" spans="1:34" x14ac:dyDescent="0.35">
      <c r="A781" t="s">
        <v>2197</v>
      </c>
      <c r="B781" t="s">
        <v>2198</v>
      </c>
      <c r="C781">
        <v>61</v>
      </c>
      <c r="D781" t="s">
        <v>22</v>
      </c>
      <c r="E781" t="s">
        <v>23</v>
      </c>
      <c r="F781" t="s">
        <v>46</v>
      </c>
      <c r="G781">
        <v>151248</v>
      </c>
      <c r="H781">
        <v>576</v>
      </c>
      <c r="I781">
        <v>37467</v>
      </c>
      <c r="J781">
        <v>19.89</v>
      </c>
      <c r="K781">
        <v>240</v>
      </c>
      <c r="L781" t="s">
        <v>52</v>
      </c>
      <c r="M781">
        <v>7.85</v>
      </c>
      <c r="N781">
        <v>44254</v>
      </c>
      <c r="O781">
        <v>119508</v>
      </c>
      <c r="P781" t="s">
        <v>334</v>
      </c>
      <c r="Q781" t="s">
        <v>61</v>
      </c>
      <c r="R781" t="s">
        <v>28</v>
      </c>
      <c r="S781" t="s">
        <v>49</v>
      </c>
      <c r="T781">
        <v>187.16</v>
      </c>
      <c r="U781">
        <f t="shared" si="168"/>
        <v>1221</v>
      </c>
      <c r="V781">
        <f t="shared" si="169"/>
        <v>460</v>
      </c>
      <c r="W781">
        <f t="shared" si="170"/>
        <v>375</v>
      </c>
      <c r="X781">
        <f t="shared" si="171"/>
        <v>0.35149999999999998</v>
      </c>
      <c r="Y781" s="1">
        <f t="shared" si="172"/>
        <v>62711128</v>
      </c>
      <c r="Z781">
        <f t="shared" si="173"/>
        <v>51360.465192465192</v>
      </c>
      <c r="AA781">
        <f t="shared" si="174"/>
        <v>99996</v>
      </c>
      <c r="AB781">
        <f t="shared" si="175"/>
        <v>5091</v>
      </c>
      <c r="AC781">
        <f t="shared" si="176"/>
        <v>1630599.6199999989</v>
      </c>
      <c r="AD781">
        <f t="shared" si="177"/>
        <v>1335.4624242424234</v>
      </c>
      <c r="AE781">
        <f t="shared" si="178"/>
        <v>0.35149999999999998</v>
      </c>
      <c r="AF781">
        <f t="shared" si="179"/>
        <v>1000706061.1299996</v>
      </c>
      <c r="AG781" t="str">
        <f t="shared" si="180"/>
        <v>Active</v>
      </c>
      <c r="AH781">
        <f t="shared" si="181"/>
        <v>2245.92</v>
      </c>
    </row>
    <row r="782" spans="1:34" x14ac:dyDescent="0.35">
      <c r="A782" t="s">
        <v>2199</v>
      </c>
      <c r="B782" t="s">
        <v>2200</v>
      </c>
      <c r="C782">
        <v>28</v>
      </c>
      <c r="D782" t="s">
        <v>38</v>
      </c>
      <c r="E782" t="s">
        <v>39</v>
      </c>
      <c r="F782" t="s">
        <v>24</v>
      </c>
      <c r="G782">
        <v>199247</v>
      </c>
      <c r="H782">
        <v>325</v>
      </c>
      <c r="I782">
        <v>64171</v>
      </c>
      <c r="J782">
        <v>7.56</v>
      </c>
      <c r="K782">
        <v>12</v>
      </c>
      <c r="L782" t="s">
        <v>25</v>
      </c>
      <c r="M782">
        <v>16.260000000000002</v>
      </c>
      <c r="N782">
        <v>23150</v>
      </c>
      <c r="O782">
        <v>243417</v>
      </c>
      <c r="P782" t="s">
        <v>2073</v>
      </c>
      <c r="Q782" t="s">
        <v>61</v>
      </c>
      <c r="R782" t="s">
        <v>48</v>
      </c>
      <c r="S782" t="s">
        <v>49</v>
      </c>
      <c r="T782">
        <v>5751.86</v>
      </c>
      <c r="U782">
        <f t="shared" si="168"/>
        <v>1220</v>
      </c>
      <c r="V782">
        <f t="shared" si="169"/>
        <v>460</v>
      </c>
      <c r="W782">
        <f t="shared" si="170"/>
        <v>374</v>
      </c>
      <c r="X782">
        <f t="shared" si="171"/>
        <v>0.35149999999999998</v>
      </c>
      <c r="Y782" s="1">
        <f t="shared" si="172"/>
        <v>62673661</v>
      </c>
      <c r="Z782">
        <f t="shared" si="173"/>
        <v>51371.853278688526</v>
      </c>
      <c r="AA782">
        <f t="shared" si="174"/>
        <v>99996</v>
      </c>
      <c r="AB782">
        <f t="shared" si="175"/>
        <v>5091</v>
      </c>
      <c r="AC782">
        <f t="shared" si="176"/>
        <v>1630412.459999999</v>
      </c>
      <c r="AD782">
        <f t="shared" si="177"/>
        <v>1336.4036557377042</v>
      </c>
      <c r="AE782">
        <f t="shared" si="178"/>
        <v>0.35149999999999998</v>
      </c>
      <c r="AF782">
        <f t="shared" si="179"/>
        <v>999075461.50999963</v>
      </c>
      <c r="AG782" t="str">
        <f t="shared" si="180"/>
        <v>Active</v>
      </c>
      <c r="AH782">
        <f t="shared" si="181"/>
        <v>69022.319999999992</v>
      </c>
    </row>
    <row r="783" spans="1:34" x14ac:dyDescent="0.35">
      <c r="A783" t="s">
        <v>2201</v>
      </c>
      <c r="B783" t="s">
        <v>2202</v>
      </c>
      <c r="C783">
        <v>43</v>
      </c>
      <c r="D783" t="s">
        <v>22</v>
      </c>
      <c r="E783" t="s">
        <v>23</v>
      </c>
      <c r="F783" t="s">
        <v>24</v>
      </c>
      <c r="G783">
        <v>197210</v>
      </c>
      <c r="H783">
        <v>340</v>
      </c>
      <c r="I783">
        <v>84128</v>
      </c>
      <c r="J783">
        <v>5.31</v>
      </c>
      <c r="K783">
        <v>240</v>
      </c>
      <c r="L783" t="s">
        <v>86</v>
      </c>
      <c r="M783">
        <v>57.22</v>
      </c>
      <c r="N783">
        <v>16425</v>
      </c>
      <c r="O783">
        <v>79480</v>
      </c>
      <c r="P783" t="s">
        <v>2203</v>
      </c>
      <c r="Q783" t="s">
        <v>42</v>
      </c>
      <c r="R783" t="s">
        <v>48</v>
      </c>
      <c r="S783" t="s">
        <v>35</v>
      </c>
      <c r="T783">
        <v>369.15</v>
      </c>
      <c r="U783">
        <f t="shared" si="168"/>
        <v>1219</v>
      </c>
      <c r="V783">
        <f t="shared" si="169"/>
        <v>460</v>
      </c>
      <c r="W783">
        <f t="shared" si="170"/>
        <v>373</v>
      </c>
      <c r="X783">
        <f t="shared" si="171"/>
        <v>0.35149999999999998</v>
      </c>
      <c r="Y783" s="1">
        <f t="shared" si="172"/>
        <v>62609490</v>
      </c>
      <c r="Z783">
        <f t="shared" si="173"/>
        <v>51361.353568498773</v>
      </c>
      <c r="AA783">
        <f t="shared" si="174"/>
        <v>99996</v>
      </c>
      <c r="AB783">
        <f t="shared" si="175"/>
        <v>5091</v>
      </c>
      <c r="AC783">
        <f t="shared" si="176"/>
        <v>1624660.5999999994</v>
      </c>
      <c r="AD783">
        <f t="shared" si="177"/>
        <v>1332.7814602132892</v>
      </c>
      <c r="AE783">
        <f t="shared" si="178"/>
        <v>0.35149999999999998</v>
      </c>
      <c r="AF783">
        <f t="shared" si="179"/>
        <v>997445049.04999959</v>
      </c>
      <c r="AG783" t="str">
        <f t="shared" si="180"/>
        <v>Over Paid</v>
      </c>
      <c r="AH783">
        <f t="shared" si="181"/>
        <v>4429.7999999999993</v>
      </c>
    </row>
    <row r="784" spans="1:34" x14ac:dyDescent="0.35">
      <c r="A784" t="s">
        <v>2204</v>
      </c>
      <c r="B784" t="s">
        <v>2205</v>
      </c>
      <c r="C784">
        <v>40</v>
      </c>
      <c r="D784" t="s">
        <v>38</v>
      </c>
      <c r="E784" t="s">
        <v>23</v>
      </c>
      <c r="F784" t="s">
        <v>24</v>
      </c>
      <c r="G784">
        <v>177231</v>
      </c>
      <c r="H784">
        <v>340</v>
      </c>
      <c r="I784">
        <v>55368</v>
      </c>
      <c r="J784">
        <v>22.98</v>
      </c>
      <c r="K784">
        <v>60</v>
      </c>
      <c r="L784" t="s">
        <v>40</v>
      </c>
      <c r="M784">
        <v>5.43</v>
      </c>
      <c r="N784">
        <v>66583</v>
      </c>
      <c r="O784">
        <v>140269</v>
      </c>
      <c r="P784" t="s">
        <v>1996</v>
      </c>
      <c r="Q784" t="s">
        <v>27</v>
      </c>
      <c r="R784" t="s">
        <v>48</v>
      </c>
      <c r="S784" t="s">
        <v>43</v>
      </c>
      <c r="T784">
        <v>1134.8599999999999</v>
      </c>
      <c r="U784">
        <f t="shared" si="168"/>
        <v>1218</v>
      </c>
      <c r="V784">
        <f t="shared" si="169"/>
        <v>459</v>
      </c>
      <c r="W784">
        <f t="shared" si="170"/>
        <v>373</v>
      </c>
      <c r="X784">
        <f t="shared" si="171"/>
        <v>0.35149999999999998</v>
      </c>
      <c r="Y784" s="1">
        <f t="shared" si="172"/>
        <v>62525362</v>
      </c>
      <c r="Z784">
        <f t="shared" si="173"/>
        <v>51334.451559934321</v>
      </c>
      <c r="AA784">
        <f t="shared" si="174"/>
        <v>99996</v>
      </c>
      <c r="AB784">
        <f t="shared" si="175"/>
        <v>5091</v>
      </c>
      <c r="AC784">
        <f t="shared" si="176"/>
        <v>1624291.4499999993</v>
      </c>
      <c r="AD784">
        <f t="shared" si="177"/>
        <v>1333.5726190476184</v>
      </c>
      <c r="AE784">
        <f t="shared" si="178"/>
        <v>0.35149999999999998</v>
      </c>
      <c r="AF784">
        <f t="shared" si="179"/>
        <v>995820388.44999957</v>
      </c>
      <c r="AG784" t="str">
        <f t="shared" si="180"/>
        <v>Active</v>
      </c>
      <c r="AH784">
        <f t="shared" si="181"/>
        <v>13618.32</v>
      </c>
    </row>
    <row r="785" spans="1:34" x14ac:dyDescent="0.35">
      <c r="A785" t="s">
        <v>2206</v>
      </c>
      <c r="B785" t="s">
        <v>2207</v>
      </c>
      <c r="C785">
        <v>36</v>
      </c>
      <c r="D785" t="s">
        <v>22</v>
      </c>
      <c r="E785" t="s">
        <v>23</v>
      </c>
      <c r="F785" t="s">
        <v>59</v>
      </c>
      <c r="G785">
        <v>42068</v>
      </c>
      <c r="H785">
        <v>435</v>
      </c>
      <c r="I785">
        <v>20643</v>
      </c>
      <c r="J785">
        <v>9.5299999999999994</v>
      </c>
      <c r="K785">
        <v>36</v>
      </c>
      <c r="L785" t="s">
        <v>33</v>
      </c>
      <c r="M785">
        <v>33.79</v>
      </c>
      <c r="N785">
        <v>49657</v>
      </c>
      <c r="O785">
        <v>24362</v>
      </c>
      <c r="P785" t="s">
        <v>782</v>
      </c>
      <c r="Q785" t="s">
        <v>42</v>
      </c>
      <c r="R785" t="s">
        <v>48</v>
      </c>
      <c r="S785" t="s">
        <v>29</v>
      </c>
      <c r="T785">
        <v>628.05999999999995</v>
      </c>
      <c r="U785">
        <f t="shared" si="168"/>
        <v>1217</v>
      </c>
      <c r="V785">
        <f t="shared" si="169"/>
        <v>459</v>
      </c>
      <c r="W785">
        <f t="shared" si="170"/>
        <v>373</v>
      </c>
      <c r="X785">
        <f t="shared" si="171"/>
        <v>0.35149999999999998</v>
      </c>
      <c r="Y785" s="1">
        <f t="shared" si="172"/>
        <v>62469994</v>
      </c>
      <c r="Z785">
        <f t="shared" si="173"/>
        <v>51331.137222678721</v>
      </c>
      <c r="AA785">
        <f t="shared" si="174"/>
        <v>99996</v>
      </c>
      <c r="AB785">
        <f t="shared" si="175"/>
        <v>5091</v>
      </c>
      <c r="AC785">
        <f t="shared" si="176"/>
        <v>1623156.5899999994</v>
      </c>
      <c r="AD785">
        <f t="shared" si="177"/>
        <v>1333.7358997534916</v>
      </c>
      <c r="AE785">
        <f t="shared" si="178"/>
        <v>0.35149999999999998</v>
      </c>
      <c r="AF785">
        <f t="shared" si="179"/>
        <v>994196096.99999964</v>
      </c>
      <c r="AG785" t="str">
        <f t="shared" si="180"/>
        <v>Active</v>
      </c>
      <c r="AH785">
        <f t="shared" si="181"/>
        <v>7536.7199999999993</v>
      </c>
    </row>
    <row r="786" spans="1:34" x14ac:dyDescent="0.35">
      <c r="A786" t="s">
        <v>2208</v>
      </c>
      <c r="B786" t="s">
        <v>2209</v>
      </c>
      <c r="C786">
        <v>50</v>
      </c>
      <c r="D786" t="s">
        <v>22</v>
      </c>
      <c r="E786" t="s">
        <v>39</v>
      </c>
      <c r="F786" t="s">
        <v>24</v>
      </c>
      <c r="G786">
        <v>98009</v>
      </c>
      <c r="H786">
        <v>823</v>
      </c>
      <c r="I786">
        <v>42205</v>
      </c>
      <c r="J786">
        <v>10.85</v>
      </c>
      <c r="K786">
        <v>180</v>
      </c>
      <c r="L786" t="s">
        <v>86</v>
      </c>
      <c r="M786">
        <v>7.32</v>
      </c>
      <c r="N786">
        <v>79092</v>
      </c>
      <c r="O786">
        <v>147964</v>
      </c>
      <c r="P786" t="s">
        <v>2210</v>
      </c>
      <c r="Q786" t="s">
        <v>42</v>
      </c>
      <c r="R786" t="s">
        <v>28</v>
      </c>
      <c r="S786" t="s">
        <v>43</v>
      </c>
      <c r="T786">
        <v>259.91000000000003</v>
      </c>
      <c r="U786">
        <f t="shared" si="168"/>
        <v>1216</v>
      </c>
      <c r="V786">
        <f t="shared" si="169"/>
        <v>458</v>
      </c>
      <c r="W786">
        <f t="shared" si="170"/>
        <v>373</v>
      </c>
      <c r="X786">
        <f t="shared" si="171"/>
        <v>0.35149999999999998</v>
      </c>
      <c r="Y786" s="1">
        <f t="shared" si="172"/>
        <v>62449351</v>
      </c>
      <c r="Z786">
        <f t="shared" si="173"/>
        <v>51356.37417763158</v>
      </c>
      <c r="AA786">
        <f t="shared" si="174"/>
        <v>99996</v>
      </c>
      <c r="AB786">
        <f t="shared" si="175"/>
        <v>5091</v>
      </c>
      <c r="AC786">
        <f t="shared" si="176"/>
        <v>1622528.5299999993</v>
      </c>
      <c r="AD786">
        <f t="shared" si="177"/>
        <v>1334.3162253289468</v>
      </c>
      <c r="AE786">
        <f t="shared" si="178"/>
        <v>0.35149999999999998</v>
      </c>
      <c r="AF786">
        <f t="shared" si="179"/>
        <v>992572940.40999961</v>
      </c>
      <c r="AG786" t="str">
        <f t="shared" si="180"/>
        <v>Active</v>
      </c>
      <c r="AH786">
        <f t="shared" si="181"/>
        <v>3118.92</v>
      </c>
    </row>
    <row r="787" spans="1:34" x14ac:dyDescent="0.35">
      <c r="A787" t="s">
        <v>2211</v>
      </c>
      <c r="B787" t="s">
        <v>2212</v>
      </c>
      <c r="C787">
        <v>41</v>
      </c>
      <c r="D787" t="s">
        <v>38</v>
      </c>
      <c r="E787" t="s">
        <v>23</v>
      </c>
      <c r="F787" t="s">
        <v>46</v>
      </c>
      <c r="G787">
        <v>183320</v>
      </c>
      <c r="H787">
        <v>736</v>
      </c>
      <c r="I787">
        <v>60726</v>
      </c>
      <c r="J787">
        <v>23.07</v>
      </c>
      <c r="K787">
        <v>360</v>
      </c>
      <c r="L787" t="s">
        <v>86</v>
      </c>
      <c r="M787">
        <v>35.76</v>
      </c>
      <c r="N787">
        <v>14860</v>
      </c>
      <c r="O787">
        <v>72701</v>
      </c>
      <c r="P787" t="s">
        <v>1242</v>
      </c>
      <c r="Q787" t="s">
        <v>27</v>
      </c>
      <c r="R787" t="s">
        <v>48</v>
      </c>
      <c r="S787" t="s">
        <v>35</v>
      </c>
      <c r="T787">
        <v>207.6</v>
      </c>
      <c r="U787">
        <f t="shared" si="168"/>
        <v>1215</v>
      </c>
      <c r="V787">
        <f t="shared" si="169"/>
        <v>457</v>
      </c>
      <c r="W787">
        <f t="shared" si="170"/>
        <v>373</v>
      </c>
      <c r="X787">
        <f t="shared" si="171"/>
        <v>0.35149999999999998</v>
      </c>
      <c r="Y787" s="1">
        <f t="shared" si="172"/>
        <v>62407146</v>
      </c>
      <c r="Z787">
        <f t="shared" si="173"/>
        <v>51363.906172839503</v>
      </c>
      <c r="AA787">
        <f t="shared" si="174"/>
        <v>99996</v>
      </c>
      <c r="AB787">
        <f t="shared" si="175"/>
        <v>5091</v>
      </c>
      <c r="AC787">
        <f t="shared" si="176"/>
        <v>1622268.6199999992</v>
      </c>
      <c r="AD787">
        <f t="shared" si="177"/>
        <v>1335.2005102880651</v>
      </c>
      <c r="AE787">
        <f t="shared" si="178"/>
        <v>0.35149999999999998</v>
      </c>
      <c r="AF787">
        <f t="shared" si="179"/>
        <v>990950411.87999952</v>
      </c>
      <c r="AG787" t="str">
        <f t="shared" si="180"/>
        <v>Active</v>
      </c>
      <c r="AH787">
        <f t="shared" si="181"/>
        <v>2491.1999999999998</v>
      </c>
    </row>
    <row r="788" spans="1:34" x14ac:dyDescent="0.35">
      <c r="A788" t="s">
        <v>2213</v>
      </c>
      <c r="B788" t="s">
        <v>2214</v>
      </c>
      <c r="C788">
        <v>62</v>
      </c>
      <c r="D788" t="s">
        <v>22</v>
      </c>
      <c r="E788" t="s">
        <v>23</v>
      </c>
      <c r="F788" t="s">
        <v>59</v>
      </c>
      <c r="G788">
        <v>90518</v>
      </c>
      <c r="H788">
        <v>439</v>
      </c>
      <c r="I788">
        <v>37783</v>
      </c>
      <c r="J788">
        <v>19.62</v>
      </c>
      <c r="K788">
        <v>60</v>
      </c>
      <c r="L788" t="s">
        <v>33</v>
      </c>
      <c r="M788">
        <v>42.86</v>
      </c>
      <c r="N788">
        <v>6582</v>
      </c>
      <c r="O788">
        <v>127810</v>
      </c>
      <c r="P788" t="s">
        <v>2215</v>
      </c>
      <c r="Q788" t="s">
        <v>61</v>
      </c>
      <c r="R788" t="s">
        <v>48</v>
      </c>
      <c r="S788" t="s">
        <v>35</v>
      </c>
      <c r="T788">
        <v>753.27</v>
      </c>
      <c r="U788">
        <f t="shared" si="168"/>
        <v>1214</v>
      </c>
      <c r="V788">
        <f t="shared" si="169"/>
        <v>457</v>
      </c>
      <c r="W788">
        <f t="shared" si="170"/>
        <v>373</v>
      </c>
      <c r="X788">
        <f t="shared" si="171"/>
        <v>0.35149999999999998</v>
      </c>
      <c r="Y788" s="1">
        <f t="shared" si="172"/>
        <v>62346420</v>
      </c>
      <c r="Z788">
        <f t="shared" si="173"/>
        <v>51356.194398682041</v>
      </c>
      <c r="AA788">
        <f t="shared" si="174"/>
        <v>99996</v>
      </c>
      <c r="AB788">
        <f t="shared" si="175"/>
        <v>5091</v>
      </c>
      <c r="AC788">
        <f t="shared" si="176"/>
        <v>1622061.0199999993</v>
      </c>
      <c r="AD788">
        <f t="shared" si="177"/>
        <v>1336.1293410214162</v>
      </c>
      <c r="AE788">
        <f t="shared" si="178"/>
        <v>0.35149999999999998</v>
      </c>
      <c r="AF788">
        <f t="shared" si="179"/>
        <v>989328143.25999951</v>
      </c>
      <c r="AG788" t="str">
        <f t="shared" si="180"/>
        <v>Active</v>
      </c>
      <c r="AH788">
        <f t="shared" si="181"/>
        <v>9039.24</v>
      </c>
    </row>
    <row r="789" spans="1:34" x14ac:dyDescent="0.35">
      <c r="A789" t="s">
        <v>2216</v>
      </c>
      <c r="B789" t="s">
        <v>2217</v>
      </c>
      <c r="C789">
        <v>22</v>
      </c>
      <c r="D789" t="s">
        <v>22</v>
      </c>
      <c r="E789" t="s">
        <v>32</v>
      </c>
      <c r="F789" t="s">
        <v>24</v>
      </c>
      <c r="G789">
        <v>51995</v>
      </c>
      <c r="H789">
        <v>612</v>
      </c>
      <c r="I789">
        <v>48899</v>
      </c>
      <c r="J789">
        <v>23.7</v>
      </c>
      <c r="K789">
        <v>48</v>
      </c>
      <c r="L789" t="s">
        <v>33</v>
      </c>
      <c r="M789">
        <v>48.63</v>
      </c>
      <c r="N789">
        <v>61753</v>
      </c>
      <c r="O789">
        <v>112519</v>
      </c>
      <c r="P789" t="s">
        <v>660</v>
      </c>
      <c r="Q789" t="s">
        <v>27</v>
      </c>
      <c r="R789" t="s">
        <v>48</v>
      </c>
      <c r="S789" t="s">
        <v>43</v>
      </c>
      <c r="T789">
        <v>1260.17</v>
      </c>
      <c r="U789">
        <f t="shared" si="168"/>
        <v>1213</v>
      </c>
      <c r="V789">
        <f t="shared" si="169"/>
        <v>457</v>
      </c>
      <c r="W789">
        <f t="shared" si="170"/>
        <v>372</v>
      </c>
      <c r="X789">
        <f t="shared" si="171"/>
        <v>0.35149999999999998</v>
      </c>
      <c r="Y789" s="1">
        <f t="shared" si="172"/>
        <v>62308637</v>
      </c>
      <c r="Z789">
        <f t="shared" si="173"/>
        <v>51367.384171475678</v>
      </c>
      <c r="AA789">
        <f t="shared" si="174"/>
        <v>99996</v>
      </c>
      <c r="AB789">
        <f t="shared" si="175"/>
        <v>5091</v>
      </c>
      <c r="AC789">
        <f t="shared" si="176"/>
        <v>1621307.7499999993</v>
      </c>
      <c r="AD789">
        <f t="shared" si="177"/>
        <v>1336.609851607584</v>
      </c>
      <c r="AE789">
        <f t="shared" si="178"/>
        <v>0.35149999999999998</v>
      </c>
      <c r="AF789">
        <f t="shared" si="179"/>
        <v>987706082.23999953</v>
      </c>
      <c r="AG789" t="str">
        <f t="shared" si="180"/>
        <v>Active</v>
      </c>
      <c r="AH789">
        <f t="shared" si="181"/>
        <v>15122.04</v>
      </c>
    </row>
    <row r="790" spans="1:34" x14ac:dyDescent="0.35">
      <c r="A790" t="s">
        <v>2218</v>
      </c>
      <c r="B790" t="s">
        <v>2219</v>
      </c>
      <c r="C790">
        <v>61</v>
      </c>
      <c r="D790" t="s">
        <v>22</v>
      </c>
      <c r="E790" t="s">
        <v>32</v>
      </c>
      <c r="F790" t="s">
        <v>46</v>
      </c>
      <c r="G790">
        <v>38662</v>
      </c>
      <c r="H790">
        <v>417</v>
      </c>
      <c r="I790">
        <v>7051</v>
      </c>
      <c r="J790">
        <v>4.18</v>
      </c>
      <c r="K790">
        <v>12</v>
      </c>
      <c r="L790" t="s">
        <v>86</v>
      </c>
      <c r="M790">
        <v>15.07</v>
      </c>
      <c r="N790">
        <v>4506</v>
      </c>
      <c r="O790">
        <v>128886</v>
      </c>
      <c r="P790" t="s">
        <v>2220</v>
      </c>
      <c r="Q790" t="s">
        <v>61</v>
      </c>
      <c r="R790" t="s">
        <v>48</v>
      </c>
      <c r="S790" t="s">
        <v>68</v>
      </c>
      <c r="T790">
        <v>612.14</v>
      </c>
      <c r="U790">
        <f t="shared" si="168"/>
        <v>1212</v>
      </c>
      <c r="V790">
        <f t="shared" si="169"/>
        <v>457</v>
      </c>
      <c r="W790">
        <f t="shared" si="170"/>
        <v>372</v>
      </c>
      <c r="X790">
        <f t="shared" si="171"/>
        <v>0.35149999999999998</v>
      </c>
      <c r="Y790" s="1">
        <f t="shared" si="172"/>
        <v>62259738</v>
      </c>
      <c r="Z790">
        <f t="shared" si="173"/>
        <v>51369.420792079211</v>
      </c>
      <c r="AA790">
        <f t="shared" si="174"/>
        <v>99996</v>
      </c>
      <c r="AB790">
        <f t="shared" si="175"/>
        <v>5091</v>
      </c>
      <c r="AC790">
        <f t="shared" si="176"/>
        <v>1620047.5799999991</v>
      </c>
      <c r="AD790">
        <f t="shared" si="177"/>
        <v>1336.6729207920785</v>
      </c>
      <c r="AE790">
        <f t="shared" si="178"/>
        <v>0.35149999999999998</v>
      </c>
      <c r="AF790">
        <f t="shared" si="179"/>
        <v>986084774.48999953</v>
      </c>
      <c r="AG790" t="str">
        <f t="shared" si="180"/>
        <v>Active</v>
      </c>
      <c r="AH790">
        <f t="shared" si="181"/>
        <v>7345.68</v>
      </c>
    </row>
    <row r="791" spans="1:34" x14ac:dyDescent="0.35">
      <c r="A791" t="s">
        <v>2221</v>
      </c>
      <c r="B791" t="s">
        <v>2222</v>
      </c>
      <c r="C791">
        <v>54</v>
      </c>
      <c r="D791" t="s">
        <v>22</v>
      </c>
      <c r="E791" t="s">
        <v>39</v>
      </c>
      <c r="F791" t="s">
        <v>24</v>
      </c>
      <c r="G791">
        <v>110955</v>
      </c>
      <c r="H791">
        <v>826</v>
      </c>
      <c r="I791">
        <v>60023</v>
      </c>
      <c r="J791">
        <v>9.31</v>
      </c>
      <c r="K791">
        <v>36</v>
      </c>
      <c r="L791" t="s">
        <v>52</v>
      </c>
      <c r="M791">
        <v>42.38</v>
      </c>
      <c r="N791">
        <v>2101</v>
      </c>
      <c r="O791">
        <v>135859</v>
      </c>
      <c r="P791" t="s">
        <v>693</v>
      </c>
      <c r="Q791" t="s">
        <v>42</v>
      </c>
      <c r="R791" t="s">
        <v>28</v>
      </c>
      <c r="S791" t="s">
        <v>43</v>
      </c>
      <c r="T791">
        <v>1822.53</v>
      </c>
      <c r="U791">
        <f t="shared" si="168"/>
        <v>1211</v>
      </c>
      <c r="V791">
        <f t="shared" si="169"/>
        <v>457</v>
      </c>
      <c r="W791">
        <f t="shared" si="170"/>
        <v>371</v>
      </c>
      <c r="X791">
        <f t="shared" si="171"/>
        <v>0.35149999999999998</v>
      </c>
      <c r="Y791" s="1">
        <f t="shared" si="172"/>
        <v>62252687</v>
      </c>
      <c r="Z791">
        <f t="shared" si="173"/>
        <v>51406.01734104046</v>
      </c>
      <c r="AA791">
        <f t="shared" si="174"/>
        <v>99996</v>
      </c>
      <c r="AB791">
        <f t="shared" si="175"/>
        <v>5091</v>
      </c>
      <c r="AC791">
        <f t="shared" si="176"/>
        <v>1619435.4399999992</v>
      </c>
      <c r="AD791">
        <f t="shared" si="177"/>
        <v>1337.2712138728318</v>
      </c>
      <c r="AE791">
        <f t="shared" si="178"/>
        <v>0.35149999999999998</v>
      </c>
      <c r="AF791">
        <f t="shared" si="179"/>
        <v>984464726.90999961</v>
      </c>
      <c r="AG791" t="str">
        <f t="shared" si="180"/>
        <v>Over Paid</v>
      </c>
      <c r="AH791">
        <f t="shared" si="181"/>
        <v>21870.36</v>
      </c>
    </row>
    <row r="792" spans="1:34" x14ac:dyDescent="0.35">
      <c r="A792" t="s">
        <v>2223</v>
      </c>
      <c r="B792" t="s">
        <v>2224</v>
      </c>
      <c r="C792">
        <v>28</v>
      </c>
      <c r="D792" t="s">
        <v>38</v>
      </c>
      <c r="E792" t="s">
        <v>39</v>
      </c>
      <c r="F792" t="s">
        <v>46</v>
      </c>
      <c r="G792">
        <v>177635</v>
      </c>
      <c r="H792">
        <v>714</v>
      </c>
      <c r="I792">
        <v>41119</v>
      </c>
      <c r="J792">
        <v>23.47</v>
      </c>
      <c r="K792">
        <v>60</v>
      </c>
      <c r="L792" t="s">
        <v>33</v>
      </c>
      <c r="M792">
        <v>8.42</v>
      </c>
      <c r="N792">
        <v>1073</v>
      </c>
      <c r="O792">
        <v>40282</v>
      </c>
      <c r="P792" t="s">
        <v>2225</v>
      </c>
      <c r="Q792" t="s">
        <v>61</v>
      </c>
      <c r="R792" t="s">
        <v>28</v>
      </c>
      <c r="S792" t="s">
        <v>43</v>
      </c>
      <c r="T792">
        <v>846.16</v>
      </c>
      <c r="U792">
        <f t="shared" si="168"/>
        <v>1210</v>
      </c>
      <c r="V792">
        <f t="shared" si="169"/>
        <v>456</v>
      </c>
      <c r="W792">
        <f t="shared" si="170"/>
        <v>371</v>
      </c>
      <c r="X792">
        <f t="shared" si="171"/>
        <v>0.35149999999999998</v>
      </c>
      <c r="Y792" s="1">
        <f t="shared" si="172"/>
        <v>62192664</v>
      </c>
      <c r="Z792">
        <f t="shared" si="173"/>
        <v>51398.895867768595</v>
      </c>
      <c r="AA792">
        <f t="shared" si="174"/>
        <v>99996</v>
      </c>
      <c r="AB792">
        <f t="shared" si="175"/>
        <v>5091</v>
      </c>
      <c r="AC792">
        <f t="shared" si="176"/>
        <v>1617612.9099999995</v>
      </c>
      <c r="AD792">
        <f t="shared" si="177"/>
        <v>1336.8701735537186</v>
      </c>
      <c r="AE792">
        <f t="shared" si="178"/>
        <v>0.35149999999999998</v>
      </c>
      <c r="AF792">
        <f t="shared" si="179"/>
        <v>982845291.46999955</v>
      </c>
      <c r="AG792" t="str">
        <f t="shared" si="180"/>
        <v>Active</v>
      </c>
      <c r="AH792">
        <f t="shared" si="181"/>
        <v>10153.92</v>
      </c>
    </row>
    <row r="793" spans="1:34" x14ac:dyDescent="0.35">
      <c r="A793" t="s">
        <v>2226</v>
      </c>
      <c r="B793" t="s">
        <v>2227</v>
      </c>
      <c r="C793">
        <v>35</v>
      </c>
      <c r="D793" t="s">
        <v>38</v>
      </c>
      <c r="E793" t="s">
        <v>32</v>
      </c>
      <c r="F793" t="s">
        <v>59</v>
      </c>
      <c r="G793">
        <v>109589</v>
      </c>
      <c r="H793">
        <v>460</v>
      </c>
      <c r="I793">
        <v>32730</v>
      </c>
      <c r="J793">
        <v>20.46</v>
      </c>
      <c r="K793">
        <v>36</v>
      </c>
      <c r="L793" t="s">
        <v>40</v>
      </c>
      <c r="M793">
        <v>6.24</v>
      </c>
      <c r="N793">
        <v>37043</v>
      </c>
      <c r="O793">
        <v>151905</v>
      </c>
      <c r="P793" t="s">
        <v>513</v>
      </c>
      <c r="Q793" t="s">
        <v>27</v>
      </c>
      <c r="R793" t="s">
        <v>28</v>
      </c>
      <c r="S793" t="s">
        <v>43</v>
      </c>
      <c r="T793">
        <v>1095.18</v>
      </c>
      <c r="U793">
        <f t="shared" si="168"/>
        <v>1209</v>
      </c>
      <c r="V793">
        <f t="shared" si="169"/>
        <v>456</v>
      </c>
      <c r="W793">
        <f t="shared" si="170"/>
        <v>370</v>
      </c>
      <c r="X793">
        <f t="shared" si="171"/>
        <v>0.35149999999999998</v>
      </c>
      <c r="Y793" s="1">
        <f t="shared" si="172"/>
        <v>62151545</v>
      </c>
      <c r="Z793">
        <f t="shared" si="173"/>
        <v>51407.398676592224</v>
      </c>
      <c r="AA793">
        <f t="shared" si="174"/>
        <v>99996</v>
      </c>
      <c r="AB793">
        <f t="shared" si="175"/>
        <v>5091</v>
      </c>
      <c r="AC793">
        <f t="shared" si="176"/>
        <v>1616766.7499999995</v>
      </c>
      <c r="AD793">
        <f t="shared" si="177"/>
        <v>1337.2760545905703</v>
      </c>
      <c r="AE793">
        <f t="shared" si="178"/>
        <v>0.35149999999999998</v>
      </c>
      <c r="AF793">
        <f t="shared" si="179"/>
        <v>981227678.55999947</v>
      </c>
      <c r="AG793" t="str">
        <f t="shared" si="180"/>
        <v>Active</v>
      </c>
      <c r="AH793">
        <f t="shared" si="181"/>
        <v>13142.16</v>
      </c>
    </row>
    <row r="794" spans="1:34" x14ac:dyDescent="0.35">
      <c r="A794" t="s">
        <v>2228</v>
      </c>
      <c r="B794" t="s">
        <v>2229</v>
      </c>
      <c r="C794">
        <v>30</v>
      </c>
      <c r="D794" t="s">
        <v>22</v>
      </c>
      <c r="E794" t="s">
        <v>23</v>
      </c>
      <c r="F794" t="s">
        <v>46</v>
      </c>
      <c r="G794">
        <v>95639</v>
      </c>
      <c r="H794">
        <v>318</v>
      </c>
      <c r="I794">
        <v>17008</v>
      </c>
      <c r="J794">
        <v>18.86</v>
      </c>
      <c r="K794">
        <v>24</v>
      </c>
      <c r="L794" t="s">
        <v>52</v>
      </c>
      <c r="M794">
        <v>31.57</v>
      </c>
      <c r="N794">
        <v>511</v>
      </c>
      <c r="O794">
        <v>170618</v>
      </c>
      <c r="P794" t="s">
        <v>991</v>
      </c>
      <c r="Q794" t="s">
        <v>42</v>
      </c>
      <c r="R794" t="s">
        <v>48</v>
      </c>
      <c r="S794" t="s">
        <v>43</v>
      </c>
      <c r="T794">
        <v>842.32</v>
      </c>
      <c r="U794">
        <f t="shared" si="168"/>
        <v>1208</v>
      </c>
      <c r="V794">
        <f t="shared" si="169"/>
        <v>456</v>
      </c>
      <c r="W794">
        <f t="shared" si="170"/>
        <v>370</v>
      </c>
      <c r="X794">
        <f t="shared" si="171"/>
        <v>0.35149999999999998</v>
      </c>
      <c r="Y794" s="1">
        <f t="shared" si="172"/>
        <v>62118815</v>
      </c>
      <c r="Z794">
        <f t="shared" si="173"/>
        <v>51422.860099337748</v>
      </c>
      <c r="AA794">
        <f t="shared" si="174"/>
        <v>99996</v>
      </c>
      <c r="AB794">
        <f t="shared" si="175"/>
        <v>5091</v>
      </c>
      <c r="AC794">
        <f t="shared" si="176"/>
        <v>1615671.5699999994</v>
      </c>
      <c r="AD794">
        <f t="shared" si="177"/>
        <v>1337.4764652317876</v>
      </c>
      <c r="AE794">
        <f t="shared" si="178"/>
        <v>0.35149999999999998</v>
      </c>
      <c r="AF794">
        <f t="shared" si="179"/>
        <v>979610911.80999947</v>
      </c>
      <c r="AG794" t="str">
        <f t="shared" si="180"/>
        <v>Active</v>
      </c>
      <c r="AH794">
        <f t="shared" si="181"/>
        <v>10107.84</v>
      </c>
    </row>
    <row r="795" spans="1:34" x14ac:dyDescent="0.35">
      <c r="A795" t="s">
        <v>2230</v>
      </c>
      <c r="B795" t="s">
        <v>2231</v>
      </c>
      <c r="C795">
        <v>46</v>
      </c>
      <c r="D795" t="s">
        <v>38</v>
      </c>
      <c r="E795" t="s">
        <v>39</v>
      </c>
      <c r="F795" t="s">
        <v>24</v>
      </c>
      <c r="G795">
        <v>143926</v>
      </c>
      <c r="H795">
        <v>513</v>
      </c>
      <c r="I795">
        <v>5316</v>
      </c>
      <c r="J795">
        <v>4.67</v>
      </c>
      <c r="K795">
        <v>240</v>
      </c>
      <c r="L795" t="s">
        <v>86</v>
      </c>
      <c r="M795">
        <v>35.81</v>
      </c>
      <c r="N795">
        <v>54674</v>
      </c>
      <c r="O795">
        <v>63024</v>
      </c>
      <c r="P795" t="s">
        <v>2232</v>
      </c>
      <c r="Q795" t="s">
        <v>42</v>
      </c>
      <c r="R795" t="s">
        <v>28</v>
      </c>
      <c r="S795" t="s">
        <v>43</v>
      </c>
      <c r="T795">
        <v>23.18</v>
      </c>
      <c r="U795">
        <f t="shared" si="168"/>
        <v>1207</v>
      </c>
      <c r="V795">
        <f t="shared" si="169"/>
        <v>455</v>
      </c>
      <c r="W795">
        <f t="shared" si="170"/>
        <v>370</v>
      </c>
      <c r="X795">
        <f t="shared" si="171"/>
        <v>0.35149999999999998</v>
      </c>
      <c r="Y795" s="1">
        <f t="shared" si="172"/>
        <v>62101807</v>
      </c>
      <c r="Z795">
        <f t="shared" si="173"/>
        <v>51451.372825186416</v>
      </c>
      <c r="AA795">
        <f t="shared" si="174"/>
        <v>99996</v>
      </c>
      <c r="AB795">
        <f t="shared" si="175"/>
        <v>5091</v>
      </c>
      <c r="AC795">
        <f t="shared" si="176"/>
        <v>1614829.2499999993</v>
      </c>
      <c r="AD795">
        <f t="shared" si="177"/>
        <v>1337.8867025683508</v>
      </c>
      <c r="AE795">
        <f t="shared" si="178"/>
        <v>0.35149999999999998</v>
      </c>
      <c r="AF795">
        <f t="shared" si="179"/>
        <v>977995240.23999953</v>
      </c>
      <c r="AG795" t="str">
        <f t="shared" si="180"/>
        <v>Active</v>
      </c>
      <c r="AH795">
        <f t="shared" si="181"/>
        <v>278.15999999999997</v>
      </c>
    </row>
    <row r="796" spans="1:34" x14ac:dyDescent="0.35">
      <c r="A796" t="s">
        <v>2233</v>
      </c>
      <c r="B796" t="s">
        <v>2234</v>
      </c>
      <c r="C796">
        <v>33</v>
      </c>
      <c r="D796" t="s">
        <v>22</v>
      </c>
      <c r="E796" t="s">
        <v>23</v>
      </c>
      <c r="F796" t="s">
        <v>24</v>
      </c>
      <c r="G796">
        <v>134448</v>
      </c>
      <c r="H796">
        <v>514</v>
      </c>
      <c r="I796">
        <v>12601</v>
      </c>
      <c r="J796">
        <v>19.53</v>
      </c>
      <c r="K796">
        <v>36</v>
      </c>
      <c r="L796" t="s">
        <v>33</v>
      </c>
      <c r="M796">
        <v>56.13</v>
      </c>
      <c r="N796">
        <v>36264</v>
      </c>
      <c r="O796">
        <v>214329</v>
      </c>
      <c r="P796" t="s">
        <v>2235</v>
      </c>
      <c r="Q796" t="s">
        <v>27</v>
      </c>
      <c r="R796" t="s">
        <v>48</v>
      </c>
      <c r="S796" t="s">
        <v>49</v>
      </c>
      <c r="T796">
        <v>418.39</v>
      </c>
      <c r="U796">
        <f t="shared" si="168"/>
        <v>1206</v>
      </c>
      <c r="V796">
        <f t="shared" si="169"/>
        <v>454</v>
      </c>
      <c r="W796">
        <f t="shared" si="170"/>
        <v>370</v>
      </c>
      <c r="X796">
        <f t="shared" si="171"/>
        <v>0.35149999999999998</v>
      </c>
      <c r="Y796" s="1">
        <f t="shared" si="172"/>
        <v>62096491</v>
      </c>
      <c r="Z796">
        <f t="shared" si="173"/>
        <v>51489.627694859038</v>
      </c>
      <c r="AA796">
        <f t="shared" si="174"/>
        <v>99996</v>
      </c>
      <c r="AB796">
        <f t="shared" si="175"/>
        <v>5091</v>
      </c>
      <c r="AC796">
        <f t="shared" si="176"/>
        <v>1614806.0699999994</v>
      </c>
      <c r="AD796">
        <f t="shared" si="177"/>
        <v>1338.9768407960194</v>
      </c>
      <c r="AE796">
        <f t="shared" si="178"/>
        <v>0.35149999999999998</v>
      </c>
      <c r="AF796">
        <f t="shared" si="179"/>
        <v>976380410.98999953</v>
      </c>
      <c r="AG796" t="str">
        <f t="shared" si="180"/>
        <v>Active</v>
      </c>
      <c r="AH796">
        <f t="shared" si="181"/>
        <v>5020.68</v>
      </c>
    </row>
    <row r="797" spans="1:34" x14ac:dyDescent="0.35">
      <c r="A797" t="s">
        <v>2236</v>
      </c>
      <c r="B797" t="s">
        <v>2237</v>
      </c>
      <c r="C797">
        <v>21</v>
      </c>
      <c r="D797" t="s">
        <v>38</v>
      </c>
      <c r="E797" t="s">
        <v>23</v>
      </c>
      <c r="F797" t="s">
        <v>59</v>
      </c>
      <c r="G797">
        <v>22352</v>
      </c>
      <c r="H797">
        <v>395</v>
      </c>
      <c r="I797">
        <v>80325</v>
      </c>
      <c r="J797">
        <v>16.88</v>
      </c>
      <c r="K797">
        <v>12</v>
      </c>
      <c r="L797" t="s">
        <v>25</v>
      </c>
      <c r="M797">
        <v>15.77</v>
      </c>
      <c r="N797">
        <v>3672</v>
      </c>
      <c r="O797">
        <v>113388</v>
      </c>
      <c r="P797" t="s">
        <v>2238</v>
      </c>
      <c r="Q797" t="s">
        <v>42</v>
      </c>
      <c r="R797" t="s">
        <v>28</v>
      </c>
      <c r="S797" t="s">
        <v>29</v>
      </c>
      <c r="T797">
        <v>7823.65</v>
      </c>
      <c r="U797">
        <f t="shared" si="168"/>
        <v>1205</v>
      </c>
      <c r="V797">
        <f t="shared" si="169"/>
        <v>454</v>
      </c>
      <c r="W797">
        <f t="shared" si="170"/>
        <v>370</v>
      </c>
      <c r="X797">
        <f t="shared" si="171"/>
        <v>0.35149999999999998</v>
      </c>
      <c r="Y797" s="1">
        <f t="shared" si="172"/>
        <v>62083890</v>
      </c>
      <c r="Z797">
        <f t="shared" si="173"/>
        <v>51521.900414937758</v>
      </c>
      <c r="AA797">
        <f t="shared" si="174"/>
        <v>99996</v>
      </c>
      <c r="AB797">
        <f t="shared" si="175"/>
        <v>5091</v>
      </c>
      <c r="AC797">
        <f t="shared" si="176"/>
        <v>1614387.6799999995</v>
      </c>
      <c r="AD797">
        <f t="shared" si="177"/>
        <v>1339.7408132780079</v>
      </c>
      <c r="AE797">
        <f t="shared" si="178"/>
        <v>0.35149999999999998</v>
      </c>
      <c r="AF797">
        <f t="shared" si="179"/>
        <v>974765604.91999948</v>
      </c>
      <c r="AG797" t="str">
        <f t="shared" si="180"/>
        <v>Active</v>
      </c>
      <c r="AH797">
        <f t="shared" si="181"/>
        <v>93883.799999999988</v>
      </c>
    </row>
    <row r="798" spans="1:34" x14ac:dyDescent="0.35">
      <c r="A798" t="s">
        <v>2239</v>
      </c>
      <c r="B798" t="s">
        <v>2240</v>
      </c>
      <c r="C798">
        <v>65</v>
      </c>
      <c r="D798" t="s">
        <v>22</v>
      </c>
      <c r="E798" t="s">
        <v>23</v>
      </c>
      <c r="F798" t="s">
        <v>46</v>
      </c>
      <c r="G798">
        <v>98248</v>
      </c>
      <c r="H798">
        <v>353</v>
      </c>
      <c r="I798">
        <v>47711</v>
      </c>
      <c r="J798">
        <v>22.72</v>
      </c>
      <c r="K798">
        <v>180</v>
      </c>
      <c r="L798" t="s">
        <v>25</v>
      </c>
      <c r="M798">
        <v>38.17</v>
      </c>
      <c r="N798">
        <v>43226</v>
      </c>
      <c r="O798">
        <v>186573</v>
      </c>
      <c r="P798" t="s">
        <v>743</v>
      </c>
      <c r="Q798" t="s">
        <v>42</v>
      </c>
      <c r="R798" t="s">
        <v>28</v>
      </c>
      <c r="S798" t="s">
        <v>35</v>
      </c>
      <c r="T798">
        <v>325.27999999999997</v>
      </c>
      <c r="U798">
        <f t="shared" si="168"/>
        <v>1204</v>
      </c>
      <c r="V798">
        <f t="shared" si="169"/>
        <v>453</v>
      </c>
      <c r="W798">
        <f t="shared" si="170"/>
        <v>370</v>
      </c>
      <c r="X798">
        <f t="shared" si="171"/>
        <v>0.35149999999999998</v>
      </c>
      <c r="Y798" s="1">
        <f t="shared" si="172"/>
        <v>62003565</v>
      </c>
      <c r="Z798">
        <f t="shared" si="173"/>
        <v>51497.977574750832</v>
      </c>
      <c r="AA798">
        <f t="shared" si="174"/>
        <v>99996</v>
      </c>
      <c r="AB798">
        <f t="shared" si="175"/>
        <v>5091</v>
      </c>
      <c r="AC798">
        <f t="shared" si="176"/>
        <v>1606564.0299999996</v>
      </c>
      <c r="AD798">
        <f t="shared" si="177"/>
        <v>1334.3555066445178</v>
      </c>
      <c r="AE798">
        <f t="shared" si="178"/>
        <v>0.35149999999999998</v>
      </c>
      <c r="AF798">
        <f t="shared" si="179"/>
        <v>973151217.23999953</v>
      </c>
      <c r="AG798" t="str">
        <f t="shared" si="180"/>
        <v>Over Paid</v>
      </c>
      <c r="AH798">
        <f t="shared" si="181"/>
        <v>3903.3599999999997</v>
      </c>
    </row>
    <row r="799" spans="1:34" x14ac:dyDescent="0.35">
      <c r="A799" t="s">
        <v>2241</v>
      </c>
      <c r="B799" t="s">
        <v>2242</v>
      </c>
      <c r="C799">
        <v>26</v>
      </c>
      <c r="D799" t="s">
        <v>22</v>
      </c>
      <c r="E799" t="s">
        <v>32</v>
      </c>
      <c r="F799" t="s">
        <v>24</v>
      </c>
      <c r="G799">
        <v>121610</v>
      </c>
      <c r="H799">
        <v>454</v>
      </c>
      <c r="I799">
        <v>99463</v>
      </c>
      <c r="J799">
        <v>12.31</v>
      </c>
      <c r="K799">
        <v>180</v>
      </c>
      <c r="L799" t="s">
        <v>86</v>
      </c>
      <c r="M799">
        <v>56.79</v>
      </c>
      <c r="N799">
        <v>55077</v>
      </c>
      <c r="O799">
        <v>190698</v>
      </c>
      <c r="P799" t="s">
        <v>2243</v>
      </c>
      <c r="Q799" t="s">
        <v>27</v>
      </c>
      <c r="R799" t="s">
        <v>48</v>
      </c>
      <c r="S799" t="s">
        <v>29</v>
      </c>
      <c r="T799">
        <v>620.59</v>
      </c>
      <c r="U799">
        <f t="shared" si="168"/>
        <v>1203</v>
      </c>
      <c r="V799">
        <f t="shared" si="169"/>
        <v>452</v>
      </c>
      <c r="W799">
        <f t="shared" si="170"/>
        <v>370</v>
      </c>
      <c r="X799">
        <f t="shared" si="171"/>
        <v>0.35149999999999998</v>
      </c>
      <c r="Y799" s="1">
        <f t="shared" si="172"/>
        <v>61955854</v>
      </c>
      <c r="Z799">
        <f t="shared" si="173"/>
        <v>51501.1255195345</v>
      </c>
      <c r="AA799">
        <f t="shared" si="174"/>
        <v>99996</v>
      </c>
      <c r="AB799">
        <f t="shared" si="175"/>
        <v>5091</v>
      </c>
      <c r="AC799">
        <f t="shared" si="176"/>
        <v>1606238.7499999995</v>
      </c>
      <c r="AD799">
        <f t="shared" si="177"/>
        <v>1335.1943059019115</v>
      </c>
      <c r="AE799">
        <f t="shared" si="178"/>
        <v>0.35149999999999998</v>
      </c>
      <c r="AF799">
        <f t="shared" si="179"/>
        <v>971544653.20999944</v>
      </c>
      <c r="AG799" t="str">
        <f t="shared" si="180"/>
        <v>Active</v>
      </c>
      <c r="AH799">
        <f t="shared" si="181"/>
        <v>7447.08</v>
      </c>
    </row>
    <row r="800" spans="1:34" x14ac:dyDescent="0.35">
      <c r="A800" t="s">
        <v>2244</v>
      </c>
      <c r="B800" t="s">
        <v>2245</v>
      </c>
      <c r="C800">
        <v>55</v>
      </c>
      <c r="D800" t="s">
        <v>38</v>
      </c>
      <c r="E800" t="s">
        <v>23</v>
      </c>
      <c r="F800" t="s">
        <v>24</v>
      </c>
      <c r="G800">
        <v>22735</v>
      </c>
      <c r="H800">
        <v>529</v>
      </c>
      <c r="I800">
        <v>95177</v>
      </c>
      <c r="J800">
        <v>6.25</v>
      </c>
      <c r="K800">
        <v>24</v>
      </c>
      <c r="L800" t="s">
        <v>52</v>
      </c>
      <c r="M800">
        <v>41.51</v>
      </c>
      <c r="N800">
        <v>31711</v>
      </c>
      <c r="O800">
        <v>29081</v>
      </c>
      <c r="P800" t="s">
        <v>2246</v>
      </c>
      <c r="Q800" t="s">
        <v>42</v>
      </c>
      <c r="R800" t="s">
        <v>48</v>
      </c>
      <c r="S800" t="s">
        <v>43</v>
      </c>
      <c r="T800">
        <v>4213.57</v>
      </c>
      <c r="U800">
        <f t="shared" si="168"/>
        <v>1202</v>
      </c>
      <c r="V800">
        <f t="shared" si="169"/>
        <v>452</v>
      </c>
      <c r="W800">
        <f t="shared" si="170"/>
        <v>370</v>
      </c>
      <c r="X800">
        <f t="shared" si="171"/>
        <v>0.35149999999999998</v>
      </c>
      <c r="Y800" s="1">
        <f t="shared" si="172"/>
        <v>61856391</v>
      </c>
      <c r="Z800">
        <f t="shared" si="173"/>
        <v>51461.223793677207</v>
      </c>
      <c r="AA800">
        <f t="shared" si="174"/>
        <v>99996</v>
      </c>
      <c r="AB800">
        <f t="shared" si="175"/>
        <v>5091</v>
      </c>
      <c r="AC800">
        <f t="shared" si="176"/>
        <v>1605618.1599999997</v>
      </c>
      <c r="AD800">
        <f t="shared" si="177"/>
        <v>1335.788818635607</v>
      </c>
      <c r="AE800">
        <f t="shared" si="178"/>
        <v>0.35149999999999998</v>
      </c>
      <c r="AF800">
        <f t="shared" si="179"/>
        <v>969938414.45999944</v>
      </c>
      <c r="AG800" t="str">
        <f t="shared" si="180"/>
        <v>Active</v>
      </c>
      <c r="AH800">
        <f t="shared" si="181"/>
        <v>50562.84</v>
      </c>
    </row>
    <row r="801" spans="1:34" x14ac:dyDescent="0.35">
      <c r="A801" t="s">
        <v>2247</v>
      </c>
      <c r="B801" t="s">
        <v>2248</v>
      </c>
      <c r="C801">
        <v>56</v>
      </c>
      <c r="D801" t="s">
        <v>22</v>
      </c>
      <c r="E801" t="s">
        <v>39</v>
      </c>
      <c r="F801" t="s">
        <v>46</v>
      </c>
      <c r="G801">
        <v>44237</v>
      </c>
      <c r="H801">
        <v>628</v>
      </c>
      <c r="I801">
        <v>49120</v>
      </c>
      <c r="J801">
        <v>15.21</v>
      </c>
      <c r="K801">
        <v>180</v>
      </c>
      <c r="L801" t="s">
        <v>25</v>
      </c>
      <c r="M801">
        <v>21.15</v>
      </c>
      <c r="N801">
        <v>44335</v>
      </c>
      <c r="O801">
        <v>165301</v>
      </c>
      <c r="P801" t="s">
        <v>2249</v>
      </c>
      <c r="Q801" t="s">
        <v>27</v>
      </c>
      <c r="R801" t="s">
        <v>28</v>
      </c>
      <c r="S801" t="s">
        <v>49</v>
      </c>
      <c r="T801">
        <v>314.39999999999998</v>
      </c>
      <c r="U801">
        <f t="shared" si="168"/>
        <v>1201</v>
      </c>
      <c r="V801">
        <f t="shared" si="169"/>
        <v>451</v>
      </c>
      <c r="W801">
        <f t="shared" si="170"/>
        <v>370</v>
      </c>
      <c r="X801">
        <f t="shared" si="171"/>
        <v>0.35149999999999998</v>
      </c>
      <c r="Y801" s="1">
        <f t="shared" si="172"/>
        <v>61761214</v>
      </c>
      <c r="Z801">
        <f t="shared" si="173"/>
        <v>51424.824313072437</v>
      </c>
      <c r="AA801">
        <f t="shared" si="174"/>
        <v>99996</v>
      </c>
      <c r="AB801">
        <f t="shared" si="175"/>
        <v>5091</v>
      </c>
      <c r="AC801">
        <f t="shared" si="176"/>
        <v>1601404.5899999994</v>
      </c>
      <c r="AD801">
        <f t="shared" si="177"/>
        <v>1333.3926644462942</v>
      </c>
      <c r="AE801">
        <f t="shared" si="178"/>
        <v>0.35149999999999998</v>
      </c>
      <c r="AF801">
        <f t="shared" si="179"/>
        <v>968332796.29999948</v>
      </c>
      <c r="AG801" t="str">
        <f t="shared" si="180"/>
        <v>Active</v>
      </c>
      <c r="AH801">
        <f t="shared" si="181"/>
        <v>3772.7999999999997</v>
      </c>
    </row>
    <row r="802" spans="1:34" x14ac:dyDescent="0.35">
      <c r="A802" t="s">
        <v>2250</v>
      </c>
      <c r="B802" t="s">
        <v>2251</v>
      </c>
      <c r="C802">
        <v>31</v>
      </c>
      <c r="D802" t="s">
        <v>38</v>
      </c>
      <c r="E802" t="s">
        <v>32</v>
      </c>
      <c r="F802" t="s">
        <v>46</v>
      </c>
      <c r="G802">
        <v>62932</v>
      </c>
      <c r="H802">
        <v>325</v>
      </c>
      <c r="I802">
        <v>74665</v>
      </c>
      <c r="J802">
        <v>14.31</v>
      </c>
      <c r="K802">
        <v>120</v>
      </c>
      <c r="L802" t="s">
        <v>33</v>
      </c>
      <c r="M802">
        <v>12.06</v>
      </c>
      <c r="N802">
        <v>17469</v>
      </c>
      <c r="O802">
        <v>157884</v>
      </c>
      <c r="P802" t="s">
        <v>2252</v>
      </c>
      <c r="Q802" t="s">
        <v>61</v>
      </c>
      <c r="R802" t="s">
        <v>28</v>
      </c>
      <c r="S802" t="s">
        <v>49</v>
      </c>
      <c r="T802">
        <v>711.25</v>
      </c>
      <c r="U802">
        <f t="shared" si="168"/>
        <v>1200</v>
      </c>
      <c r="V802">
        <f t="shared" si="169"/>
        <v>451</v>
      </c>
      <c r="W802">
        <f t="shared" si="170"/>
        <v>370</v>
      </c>
      <c r="X802">
        <f t="shared" si="171"/>
        <v>0.35149999999999998</v>
      </c>
      <c r="Y802" s="1">
        <f t="shared" si="172"/>
        <v>61712094</v>
      </c>
      <c r="Z802">
        <f t="shared" si="173"/>
        <v>51426.745000000003</v>
      </c>
      <c r="AA802">
        <f t="shared" si="174"/>
        <v>99996</v>
      </c>
      <c r="AB802">
        <f t="shared" si="175"/>
        <v>5091</v>
      </c>
      <c r="AC802">
        <f t="shared" si="176"/>
        <v>1601090.1899999995</v>
      </c>
      <c r="AD802">
        <f t="shared" si="177"/>
        <v>1334.2418249999996</v>
      </c>
      <c r="AE802">
        <f t="shared" si="178"/>
        <v>0.35149999999999998</v>
      </c>
      <c r="AF802">
        <f t="shared" si="179"/>
        <v>966731391.70999944</v>
      </c>
      <c r="AG802" t="str">
        <f t="shared" si="180"/>
        <v>Active</v>
      </c>
      <c r="AH802">
        <f t="shared" si="181"/>
        <v>8535</v>
      </c>
    </row>
    <row r="803" spans="1:34" x14ac:dyDescent="0.35">
      <c r="A803" t="s">
        <v>2253</v>
      </c>
      <c r="B803" t="s">
        <v>2254</v>
      </c>
      <c r="C803">
        <v>28</v>
      </c>
      <c r="D803" t="s">
        <v>22</v>
      </c>
      <c r="E803" t="s">
        <v>23</v>
      </c>
      <c r="F803" t="s">
        <v>46</v>
      </c>
      <c r="G803">
        <v>113297</v>
      </c>
      <c r="H803">
        <v>441</v>
      </c>
      <c r="I803">
        <v>51066</v>
      </c>
      <c r="J803">
        <v>5.53</v>
      </c>
      <c r="K803">
        <v>60</v>
      </c>
      <c r="L803" t="s">
        <v>33</v>
      </c>
      <c r="M803">
        <v>26.19</v>
      </c>
      <c r="N803">
        <v>20918</v>
      </c>
      <c r="O803">
        <v>129120</v>
      </c>
      <c r="P803" t="s">
        <v>1526</v>
      </c>
      <c r="Q803" t="s">
        <v>27</v>
      </c>
      <c r="R803" t="s">
        <v>48</v>
      </c>
      <c r="S803" t="s">
        <v>49</v>
      </c>
      <c r="T803">
        <v>898.17</v>
      </c>
      <c r="U803">
        <f t="shared" si="168"/>
        <v>1199</v>
      </c>
      <c r="V803">
        <f t="shared" si="169"/>
        <v>451</v>
      </c>
      <c r="W803">
        <f t="shared" si="170"/>
        <v>369</v>
      </c>
      <c r="X803">
        <f t="shared" si="171"/>
        <v>0.35149999999999998</v>
      </c>
      <c r="Y803" s="1">
        <f t="shared" si="172"/>
        <v>61637429</v>
      </c>
      <c r="Z803">
        <f t="shared" si="173"/>
        <v>51407.36363636364</v>
      </c>
      <c r="AA803">
        <f t="shared" si="174"/>
        <v>99996</v>
      </c>
      <c r="AB803">
        <f t="shared" si="175"/>
        <v>5091</v>
      </c>
      <c r="AC803">
        <f t="shared" si="176"/>
        <v>1600378.9399999997</v>
      </c>
      <c r="AD803">
        <f t="shared" si="177"/>
        <v>1334.7614178482065</v>
      </c>
      <c r="AE803">
        <f t="shared" si="178"/>
        <v>0.35149999999999998</v>
      </c>
      <c r="AF803">
        <f t="shared" si="179"/>
        <v>965130301.5199995</v>
      </c>
      <c r="AG803" t="str">
        <f t="shared" si="180"/>
        <v>Active</v>
      </c>
      <c r="AH803">
        <f t="shared" si="181"/>
        <v>10778.039999999999</v>
      </c>
    </row>
    <row r="804" spans="1:34" x14ac:dyDescent="0.35">
      <c r="A804" t="s">
        <v>2255</v>
      </c>
      <c r="B804" t="s">
        <v>2256</v>
      </c>
      <c r="C804">
        <v>40</v>
      </c>
      <c r="D804" t="s">
        <v>38</v>
      </c>
      <c r="E804" t="s">
        <v>39</v>
      </c>
      <c r="F804" t="s">
        <v>59</v>
      </c>
      <c r="G804">
        <v>149586</v>
      </c>
      <c r="H804">
        <v>652</v>
      </c>
      <c r="I804">
        <v>87155</v>
      </c>
      <c r="J804">
        <v>17.440000000000001</v>
      </c>
      <c r="K804">
        <v>36</v>
      </c>
      <c r="L804" t="s">
        <v>40</v>
      </c>
      <c r="M804">
        <v>41.64</v>
      </c>
      <c r="N804">
        <v>35927</v>
      </c>
      <c r="O804">
        <v>214362</v>
      </c>
      <c r="P804" t="s">
        <v>278</v>
      </c>
      <c r="Q804" t="s">
        <v>61</v>
      </c>
      <c r="R804" t="s">
        <v>48</v>
      </c>
      <c r="S804" t="s">
        <v>68</v>
      </c>
      <c r="T804">
        <v>2843.19</v>
      </c>
      <c r="U804">
        <f t="shared" si="168"/>
        <v>1198</v>
      </c>
      <c r="V804">
        <f t="shared" si="169"/>
        <v>451</v>
      </c>
      <c r="W804">
        <f t="shared" si="170"/>
        <v>369</v>
      </c>
      <c r="X804">
        <f t="shared" si="171"/>
        <v>0.35149999999999998</v>
      </c>
      <c r="Y804" s="1">
        <f t="shared" si="172"/>
        <v>61586363</v>
      </c>
      <c r="Z804">
        <f t="shared" si="173"/>
        <v>51407.648580968278</v>
      </c>
      <c r="AA804">
        <f t="shared" si="174"/>
        <v>99996</v>
      </c>
      <c r="AB804">
        <f t="shared" si="175"/>
        <v>5091</v>
      </c>
      <c r="AC804">
        <f t="shared" si="176"/>
        <v>1599480.7699999996</v>
      </c>
      <c r="AD804">
        <f t="shared" si="177"/>
        <v>1335.1258514190313</v>
      </c>
      <c r="AE804">
        <f t="shared" si="178"/>
        <v>0.35149999999999998</v>
      </c>
      <c r="AF804">
        <f t="shared" si="179"/>
        <v>963529922.57999957</v>
      </c>
      <c r="AG804" t="str">
        <f t="shared" si="180"/>
        <v>Active</v>
      </c>
      <c r="AH804">
        <f t="shared" si="181"/>
        <v>34118.28</v>
      </c>
    </row>
    <row r="805" spans="1:34" x14ac:dyDescent="0.35">
      <c r="A805" t="s">
        <v>2257</v>
      </c>
      <c r="B805" t="s">
        <v>2258</v>
      </c>
      <c r="C805">
        <v>49</v>
      </c>
      <c r="D805" t="s">
        <v>38</v>
      </c>
      <c r="E805" t="s">
        <v>32</v>
      </c>
      <c r="F805" t="s">
        <v>46</v>
      </c>
      <c r="G805">
        <v>134590</v>
      </c>
      <c r="H805">
        <v>516</v>
      </c>
      <c r="I805">
        <v>51346</v>
      </c>
      <c r="J805">
        <v>14.79</v>
      </c>
      <c r="K805">
        <v>240</v>
      </c>
      <c r="L805" t="s">
        <v>25</v>
      </c>
      <c r="M805">
        <v>6.89</v>
      </c>
      <c r="N805">
        <v>11875</v>
      </c>
      <c r="O805">
        <v>29815</v>
      </c>
      <c r="P805" t="s">
        <v>2259</v>
      </c>
      <c r="Q805" t="s">
        <v>61</v>
      </c>
      <c r="R805" t="s">
        <v>48</v>
      </c>
      <c r="S805" t="s">
        <v>43</v>
      </c>
      <c r="T805">
        <v>245.58</v>
      </c>
      <c r="U805">
        <f t="shared" si="168"/>
        <v>1197</v>
      </c>
      <c r="V805">
        <f t="shared" si="169"/>
        <v>451</v>
      </c>
      <c r="W805">
        <f t="shared" si="170"/>
        <v>368</v>
      </c>
      <c r="X805">
        <f t="shared" si="171"/>
        <v>0.35149999999999998</v>
      </c>
      <c r="Y805" s="1">
        <f t="shared" si="172"/>
        <v>61499208</v>
      </c>
      <c r="Z805">
        <f t="shared" si="173"/>
        <v>51377.784461152885</v>
      </c>
      <c r="AA805">
        <f t="shared" si="174"/>
        <v>99996</v>
      </c>
      <c r="AB805">
        <f t="shared" si="175"/>
        <v>5091</v>
      </c>
      <c r="AC805">
        <f t="shared" si="176"/>
        <v>1596637.5799999996</v>
      </c>
      <c r="AD805">
        <f t="shared" si="177"/>
        <v>1333.8659816207182</v>
      </c>
      <c r="AE805">
        <f t="shared" si="178"/>
        <v>0.35149999999999998</v>
      </c>
      <c r="AF805">
        <f t="shared" si="179"/>
        <v>961930441.80999959</v>
      </c>
      <c r="AG805" t="str">
        <f t="shared" si="180"/>
        <v>Active</v>
      </c>
      <c r="AH805">
        <f t="shared" si="181"/>
        <v>2946.96</v>
      </c>
    </row>
    <row r="806" spans="1:34" x14ac:dyDescent="0.35">
      <c r="A806" t="s">
        <v>2260</v>
      </c>
      <c r="B806" t="s">
        <v>2261</v>
      </c>
      <c r="C806">
        <v>49</v>
      </c>
      <c r="D806" t="s">
        <v>38</v>
      </c>
      <c r="E806" t="s">
        <v>23</v>
      </c>
      <c r="F806" t="s">
        <v>59</v>
      </c>
      <c r="G806">
        <v>99097</v>
      </c>
      <c r="H806">
        <v>788</v>
      </c>
      <c r="I806">
        <v>90968</v>
      </c>
      <c r="J806">
        <v>13.91</v>
      </c>
      <c r="K806">
        <v>24</v>
      </c>
      <c r="L806" t="s">
        <v>52</v>
      </c>
      <c r="M806">
        <v>28.13</v>
      </c>
      <c r="N806">
        <v>78122</v>
      </c>
      <c r="O806">
        <v>169463</v>
      </c>
      <c r="P806" t="s">
        <v>2262</v>
      </c>
      <c r="Q806" t="s">
        <v>42</v>
      </c>
      <c r="R806" t="s">
        <v>48</v>
      </c>
      <c r="S806" t="s">
        <v>68</v>
      </c>
      <c r="T806">
        <v>4317.57</v>
      </c>
      <c r="U806">
        <f t="shared" si="168"/>
        <v>1196</v>
      </c>
      <c r="V806">
        <f t="shared" si="169"/>
        <v>451</v>
      </c>
      <c r="W806">
        <f t="shared" si="170"/>
        <v>367</v>
      </c>
      <c r="X806">
        <f t="shared" si="171"/>
        <v>0.35149999999999998</v>
      </c>
      <c r="Y806" s="1">
        <f t="shared" si="172"/>
        <v>61447862</v>
      </c>
      <c r="Z806">
        <f t="shared" si="173"/>
        <v>51377.811036789295</v>
      </c>
      <c r="AA806">
        <f t="shared" si="174"/>
        <v>99996</v>
      </c>
      <c r="AB806">
        <f t="shared" si="175"/>
        <v>5091</v>
      </c>
      <c r="AC806">
        <f t="shared" si="176"/>
        <v>1596391.9999999995</v>
      </c>
      <c r="AD806">
        <f t="shared" si="177"/>
        <v>1334.775919732441</v>
      </c>
      <c r="AE806">
        <f t="shared" si="178"/>
        <v>0.35149999999999998</v>
      </c>
      <c r="AF806">
        <f t="shared" si="179"/>
        <v>960333804.22999954</v>
      </c>
      <c r="AG806" t="str">
        <f t="shared" si="180"/>
        <v>Active</v>
      </c>
      <c r="AH806">
        <f t="shared" si="181"/>
        <v>51810.84</v>
      </c>
    </row>
    <row r="807" spans="1:34" x14ac:dyDescent="0.35">
      <c r="A807" t="s">
        <v>2263</v>
      </c>
      <c r="B807" t="s">
        <v>2264</v>
      </c>
      <c r="C807">
        <v>28</v>
      </c>
      <c r="D807" t="s">
        <v>38</v>
      </c>
      <c r="E807" t="s">
        <v>23</v>
      </c>
      <c r="F807" t="s">
        <v>24</v>
      </c>
      <c r="G807">
        <v>125331</v>
      </c>
      <c r="H807">
        <v>523</v>
      </c>
      <c r="I807">
        <v>60614</v>
      </c>
      <c r="J807">
        <v>9.9700000000000006</v>
      </c>
      <c r="K807">
        <v>36</v>
      </c>
      <c r="L807" t="s">
        <v>86</v>
      </c>
      <c r="M807">
        <v>14.23</v>
      </c>
      <c r="N807">
        <v>17064</v>
      </c>
      <c r="O807">
        <v>43828</v>
      </c>
      <c r="P807" t="s">
        <v>284</v>
      </c>
      <c r="Q807" t="s">
        <v>27</v>
      </c>
      <c r="R807" t="s">
        <v>28</v>
      </c>
      <c r="S807" t="s">
        <v>49</v>
      </c>
      <c r="T807">
        <v>1851.59</v>
      </c>
      <c r="U807">
        <f t="shared" si="168"/>
        <v>1195</v>
      </c>
      <c r="V807">
        <f t="shared" si="169"/>
        <v>450</v>
      </c>
      <c r="W807">
        <f t="shared" si="170"/>
        <v>367</v>
      </c>
      <c r="X807">
        <f t="shared" si="171"/>
        <v>0.35149999999999998</v>
      </c>
      <c r="Y807" s="1">
        <f t="shared" si="172"/>
        <v>61356894</v>
      </c>
      <c r="Z807">
        <f t="shared" si="173"/>
        <v>51344.681171548116</v>
      </c>
      <c r="AA807">
        <f t="shared" si="174"/>
        <v>99996</v>
      </c>
      <c r="AB807">
        <f t="shared" si="175"/>
        <v>5091</v>
      </c>
      <c r="AC807">
        <f t="shared" si="176"/>
        <v>1592074.4299999995</v>
      </c>
      <c r="AD807">
        <f t="shared" si="177"/>
        <v>1332.2798577405854</v>
      </c>
      <c r="AE807">
        <f t="shared" si="178"/>
        <v>0.35149999999999998</v>
      </c>
      <c r="AF807">
        <f t="shared" si="179"/>
        <v>958737412.22999954</v>
      </c>
      <c r="AG807" t="str">
        <f t="shared" si="180"/>
        <v>Active</v>
      </c>
      <c r="AH807">
        <f t="shared" si="181"/>
        <v>22219.079999999998</v>
      </c>
    </row>
    <row r="808" spans="1:34" x14ac:dyDescent="0.35">
      <c r="A808" t="s">
        <v>2265</v>
      </c>
      <c r="B808" t="s">
        <v>2266</v>
      </c>
      <c r="C808">
        <v>50</v>
      </c>
      <c r="D808" t="s">
        <v>22</v>
      </c>
      <c r="E808" t="s">
        <v>23</v>
      </c>
      <c r="F808" t="s">
        <v>24</v>
      </c>
      <c r="G808">
        <v>139652</v>
      </c>
      <c r="H808">
        <v>496</v>
      </c>
      <c r="I808">
        <v>7547</v>
      </c>
      <c r="J808">
        <v>5.56</v>
      </c>
      <c r="K808">
        <v>60</v>
      </c>
      <c r="L808" t="s">
        <v>86</v>
      </c>
      <c r="M808">
        <v>18.12</v>
      </c>
      <c r="N808">
        <v>37785</v>
      </c>
      <c r="O808">
        <v>106710</v>
      </c>
      <c r="P808" t="s">
        <v>2267</v>
      </c>
      <c r="Q808" t="s">
        <v>42</v>
      </c>
      <c r="R808" t="s">
        <v>28</v>
      </c>
      <c r="S808" t="s">
        <v>68</v>
      </c>
      <c r="T808">
        <v>132.78</v>
      </c>
      <c r="U808">
        <f t="shared" si="168"/>
        <v>1194</v>
      </c>
      <c r="V808">
        <f t="shared" si="169"/>
        <v>450</v>
      </c>
      <c r="W808">
        <f t="shared" si="170"/>
        <v>367</v>
      </c>
      <c r="X808">
        <f t="shared" si="171"/>
        <v>0.35149999999999998</v>
      </c>
      <c r="Y808" s="1">
        <f t="shared" si="172"/>
        <v>61296280</v>
      </c>
      <c r="Z808">
        <f t="shared" si="173"/>
        <v>51336.917922948072</v>
      </c>
      <c r="AA808">
        <f t="shared" si="174"/>
        <v>99996</v>
      </c>
      <c r="AB808">
        <f t="shared" si="175"/>
        <v>5091</v>
      </c>
      <c r="AC808">
        <f t="shared" si="176"/>
        <v>1590222.8399999994</v>
      </c>
      <c r="AD808">
        <f t="shared" si="177"/>
        <v>1331.844924623115</v>
      </c>
      <c r="AE808">
        <f t="shared" si="178"/>
        <v>0.35149999999999998</v>
      </c>
      <c r="AF808">
        <f t="shared" si="179"/>
        <v>957145337.79999948</v>
      </c>
      <c r="AG808" t="str">
        <f t="shared" si="180"/>
        <v>Active</v>
      </c>
      <c r="AH808">
        <f t="shared" si="181"/>
        <v>1593.3600000000001</v>
      </c>
    </row>
    <row r="809" spans="1:34" x14ac:dyDescent="0.35">
      <c r="A809" t="s">
        <v>2268</v>
      </c>
      <c r="B809" t="s">
        <v>2269</v>
      </c>
      <c r="C809">
        <v>24</v>
      </c>
      <c r="D809" t="s">
        <v>38</v>
      </c>
      <c r="E809" t="s">
        <v>32</v>
      </c>
      <c r="F809" t="s">
        <v>24</v>
      </c>
      <c r="G809">
        <v>191770</v>
      </c>
      <c r="H809">
        <v>733</v>
      </c>
      <c r="I809">
        <v>33440</v>
      </c>
      <c r="J809">
        <v>7.5</v>
      </c>
      <c r="K809">
        <v>360</v>
      </c>
      <c r="L809" t="s">
        <v>86</v>
      </c>
      <c r="M809">
        <v>43.98</v>
      </c>
      <c r="N809">
        <v>732</v>
      </c>
      <c r="O809">
        <v>137586</v>
      </c>
      <c r="P809" t="s">
        <v>2270</v>
      </c>
      <c r="Q809" t="s">
        <v>42</v>
      </c>
      <c r="R809" t="s">
        <v>28</v>
      </c>
      <c r="S809" t="s">
        <v>68</v>
      </c>
      <c r="T809">
        <v>99.86</v>
      </c>
      <c r="U809">
        <f t="shared" si="168"/>
        <v>1193</v>
      </c>
      <c r="V809">
        <f t="shared" si="169"/>
        <v>449</v>
      </c>
      <c r="W809">
        <f t="shared" si="170"/>
        <v>367</v>
      </c>
      <c r="X809">
        <f t="shared" si="171"/>
        <v>0.35149999999999998</v>
      </c>
      <c r="Y809" s="1">
        <f t="shared" si="172"/>
        <v>61288733</v>
      </c>
      <c r="Z809">
        <f t="shared" si="173"/>
        <v>51373.623637887678</v>
      </c>
      <c r="AA809">
        <f t="shared" si="174"/>
        <v>99996</v>
      </c>
      <c r="AB809">
        <f t="shared" si="175"/>
        <v>5091</v>
      </c>
      <c r="AC809">
        <f t="shared" si="176"/>
        <v>1590090.0599999994</v>
      </c>
      <c r="AD809">
        <f t="shared" si="177"/>
        <v>1332.8500083822291</v>
      </c>
      <c r="AE809">
        <f t="shared" si="178"/>
        <v>0.35149999999999998</v>
      </c>
      <c r="AF809">
        <f t="shared" si="179"/>
        <v>955555114.95999944</v>
      </c>
      <c r="AG809" t="str">
        <f t="shared" si="180"/>
        <v>Active</v>
      </c>
      <c r="AH809">
        <f t="shared" si="181"/>
        <v>1198.32</v>
      </c>
    </row>
    <row r="810" spans="1:34" x14ac:dyDescent="0.35">
      <c r="A810" t="s">
        <v>2271</v>
      </c>
      <c r="B810" t="s">
        <v>2272</v>
      </c>
      <c r="C810">
        <v>63</v>
      </c>
      <c r="D810" t="s">
        <v>22</v>
      </c>
      <c r="E810" t="s">
        <v>23</v>
      </c>
      <c r="F810" t="s">
        <v>59</v>
      </c>
      <c r="G810">
        <v>177196</v>
      </c>
      <c r="H810">
        <v>382</v>
      </c>
      <c r="I810">
        <v>94303</v>
      </c>
      <c r="J810">
        <v>15.93</v>
      </c>
      <c r="K810">
        <v>48</v>
      </c>
      <c r="L810" t="s">
        <v>40</v>
      </c>
      <c r="M810">
        <v>24.06</v>
      </c>
      <c r="N810">
        <v>78802</v>
      </c>
      <c r="O810">
        <v>36318</v>
      </c>
      <c r="P810" t="s">
        <v>2273</v>
      </c>
      <c r="Q810" t="s">
        <v>42</v>
      </c>
      <c r="R810" t="s">
        <v>28</v>
      </c>
      <c r="S810" t="s">
        <v>35</v>
      </c>
      <c r="T810">
        <v>2277.61</v>
      </c>
      <c r="U810">
        <f t="shared" si="168"/>
        <v>1192</v>
      </c>
      <c r="V810">
        <f t="shared" si="169"/>
        <v>448</v>
      </c>
      <c r="W810">
        <f t="shared" si="170"/>
        <v>367</v>
      </c>
      <c r="X810">
        <f t="shared" si="171"/>
        <v>0.35149999999999998</v>
      </c>
      <c r="Y810" s="1">
        <f t="shared" si="172"/>
        <v>61255293</v>
      </c>
      <c r="Z810">
        <f t="shared" si="173"/>
        <v>51388.668624161073</v>
      </c>
      <c r="AA810">
        <f t="shared" si="174"/>
        <v>99996</v>
      </c>
      <c r="AB810">
        <f t="shared" si="175"/>
        <v>5091</v>
      </c>
      <c r="AC810">
        <f t="shared" si="176"/>
        <v>1589990.1999999995</v>
      </c>
      <c r="AD810">
        <f t="shared" si="177"/>
        <v>1333.8843959731539</v>
      </c>
      <c r="AE810">
        <f t="shared" si="178"/>
        <v>0.35149999999999998</v>
      </c>
      <c r="AF810">
        <f t="shared" si="179"/>
        <v>953965024.8999995</v>
      </c>
      <c r="AG810" t="str">
        <f t="shared" si="180"/>
        <v>Active</v>
      </c>
      <c r="AH810">
        <f t="shared" si="181"/>
        <v>27331.32</v>
      </c>
    </row>
    <row r="811" spans="1:34" x14ac:dyDescent="0.35">
      <c r="A811" t="s">
        <v>2274</v>
      </c>
      <c r="B811" t="s">
        <v>2275</v>
      </c>
      <c r="C811">
        <v>64</v>
      </c>
      <c r="D811" t="s">
        <v>38</v>
      </c>
      <c r="E811" t="s">
        <v>39</v>
      </c>
      <c r="F811" t="s">
        <v>59</v>
      </c>
      <c r="G811">
        <v>100948</v>
      </c>
      <c r="H811">
        <v>366</v>
      </c>
      <c r="I811">
        <v>68750</v>
      </c>
      <c r="J811">
        <v>5.37</v>
      </c>
      <c r="K811">
        <v>12</v>
      </c>
      <c r="L811" t="s">
        <v>52</v>
      </c>
      <c r="M811">
        <v>48.03</v>
      </c>
      <c r="N811">
        <v>15797</v>
      </c>
      <c r="O811">
        <v>203500</v>
      </c>
      <c r="P811" t="s">
        <v>1135</v>
      </c>
      <c r="Q811" t="s">
        <v>27</v>
      </c>
      <c r="R811" t="s">
        <v>28</v>
      </c>
      <c r="S811" t="s">
        <v>35</v>
      </c>
      <c r="T811">
        <v>6036.82</v>
      </c>
      <c r="U811">
        <f t="shared" si="168"/>
        <v>1191</v>
      </c>
      <c r="V811">
        <f t="shared" si="169"/>
        <v>447</v>
      </c>
      <c r="W811">
        <f t="shared" si="170"/>
        <v>367</v>
      </c>
      <c r="X811">
        <f t="shared" si="171"/>
        <v>0.35149999999999998</v>
      </c>
      <c r="Y811" s="1">
        <f t="shared" si="172"/>
        <v>61160990</v>
      </c>
      <c r="Z811">
        <f t="shared" si="173"/>
        <v>51352.636439966416</v>
      </c>
      <c r="AA811">
        <f t="shared" si="174"/>
        <v>99996</v>
      </c>
      <c r="AB811">
        <f t="shared" si="175"/>
        <v>5091</v>
      </c>
      <c r="AC811">
        <f t="shared" si="176"/>
        <v>1587712.5899999996</v>
      </c>
      <c r="AD811">
        <f t="shared" si="177"/>
        <v>1333.0920151133498</v>
      </c>
      <c r="AE811">
        <f t="shared" si="178"/>
        <v>0.35149999999999998</v>
      </c>
      <c r="AF811">
        <f t="shared" si="179"/>
        <v>952375034.69999957</v>
      </c>
      <c r="AG811" t="str">
        <f t="shared" si="180"/>
        <v>Active</v>
      </c>
      <c r="AH811">
        <f t="shared" si="181"/>
        <v>72441.84</v>
      </c>
    </row>
    <row r="812" spans="1:34" x14ac:dyDescent="0.35">
      <c r="A812" t="s">
        <v>2276</v>
      </c>
      <c r="B812" t="s">
        <v>2277</v>
      </c>
      <c r="C812">
        <v>28</v>
      </c>
      <c r="D812" t="s">
        <v>38</v>
      </c>
      <c r="E812" t="s">
        <v>23</v>
      </c>
      <c r="F812" t="s">
        <v>46</v>
      </c>
      <c r="G812">
        <v>98010</v>
      </c>
      <c r="H812">
        <v>577</v>
      </c>
      <c r="I812">
        <v>35476</v>
      </c>
      <c r="J812">
        <v>8.75</v>
      </c>
      <c r="K812">
        <v>36</v>
      </c>
      <c r="L812" t="s">
        <v>25</v>
      </c>
      <c r="M812">
        <v>33.42</v>
      </c>
      <c r="N812">
        <v>28177</v>
      </c>
      <c r="O812">
        <v>133830</v>
      </c>
      <c r="P812" t="s">
        <v>2191</v>
      </c>
      <c r="Q812" t="s">
        <v>42</v>
      </c>
      <c r="R812" t="s">
        <v>28</v>
      </c>
      <c r="S812" t="s">
        <v>43</v>
      </c>
      <c r="T812">
        <v>1071.67</v>
      </c>
      <c r="U812">
        <f t="shared" si="168"/>
        <v>1190</v>
      </c>
      <c r="V812">
        <f t="shared" si="169"/>
        <v>447</v>
      </c>
      <c r="W812">
        <f t="shared" si="170"/>
        <v>367</v>
      </c>
      <c r="X812">
        <f t="shared" si="171"/>
        <v>0.35149999999999998</v>
      </c>
      <c r="Y812" s="1">
        <f t="shared" si="172"/>
        <v>61092240</v>
      </c>
      <c r="Z812">
        <f t="shared" si="173"/>
        <v>51338.016806722691</v>
      </c>
      <c r="AA812">
        <f t="shared" si="174"/>
        <v>99996</v>
      </c>
      <c r="AB812">
        <f t="shared" si="175"/>
        <v>5091</v>
      </c>
      <c r="AC812">
        <f t="shared" si="176"/>
        <v>1581675.7699999993</v>
      </c>
      <c r="AD812">
        <f t="shared" si="177"/>
        <v>1329.1393025210077</v>
      </c>
      <c r="AE812">
        <f t="shared" si="178"/>
        <v>0.35149999999999998</v>
      </c>
      <c r="AF812">
        <f t="shared" si="179"/>
        <v>950787322.10999966</v>
      </c>
      <c r="AG812" t="str">
        <f t="shared" si="180"/>
        <v>Over Paid</v>
      </c>
      <c r="AH812">
        <f t="shared" si="181"/>
        <v>12860.04</v>
      </c>
    </row>
    <row r="813" spans="1:34" x14ac:dyDescent="0.35">
      <c r="A813" t="s">
        <v>2278</v>
      </c>
      <c r="B813" t="s">
        <v>2279</v>
      </c>
      <c r="C813">
        <v>33</v>
      </c>
      <c r="D813" t="s">
        <v>38</v>
      </c>
      <c r="E813" t="s">
        <v>32</v>
      </c>
      <c r="F813" t="s">
        <v>24</v>
      </c>
      <c r="G813">
        <v>102249</v>
      </c>
      <c r="H813">
        <v>727</v>
      </c>
      <c r="I813">
        <v>78182</v>
      </c>
      <c r="J813">
        <v>17.23</v>
      </c>
      <c r="K813">
        <v>24</v>
      </c>
      <c r="L813" t="s">
        <v>33</v>
      </c>
      <c r="M813">
        <v>51.11</v>
      </c>
      <c r="N813">
        <v>57000</v>
      </c>
      <c r="O813">
        <v>179843</v>
      </c>
      <c r="P813" t="s">
        <v>2280</v>
      </c>
      <c r="Q813" t="s">
        <v>61</v>
      </c>
      <c r="R813" t="s">
        <v>28</v>
      </c>
      <c r="S813" t="s">
        <v>29</v>
      </c>
      <c r="T813">
        <v>3818.86</v>
      </c>
      <c r="U813">
        <f t="shared" si="168"/>
        <v>1189</v>
      </c>
      <c r="V813">
        <f t="shared" si="169"/>
        <v>446</v>
      </c>
      <c r="W813">
        <f t="shared" si="170"/>
        <v>367</v>
      </c>
      <c r="X813">
        <f t="shared" si="171"/>
        <v>0.35149999999999998</v>
      </c>
      <c r="Y813" s="1">
        <f t="shared" si="172"/>
        <v>61056764</v>
      </c>
      <c r="Z813">
        <f t="shared" si="173"/>
        <v>51351.357443229608</v>
      </c>
      <c r="AA813">
        <f t="shared" si="174"/>
        <v>99996</v>
      </c>
      <c r="AB813">
        <f t="shared" si="175"/>
        <v>5091</v>
      </c>
      <c r="AC813">
        <f t="shared" si="176"/>
        <v>1580604.0999999994</v>
      </c>
      <c r="AD813">
        <f t="shared" si="177"/>
        <v>1329.3558452481072</v>
      </c>
      <c r="AE813">
        <f t="shared" si="178"/>
        <v>0.35149999999999998</v>
      </c>
      <c r="AF813">
        <f t="shared" si="179"/>
        <v>949205646.33999956</v>
      </c>
      <c r="AG813" t="str">
        <f t="shared" si="180"/>
        <v>Active</v>
      </c>
      <c r="AH813">
        <f t="shared" si="181"/>
        <v>45826.32</v>
      </c>
    </row>
    <row r="814" spans="1:34" x14ac:dyDescent="0.35">
      <c r="A814" t="s">
        <v>2281</v>
      </c>
      <c r="B814" t="s">
        <v>2282</v>
      </c>
      <c r="C814">
        <v>28</v>
      </c>
      <c r="D814" t="s">
        <v>38</v>
      </c>
      <c r="E814" t="s">
        <v>32</v>
      </c>
      <c r="F814" t="s">
        <v>46</v>
      </c>
      <c r="G814">
        <v>138143</v>
      </c>
      <c r="H814">
        <v>641</v>
      </c>
      <c r="I814">
        <v>24002</v>
      </c>
      <c r="J814">
        <v>18.47</v>
      </c>
      <c r="K814">
        <v>36</v>
      </c>
      <c r="L814" t="s">
        <v>25</v>
      </c>
      <c r="M814">
        <v>55.27</v>
      </c>
      <c r="N814">
        <v>49720</v>
      </c>
      <c r="O814">
        <v>177707</v>
      </c>
      <c r="P814" t="s">
        <v>2283</v>
      </c>
      <c r="Q814" t="s">
        <v>27</v>
      </c>
      <c r="R814" t="s">
        <v>48</v>
      </c>
      <c r="S814" t="s">
        <v>68</v>
      </c>
      <c r="T814">
        <v>789.87</v>
      </c>
      <c r="U814">
        <f t="shared" si="168"/>
        <v>1188</v>
      </c>
      <c r="V814">
        <f t="shared" si="169"/>
        <v>446</v>
      </c>
      <c r="W814">
        <f t="shared" si="170"/>
        <v>366</v>
      </c>
      <c r="X814">
        <f t="shared" si="171"/>
        <v>0.35149999999999998</v>
      </c>
      <c r="Y814" s="1">
        <f t="shared" si="172"/>
        <v>60978582</v>
      </c>
      <c r="Z814">
        <f t="shared" si="173"/>
        <v>51328.772727272728</v>
      </c>
      <c r="AA814">
        <f t="shared" si="174"/>
        <v>99996</v>
      </c>
      <c r="AB814">
        <f t="shared" si="175"/>
        <v>5091</v>
      </c>
      <c r="AC814">
        <f t="shared" si="176"/>
        <v>1576785.2399999993</v>
      </c>
      <c r="AD814">
        <f t="shared" si="177"/>
        <v>1327.2603030303023</v>
      </c>
      <c r="AE814">
        <f t="shared" si="178"/>
        <v>0.35149999999999998</v>
      </c>
      <c r="AF814">
        <f t="shared" si="179"/>
        <v>947625042.23999953</v>
      </c>
      <c r="AG814" t="str">
        <f t="shared" si="180"/>
        <v>Active</v>
      </c>
      <c r="AH814">
        <f t="shared" si="181"/>
        <v>9478.44</v>
      </c>
    </row>
    <row r="815" spans="1:34" x14ac:dyDescent="0.35">
      <c r="A815" t="s">
        <v>2284</v>
      </c>
      <c r="B815" t="s">
        <v>2285</v>
      </c>
      <c r="C815">
        <v>40</v>
      </c>
      <c r="D815" t="s">
        <v>38</v>
      </c>
      <c r="E815" t="s">
        <v>32</v>
      </c>
      <c r="F815" t="s">
        <v>46</v>
      </c>
      <c r="G815">
        <v>34030</v>
      </c>
      <c r="H815">
        <v>472</v>
      </c>
      <c r="I815">
        <v>20661</v>
      </c>
      <c r="J815">
        <v>16.75</v>
      </c>
      <c r="K815">
        <v>60</v>
      </c>
      <c r="L815" t="s">
        <v>86</v>
      </c>
      <c r="M815">
        <v>12.74</v>
      </c>
      <c r="N815">
        <v>15797</v>
      </c>
      <c r="O815">
        <v>184090</v>
      </c>
      <c r="P815" t="s">
        <v>2286</v>
      </c>
      <c r="Q815" t="s">
        <v>27</v>
      </c>
      <c r="R815" t="s">
        <v>48</v>
      </c>
      <c r="S815" t="s">
        <v>29</v>
      </c>
      <c r="T815">
        <v>402.03</v>
      </c>
      <c r="U815">
        <f t="shared" si="168"/>
        <v>1187</v>
      </c>
      <c r="V815">
        <f t="shared" si="169"/>
        <v>446</v>
      </c>
      <c r="W815">
        <f t="shared" si="170"/>
        <v>366</v>
      </c>
      <c r="X815">
        <f t="shared" si="171"/>
        <v>0.35149999999999998</v>
      </c>
      <c r="Y815" s="1">
        <f t="shared" si="172"/>
        <v>60954580</v>
      </c>
      <c r="Z815">
        <f t="shared" si="173"/>
        <v>51351.794439764111</v>
      </c>
      <c r="AA815">
        <f t="shared" si="174"/>
        <v>99996</v>
      </c>
      <c r="AB815">
        <f t="shared" si="175"/>
        <v>5091</v>
      </c>
      <c r="AC815">
        <f t="shared" si="176"/>
        <v>1575995.3699999994</v>
      </c>
      <c r="AD815">
        <f t="shared" si="177"/>
        <v>1327.7130328559388</v>
      </c>
      <c r="AE815">
        <f t="shared" si="178"/>
        <v>0.35149999999999998</v>
      </c>
      <c r="AF815">
        <f t="shared" si="179"/>
        <v>946048256.99999964</v>
      </c>
      <c r="AG815" t="str">
        <f t="shared" si="180"/>
        <v>Active</v>
      </c>
      <c r="AH815">
        <f t="shared" si="181"/>
        <v>4824.3599999999997</v>
      </c>
    </row>
    <row r="816" spans="1:34" x14ac:dyDescent="0.35">
      <c r="A816" t="s">
        <v>2287</v>
      </c>
      <c r="B816" t="s">
        <v>2288</v>
      </c>
      <c r="C816">
        <v>65</v>
      </c>
      <c r="D816" t="s">
        <v>38</v>
      </c>
      <c r="E816" t="s">
        <v>23</v>
      </c>
      <c r="F816" t="s">
        <v>24</v>
      </c>
      <c r="G816">
        <v>190770</v>
      </c>
      <c r="H816">
        <v>587</v>
      </c>
      <c r="I816">
        <v>78627</v>
      </c>
      <c r="J816">
        <v>4.7</v>
      </c>
      <c r="K816">
        <v>60</v>
      </c>
      <c r="L816" t="s">
        <v>86</v>
      </c>
      <c r="M816">
        <v>13.84</v>
      </c>
      <c r="N816">
        <v>44007</v>
      </c>
      <c r="O816">
        <v>75576</v>
      </c>
      <c r="P816" t="s">
        <v>2289</v>
      </c>
      <c r="Q816" t="s">
        <v>42</v>
      </c>
      <c r="R816" t="s">
        <v>28</v>
      </c>
      <c r="S816" t="s">
        <v>29</v>
      </c>
      <c r="T816">
        <v>1372.04</v>
      </c>
      <c r="U816">
        <f t="shared" si="168"/>
        <v>1186</v>
      </c>
      <c r="V816">
        <f t="shared" si="169"/>
        <v>446</v>
      </c>
      <c r="W816">
        <f t="shared" si="170"/>
        <v>366</v>
      </c>
      <c r="X816">
        <f t="shared" si="171"/>
        <v>0.35149999999999998</v>
      </c>
      <c r="Y816" s="1">
        <f t="shared" si="172"/>
        <v>60933919</v>
      </c>
      <c r="Z816">
        <f t="shared" si="173"/>
        <v>51377.672006745364</v>
      </c>
      <c r="AA816">
        <f t="shared" si="174"/>
        <v>99996</v>
      </c>
      <c r="AB816">
        <f t="shared" si="175"/>
        <v>5091</v>
      </c>
      <c r="AC816">
        <f t="shared" si="176"/>
        <v>1575593.3399999994</v>
      </c>
      <c r="AD816">
        <f t="shared" si="177"/>
        <v>1328.4935413153453</v>
      </c>
      <c r="AE816">
        <f t="shared" si="178"/>
        <v>0.35149999999999998</v>
      </c>
      <c r="AF816">
        <f t="shared" si="179"/>
        <v>944472261.62999964</v>
      </c>
      <c r="AG816" t="str">
        <f t="shared" si="180"/>
        <v>Active</v>
      </c>
      <c r="AH816">
        <f t="shared" si="181"/>
        <v>16464.48</v>
      </c>
    </row>
    <row r="817" spans="1:34" x14ac:dyDescent="0.35">
      <c r="A817" t="s">
        <v>2290</v>
      </c>
      <c r="B817" t="s">
        <v>2291</v>
      </c>
      <c r="C817">
        <v>55</v>
      </c>
      <c r="D817" t="s">
        <v>22</v>
      </c>
      <c r="E817" t="s">
        <v>39</v>
      </c>
      <c r="F817" t="s">
        <v>46</v>
      </c>
      <c r="G817">
        <v>92471</v>
      </c>
      <c r="H817">
        <v>402</v>
      </c>
      <c r="I817">
        <v>51670</v>
      </c>
      <c r="J817">
        <v>3.82</v>
      </c>
      <c r="K817">
        <v>36</v>
      </c>
      <c r="L817" t="s">
        <v>52</v>
      </c>
      <c r="M817">
        <v>40.97</v>
      </c>
      <c r="N817">
        <v>10062</v>
      </c>
      <c r="O817">
        <v>41022</v>
      </c>
      <c r="P817" t="s">
        <v>2292</v>
      </c>
      <c r="Q817" t="s">
        <v>61</v>
      </c>
      <c r="R817" t="s">
        <v>28</v>
      </c>
      <c r="S817" t="s">
        <v>35</v>
      </c>
      <c r="T817">
        <v>1490.11</v>
      </c>
      <c r="U817">
        <f t="shared" si="168"/>
        <v>1185</v>
      </c>
      <c r="V817">
        <f t="shared" si="169"/>
        <v>445</v>
      </c>
      <c r="W817">
        <f t="shared" si="170"/>
        <v>366</v>
      </c>
      <c r="X817">
        <f t="shared" si="171"/>
        <v>0.35149999999999998</v>
      </c>
      <c r="Y817" s="1">
        <f t="shared" si="172"/>
        <v>60855292</v>
      </c>
      <c r="Z817">
        <f t="shared" si="173"/>
        <v>51354.676793248946</v>
      </c>
      <c r="AA817">
        <f t="shared" si="174"/>
        <v>99996</v>
      </c>
      <c r="AB817">
        <f t="shared" si="175"/>
        <v>5091</v>
      </c>
      <c r="AC817">
        <f t="shared" si="176"/>
        <v>1574221.2999999993</v>
      </c>
      <c r="AD817">
        <f t="shared" si="177"/>
        <v>1328.4567932489447</v>
      </c>
      <c r="AE817">
        <f t="shared" si="178"/>
        <v>0.35149999999999998</v>
      </c>
      <c r="AF817">
        <f t="shared" si="179"/>
        <v>942896668.28999972</v>
      </c>
      <c r="AG817" t="str">
        <f t="shared" si="180"/>
        <v>Active</v>
      </c>
      <c r="AH817">
        <f t="shared" si="181"/>
        <v>17881.32</v>
      </c>
    </row>
    <row r="818" spans="1:34" x14ac:dyDescent="0.35">
      <c r="A818" t="s">
        <v>2293</v>
      </c>
      <c r="B818" t="s">
        <v>2294</v>
      </c>
      <c r="C818">
        <v>56</v>
      </c>
      <c r="D818" t="s">
        <v>22</v>
      </c>
      <c r="E818" t="s">
        <v>32</v>
      </c>
      <c r="F818" t="s">
        <v>24</v>
      </c>
      <c r="G818">
        <v>107579</v>
      </c>
      <c r="H818">
        <v>660</v>
      </c>
      <c r="I818">
        <v>33834</v>
      </c>
      <c r="J818">
        <v>10.97</v>
      </c>
      <c r="K818">
        <v>24</v>
      </c>
      <c r="L818" t="s">
        <v>33</v>
      </c>
      <c r="M818">
        <v>27.74</v>
      </c>
      <c r="N818">
        <v>4392</v>
      </c>
      <c r="O818">
        <v>64877</v>
      </c>
      <c r="P818" t="s">
        <v>814</v>
      </c>
      <c r="Q818" t="s">
        <v>42</v>
      </c>
      <c r="R818" t="s">
        <v>48</v>
      </c>
      <c r="S818" t="s">
        <v>35</v>
      </c>
      <c r="T818">
        <v>1564.4</v>
      </c>
      <c r="U818">
        <f t="shared" si="168"/>
        <v>1184</v>
      </c>
      <c r="V818">
        <f t="shared" si="169"/>
        <v>445</v>
      </c>
      <c r="W818">
        <f t="shared" si="170"/>
        <v>365</v>
      </c>
      <c r="X818">
        <f t="shared" si="171"/>
        <v>0.35149999999999998</v>
      </c>
      <c r="Y818" s="1">
        <f t="shared" si="172"/>
        <v>60803622</v>
      </c>
      <c r="Z818">
        <f t="shared" si="173"/>
        <v>51354.410472972973</v>
      </c>
      <c r="AA818">
        <f t="shared" si="174"/>
        <v>99996</v>
      </c>
      <c r="AB818">
        <f t="shared" si="175"/>
        <v>5091</v>
      </c>
      <c r="AC818">
        <f t="shared" si="176"/>
        <v>1572731.1899999995</v>
      </c>
      <c r="AD818">
        <f t="shared" si="177"/>
        <v>1328.3202618243238</v>
      </c>
      <c r="AE818">
        <f t="shared" si="178"/>
        <v>0.35149999999999998</v>
      </c>
      <c r="AF818">
        <f t="shared" si="179"/>
        <v>941322446.98999953</v>
      </c>
      <c r="AG818" t="str">
        <f t="shared" si="180"/>
        <v>Active</v>
      </c>
      <c r="AH818">
        <f t="shared" si="181"/>
        <v>18772.800000000003</v>
      </c>
    </row>
    <row r="819" spans="1:34" x14ac:dyDescent="0.35">
      <c r="A819" t="s">
        <v>2295</v>
      </c>
      <c r="B819" t="s">
        <v>2296</v>
      </c>
      <c r="C819">
        <v>46</v>
      </c>
      <c r="D819" t="s">
        <v>22</v>
      </c>
      <c r="E819" t="s">
        <v>32</v>
      </c>
      <c r="F819" t="s">
        <v>24</v>
      </c>
      <c r="G819">
        <v>48459</v>
      </c>
      <c r="H819">
        <v>373</v>
      </c>
      <c r="I819">
        <v>99289</v>
      </c>
      <c r="J819">
        <v>20.39</v>
      </c>
      <c r="K819">
        <v>360</v>
      </c>
      <c r="L819" t="s">
        <v>25</v>
      </c>
      <c r="M819">
        <v>28.68</v>
      </c>
      <c r="N819">
        <v>6328</v>
      </c>
      <c r="O819">
        <v>142716</v>
      </c>
      <c r="P819" t="s">
        <v>705</v>
      </c>
      <c r="Q819" t="s">
        <v>27</v>
      </c>
      <c r="R819" t="s">
        <v>28</v>
      </c>
      <c r="S819" t="s">
        <v>29</v>
      </c>
      <c r="T819">
        <v>332.04</v>
      </c>
      <c r="U819">
        <f t="shared" si="168"/>
        <v>1183</v>
      </c>
      <c r="V819">
        <f t="shared" si="169"/>
        <v>444</v>
      </c>
      <c r="W819">
        <f t="shared" si="170"/>
        <v>365</v>
      </c>
      <c r="X819">
        <f t="shared" si="171"/>
        <v>0.35149999999999998</v>
      </c>
      <c r="Y819" s="1">
        <f t="shared" si="172"/>
        <v>60769788</v>
      </c>
      <c r="Z819">
        <f t="shared" si="173"/>
        <v>51369.220625528316</v>
      </c>
      <c r="AA819">
        <f t="shared" si="174"/>
        <v>99996</v>
      </c>
      <c r="AB819">
        <f t="shared" si="175"/>
        <v>5091</v>
      </c>
      <c r="AC819">
        <f t="shared" si="176"/>
        <v>1571166.7899999993</v>
      </c>
      <c r="AD819">
        <f t="shared" si="177"/>
        <v>1328.1207016060857</v>
      </c>
      <c r="AE819">
        <f t="shared" si="178"/>
        <v>0.35149999999999998</v>
      </c>
      <c r="AF819">
        <f t="shared" si="179"/>
        <v>939749715.79999959</v>
      </c>
      <c r="AG819" t="str">
        <f t="shared" si="180"/>
        <v>Active</v>
      </c>
      <c r="AH819">
        <f t="shared" si="181"/>
        <v>3984.4800000000005</v>
      </c>
    </row>
    <row r="820" spans="1:34" x14ac:dyDescent="0.35">
      <c r="A820" t="s">
        <v>2297</v>
      </c>
      <c r="B820" t="s">
        <v>2298</v>
      </c>
      <c r="C820">
        <v>55</v>
      </c>
      <c r="D820" t="s">
        <v>22</v>
      </c>
      <c r="E820" t="s">
        <v>23</v>
      </c>
      <c r="F820" t="s">
        <v>59</v>
      </c>
      <c r="G820">
        <v>68656</v>
      </c>
      <c r="H820">
        <v>482</v>
      </c>
      <c r="I820">
        <v>95100</v>
      </c>
      <c r="J820">
        <v>14.76</v>
      </c>
      <c r="K820">
        <v>240</v>
      </c>
      <c r="L820" t="s">
        <v>52</v>
      </c>
      <c r="M820">
        <v>13.85</v>
      </c>
      <c r="N820">
        <v>37749</v>
      </c>
      <c r="O820">
        <v>87277</v>
      </c>
      <c r="P820" t="s">
        <v>1226</v>
      </c>
      <c r="Q820" t="s">
        <v>42</v>
      </c>
      <c r="R820" t="s">
        <v>48</v>
      </c>
      <c r="S820" t="s">
        <v>68</v>
      </c>
      <c r="T820">
        <v>454.74</v>
      </c>
      <c r="U820">
        <f t="shared" si="168"/>
        <v>1182</v>
      </c>
      <c r="V820">
        <f t="shared" si="169"/>
        <v>444</v>
      </c>
      <c r="W820">
        <f t="shared" si="170"/>
        <v>365</v>
      </c>
      <c r="X820">
        <f t="shared" si="171"/>
        <v>0.35149999999999998</v>
      </c>
      <c r="Y820" s="1">
        <f t="shared" si="172"/>
        <v>60670499</v>
      </c>
      <c r="Z820">
        <f t="shared" si="173"/>
        <v>51328.679357021996</v>
      </c>
      <c r="AA820">
        <f t="shared" si="174"/>
        <v>99996</v>
      </c>
      <c r="AB820">
        <f t="shared" si="175"/>
        <v>5091</v>
      </c>
      <c r="AC820">
        <f t="shared" si="176"/>
        <v>1570834.7499999995</v>
      </c>
      <c r="AD820">
        <f t="shared" si="177"/>
        <v>1328.9634094754649</v>
      </c>
      <c r="AE820">
        <f t="shared" si="178"/>
        <v>0.35149999999999998</v>
      </c>
      <c r="AF820">
        <f t="shared" si="179"/>
        <v>938178549.00999963</v>
      </c>
      <c r="AG820" t="str">
        <f t="shared" si="180"/>
        <v>Active</v>
      </c>
      <c r="AH820">
        <f t="shared" si="181"/>
        <v>5456.88</v>
      </c>
    </row>
    <row r="821" spans="1:34" x14ac:dyDescent="0.35">
      <c r="A821" t="s">
        <v>2299</v>
      </c>
      <c r="B821" t="s">
        <v>2300</v>
      </c>
      <c r="C821">
        <v>47</v>
      </c>
      <c r="D821" t="s">
        <v>22</v>
      </c>
      <c r="E821" t="s">
        <v>23</v>
      </c>
      <c r="F821" t="s">
        <v>46</v>
      </c>
      <c r="G821">
        <v>57206</v>
      </c>
      <c r="H821">
        <v>411</v>
      </c>
      <c r="I821">
        <v>81068</v>
      </c>
      <c r="J821">
        <v>20.52</v>
      </c>
      <c r="K821">
        <v>360</v>
      </c>
      <c r="L821" t="s">
        <v>40</v>
      </c>
      <c r="M821">
        <v>43.79</v>
      </c>
      <c r="N821">
        <v>64654</v>
      </c>
      <c r="O821">
        <v>149702</v>
      </c>
      <c r="P821" t="s">
        <v>1825</v>
      </c>
      <c r="Q821" t="s">
        <v>27</v>
      </c>
      <c r="R821" t="s">
        <v>48</v>
      </c>
      <c r="S821" t="s">
        <v>68</v>
      </c>
      <c r="T821">
        <v>271.39999999999998</v>
      </c>
      <c r="U821">
        <f t="shared" si="168"/>
        <v>1181</v>
      </c>
      <c r="V821">
        <f t="shared" si="169"/>
        <v>443</v>
      </c>
      <c r="W821">
        <f t="shared" si="170"/>
        <v>365</v>
      </c>
      <c r="X821">
        <f t="shared" si="171"/>
        <v>0.35149999999999998</v>
      </c>
      <c r="Y821" s="1">
        <f t="shared" si="172"/>
        <v>60575399</v>
      </c>
      <c r="Z821">
        <f t="shared" si="173"/>
        <v>51291.616426756984</v>
      </c>
      <c r="AA821">
        <f t="shared" si="174"/>
        <v>99996</v>
      </c>
      <c r="AB821">
        <f t="shared" si="175"/>
        <v>5091</v>
      </c>
      <c r="AC821">
        <f t="shared" si="176"/>
        <v>1570380.0099999995</v>
      </c>
      <c r="AD821">
        <f t="shared" si="177"/>
        <v>1329.7036494496185</v>
      </c>
      <c r="AE821">
        <f t="shared" si="178"/>
        <v>0.35149999999999998</v>
      </c>
      <c r="AF821">
        <f t="shared" si="179"/>
        <v>936607714.25999963</v>
      </c>
      <c r="AG821" t="str">
        <f t="shared" si="180"/>
        <v>Active</v>
      </c>
      <c r="AH821">
        <f t="shared" si="181"/>
        <v>3256.7999999999997</v>
      </c>
    </row>
    <row r="822" spans="1:34" x14ac:dyDescent="0.35">
      <c r="A822" t="s">
        <v>2301</v>
      </c>
      <c r="B822" t="s">
        <v>2302</v>
      </c>
      <c r="C822">
        <v>52</v>
      </c>
      <c r="D822" t="s">
        <v>22</v>
      </c>
      <c r="E822" t="s">
        <v>32</v>
      </c>
      <c r="F822" t="s">
        <v>59</v>
      </c>
      <c r="G822">
        <v>53777</v>
      </c>
      <c r="H822">
        <v>797</v>
      </c>
      <c r="I822">
        <v>78927</v>
      </c>
      <c r="J822">
        <v>14.79</v>
      </c>
      <c r="K822">
        <v>48</v>
      </c>
      <c r="L822" t="s">
        <v>40</v>
      </c>
      <c r="M822">
        <v>12.55</v>
      </c>
      <c r="N822">
        <v>58606</v>
      </c>
      <c r="O822">
        <v>198526</v>
      </c>
      <c r="P822" t="s">
        <v>2303</v>
      </c>
      <c r="Q822" t="s">
        <v>61</v>
      </c>
      <c r="R822" t="s">
        <v>48</v>
      </c>
      <c r="S822" t="s">
        <v>49</v>
      </c>
      <c r="T822">
        <v>1887.51</v>
      </c>
      <c r="U822">
        <f t="shared" si="168"/>
        <v>1180</v>
      </c>
      <c r="V822">
        <f t="shared" si="169"/>
        <v>443</v>
      </c>
      <c r="W822">
        <f t="shared" si="170"/>
        <v>365</v>
      </c>
      <c r="X822">
        <f t="shared" si="171"/>
        <v>0.35149999999999998</v>
      </c>
      <c r="Y822" s="1">
        <f t="shared" si="172"/>
        <v>60494331</v>
      </c>
      <c r="Z822">
        <f t="shared" si="173"/>
        <v>51266.382203389832</v>
      </c>
      <c r="AA822">
        <f t="shared" si="174"/>
        <v>99996</v>
      </c>
      <c r="AB822">
        <f t="shared" si="175"/>
        <v>5091</v>
      </c>
      <c r="AC822">
        <f t="shared" si="176"/>
        <v>1570108.6099999994</v>
      </c>
      <c r="AD822">
        <f t="shared" si="177"/>
        <v>1330.6005169491521</v>
      </c>
      <c r="AE822">
        <f t="shared" si="178"/>
        <v>0.35149999999999998</v>
      </c>
      <c r="AF822">
        <f t="shared" si="179"/>
        <v>935037334.24999964</v>
      </c>
      <c r="AG822" t="str">
        <f t="shared" si="180"/>
        <v>Active</v>
      </c>
      <c r="AH822">
        <f t="shared" si="181"/>
        <v>22650.12</v>
      </c>
    </row>
    <row r="823" spans="1:34" x14ac:dyDescent="0.35">
      <c r="A823" t="s">
        <v>2304</v>
      </c>
      <c r="B823" t="s">
        <v>2305</v>
      </c>
      <c r="C823">
        <v>42</v>
      </c>
      <c r="D823" t="s">
        <v>22</v>
      </c>
      <c r="E823" t="s">
        <v>32</v>
      </c>
      <c r="F823" t="s">
        <v>24</v>
      </c>
      <c r="G823">
        <v>109962</v>
      </c>
      <c r="H823">
        <v>444</v>
      </c>
      <c r="I823">
        <v>68532</v>
      </c>
      <c r="J823">
        <v>7.12</v>
      </c>
      <c r="K823">
        <v>48</v>
      </c>
      <c r="L823" t="s">
        <v>33</v>
      </c>
      <c r="M823">
        <v>11.86</v>
      </c>
      <c r="N823">
        <v>61642</v>
      </c>
      <c r="O823">
        <v>226320</v>
      </c>
      <c r="P823" t="s">
        <v>2306</v>
      </c>
      <c r="Q823" t="s">
        <v>42</v>
      </c>
      <c r="R823" t="s">
        <v>28</v>
      </c>
      <c r="S823" t="s">
        <v>29</v>
      </c>
      <c r="T823">
        <v>1529.41</v>
      </c>
      <c r="U823">
        <f t="shared" si="168"/>
        <v>1179</v>
      </c>
      <c r="V823">
        <f t="shared" si="169"/>
        <v>443</v>
      </c>
      <c r="W823">
        <f t="shared" si="170"/>
        <v>364</v>
      </c>
      <c r="X823">
        <f t="shared" si="171"/>
        <v>0.35149999999999998</v>
      </c>
      <c r="Y823" s="1">
        <f t="shared" si="172"/>
        <v>60415404</v>
      </c>
      <c r="Z823">
        <f t="shared" si="173"/>
        <v>51242.921119592873</v>
      </c>
      <c r="AA823">
        <f t="shared" si="174"/>
        <v>99996</v>
      </c>
      <c r="AB823">
        <f t="shared" si="175"/>
        <v>5091</v>
      </c>
      <c r="AC823">
        <f t="shared" si="176"/>
        <v>1568221.0999999994</v>
      </c>
      <c r="AD823">
        <f t="shared" si="177"/>
        <v>1330.1281594571665</v>
      </c>
      <c r="AE823">
        <f t="shared" si="178"/>
        <v>0.35149999999999998</v>
      </c>
      <c r="AF823">
        <f t="shared" si="179"/>
        <v>933467225.63999963</v>
      </c>
      <c r="AG823" t="str">
        <f t="shared" si="180"/>
        <v>Active</v>
      </c>
      <c r="AH823">
        <f t="shared" si="181"/>
        <v>18352.920000000002</v>
      </c>
    </row>
    <row r="824" spans="1:34" x14ac:dyDescent="0.35">
      <c r="A824" t="s">
        <v>2307</v>
      </c>
      <c r="B824" t="s">
        <v>2308</v>
      </c>
      <c r="C824">
        <v>58</v>
      </c>
      <c r="D824" t="s">
        <v>38</v>
      </c>
      <c r="E824" t="s">
        <v>23</v>
      </c>
      <c r="F824" t="s">
        <v>59</v>
      </c>
      <c r="G824">
        <v>148817</v>
      </c>
      <c r="H824">
        <v>440</v>
      </c>
      <c r="I824">
        <v>67516</v>
      </c>
      <c r="J824">
        <v>20.12</v>
      </c>
      <c r="K824">
        <v>48</v>
      </c>
      <c r="L824" t="s">
        <v>86</v>
      </c>
      <c r="M824">
        <v>5.4</v>
      </c>
      <c r="N824">
        <v>20098</v>
      </c>
      <c r="O824">
        <v>169427</v>
      </c>
      <c r="P824" t="s">
        <v>331</v>
      </c>
      <c r="Q824" t="s">
        <v>61</v>
      </c>
      <c r="R824" t="s">
        <v>28</v>
      </c>
      <c r="S824" t="s">
        <v>43</v>
      </c>
      <c r="T824">
        <v>1689.59</v>
      </c>
      <c r="U824">
        <f t="shared" si="168"/>
        <v>1178</v>
      </c>
      <c r="V824">
        <f t="shared" si="169"/>
        <v>442</v>
      </c>
      <c r="W824">
        <f t="shared" si="170"/>
        <v>364</v>
      </c>
      <c r="X824">
        <f t="shared" si="171"/>
        <v>0.35149999999999998</v>
      </c>
      <c r="Y824" s="1">
        <f t="shared" si="172"/>
        <v>60346872</v>
      </c>
      <c r="Z824">
        <f t="shared" si="173"/>
        <v>51228.244482173177</v>
      </c>
      <c r="AA824">
        <f t="shared" si="174"/>
        <v>99996</v>
      </c>
      <c r="AB824">
        <f t="shared" si="175"/>
        <v>5091</v>
      </c>
      <c r="AC824">
        <f t="shared" si="176"/>
        <v>1566691.6899999995</v>
      </c>
      <c r="AD824">
        <f t="shared" si="177"/>
        <v>1329.9589898132424</v>
      </c>
      <c r="AE824">
        <f t="shared" si="178"/>
        <v>0.35149999999999998</v>
      </c>
      <c r="AF824">
        <f t="shared" si="179"/>
        <v>931899004.5399996</v>
      </c>
      <c r="AG824" t="str">
        <f t="shared" si="180"/>
        <v>Active</v>
      </c>
      <c r="AH824">
        <f t="shared" si="181"/>
        <v>20275.079999999998</v>
      </c>
    </row>
    <row r="825" spans="1:34" x14ac:dyDescent="0.35">
      <c r="A825" t="s">
        <v>2309</v>
      </c>
      <c r="B825" t="s">
        <v>2310</v>
      </c>
      <c r="C825">
        <v>51</v>
      </c>
      <c r="D825" t="s">
        <v>22</v>
      </c>
      <c r="E825" t="s">
        <v>39</v>
      </c>
      <c r="F825" t="s">
        <v>46</v>
      </c>
      <c r="G825">
        <v>149291</v>
      </c>
      <c r="H825">
        <v>474</v>
      </c>
      <c r="I825">
        <v>90251</v>
      </c>
      <c r="J825">
        <v>21.43</v>
      </c>
      <c r="K825">
        <v>24</v>
      </c>
      <c r="L825" t="s">
        <v>40</v>
      </c>
      <c r="M825">
        <v>44.73</v>
      </c>
      <c r="N825">
        <v>32380</v>
      </c>
      <c r="O825">
        <v>13303</v>
      </c>
      <c r="P825" t="s">
        <v>2311</v>
      </c>
      <c r="Q825" t="s">
        <v>42</v>
      </c>
      <c r="R825" t="s">
        <v>28</v>
      </c>
      <c r="S825" t="s">
        <v>43</v>
      </c>
      <c r="T825">
        <v>4566.32</v>
      </c>
      <c r="U825">
        <f t="shared" si="168"/>
        <v>1177</v>
      </c>
      <c r="V825">
        <f t="shared" si="169"/>
        <v>442</v>
      </c>
      <c r="W825">
        <f t="shared" si="170"/>
        <v>363</v>
      </c>
      <c r="X825">
        <f t="shared" si="171"/>
        <v>0.35149999999999998</v>
      </c>
      <c r="Y825" s="1">
        <f t="shared" si="172"/>
        <v>60279356</v>
      </c>
      <c r="Z825">
        <f t="shared" si="173"/>
        <v>51214.406117247236</v>
      </c>
      <c r="AA825">
        <f t="shared" si="174"/>
        <v>99996</v>
      </c>
      <c r="AB825">
        <f t="shared" si="175"/>
        <v>5091</v>
      </c>
      <c r="AC825">
        <f t="shared" si="176"/>
        <v>1565002.0999999994</v>
      </c>
      <c r="AD825">
        <f t="shared" si="177"/>
        <v>1329.6534409515714</v>
      </c>
      <c r="AE825">
        <f t="shared" si="178"/>
        <v>0.35149999999999998</v>
      </c>
      <c r="AF825">
        <f t="shared" si="179"/>
        <v>930332312.84999955</v>
      </c>
      <c r="AG825" t="str">
        <f t="shared" si="180"/>
        <v>Active</v>
      </c>
      <c r="AH825">
        <f t="shared" si="181"/>
        <v>54795.839999999997</v>
      </c>
    </row>
    <row r="826" spans="1:34" x14ac:dyDescent="0.35">
      <c r="A826" t="s">
        <v>2312</v>
      </c>
      <c r="B826" t="s">
        <v>2313</v>
      </c>
      <c r="C826">
        <v>56</v>
      </c>
      <c r="D826" t="s">
        <v>38</v>
      </c>
      <c r="E826" t="s">
        <v>23</v>
      </c>
      <c r="F826" t="s">
        <v>24</v>
      </c>
      <c r="G826">
        <v>181946</v>
      </c>
      <c r="H826">
        <v>616</v>
      </c>
      <c r="I826">
        <v>63006</v>
      </c>
      <c r="J826">
        <v>9.73</v>
      </c>
      <c r="K826">
        <v>60</v>
      </c>
      <c r="L826" t="s">
        <v>52</v>
      </c>
      <c r="M826">
        <v>59.53</v>
      </c>
      <c r="N826">
        <v>61066</v>
      </c>
      <c r="O826">
        <v>90430</v>
      </c>
      <c r="P826" t="s">
        <v>2314</v>
      </c>
      <c r="Q826" t="s">
        <v>27</v>
      </c>
      <c r="R826" t="s">
        <v>28</v>
      </c>
      <c r="S826" t="s">
        <v>68</v>
      </c>
      <c r="T826">
        <v>1152.27</v>
      </c>
      <c r="U826">
        <f t="shared" si="168"/>
        <v>1176</v>
      </c>
      <c r="V826">
        <f t="shared" si="169"/>
        <v>441</v>
      </c>
      <c r="W826">
        <f t="shared" si="170"/>
        <v>363</v>
      </c>
      <c r="X826">
        <f t="shared" si="171"/>
        <v>0.35149999999999998</v>
      </c>
      <c r="Y826" s="1">
        <f t="shared" si="172"/>
        <v>60189105</v>
      </c>
      <c r="Z826">
        <f t="shared" si="173"/>
        <v>51181.211734693876</v>
      </c>
      <c r="AA826">
        <f t="shared" si="174"/>
        <v>99996</v>
      </c>
      <c r="AB826">
        <f t="shared" si="175"/>
        <v>5091</v>
      </c>
      <c r="AC826">
        <f t="shared" si="176"/>
        <v>1560435.7799999991</v>
      </c>
      <c r="AD826">
        <f t="shared" si="177"/>
        <v>1326.901173469387</v>
      </c>
      <c r="AE826">
        <f t="shared" si="178"/>
        <v>0.35149999999999998</v>
      </c>
      <c r="AF826">
        <f t="shared" si="179"/>
        <v>928767310.74999964</v>
      </c>
      <c r="AG826" t="str">
        <f t="shared" si="180"/>
        <v>Active</v>
      </c>
      <c r="AH826">
        <f t="shared" si="181"/>
        <v>13827.24</v>
      </c>
    </row>
    <row r="827" spans="1:34" x14ac:dyDescent="0.35">
      <c r="A827" t="s">
        <v>2315</v>
      </c>
      <c r="B827" t="s">
        <v>2316</v>
      </c>
      <c r="C827">
        <v>50</v>
      </c>
      <c r="D827" t="s">
        <v>22</v>
      </c>
      <c r="E827" t="s">
        <v>39</v>
      </c>
      <c r="F827" t="s">
        <v>24</v>
      </c>
      <c r="G827">
        <v>112605</v>
      </c>
      <c r="H827">
        <v>576</v>
      </c>
      <c r="I827">
        <v>6323</v>
      </c>
      <c r="J827">
        <v>17.97</v>
      </c>
      <c r="K827">
        <v>180</v>
      </c>
      <c r="L827" t="s">
        <v>40</v>
      </c>
      <c r="M827">
        <v>31.12</v>
      </c>
      <c r="N827">
        <v>70935</v>
      </c>
      <c r="O827">
        <v>182658</v>
      </c>
      <c r="P827" t="s">
        <v>2317</v>
      </c>
      <c r="Q827" t="s">
        <v>61</v>
      </c>
      <c r="R827" t="s">
        <v>28</v>
      </c>
      <c r="S827" t="s">
        <v>35</v>
      </c>
      <c r="T827">
        <v>41.44</v>
      </c>
      <c r="U827">
        <f t="shared" si="168"/>
        <v>1175</v>
      </c>
      <c r="V827">
        <f t="shared" si="169"/>
        <v>441</v>
      </c>
      <c r="W827">
        <f t="shared" si="170"/>
        <v>363</v>
      </c>
      <c r="X827">
        <f t="shared" si="171"/>
        <v>0.35149999999999998</v>
      </c>
      <c r="Y827" s="1">
        <f t="shared" si="172"/>
        <v>60126099</v>
      </c>
      <c r="Z827">
        <f t="shared" si="173"/>
        <v>51171.148085106382</v>
      </c>
      <c r="AA827">
        <f t="shared" si="174"/>
        <v>99996</v>
      </c>
      <c r="AB827">
        <f t="shared" si="175"/>
        <v>5091</v>
      </c>
      <c r="AC827">
        <f t="shared" si="176"/>
        <v>1559283.5099999991</v>
      </c>
      <c r="AD827">
        <f t="shared" si="177"/>
        <v>1327.0497957446801</v>
      </c>
      <c r="AE827">
        <f t="shared" si="178"/>
        <v>0.35149999999999998</v>
      </c>
      <c r="AF827">
        <f t="shared" si="179"/>
        <v>927206874.96999967</v>
      </c>
      <c r="AG827" t="str">
        <f t="shared" si="180"/>
        <v>Active</v>
      </c>
      <c r="AH827">
        <f t="shared" si="181"/>
        <v>497.28</v>
      </c>
    </row>
    <row r="828" spans="1:34" x14ac:dyDescent="0.35">
      <c r="A828" t="s">
        <v>2318</v>
      </c>
      <c r="B828" t="s">
        <v>2319</v>
      </c>
      <c r="C828">
        <v>58</v>
      </c>
      <c r="D828" t="s">
        <v>22</v>
      </c>
      <c r="E828" t="s">
        <v>23</v>
      </c>
      <c r="F828" t="s">
        <v>24</v>
      </c>
      <c r="G828">
        <v>43688</v>
      </c>
      <c r="H828">
        <v>537</v>
      </c>
      <c r="I828">
        <v>38972</v>
      </c>
      <c r="J828">
        <v>9.06</v>
      </c>
      <c r="K828">
        <v>180</v>
      </c>
      <c r="L828" t="s">
        <v>33</v>
      </c>
      <c r="M828">
        <v>28.79</v>
      </c>
      <c r="N828">
        <v>11878</v>
      </c>
      <c r="O828">
        <v>109304</v>
      </c>
      <c r="P828" t="s">
        <v>2320</v>
      </c>
      <c r="Q828" t="s">
        <v>42</v>
      </c>
      <c r="R828" t="s">
        <v>48</v>
      </c>
      <c r="S828" t="s">
        <v>68</v>
      </c>
      <c r="T828">
        <v>236.13</v>
      </c>
      <c r="U828">
        <f t="shared" si="168"/>
        <v>1174</v>
      </c>
      <c r="V828">
        <f t="shared" si="169"/>
        <v>441</v>
      </c>
      <c r="W828">
        <f t="shared" si="170"/>
        <v>362</v>
      </c>
      <c r="X828">
        <f t="shared" si="171"/>
        <v>0.35149999999999998</v>
      </c>
      <c r="Y828" s="1">
        <f t="shared" si="172"/>
        <v>60119776</v>
      </c>
      <c r="Z828">
        <f t="shared" si="173"/>
        <v>51209.349233390116</v>
      </c>
      <c r="AA828">
        <f t="shared" si="174"/>
        <v>99996</v>
      </c>
      <c r="AB828">
        <f t="shared" si="175"/>
        <v>5091</v>
      </c>
      <c r="AC828">
        <f t="shared" si="176"/>
        <v>1559242.0699999991</v>
      </c>
      <c r="AD828">
        <f t="shared" si="177"/>
        <v>1328.1448637137983</v>
      </c>
      <c r="AE828">
        <f t="shared" si="178"/>
        <v>0.35149999999999998</v>
      </c>
      <c r="AF828">
        <f t="shared" si="179"/>
        <v>925647591.45999956</v>
      </c>
      <c r="AG828" t="str">
        <f t="shared" si="180"/>
        <v>Active</v>
      </c>
      <c r="AH828">
        <f t="shared" si="181"/>
        <v>2833.56</v>
      </c>
    </row>
    <row r="829" spans="1:34" x14ac:dyDescent="0.35">
      <c r="A829" t="s">
        <v>2321</v>
      </c>
      <c r="B829" t="s">
        <v>2322</v>
      </c>
      <c r="C829">
        <v>65</v>
      </c>
      <c r="D829" t="s">
        <v>38</v>
      </c>
      <c r="E829" t="s">
        <v>32</v>
      </c>
      <c r="F829" t="s">
        <v>46</v>
      </c>
      <c r="G829">
        <v>102685</v>
      </c>
      <c r="H829">
        <v>675</v>
      </c>
      <c r="I829">
        <v>17996</v>
      </c>
      <c r="J829">
        <v>3.78</v>
      </c>
      <c r="K829">
        <v>360</v>
      </c>
      <c r="L829" t="s">
        <v>52</v>
      </c>
      <c r="M829">
        <v>57.84</v>
      </c>
      <c r="N829">
        <v>43456</v>
      </c>
      <c r="O829">
        <v>64152</v>
      </c>
      <c r="P829" t="s">
        <v>2323</v>
      </c>
      <c r="Q829" t="s">
        <v>42</v>
      </c>
      <c r="R829" t="s">
        <v>48</v>
      </c>
      <c r="S829" t="s">
        <v>35</v>
      </c>
      <c r="T829">
        <v>51.88</v>
      </c>
      <c r="U829">
        <f t="shared" si="168"/>
        <v>1173</v>
      </c>
      <c r="V829">
        <f t="shared" si="169"/>
        <v>440</v>
      </c>
      <c r="W829">
        <f t="shared" si="170"/>
        <v>362</v>
      </c>
      <c r="X829">
        <f t="shared" si="171"/>
        <v>0.35149999999999998</v>
      </c>
      <c r="Y829" s="1">
        <f t="shared" si="172"/>
        <v>60080804</v>
      </c>
      <c r="Z829">
        <f t="shared" si="173"/>
        <v>51219.781756180731</v>
      </c>
      <c r="AA829">
        <f t="shared" si="174"/>
        <v>99996</v>
      </c>
      <c r="AB829">
        <f t="shared" si="175"/>
        <v>5091</v>
      </c>
      <c r="AC829">
        <f t="shared" si="176"/>
        <v>1559005.9399999992</v>
      </c>
      <c r="AD829">
        <f t="shared" si="177"/>
        <v>1329.0758226768962</v>
      </c>
      <c r="AE829">
        <f t="shared" si="178"/>
        <v>0.35149999999999998</v>
      </c>
      <c r="AF829">
        <f t="shared" si="179"/>
        <v>924088349.38999963</v>
      </c>
      <c r="AG829" t="str">
        <f t="shared" si="180"/>
        <v>Active</v>
      </c>
      <c r="AH829">
        <f t="shared" si="181"/>
        <v>622.56000000000006</v>
      </c>
    </row>
    <row r="830" spans="1:34" x14ac:dyDescent="0.35">
      <c r="A830" t="s">
        <v>2324</v>
      </c>
      <c r="B830" t="s">
        <v>2325</v>
      </c>
      <c r="C830">
        <v>50</v>
      </c>
      <c r="D830" t="s">
        <v>38</v>
      </c>
      <c r="E830" t="s">
        <v>39</v>
      </c>
      <c r="F830" t="s">
        <v>59</v>
      </c>
      <c r="G830">
        <v>109054</v>
      </c>
      <c r="H830">
        <v>591</v>
      </c>
      <c r="I830">
        <v>37116</v>
      </c>
      <c r="J830">
        <v>16.28</v>
      </c>
      <c r="K830">
        <v>36</v>
      </c>
      <c r="L830" t="s">
        <v>25</v>
      </c>
      <c r="M830">
        <v>35.58</v>
      </c>
      <c r="N830">
        <v>73563</v>
      </c>
      <c r="O830">
        <v>89908</v>
      </c>
      <c r="P830" t="s">
        <v>1909</v>
      </c>
      <c r="Q830" t="s">
        <v>27</v>
      </c>
      <c r="R830" t="s">
        <v>28</v>
      </c>
      <c r="S830" t="s">
        <v>68</v>
      </c>
      <c r="T830">
        <v>1198.8499999999999</v>
      </c>
      <c r="U830">
        <f t="shared" si="168"/>
        <v>1172</v>
      </c>
      <c r="V830">
        <f t="shared" si="169"/>
        <v>439</v>
      </c>
      <c r="W830">
        <f t="shared" si="170"/>
        <v>362</v>
      </c>
      <c r="X830">
        <f t="shared" si="171"/>
        <v>0.35149999999999998</v>
      </c>
      <c r="Y830" s="1">
        <f t="shared" si="172"/>
        <v>60062808</v>
      </c>
      <c r="Z830">
        <f t="shared" si="173"/>
        <v>51248.129692832765</v>
      </c>
      <c r="AA830">
        <f t="shared" si="174"/>
        <v>99996</v>
      </c>
      <c r="AB830">
        <f t="shared" si="175"/>
        <v>5091</v>
      </c>
      <c r="AC830">
        <f t="shared" si="176"/>
        <v>1558954.0599999991</v>
      </c>
      <c r="AD830">
        <f t="shared" si="177"/>
        <v>1330.1655802047774</v>
      </c>
      <c r="AE830">
        <f t="shared" si="178"/>
        <v>0.35149999999999998</v>
      </c>
      <c r="AF830">
        <f t="shared" si="179"/>
        <v>922529343.44999957</v>
      </c>
      <c r="AG830" t="str">
        <f t="shared" si="180"/>
        <v>Active</v>
      </c>
      <c r="AH830">
        <f t="shared" si="181"/>
        <v>14386.199999999999</v>
      </c>
    </row>
    <row r="831" spans="1:34" x14ac:dyDescent="0.35">
      <c r="A831" t="s">
        <v>2326</v>
      </c>
      <c r="B831" t="s">
        <v>2327</v>
      </c>
      <c r="C831">
        <v>29</v>
      </c>
      <c r="D831" t="s">
        <v>38</v>
      </c>
      <c r="E831" t="s">
        <v>39</v>
      </c>
      <c r="F831" t="s">
        <v>24</v>
      </c>
      <c r="G831">
        <v>87312</v>
      </c>
      <c r="H831">
        <v>303</v>
      </c>
      <c r="I831">
        <v>72883</v>
      </c>
      <c r="J831">
        <v>23.09</v>
      </c>
      <c r="K831">
        <v>240</v>
      </c>
      <c r="L831" t="s">
        <v>86</v>
      </c>
      <c r="M831">
        <v>13.77</v>
      </c>
      <c r="N831">
        <v>43235</v>
      </c>
      <c r="O831">
        <v>221667</v>
      </c>
      <c r="P831" t="s">
        <v>2328</v>
      </c>
      <c r="Q831" t="s">
        <v>27</v>
      </c>
      <c r="R831" t="s">
        <v>48</v>
      </c>
      <c r="S831" t="s">
        <v>49</v>
      </c>
      <c r="T831">
        <v>373.8</v>
      </c>
      <c r="U831">
        <f t="shared" si="168"/>
        <v>1171</v>
      </c>
      <c r="V831">
        <f t="shared" si="169"/>
        <v>439</v>
      </c>
      <c r="W831">
        <f t="shared" si="170"/>
        <v>362</v>
      </c>
      <c r="X831">
        <f t="shared" si="171"/>
        <v>0.35149999999999998</v>
      </c>
      <c r="Y831" s="1">
        <f t="shared" si="172"/>
        <v>60025692</v>
      </c>
      <c r="Z831">
        <f t="shared" si="173"/>
        <v>51260.198121263878</v>
      </c>
      <c r="AA831">
        <f t="shared" si="174"/>
        <v>99996</v>
      </c>
      <c r="AB831">
        <f t="shared" si="175"/>
        <v>5091</v>
      </c>
      <c r="AC831">
        <f t="shared" si="176"/>
        <v>1557755.209999999</v>
      </c>
      <c r="AD831">
        <f t="shared" si="177"/>
        <v>1330.2777198975227</v>
      </c>
      <c r="AE831">
        <f t="shared" si="178"/>
        <v>0.35149999999999998</v>
      </c>
      <c r="AF831">
        <f t="shared" si="179"/>
        <v>920970389.38999963</v>
      </c>
      <c r="AG831" t="str">
        <f t="shared" si="180"/>
        <v>Active</v>
      </c>
      <c r="AH831">
        <f t="shared" si="181"/>
        <v>4485.6000000000004</v>
      </c>
    </row>
    <row r="832" spans="1:34" x14ac:dyDescent="0.35">
      <c r="A832" t="s">
        <v>2329</v>
      </c>
      <c r="B832" t="s">
        <v>2330</v>
      </c>
      <c r="C832">
        <v>46</v>
      </c>
      <c r="D832" t="s">
        <v>38</v>
      </c>
      <c r="E832" t="s">
        <v>39</v>
      </c>
      <c r="F832" t="s">
        <v>59</v>
      </c>
      <c r="G832">
        <v>127107</v>
      </c>
      <c r="H832">
        <v>486</v>
      </c>
      <c r="I832">
        <v>13227</v>
      </c>
      <c r="J832">
        <v>11.47</v>
      </c>
      <c r="K832">
        <v>12</v>
      </c>
      <c r="L832" t="s">
        <v>40</v>
      </c>
      <c r="M832">
        <v>41.34</v>
      </c>
      <c r="N832">
        <v>53459</v>
      </c>
      <c r="O832">
        <v>173425</v>
      </c>
      <c r="P832" t="s">
        <v>1835</v>
      </c>
      <c r="Q832" t="s">
        <v>61</v>
      </c>
      <c r="R832" t="s">
        <v>48</v>
      </c>
      <c r="S832" t="s">
        <v>68</v>
      </c>
      <c r="T832">
        <v>1228.68</v>
      </c>
      <c r="U832">
        <f t="shared" si="168"/>
        <v>1170</v>
      </c>
      <c r="V832">
        <f t="shared" si="169"/>
        <v>439</v>
      </c>
      <c r="W832">
        <f t="shared" si="170"/>
        <v>362</v>
      </c>
      <c r="X832">
        <f t="shared" si="171"/>
        <v>0.35149999999999998</v>
      </c>
      <c r="Y832" s="1">
        <f t="shared" si="172"/>
        <v>59952809</v>
      </c>
      <c r="Z832">
        <f t="shared" si="173"/>
        <v>51241.717094017091</v>
      </c>
      <c r="AA832">
        <f t="shared" si="174"/>
        <v>99996</v>
      </c>
      <c r="AB832">
        <f t="shared" si="175"/>
        <v>5091</v>
      </c>
      <c r="AC832">
        <f t="shared" si="176"/>
        <v>1557381.409999999</v>
      </c>
      <c r="AD832">
        <f t="shared" si="177"/>
        <v>1331.0952222222213</v>
      </c>
      <c r="AE832">
        <f t="shared" si="178"/>
        <v>0.35149999999999998</v>
      </c>
      <c r="AF832">
        <f t="shared" si="179"/>
        <v>919412634.17999959</v>
      </c>
      <c r="AG832" t="str">
        <f t="shared" si="180"/>
        <v>Active</v>
      </c>
      <c r="AH832">
        <f t="shared" si="181"/>
        <v>14744.16</v>
      </c>
    </row>
    <row r="833" spans="1:34" x14ac:dyDescent="0.35">
      <c r="A833" t="s">
        <v>2331</v>
      </c>
      <c r="B833" t="s">
        <v>2332</v>
      </c>
      <c r="C833">
        <v>55</v>
      </c>
      <c r="D833" t="s">
        <v>22</v>
      </c>
      <c r="E833" t="s">
        <v>39</v>
      </c>
      <c r="F833" t="s">
        <v>24</v>
      </c>
      <c r="G833">
        <v>174182</v>
      </c>
      <c r="H833">
        <v>578</v>
      </c>
      <c r="I833">
        <v>60458</v>
      </c>
      <c r="J833">
        <v>23.77</v>
      </c>
      <c r="K833">
        <v>360</v>
      </c>
      <c r="L833" t="s">
        <v>86</v>
      </c>
      <c r="M833">
        <v>6.61</v>
      </c>
      <c r="N833">
        <v>22050</v>
      </c>
      <c r="O833">
        <v>104043</v>
      </c>
      <c r="P833" t="s">
        <v>849</v>
      </c>
      <c r="Q833" t="s">
        <v>42</v>
      </c>
      <c r="R833" t="s">
        <v>28</v>
      </c>
      <c r="S833" t="s">
        <v>49</v>
      </c>
      <c r="T833">
        <v>207.86</v>
      </c>
      <c r="U833">
        <f t="shared" si="168"/>
        <v>1169</v>
      </c>
      <c r="V833">
        <f t="shared" si="169"/>
        <v>439</v>
      </c>
      <c r="W833">
        <f t="shared" si="170"/>
        <v>361</v>
      </c>
      <c r="X833">
        <f t="shared" si="171"/>
        <v>0.35149999999999998</v>
      </c>
      <c r="Y833" s="1">
        <f t="shared" si="172"/>
        <v>59939582</v>
      </c>
      <c r="Z833">
        <f t="shared" si="173"/>
        <v>51274.236099230111</v>
      </c>
      <c r="AA833">
        <f t="shared" si="174"/>
        <v>99996</v>
      </c>
      <c r="AB833">
        <f t="shared" si="175"/>
        <v>5091</v>
      </c>
      <c r="AC833">
        <f t="shared" si="176"/>
        <v>1556152.7299999993</v>
      </c>
      <c r="AD833">
        <f t="shared" si="177"/>
        <v>1331.1828314798968</v>
      </c>
      <c r="AE833">
        <f t="shared" si="178"/>
        <v>0.35149999999999998</v>
      </c>
      <c r="AF833">
        <f t="shared" si="179"/>
        <v>917855252.76999974</v>
      </c>
      <c r="AG833" t="str">
        <f t="shared" si="180"/>
        <v>Over Paid</v>
      </c>
      <c r="AH833">
        <f t="shared" si="181"/>
        <v>2494.3200000000002</v>
      </c>
    </row>
    <row r="834" spans="1:34" x14ac:dyDescent="0.35">
      <c r="A834" t="s">
        <v>2333</v>
      </c>
      <c r="B834" t="s">
        <v>2334</v>
      </c>
      <c r="C834">
        <v>25</v>
      </c>
      <c r="D834" t="s">
        <v>38</v>
      </c>
      <c r="E834" t="s">
        <v>39</v>
      </c>
      <c r="F834" t="s">
        <v>59</v>
      </c>
      <c r="G834">
        <v>132146</v>
      </c>
      <c r="H834">
        <v>620</v>
      </c>
      <c r="I834">
        <v>63526</v>
      </c>
      <c r="J834">
        <v>21.98</v>
      </c>
      <c r="K834">
        <v>60</v>
      </c>
      <c r="L834" t="s">
        <v>40</v>
      </c>
      <c r="M834">
        <v>58.27</v>
      </c>
      <c r="N834">
        <v>5812</v>
      </c>
      <c r="O834">
        <v>7219</v>
      </c>
      <c r="P834" t="s">
        <v>2335</v>
      </c>
      <c r="Q834" t="s">
        <v>27</v>
      </c>
      <c r="R834" t="s">
        <v>48</v>
      </c>
      <c r="S834" t="s">
        <v>68</v>
      </c>
      <c r="T834">
        <v>1291.48</v>
      </c>
      <c r="U834">
        <f t="shared" ref="U834:U897" si="182">COUNTA(A834:A2833)</f>
        <v>1168</v>
      </c>
      <c r="V834">
        <f t="shared" ref="V834:V897" si="183">COUNTIF(Q834:Q2833,"APPROVED")</f>
        <v>438</v>
      </c>
      <c r="W834">
        <f t="shared" ref="W834:W897" si="184">COUNTIF(Q834:Q2834,"Rejected")</f>
        <v>361</v>
      </c>
      <c r="X834">
        <f t="shared" ref="X834:X897" si="185">703/2000</f>
        <v>0.35149999999999998</v>
      </c>
      <c r="Y834" s="1">
        <f t="shared" ref="Y834:Y897" si="186">SUM(I834:I2833)</f>
        <v>59879124</v>
      </c>
      <c r="Z834">
        <f t="shared" ref="Z834:Z897" si="187">AVERAGE(I834:I20833)</f>
        <v>51266.373287671231</v>
      </c>
      <c r="AA834">
        <f t="shared" ref="AA834:AA897" si="188">MAX(I834:I2833)</f>
        <v>99996</v>
      </c>
      <c r="AB834">
        <f t="shared" ref="AB834:AB897" si="189">MIN(I834:I2833)</f>
        <v>5091</v>
      </c>
      <c r="AC834">
        <f t="shared" ref="AC834:AC897" si="190">SUM(T834:T2833)</f>
        <v>1555944.8699999992</v>
      </c>
      <c r="AD834">
        <f t="shared" ref="AD834:AD897" si="191">AVERAGE(T834:T2833)</f>
        <v>1332.1445804794514</v>
      </c>
      <c r="AE834">
        <f t="shared" ref="AE834:AE897" si="192">703/2000</f>
        <v>0.35149999999999998</v>
      </c>
      <c r="AF834">
        <f t="shared" ref="AF834:AF897" si="193">SUM(AC834:AC2833)</f>
        <v>916299100.03999972</v>
      </c>
      <c r="AG834" t="str">
        <f t="shared" ref="AG834:AG897" si="194">IF(AH834=0,"Bad", IF(AH833&lt;I833, "Active", IF(AH833=I833, "Good", "Over Paid")))</f>
        <v>Active</v>
      </c>
      <c r="AH834">
        <f t="shared" ref="AH834:AH897" si="195">T834*12</f>
        <v>15497.76</v>
      </c>
    </row>
    <row r="835" spans="1:34" x14ac:dyDescent="0.35">
      <c r="A835" t="s">
        <v>2336</v>
      </c>
      <c r="B835" t="s">
        <v>2337</v>
      </c>
      <c r="C835">
        <v>23</v>
      </c>
      <c r="D835" t="s">
        <v>22</v>
      </c>
      <c r="E835" t="s">
        <v>32</v>
      </c>
      <c r="F835" t="s">
        <v>46</v>
      </c>
      <c r="G835">
        <v>117775</v>
      </c>
      <c r="H835">
        <v>306</v>
      </c>
      <c r="I835">
        <v>60975</v>
      </c>
      <c r="J835">
        <v>4.1500000000000004</v>
      </c>
      <c r="K835">
        <v>240</v>
      </c>
      <c r="L835" t="s">
        <v>86</v>
      </c>
      <c r="M835">
        <v>59.1</v>
      </c>
      <c r="N835">
        <v>3681</v>
      </c>
      <c r="O835">
        <v>86940</v>
      </c>
      <c r="P835" t="s">
        <v>1985</v>
      </c>
      <c r="Q835" t="s">
        <v>27</v>
      </c>
      <c r="R835" t="s">
        <v>28</v>
      </c>
      <c r="S835" t="s">
        <v>35</v>
      </c>
      <c r="T835">
        <v>264.61</v>
      </c>
      <c r="U835">
        <f t="shared" si="182"/>
        <v>1167</v>
      </c>
      <c r="V835">
        <f t="shared" si="183"/>
        <v>438</v>
      </c>
      <c r="W835">
        <f t="shared" si="184"/>
        <v>361</v>
      </c>
      <c r="X835">
        <f t="shared" si="185"/>
        <v>0.35149999999999998</v>
      </c>
      <c r="Y835" s="1">
        <f t="shared" si="186"/>
        <v>59815598</v>
      </c>
      <c r="Z835">
        <f t="shared" si="187"/>
        <v>51255.868037703513</v>
      </c>
      <c r="AA835">
        <f t="shared" si="188"/>
        <v>99996</v>
      </c>
      <c r="AB835">
        <f t="shared" si="189"/>
        <v>5091</v>
      </c>
      <c r="AC835">
        <f t="shared" si="190"/>
        <v>1554653.3899999994</v>
      </c>
      <c r="AD835">
        <f t="shared" si="191"/>
        <v>1332.17942587832</v>
      </c>
      <c r="AE835">
        <f t="shared" si="192"/>
        <v>0.35149999999999998</v>
      </c>
      <c r="AF835">
        <f t="shared" si="193"/>
        <v>914743155.16999984</v>
      </c>
      <c r="AG835" t="str">
        <f t="shared" si="194"/>
        <v>Active</v>
      </c>
      <c r="AH835">
        <f t="shared" si="195"/>
        <v>3175.32</v>
      </c>
    </row>
    <row r="836" spans="1:34" x14ac:dyDescent="0.35">
      <c r="A836" t="s">
        <v>2338</v>
      </c>
      <c r="B836" t="s">
        <v>2339</v>
      </c>
      <c r="C836">
        <v>34</v>
      </c>
      <c r="D836" t="s">
        <v>38</v>
      </c>
      <c r="E836" t="s">
        <v>32</v>
      </c>
      <c r="F836" t="s">
        <v>24</v>
      </c>
      <c r="G836">
        <v>182161</v>
      </c>
      <c r="H836">
        <v>599</v>
      </c>
      <c r="I836">
        <v>90500</v>
      </c>
      <c r="J836">
        <v>17.52</v>
      </c>
      <c r="K836">
        <v>48</v>
      </c>
      <c r="L836" t="s">
        <v>25</v>
      </c>
      <c r="M836">
        <v>18.84</v>
      </c>
      <c r="N836">
        <v>74088</v>
      </c>
      <c r="O836">
        <v>17028</v>
      </c>
      <c r="P836" t="s">
        <v>290</v>
      </c>
      <c r="Q836" t="s">
        <v>27</v>
      </c>
      <c r="R836" t="s">
        <v>28</v>
      </c>
      <c r="S836" t="s">
        <v>29</v>
      </c>
      <c r="T836">
        <v>2215.7399999999998</v>
      </c>
      <c r="U836">
        <f t="shared" si="182"/>
        <v>1166</v>
      </c>
      <c r="V836">
        <f t="shared" si="183"/>
        <v>438</v>
      </c>
      <c r="W836">
        <f t="shared" si="184"/>
        <v>361</v>
      </c>
      <c r="X836">
        <f t="shared" si="185"/>
        <v>0.35149999999999998</v>
      </c>
      <c r="Y836" s="1">
        <f t="shared" si="186"/>
        <v>59754623</v>
      </c>
      <c r="Z836">
        <f t="shared" si="187"/>
        <v>51247.532590051458</v>
      </c>
      <c r="AA836">
        <f t="shared" si="188"/>
        <v>99996</v>
      </c>
      <c r="AB836">
        <f t="shared" si="189"/>
        <v>5091</v>
      </c>
      <c r="AC836">
        <f t="shared" si="190"/>
        <v>1554388.7799999993</v>
      </c>
      <c r="AD836">
        <f t="shared" si="191"/>
        <v>1333.0950085763288</v>
      </c>
      <c r="AE836">
        <f t="shared" si="192"/>
        <v>0.35149999999999998</v>
      </c>
      <c r="AF836">
        <f t="shared" si="193"/>
        <v>913188501.77999985</v>
      </c>
      <c r="AG836" t="str">
        <f t="shared" si="194"/>
        <v>Active</v>
      </c>
      <c r="AH836">
        <f t="shared" si="195"/>
        <v>26588.879999999997</v>
      </c>
    </row>
    <row r="837" spans="1:34" x14ac:dyDescent="0.35">
      <c r="A837" t="s">
        <v>2340</v>
      </c>
      <c r="B837" t="s">
        <v>2341</v>
      </c>
      <c r="C837">
        <v>50</v>
      </c>
      <c r="D837" t="s">
        <v>22</v>
      </c>
      <c r="E837" t="s">
        <v>32</v>
      </c>
      <c r="F837" t="s">
        <v>24</v>
      </c>
      <c r="G837">
        <v>190865</v>
      </c>
      <c r="H837">
        <v>474</v>
      </c>
      <c r="I837">
        <v>84616</v>
      </c>
      <c r="J837">
        <v>7.79</v>
      </c>
      <c r="K837">
        <v>12</v>
      </c>
      <c r="L837" t="s">
        <v>52</v>
      </c>
      <c r="M837">
        <v>5.64</v>
      </c>
      <c r="N837">
        <v>24998</v>
      </c>
      <c r="O837">
        <v>151454</v>
      </c>
      <c r="P837" t="s">
        <v>2342</v>
      </c>
      <c r="Q837" t="s">
        <v>27</v>
      </c>
      <c r="R837" t="s">
        <v>28</v>
      </c>
      <c r="S837" t="s">
        <v>35</v>
      </c>
      <c r="T837">
        <v>7600.63</v>
      </c>
      <c r="U837">
        <f t="shared" si="182"/>
        <v>1165</v>
      </c>
      <c r="V837">
        <f t="shared" si="183"/>
        <v>438</v>
      </c>
      <c r="W837">
        <f t="shared" si="184"/>
        <v>361</v>
      </c>
      <c r="X837">
        <f t="shared" si="185"/>
        <v>0.35149999999999998</v>
      </c>
      <c r="Y837" s="1">
        <f t="shared" si="186"/>
        <v>59664123</v>
      </c>
      <c r="Z837">
        <f t="shared" si="187"/>
        <v>51213.83948497854</v>
      </c>
      <c r="AA837">
        <f t="shared" si="188"/>
        <v>99996</v>
      </c>
      <c r="AB837">
        <f t="shared" si="189"/>
        <v>5091</v>
      </c>
      <c r="AC837">
        <f t="shared" si="190"/>
        <v>1552173.0399999993</v>
      </c>
      <c r="AD837">
        <f t="shared" si="191"/>
        <v>1332.3373733905573</v>
      </c>
      <c r="AE837">
        <f t="shared" si="192"/>
        <v>0.35149999999999998</v>
      </c>
      <c r="AF837">
        <f t="shared" si="193"/>
        <v>911634112.99999988</v>
      </c>
      <c r="AG837" t="str">
        <f t="shared" si="194"/>
        <v>Active</v>
      </c>
      <c r="AH837">
        <f t="shared" si="195"/>
        <v>91207.56</v>
      </c>
    </row>
    <row r="838" spans="1:34" x14ac:dyDescent="0.35">
      <c r="A838" t="s">
        <v>2343</v>
      </c>
      <c r="B838" t="s">
        <v>2344</v>
      </c>
      <c r="C838">
        <v>27</v>
      </c>
      <c r="D838" t="s">
        <v>38</v>
      </c>
      <c r="E838" t="s">
        <v>39</v>
      </c>
      <c r="F838" t="s">
        <v>24</v>
      </c>
      <c r="G838">
        <v>34290</v>
      </c>
      <c r="H838">
        <v>847</v>
      </c>
      <c r="I838">
        <v>10303</v>
      </c>
      <c r="J838">
        <v>14.38</v>
      </c>
      <c r="K838">
        <v>36</v>
      </c>
      <c r="L838" t="s">
        <v>25</v>
      </c>
      <c r="M838">
        <v>7.55</v>
      </c>
      <c r="N838">
        <v>5131</v>
      </c>
      <c r="O838">
        <v>156350</v>
      </c>
      <c r="P838" t="s">
        <v>1883</v>
      </c>
      <c r="Q838" t="s">
        <v>42</v>
      </c>
      <c r="R838" t="s">
        <v>48</v>
      </c>
      <c r="S838" t="s">
        <v>35</v>
      </c>
      <c r="T838">
        <v>327.35000000000002</v>
      </c>
      <c r="U838">
        <f t="shared" si="182"/>
        <v>1164</v>
      </c>
      <c r="V838">
        <f t="shared" si="183"/>
        <v>438</v>
      </c>
      <c r="W838">
        <f t="shared" si="184"/>
        <v>361</v>
      </c>
      <c r="X838">
        <f t="shared" si="185"/>
        <v>0.35149999999999998</v>
      </c>
      <c r="Y838" s="1">
        <f t="shared" si="186"/>
        <v>59579507</v>
      </c>
      <c r="Z838">
        <f t="shared" si="187"/>
        <v>51185.143470790375</v>
      </c>
      <c r="AA838">
        <f t="shared" si="188"/>
        <v>99996</v>
      </c>
      <c r="AB838">
        <f t="shared" si="189"/>
        <v>5091</v>
      </c>
      <c r="AC838">
        <f t="shared" si="190"/>
        <v>1544572.41</v>
      </c>
      <c r="AD838">
        <f t="shared" si="191"/>
        <v>1326.9522422680411</v>
      </c>
      <c r="AE838">
        <f t="shared" si="192"/>
        <v>0.35149999999999998</v>
      </c>
      <c r="AF838">
        <f t="shared" si="193"/>
        <v>910081939.95999992</v>
      </c>
      <c r="AG838" t="str">
        <f t="shared" si="194"/>
        <v>Over Paid</v>
      </c>
      <c r="AH838">
        <f t="shared" si="195"/>
        <v>3928.2000000000003</v>
      </c>
    </row>
    <row r="839" spans="1:34" x14ac:dyDescent="0.35">
      <c r="A839" t="s">
        <v>2345</v>
      </c>
      <c r="B839" t="s">
        <v>2346</v>
      </c>
      <c r="C839">
        <v>22</v>
      </c>
      <c r="D839" t="s">
        <v>38</v>
      </c>
      <c r="E839" t="s">
        <v>39</v>
      </c>
      <c r="F839" t="s">
        <v>24</v>
      </c>
      <c r="G839">
        <v>114923</v>
      </c>
      <c r="H839">
        <v>844</v>
      </c>
      <c r="I839">
        <v>94189</v>
      </c>
      <c r="J839">
        <v>19.23</v>
      </c>
      <c r="K839">
        <v>360</v>
      </c>
      <c r="L839" t="s">
        <v>52</v>
      </c>
      <c r="M839">
        <v>8.08</v>
      </c>
      <c r="N839">
        <v>40253</v>
      </c>
      <c r="O839">
        <v>191797</v>
      </c>
      <c r="P839" t="s">
        <v>2347</v>
      </c>
      <c r="Q839" t="s">
        <v>61</v>
      </c>
      <c r="R839" t="s">
        <v>48</v>
      </c>
      <c r="S839" t="s">
        <v>29</v>
      </c>
      <c r="T839">
        <v>311.95</v>
      </c>
      <c r="U839">
        <f t="shared" si="182"/>
        <v>1163</v>
      </c>
      <c r="V839">
        <f t="shared" si="183"/>
        <v>437</v>
      </c>
      <c r="W839">
        <f t="shared" si="184"/>
        <v>361</v>
      </c>
      <c r="X839">
        <f t="shared" si="185"/>
        <v>0.35149999999999998</v>
      </c>
      <c r="Y839" s="1">
        <f t="shared" si="186"/>
        <v>59569204</v>
      </c>
      <c r="Z839">
        <f t="shared" si="187"/>
        <v>51220.295786758383</v>
      </c>
      <c r="AA839">
        <f t="shared" si="188"/>
        <v>99996</v>
      </c>
      <c r="AB839">
        <f t="shared" si="189"/>
        <v>5091</v>
      </c>
      <c r="AC839">
        <f t="shared" si="190"/>
        <v>1544245.06</v>
      </c>
      <c r="AD839">
        <f t="shared" si="191"/>
        <v>1327.8117454858127</v>
      </c>
      <c r="AE839">
        <f t="shared" si="192"/>
        <v>0.35149999999999998</v>
      </c>
      <c r="AF839">
        <f t="shared" si="193"/>
        <v>908537367.54999995</v>
      </c>
      <c r="AG839" t="str">
        <f t="shared" si="194"/>
        <v>Active</v>
      </c>
      <c r="AH839">
        <f t="shared" si="195"/>
        <v>3743.3999999999996</v>
      </c>
    </row>
    <row r="840" spans="1:34" x14ac:dyDescent="0.35">
      <c r="A840" t="s">
        <v>2348</v>
      </c>
      <c r="B840" t="s">
        <v>2349</v>
      </c>
      <c r="C840">
        <v>50</v>
      </c>
      <c r="D840" t="s">
        <v>22</v>
      </c>
      <c r="E840" t="s">
        <v>23</v>
      </c>
      <c r="F840" t="s">
        <v>46</v>
      </c>
      <c r="G840">
        <v>124923</v>
      </c>
      <c r="H840">
        <v>822</v>
      </c>
      <c r="I840">
        <v>82202</v>
      </c>
      <c r="J840">
        <v>23.69</v>
      </c>
      <c r="K840">
        <v>36</v>
      </c>
      <c r="L840" t="s">
        <v>33</v>
      </c>
      <c r="M840">
        <v>15.07</v>
      </c>
      <c r="N840">
        <v>3771</v>
      </c>
      <c r="O840">
        <v>196570</v>
      </c>
      <c r="P840" t="s">
        <v>1924</v>
      </c>
      <c r="Q840" t="s">
        <v>42</v>
      </c>
      <c r="R840" t="s">
        <v>48</v>
      </c>
      <c r="S840" t="s">
        <v>35</v>
      </c>
      <c r="T840">
        <v>2824.32</v>
      </c>
      <c r="U840">
        <f t="shared" si="182"/>
        <v>1162</v>
      </c>
      <c r="V840">
        <f t="shared" si="183"/>
        <v>437</v>
      </c>
      <c r="W840">
        <f t="shared" si="184"/>
        <v>360</v>
      </c>
      <c r="X840">
        <f t="shared" si="185"/>
        <v>0.35149999999999998</v>
      </c>
      <c r="Y840" s="1">
        <f t="shared" si="186"/>
        <v>59475015</v>
      </c>
      <c r="Z840">
        <f t="shared" si="187"/>
        <v>51183.31755593804</v>
      </c>
      <c r="AA840">
        <f t="shared" si="188"/>
        <v>99996</v>
      </c>
      <c r="AB840">
        <f t="shared" si="189"/>
        <v>5091</v>
      </c>
      <c r="AC840">
        <f t="shared" si="190"/>
        <v>1543933.1099999999</v>
      </c>
      <c r="AD840">
        <f t="shared" si="191"/>
        <v>1328.6859810671256</v>
      </c>
      <c r="AE840">
        <f t="shared" si="192"/>
        <v>0.35149999999999998</v>
      </c>
      <c r="AF840">
        <f t="shared" si="193"/>
        <v>906993122.49000001</v>
      </c>
      <c r="AG840" t="str">
        <f t="shared" si="194"/>
        <v>Active</v>
      </c>
      <c r="AH840">
        <f t="shared" si="195"/>
        <v>33891.840000000004</v>
      </c>
    </row>
    <row r="841" spans="1:34" x14ac:dyDescent="0.35">
      <c r="A841" t="s">
        <v>2350</v>
      </c>
      <c r="B841" t="s">
        <v>2351</v>
      </c>
      <c r="C841">
        <v>46</v>
      </c>
      <c r="D841" t="s">
        <v>22</v>
      </c>
      <c r="E841" t="s">
        <v>23</v>
      </c>
      <c r="F841" t="s">
        <v>46</v>
      </c>
      <c r="G841">
        <v>137011</v>
      </c>
      <c r="H841">
        <v>511</v>
      </c>
      <c r="I841">
        <v>38861</v>
      </c>
      <c r="J841">
        <v>11.46</v>
      </c>
      <c r="K841">
        <v>360</v>
      </c>
      <c r="L841" t="s">
        <v>86</v>
      </c>
      <c r="M841">
        <v>34.9</v>
      </c>
      <c r="N841">
        <v>63940</v>
      </c>
      <c r="O841">
        <v>73363</v>
      </c>
      <c r="P841" t="s">
        <v>2352</v>
      </c>
      <c r="Q841" t="s">
        <v>61</v>
      </c>
      <c r="R841" t="s">
        <v>28</v>
      </c>
      <c r="S841" t="s">
        <v>43</v>
      </c>
      <c r="T841">
        <v>120.32</v>
      </c>
      <c r="U841">
        <f t="shared" si="182"/>
        <v>1161</v>
      </c>
      <c r="V841">
        <f t="shared" si="183"/>
        <v>436</v>
      </c>
      <c r="W841">
        <f t="shared" si="184"/>
        <v>360</v>
      </c>
      <c r="X841">
        <f t="shared" si="185"/>
        <v>0.35149999999999998</v>
      </c>
      <c r="Y841" s="1">
        <f t="shared" si="186"/>
        <v>59392813</v>
      </c>
      <c r="Z841">
        <f t="shared" si="187"/>
        <v>51156.600344530576</v>
      </c>
      <c r="AA841">
        <f t="shared" si="188"/>
        <v>99996</v>
      </c>
      <c r="AB841">
        <f t="shared" si="189"/>
        <v>5091</v>
      </c>
      <c r="AC841">
        <f t="shared" si="190"/>
        <v>1541108.7899999998</v>
      </c>
      <c r="AD841">
        <f t="shared" si="191"/>
        <v>1327.3977519379844</v>
      </c>
      <c r="AE841">
        <f t="shared" si="192"/>
        <v>0.35149999999999998</v>
      </c>
      <c r="AF841">
        <f t="shared" si="193"/>
        <v>905449189.37999976</v>
      </c>
      <c r="AG841" t="str">
        <f t="shared" si="194"/>
        <v>Active</v>
      </c>
      <c r="AH841">
        <f t="shared" si="195"/>
        <v>1443.84</v>
      </c>
    </row>
    <row r="842" spans="1:34" x14ac:dyDescent="0.35">
      <c r="A842" t="s">
        <v>2353</v>
      </c>
      <c r="B842" t="s">
        <v>2354</v>
      </c>
      <c r="C842">
        <v>32</v>
      </c>
      <c r="D842" t="s">
        <v>38</v>
      </c>
      <c r="E842" t="s">
        <v>32</v>
      </c>
      <c r="F842" t="s">
        <v>59</v>
      </c>
      <c r="G842">
        <v>193132</v>
      </c>
      <c r="H842">
        <v>405</v>
      </c>
      <c r="I842">
        <v>95413</v>
      </c>
      <c r="J842">
        <v>9.36</v>
      </c>
      <c r="K842">
        <v>24</v>
      </c>
      <c r="L842" t="s">
        <v>33</v>
      </c>
      <c r="M842">
        <v>16.13</v>
      </c>
      <c r="N842">
        <v>70533</v>
      </c>
      <c r="O842">
        <v>24666</v>
      </c>
      <c r="P842" t="s">
        <v>2355</v>
      </c>
      <c r="Q842" t="s">
        <v>27</v>
      </c>
      <c r="R842" t="s">
        <v>48</v>
      </c>
      <c r="S842" t="s">
        <v>29</v>
      </c>
      <c r="T842">
        <v>4347.6499999999996</v>
      </c>
      <c r="U842">
        <f t="shared" si="182"/>
        <v>1160</v>
      </c>
      <c r="V842">
        <f t="shared" si="183"/>
        <v>436</v>
      </c>
      <c r="W842">
        <f t="shared" si="184"/>
        <v>359</v>
      </c>
      <c r="X842">
        <f t="shared" si="185"/>
        <v>0.35149999999999998</v>
      </c>
      <c r="Y842" s="1">
        <f t="shared" si="186"/>
        <v>59353952</v>
      </c>
      <c r="Z842">
        <f t="shared" si="187"/>
        <v>51167.199999999997</v>
      </c>
      <c r="AA842">
        <f t="shared" si="188"/>
        <v>99996</v>
      </c>
      <c r="AB842">
        <f t="shared" si="189"/>
        <v>5091</v>
      </c>
      <c r="AC842">
        <f t="shared" si="190"/>
        <v>1540988.4699999997</v>
      </c>
      <c r="AD842">
        <f t="shared" si="191"/>
        <v>1328.4383362068963</v>
      </c>
      <c r="AE842">
        <f t="shared" si="192"/>
        <v>0.35149999999999998</v>
      </c>
      <c r="AF842">
        <f t="shared" si="193"/>
        <v>903908080.58999968</v>
      </c>
      <c r="AG842" t="str">
        <f t="shared" si="194"/>
        <v>Active</v>
      </c>
      <c r="AH842">
        <f t="shared" si="195"/>
        <v>52171.799999999996</v>
      </c>
    </row>
    <row r="843" spans="1:34" x14ac:dyDescent="0.35">
      <c r="A843" t="s">
        <v>2356</v>
      </c>
      <c r="B843" t="s">
        <v>2357</v>
      </c>
      <c r="C843">
        <v>57</v>
      </c>
      <c r="D843" t="s">
        <v>38</v>
      </c>
      <c r="E843" t="s">
        <v>23</v>
      </c>
      <c r="F843" t="s">
        <v>24</v>
      </c>
      <c r="G843">
        <v>71997</v>
      </c>
      <c r="H843">
        <v>516</v>
      </c>
      <c r="I843">
        <v>26895</v>
      </c>
      <c r="J843">
        <v>20.89</v>
      </c>
      <c r="K843">
        <v>24</v>
      </c>
      <c r="L843" t="s">
        <v>52</v>
      </c>
      <c r="M843">
        <v>21.2</v>
      </c>
      <c r="N843">
        <v>77600</v>
      </c>
      <c r="O843">
        <v>171292</v>
      </c>
      <c r="P843" t="s">
        <v>1517</v>
      </c>
      <c r="Q843" t="s">
        <v>61</v>
      </c>
      <c r="R843" t="s">
        <v>48</v>
      </c>
      <c r="S843" t="s">
        <v>43</v>
      </c>
      <c r="T843">
        <v>1354.72</v>
      </c>
      <c r="U843">
        <f t="shared" si="182"/>
        <v>1159</v>
      </c>
      <c r="V843">
        <f t="shared" si="183"/>
        <v>436</v>
      </c>
      <c r="W843">
        <f t="shared" si="184"/>
        <v>359</v>
      </c>
      <c r="X843">
        <f t="shared" si="185"/>
        <v>0.35149999999999998</v>
      </c>
      <c r="Y843" s="1">
        <f t="shared" si="186"/>
        <v>59258539</v>
      </c>
      <c r="Z843">
        <f t="shared" si="187"/>
        <v>51129.024158757551</v>
      </c>
      <c r="AA843">
        <f t="shared" si="188"/>
        <v>99996</v>
      </c>
      <c r="AB843">
        <f t="shared" si="189"/>
        <v>5091</v>
      </c>
      <c r="AC843">
        <f t="shared" si="190"/>
        <v>1536640.8199999998</v>
      </c>
      <c r="AD843">
        <f t="shared" si="191"/>
        <v>1325.833321829163</v>
      </c>
      <c r="AE843">
        <f t="shared" si="192"/>
        <v>0.35149999999999998</v>
      </c>
      <c r="AF843">
        <f t="shared" si="193"/>
        <v>902367092.11999977</v>
      </c>
      <c r="AG843" t="str">
        <f t="shared" si="194"/>
        <v>Active</v>
      </c>
      <c r="AH843">
        <f t="shared" si="195"/>
        <v>16256.64</v>
      </c>
    </row>
    <row r="844" spans="1:34" x14ac:dyDescent="0.35">
      <c r="A844" t="s">
        <v>2358</v>
      </c>
      <c r="B844" t="s">
        <v>2359</v>
      </c>
      <c r="C844">
        <v>30</v>
      </c>
      <c r="D844" t="s">
        <v>22</v>
      </c>
      <c r="E844" t="s">
        <v>32</v>
      </c>
      <c r="F844" t="s">
        <v>24</v>
      </c>
      <c r="G844">
        <v>32497</v>
      </c>
      <c r="H844">
        <v>383</v>
      </c>
      <c r="I844">
        <v>70364</v>
      </c>
      <c r="J844">
        <v>4.1900000000000004</v>
      </c>
      <c r="K844">
        <v>12</v>
      </c>
      <c r="L844" t="s">
        <v>33</v>
      </c>
      <c r="M844">
        <v>7.32</v>
      </c>
      <c r="N844">
        <v>51022</v>
      </c>
      <c r="O844">
        <v>139110</v>
      </c>
      <c r="P844" t="s">
        <v>2360</v>
      </c>
      <c r="Q844" t="s">
        <v>61</v>
      </c>
      <c r="R844" t="s">
        <v>28</v>
      </c>
      <c r="S844" t="s">
        <v>49</v>
      </c>
      <c r="T844">
        <v>6109.35</v>
      </c>
      <c r="U844">
        <f t="shared" si="182"/>
        <v>1158</v>
      </c>
      <c r="V844">
        <f t="shared" si="183"/>
        <v>436</v>
      </c>
      <c r="W844">
        <f t="shared" si="184"/>
        <v>358</v>
      </c>
      <c r="X844">
        <f t="shared" si="185"/>
        <v>0.35149999999999998</v>
      </c>
      <c r="Y844" s="1">
        <f t="shared" si="186"/>
        <v>59231644</v>
      </c>
      <c r="Z844">
        <f t="shared" si="187"/>
        <v>51149.951640759929</v>
      </c>
      <c r="AA844">
        <f t="shared" si="188"/>
        <v>99996</v>
      </c>
      <c r="AB844">
        <f t="shared" si="189"/>
        <v>5091</v>
      </c>
      <c r="AC844">
        <f t="shared" si="190"/>
        <v>1535286.0999999999</v>
      </c>
      <c r="AD844">
        <f t="shared" si="191"/>
        <v>1325.8083765112262</v>
      </c>
      <c r="AE844">
        <f t="shared" si="192"/>
        <v>0.35149999999999998</v>
      </c>
      <c r="AF844">
        <f t="shared" si="193"/>
        <v>900830451.29999983</v>
      </c>
      <c r="AG844" t="str">
        <f t="shared" si="194"/>
        <v>Active</v>
      </c>
      <c r="AH844">
        <f t="shared" si="195"/>
        <v>73312.200000000012</v>
      </c>
    </row>
    <row r="845" spans="1:34" x14ac:dyDescent="0.35">
      <c r="A845" t="s">
        <v>2361</v>
      </c>
      <c r="B845" t="s">
        <v>2362</v>
      </c>
      <c r="C845">
        <v>21</v>
      </c>
      <c r="D845" t="s">
        <v>38</v>
      </c>
      <c r="E845" t="s">
        <v>23</v>
      </c>
      <c r="F845" t="s">
        <v>46</v>
      </c>
      <c r="G845">
        <v>43955</v>
      </c>
      <c r="H845">
        <v>386</v>
      </c>
      <c r="I845">
        <v>31327</v>
      </c>
      <c r="J845">
        <v>7.05</v>
      </c>
      <c r="K845">
        <v>60</v>
      </c>
      <c r="L845" t="s">
        <v>25</v>
      </c>
      <c r="M845">
        <v>37.9</v>
      </c>
      <c r="N845">
        <v>25901</v>
      </c>
      <c r="O845">
        <v>70959</v>
      </c>
      <c r="P845" t="s">
        <v>1484</v>
      </c>
      <c r="Q845" t="s">
        <v>61</v>
      </c>
      <c r="R845" t="s">
        <v>28</v>
      </c>
      <c r="S845" t="s">
        <v>68</v>
      </c>
      <c r="T845">
        <v>558.92999999999995</v>
      </c>
      <c r="U845">
        <f t="shared" si="182"/>
        <v>1157</v>
      </c>
      <c r="V845">
        <f t="shared" si="183"/>
        <v>436</v>
      </c>
      <c r="W845">
        <f t="shared" si="184"/>
        <v>357</v>
      </c>
      <c r="X845">
        <f t="shared" si="185"/>
        <v>0.35149999999999998</v>
      </c>
      <c r="Y845" s="1">
        <f t="shared" si="186"/>
        <v>59161280</v>
      </c>
      <c r="Z845">
        <f t="shared" si="187"/>
        <v>51133.344857389799</v>
      </c>
      <c r="AA845">
        <f t="shared" si="188"/>
        <v>99996</v>
      </c>
      <c r="AB845">
        <f t="shared" si="189"/>
        <v>5091</v>
      </c>
      <c r="AC845">
        <f t="shared" si="190"/>
        <v>1529176.7499999998</v>
      </c>
      <c r="AD845">
        <f t="shared" si="191"/>
        <v>1321.6739412273118</v>
      </c>
      <c r="AE845">
        <f t="shared" si="192"/>
        <v>0.35149999999999998</v>
      </c>
      <c r="AF845">
        <f t="shared" si="193"/>
        <v>899295165.19999993</v>
      </c>
      <c r="AG845" t="str">
        <f t="shared" si="194"/>
        <v>Over Paid</v>
      </c>
      <c r="AH845">
        <f t="shared" si="195"/>
        <v>6707.16</v>
      </c>
    </row>
    <row r="846" spans="1:34" x14ac:dyDescent="0.35">
      <c r="A846" t="s">
        <v>2363</v>
      </c>
      <c r="B846" t="s">
        <v>2364</v>
      </c>
      <c r="C846">
        <v>40</v>
      </c>
      <c r="D846" t="s">
        <v>22</v>
      </c>
      <c r="E846" t="s">
        <v>23</v>
      </c>
      <c r="F846" t="s">
        <v>46</v>
      </c>
      <c r="G846">
        <v>73952</v>
      </c>
      <c r="H846">
        <v>446</v>
      </c>
      <c r="I846">
        <v>50748</v>
      </c>
      <c r="J846">
        <v>22.22</v>
      </c>
      <c r="K846">
        <v>24</v>
      </c>
      <c r="L846" t="s">
        <v>40</v>
      </c>
      <c r="M846">
        <v>5.7</v>
      </c>
      <c r="N846">
        <v>24925</v>
      </c>
      <c r="O846">
        <v>148910</v>
      </c>
      <c r="P846" t="s">
        <v>2365</v>
      </c>
      <c r="Q846" t="s">
        <v>27</v>
      </c>
      <c r="R846" t="s">
        <v>28</v>
      </c>
      <c r="S846" t="s">
        <v>49</v>
      </c>
      <c r="T846">
        <v>2584.34</v>
      </c>
      <c r="U846">
        <f t="shared" si="182"/>
        <v>1156</v>
      </c>
      <c r="V846">
        <f t="shared" si="183"/>
        <v>436</v>
      </c>
      <c r="W846">
        <f t="shared" si="184"/>
        <v>356</v>
      </c>
      <c r="X846">
        <f t="shared" si="185"/>
        <v>0.35149999999999998</v>
      </c>
      <c r="Y846" s="1">
        <f t="shared" si="186"/>
        <v>59129953</v>
      </c>
      <c r="Z846">
        <f t="shared" si="187"/>
        <v>51150.478373702419</v>
      </c>
      <c r="AA846">
        <f t="shared" si="188"/>
        <v>99996</v>
      </c>
      <c r="AB846">
        <f t="shared" si="189"/>
        <v>5091</v>
      </c>
      <c r="AC846">
        <f t="shared" si="190"/>
        <v>1528617.8199999996</v>
      </c>
      <c r="AD846">
        <f t="shared" si="191"/>
        <v>1322.3337543252592</v>
      </c>
      <c r="AE846">
        <f t="shared" si="192"/>
        <v>0.35149999999999998</v>
      </c>
      <c r="AF846">
        <f t="shared" si="193"/>
        <v>897765988.44999993</v>
      </c>
      <c r="AG846" t="str">
        <f t="shared" si="194"/>
        <v>Active</v>
      </c>
      <c r="AH846">
        <f t="shared" si="195"/>
        <v>31012.080000000002</v>
      </c>
    </row>
    <row r="847" spans="1:34" x14ac:dyDescent="0.35">
      <c r="A847" t="s">
        <v>2366</v>
      </c>
      <c r="B847" t="s">
        <v>2367</v>
      </c>
      <c r="C847">
        <v>63</v>
      </c>
      <c r="D847" t="s">
        <v>22</v>
      </c>
      <c r="E847" t="s">
        <v>32</v>
      </c>
      <c r="F847" t="s">
        <v>24</v>
      </c>
      <c r="G847">
        <v>146353</v>
      </c>
      <c r="H847">
        <v>613</v>
      </c>
      <c r="I847">
        <v>15742</v>
      </c>
      <c r="J847">
        <v>20.46</v>
      </c>
      <c r="K847">
        <v>48</v>
      </c>
      <c r="L847" t="s">
        <v>25</v>
      </c>
      <c r="M847">
        <v>55.85</v>
      </c>
      <c r="N847">
        <v>30466</v>
      </c>
      <c r="O847">
        <v>230453</v>
      </c>
      <c r="P847" t="s">
        <v>2368</v>
      </c>
      <c r="Q847" t="s">
        <v>42</v>
      </c>
      <c r="R847" t="s">
        <v>48</v>
      </c>
      <c r="S847" t="s">
        <v>68</v>
      </c>
      <c r="T847">
        <v>395.06</v>
      </c>
      <c r="U847">
        <f t="shared" si="182"/>
        <v>1155</v>
      </c>
      <c r="V847">
        <f t="shared" si="183"/>
        <v>436</v>
      </c>
      <c r="W847">
        <f t="shared" si="184"/>
        <v>356</v>
      </c>
      <c r="X847">
        <f t="shared" si="185"/>
        <v>0.35149999999999998</v>
      </c>
      <c r="Y847" s="1">
        <f t="shared" si="186"/>
        <v>59079205</v>
      </c>
      <c r="Z847">
        <f t="shared" si="187"/>
        <v>51150.826839826841</v>
      </c>
      <c r="AA847">
        <f t="shared" si="188"/>
        <v>99996</v>
      </c>
      <c r="AB847">
        <f t="shared" si="189"/>
        <v>5091</v>
      </c>
      <c r="AC847">
        <f t="shared" si="190"/>
        <v>1526033.48</v>
      </c>
      <c r="AD847">
        <f t="shared" si="191"/>
        <v>1321.2411082251083</v>
      </c>
      <c r="AE847">
        <f t="shared" si="192"/>
        <v>0.35149999999999998</v>
      </c>
      <c r="AF847">
        <f t="shared" si="193"/>
        <v>896237370.62999988</v>
      </c>
      <c r="AG847" t="str">
        <f t="shared" si="194"/>
        <v>Active</v>
      </c>
      <c r="AH847">
        <f t="shared" si="195"/>
        <v>4740.72</v>
      </c>
    </row>
    <row r="848" spans="1:34" x14ac:dyDescent="0.35">
      <c r="A848" t="s">
        <v>2369</v>
      </c>
      <c r="B848" t="s">
        <v>2370</v>
      </c>
      <c r="C848">
        <v>49</v>
      </c>
      <c r="D848" t="s">
        <v>38</v>
      </c>
      <c r="E848" t="s">
        <v>32</v>
      </c>
      <c r="F848" t="s">
        <v>24</v>
      </c>
      <c r="G848">
        <v>67249</v>
      </c>
      <c r="H848">
        <v>340</v>
      </c>
      <c r="I848">
        <v>58854</v>
      </c>
      <c r="J848">
        <v>13.06</v>
      </c>
      <c r="K848">
        <v>48</v>
      </c>
      <c r="L848" t="s">
        <v>86</v>
      </c>
      <c r="M848">
        <v>14.42</v>
      </c>
      <c r="N848">
        <v>59090</v>
      </c>
      <c r="O848">
        <v>234967</v>
      </c>
      <c r="P848" t="s">
        <v>2371</v>
      </c>
      <c r="Q848" t="s">
        <v>42</v>
      </c>
      <c r="R848" t="s">
        <v>28</v>
      </c>
      <c r="S848" t="s">
        <v>43</v>
      </c>
      <c r="T848">
        <v>1386.26</v>
      </c>
      <c r="U848">
        <f t="shared" si="182"/>
        <v>1154</v>
      </c>
      <c r="V848">
        <f t="shared" si="183"/>
        <v>435</v>
      </c>
      <c r="W848">
        <f t="shared" si="184"/>
        <v>356</v>
      </c>
      <c r="X848">
        <f t="shared" si="185"/>
        <v>0.35149999999999998</v>
      </c>
      <c r="Y848" s="1">
        <f t="shared" si="186"/>
        <v>59063463</v>
      </c>
      <c r="Z848">
        <f t="shared" si="187"/>
        <v>51181.510398613522</v>
      </c>
      <c r="AA848">
        <f t="shared" si="188"/>
        <v>99996</v>
      </c>
      <c r="AB848">
        <f t="shared" si="189"/>
        <v>5091</v>
      </c>
      <c r="AC848">
        <f t="shared" si="190"/>
        <v>1525638.42</v>
      </c>
      <c r="AD848">
        <f t="shared" si="191"/>
        <v>1322.0436915077989</v>
      </c>
      <c r="AE848">
        <f t="shared" si="192"/>
        <v>0.35149999999999998</v>
      </c>
      <c r="AF848">
        <f t="shared" si="193"/>
        <v>894711337.14999986</v>
      </c>
      <c r="AG848" t="str">
        <f t="shared" si="194"/>
        <v>Active</v>
      </c>
      <c r="AH848">
        <f t="shared" si="195"/>
        <v>16635.12</v>
      </c>
    </row>
    <row r="849" spans="1:34" x14ac:dyDescent="0.35">
      <c r="A849" t="s">
        <v>2372</v>
      </c>
      <c r="B849" t="s">
        <v>2373</v>
      </c>
      <c r="C849">
        <v>32</v>
      </c>
      <c r="D849" t="s">
        <v>38</v>
      </c>
      <c r="E849" t="s">
        <v>32</v>
      </c>
      <c r="F849" t="s">
        <v>46</v>
      </c>
      <c r="G849">
        <v>115351</v>
      </c>
      <c r="H849">
        <v>331</v>
      </c>
      <c r="I849">
        <v>27292</v>
      </c>
      <c r="J849">
        <v>9.42</v>
      </c>
      <c r="K849">
        <v>48</v>
      </c>
      <c r="L849" t="s">
        <v>33</v>
      </c>
      <c r="M849">
        <v>55.16</v>
      </c>
      <c r="N849">
        <v>55421</v>
      </c>
      <c r="O849">
        <v>150700</v>
      </c>
      <c r="P849" t="s">
        <v>1625</v>
      </c>
      <c r="Q849" t="s">
        <v>27</v>
      </c>
      <c r="R849" t="s">
        <v>28</v>
      </c>
      <c r="S849" t="s">
        <v>29</v>
      </c>
      <c r="T849">
        <v>622.14</v>
      </c>
      <c r="U849">
        <f t="shared" si="182"/>
        <v>1153</v>
      </c>
      <c r="V849">
        <f t="shared" si="183"/>
        <v>434</v>
      </c>
      <c r="W849">
        <f t="shared" si="184"/>
        <v>356</v>
      </c>
      <c r="X849">
        <f t="shared" si="185"/>
        <v>0.35149999999999998</v>
      </c>
      <c r="Y849" s="1">
        <f t="shared" si="186"/>
        <v>59004609</v>
      </c>
      <c r="Z849">
        <f t="shared" si="187"/>
        <v>51174.856027753689</v>
      </c>
      <c r="AA849">
        <f t="shared" si="188"/>
        <v>99996</v>
      </c>
      <c r="AB849">
        <f t="shared" si="189"/>
        <v>5091</v>
      </c>
      <c r="AC849">
        <f t="shared" si="190"/>
        <v>1524252.16</v>
      </c>
      <c r="AD849">
        <f t="shared" si="191"/>
        <v>1321.9879965307891</v>
      </c>
      <c r="AE849">
        <f t="shared" si="192"/>
        <v>0.35149999999999998</v>
      </c>
      <c r="AF849">
        <f t="shared" si="193"/>
        <v>893185698.72999978</v>
      </c>
      <c r="AG849" t="str">
        <f t="shared" si="194"/>
        <v>Active</v>
      </c>
      <c r="AH849">
        <f t="shared" si="195"/>
        <v>7465.68</v>
      </c>
    </row>
    <row r="850" spans="1:34" x14ac:dyDescent="0.35">
      <c r="A850" t="s">
        <v>2374</v>
      </c>
      <c r="B850" t="s">
        <v>2375</v>
      </c>
      <c r="C850">
        <v>32</v>
      </c>
      <c r="D850" t="s">
        <v>22</v>
      </c>
      <c r="E850" t="s">
        <v>23</v>
      </c>
      <c r="F850" t="s">
        <v>59</v>
      </c>
      <c r="G850">
        <v>95905</v>
      </c>
      <c r="H850">
        <v>589</v>
      </c>
      <c r="I850">
        <v>61161</v>
      </c>
      <c r="J850">
        <v>16.62</v>
      </c>
      <c r="K850">
        <v>180</v>
      </c>
      <c r="L850" t="s">
        <v>25</v>
      </c>
      <c r="M850">
        <v>48.13</v>
      </c>
      <c r="N850">
        <v>16272</v>
      </c>
      <c r="O850">
        <v>238540</v>
      </c>
      <c r="P850" t="s">
        <v>2376</v>
      </c>
      <c r="Q850" t="s">
        <v>42</v>
      </c>
      <c r="R850" t="s">
        <v>28</v>
      </c>
      <c r="S850" t="s">
        <v>29</v>
      </c>
      <c r="T850">
        <v>396.26</v>
      </c>
      <c r="U850">
        <f t="shared" si="182"/>
        <v>1152</v>
      </c>
      <c r="V850">
        <f t="shared" si="183"/>
        <v>434</v>
      </c>
      <c r="W850">
        <f t="shared" si="184"/>
        <v>356</v>
      </c>
      <c r="X850">
        <f t="shared" si="185"/>
        <v>0.35149999999999998</v>
      </c>
      <c r="Y850" s="1">
        <f t="shared" si="186"/>
        <v>58977317</v>
      </c>
      <c r="Z850">
        <f t="shared" si="187"/>
        <v>51195.587673611109</v>
      </c>
      <c r="AA850">
        <f t="shared" si="188"/>
        <v>99996</v>
      </c>
      <c r="AB850">
        <f t="shared" si="189"/>
        <v>5091</v>
      </c>
      <c r="AC850">
        <f t="shared" si="190"/>
        <v>1523630.02</v>
      </c>
      <c r="AD850">
        <f t="shared" si="191"/>
        <v>1322.5955034722222</v>
      </c>
      <c r="AE850">
        <f t="shared" si="192"/>
        <v>0.35149999999999998</v>
      </c>
      <c r="AF850">
        <f t="shared" si="193"/>
        <v>891661446.56999969</v>
      </c>
      <c r="AG850" t="str">
        <f t="shared" si="194"/>
        <v>Active</v>
      </c>
      <c r="AH850">
        <f t="shared" si="195"/>
        <v>4755.12</v>
      </c>
    </row>
    <row r="851" spans="1:34" x14ac:dyDescent="0.35">
      <c r="A851" t="s">
        <v>2377</v>
      </c>
      <c r="B851" t="s">
        <v>2378</v>
      </c>
      <c r="C851">
        <v>41</v>
      </c>
      <c r="D851" t="s">
        <v>38</v>
      </c>
      <c r="E851" t="s">
        <v>23</v>
      </c>
      <c r="F851" t="s">
        <v>59</v>
      </c>
      <c r="G851">
        <v>125454</v>
      </c>
      <c r="H851">
        <v>301</v>
      </c>
      <c r="I851">
        <v>61535</v>
      </c>
      <c r="J851">
        <v>8.9</v>
      </c>
      <c r="K851">
        <v>360</v>
      </c>
      <c r="L851" t="s">
        <v>33</v>
      </c>
      <c r="M851">
        <v>18.29</v>
      </c>
      <c r="N851">
        <v>73413</v>
      </c>
      <c r="O851">
        <v>8384</v>
      </c>
      <c r="P851" t="s">
        <v>316</v>
      </c>
      <c r="Q851" t="s">
        <v>27</v>
      </c>
      <c r="R851" t="s">
        <v>28</v>
      </c>
      <c r="S851" t="s">
        <v>68</v>
      </c>
      <c r="T851">
        <v>186.14</v>
      </c>
      <c r="U851">
        <f t="shared" si="182"/>
        <v>1151</v>
      </c>
      <c r="V851">
        <f t="shared" si="183"/>
        <v>433</v>
      </c>
      <c r="W851">
        <f t="shared" si="184"/>
        <v>356</v>
      </c>
      <c r="X851">
        <f t="shared" si="185"/>
        <v>0.35149999999999998</v>
      </c>
      <c r="Y851" s="1">
        <f t="shared" si="186"/>
        <v>58916156</v>
      </c>
      <c r="Z851">
        <f t="shared" si="187"/>
        <v>51186.929626411817</v>
      </c>
      <c r="AA851">
        <f t="shared" si="188"/>
        <v>99996</v>
      </c>
      <c r="AB851">
        <f t="shared" si="189"/>
        <v>5091</v>
      </c>
      <c r="AC851">
        <f t="shared" si="190"/>
        <v>1523233.76</v>
      </c>
      <c r="AD851">
        <f t="shared" si="191"/>
        <v>1323.400312771503</v>
      </c>
      <c r="AE851">
        <f t="shared" si="192"/>
        <v>0.35149999999999998</v>
      </c>
      <c r="AF851">
        <f t="shared" si="193"/>
        <v>890137816.54999971</v>
      </c>
      <c r="AG851" t="str">
        <f t="shared" si="194"/>
        <v>Active</v>
      </c>
      <c r="AH851">
        <f t="shared" si="195"/>
        <v>2233.6799999999998</v>
      </c>
    </row>
    <row r="852" spans="1:34" x14ac:dyDescent="0.35">
      <c r="A852" t="s">
        <v>2379</v>
      </c>
      <c r="B852" t="s">
        <v>2380</v>
      </c>
      <c r="C852">
        <v>63</v>
      </c>
      <c r="D852" t="s">
        <v>22</v>
      </c>
      <c r="E852" t="s">
        <v>39</v>
      </c>
      <c r="F852" t="s">
        <v>46</v>
      </c>
      <c r="G852">
        <v>84267</v>
      </c>
      <c r="H852">
        <v>374</v>
      </c>
      <c r="I852">
        <v>40088</v>
      </c>
      <c r="J852">
        <v>18.37</v>
      </c>
      <c r="K852">
        <v>120</v>
      </c>
      <c r="L852" t="s">
        <v>25</v>
      </c>
      <c r="M852">
        <v>17.760000000000002</v>
      </c>
      <c r="N852">
        <v>57655</v>
      </c>
      <c r="O852">
        <v>199860</v>
      </c>
      <c r="P852" t="s">
        <v>949</v>
      </c>
      <c r="Q852" t="s">
        <v>42</v>
      </c>
      <c r="R852" t="s">
        <v>28</v>
      </c>
      <c r="S852" t="s">
        <v>35</v>
      </c>
      <c r="T852">
        <v>395.43</v>
      </c>
      <c r="U852">
        <f t="shared" si="182"/>
        <v>1150</v>
      </c>
      <c r="V852">
        <f t="shared" si="183"/>
        <v>433</v>
      </c>
      <c r="W852">
        <f t="shared" si="184"/>
        <v>356</v>
      </c>
      <c r="X852">
        <f t="shared" si="185"/>
        <v>0.35149999999999998</v>
      </c>
      <c r="Y852" s="1">
        <f t="shared" si="186"/>
        <v>58854621</v>
      </c>
      <c r="Z852">
        <f t="shared" si="187"/>
        <v>51177.931304347825</v>
      </c>
      <c r="AA852">
        <f t="shared" si="188"/>
        <v>99996</v>
      </c>
      <c r="AB852">
        <f t="shared" si="189"/>
        <v>5091</v>
      </c>
      <c r="AC852">
        <f t="shared" si="190"/>
        <v>1523047.6199999999</v>
      </c>
      <c r="AD852">
        <f t="shared" si="191"/>
        <v>1324.3892347826086</v>
      </c>
      <c r="AE852">
        <f t="shared" si="192"/>
        <v>0.35149999999999998</v>
      </c>
      <c r="AF852">
        <f t="shared" si="193"/>
        <v>888614582.78999972</v>
      </c>
      <c r="AG852" t="str">
        <f t="shared" si="194"/>
        <v>Active</v>
      </c>
      <c r="AH852">
        <f t="shared" si="195"/>
        <v>4745.16</v>
      </c>
    </row>
    <row r="853" spans="1:34" x14ac:dyDescent="0.35">
      <c r="A853" t="s">
        <v>2381</v>
      </c>
      <c r="B853" t="s">
        <v>2382</v>
      </c>
      <c r="C853">
        <v>62</v>
      </c>
      <c r="D853" t="s">
        <v>38</v>
      </c>
      <c r="E853" t="s">
        <v>32</v>
      </c>
      <c r="F853" t="s">
        <v>46</v>
      </c>
      <c r="G853">
        <v>33775</v>
      </c>
      <c r="H853">
        <v>577</v>
      </c>
      <c r="I853">
        <v>72649</v>
      </c>
      <c r="J853">
        <v>11.31</v>
      </c>
      <c r="K853">
        <v>240</v>
      </c>
      <c r="L853" t="s">
        <v>86</v>
      </c>
      <c r="M853">
        <v>17.399999999999999</v>
      </c>
      <c r="N853">
        <v>58204</v>
      </c>
      <c r="O853">
        <v>183750</v>
      </c>
      <c r="P853" t="s">
        <v>2383</v>
      </c>
      <c r="Q853" t="s">
        <v>61</v>
      </c>
      <c r="R853" t="s">
        <v>28</v>
      </c>
      <c r="S853" t="s">
        <v>68</v>
      </c>
      <c r="T853">
        <v>336.94</v>
      </c>
      <c r="U853">
        <f t="shared" si="182"/>
        <v>1149</v>
      </c>
      <c r="V853">
        <f t="shared" si="183"/>
        <v>432</v>
      </c>
      <c r="W853">
        <f t="shared" si="184"/>
        <v>356</v>
      </c>
      <c r="X853">
        <f t="shared" si="185"/>
        <v>0.35149999999999998</v>
      </c>
      <c r="Y853" s="1">
        <f t="shared" si="186"/>
        <v>58814533</v>
      </c>
      <c r="Z853">
        <f t="shared" si="187"/>
        <v>51187.58311575283</v>
      </c>
      <c r="AA853">
        <f t="shared" si="188"/>
        <v>99996</v>
      </c>
      <c r="AB853">
        <f t="shared" si="189"/>
        <v>5091</v>
      </c>
      <c r="AC853">
        <f t="shared" si="190"/>
        <v>1522652.19</v>
      </c>
      <c r="AD853">
        <f t="shared" si="191"/>
        <v>1325.19772845953</v>
      </c>
      <c r="AE853">
        <f t="shared" si="192"/>
        <v>0.35149999999999998</v>
      </c>
      <c r="AF853">
        <f t="shared" si="193"/>
        <v>887091535.16999972</v>
      </c>
      <c r="AG853" t="str">
        <f t="shared" si="194"/>
        <v>Active</v>
      </c>
      <c r="AH853">
        <f t="shared" si="195"/>
        <v>4043.2799999999997</v>
      </c>
    </row>
    <row r="854" spans="1:34" x14ac:dyDescent="0.35">
      <c r="A854" t="s">
        <v>2384</v>
      </c>
      <c r="B854" t="s">
        <v>2385</v>
      </c>
      <c r="C854">
        <v>51</v>
      </c>
      <c r="D854" t="s">
        <v>38</v>
      </c>
      <c r="E854" t="s">
        <v>32</v>
      </c>
      <c r="F854" t="s">
        <v>46</v>
      </c>
      <c r="G854">
        <v>61288</v>
      </c>
      <c r="H854">
        <v>636</v>
      </c>
      <c r="I854">
        <v>42245</v>
      </c>
      <c r="J854">
        <v>6.18</v>
      </c>
      <c r="K854">
        <v>180</v>
      </c>
      <c r="L854" t="s">
        <v>33</v>
      </c>
      <c r="M854">
        <v>7.81</v>
      </c>
      <c r="N854">
        <v>65561</v>
      </c>
      <c r="O854">
        <v>133101</v>
      </c>
      <c r="P854" t="s">
        <v>2386</v>
      </c>
      <c r="Q854" t="s">
        <v>42</v>
      </c>
      <c r="R854" t="s">
        <v>28</v>
      </c>
      <c r="S854" t="s">
        <v>49</v>
      </c>
      <c r="T854">
        <v>249.2</v>
      </c>
      <c r="U854">
        <f t="shared" si="182"/>
        <v>1148</v>
      </c>
      <c r="V854">
        <f t="shared" si="183"/>
        <v>432</v>
      </c>
      <c r="W854">
        <f t="shared" si="184"/>
        <v>355</v>
      </c>
      <c r="X854">
        <f t="shared" si="185"/>
        <v>0.35149999999999998</v>
      </c>
      <c r="Y854" s="1">
        <f t="shared" si="186"/>
        <v>58741884</v>
      </c>
      <c r="Z854">
        <f t="shared" si="187"/>
        <v>51168.888501742163</v>
      </c>
      <c r="AA854">
        <f t="shared" si="188"/>
        <v>99996</v>
      </c>
      <c r="AB854">
        <f t="shared" si="189"/>
        <v>5091</v>
      </c>
      <c r="AC854">
        <f t="shared" si="190"/>
        <v>1522315.25</v>
      </c>
      <c r="AD854">
        <f t="shared" si="191"/>
        <v>1326.0585801393729</v>
      </c>
      <c r="AE854">
        <f t="shared" si="192"/>
        <v>0.35149999999999998</v>
      </c>
      <c r="AF854">
        <f t="shared" si="193"/>
        <v>885568882.97999966</v>
      </c>
      <c r="AG854" t="str">
        <f t="shared" si="194"/>
        <v>Active</v>
      </c>
      <c r="AH854">
        <f t="shared" si="195"/>
        <v>2990.3999999999996</v>
      </c>
    </row>
    <row r="855" spans="1:34" x14ac:dyDescent="0.35">
      <c r="A855" t="s">
        <v>2387</v>
      </c>
      <c r="B855" t="s">
        <v>2388</v>
      </c>
      <c r="C855">
        <v>27</v>
      </c>
      <c r="D855" t="s">
        <v>22</v>
      </c>
      <c r="E855" t="s">
        <v>32</v>
      </c>
      <c r="F855" t="s">
        <v>46</v>
      </c>
      <c r="G855">
        <v>111384</v>
      </c>
      <c r="H855">
        <v>412</v>
      </c>
      <c r="I855">
        <v>75433</v>
      </c>
      <c r="J855">
        <v>13.47</v>
      </c>
      <c r="K855">
        <v>120</v>
      </c>
      <c r="L855" t="s">
        <v>40</v>
      </c>
      <c r="M855">
        <v>9.58</v>
      </c>
      <c r="N855">
        <v>35597</v>
      </c>
      <c r="O855">
        <v>127609</v>
      </c>
      <c r="P855" t="s">
        <v>2169</v>
      </c>
      <c r="Q855" t="s">
        <v>27</v>
      </c>
      <c r="R855" t="s">
        <v>28</v>
      </c>
      <c r="S855" t="s">
        <v>49</v>
      </c>
      <c r="T855">
        <v>713.28</v>
      </c>
      <c r="U855">
        <f t="shared" si="182"/>
        <v>1147</v>
      </c>
      <c r="V855">
        <f t="shared" si="183"/>
        <v>431</v>
      </c>
      <c r="W855">
        <f t="shared" si="184"/>
        <v>355</v>
      </c>
      <c r="X855">
        <f t="shared" si="185"/>
        <v>0.35149999999999998</v>
      </c>
      <c r="Y855" s="1">
        <f t="shared" si="186"/>
        <v>58699639</v>
      </c>
      <c r="Z855">
        <f t="shared" si="187"/>
        <v>51176.668700959024</v>
      </c>
      <c r="AA855">
        <f t="shared" si="188"/>
        <v>99996</v>
      </c>
      <c r="AB855">
        <f t="shared" si="189"/>
        <v>5091</v>
      </c>
      <c r="AC855">
        <f t="shared" si="190"/>
        <v>1522066.05</v>
      </c>
      <c r="AD855">
        <f t="shared" si="191"/>
        <v>1326.9974280732345</v>
      </c>
      <c r="AE855">
        <f t="shared" si="192"/>
        <v>0.35149999999999998</v>
      </c>
      <c r="AF855">
        <f t="shared" si="193"/>
        <v>884046567.72999966</v>
      </c>
      <c r="AG855" t="str">
        <f t="shared" si="194"/>
        <v>Active</v>
      </c>
      <c r="AH855">
        <f t="shared" si="195"/>
        <v>8559.36</v>
      </c>
    </row>
    <row r="856" spans="1:34" x14ac:dyDescent="0.35">
      <c r="A856" t="s">
        <v>2389</v>
      </c>
      <c r="B856" t="s">
        <v>2390</v>
      </c>
      <c r="C856">
        <v>36</v>
      </c>
      <c r="D856" t="s">
        <v>22</v>
      </c>
      <c r="E856" t="s">
        <v>32</v>
      </c>
      <c r="F856" t="s">
        <v>46</v>
      </c>
      <c r="G856">
        <v>80057</v>
      </c>
      <c r="H856">
        <v>842</v>
      </c>
      <c r="I856">
        <v>60460</v>
      </c>
      <c r="J856">
        <v>13.61</v>
      </c>
      <c r="K856">
        <v>240</v>
      </c>
      <c r="L856" t="s">
        <v>40</v>
      </c>
      <c r="M856">
        <v>57.57</v>
      </c>
      <c r="N856">
        <v>36660</v>
      </c>
      <c r="O856">
        <v>89708</v>
      </c>
      <c r="P856" t="s">
        <v>648</v>
      </c>
      <c r="Q856" t="s">
        <v>61</v>
      </c>
      <c r="R856" t="s">
        <v>28</v>
      </c>
      <c r="S856" t="s">
        <v>29</v>
      </c>
      <c r="T856">
        <v>286.2</v>
      </c>
      <c r="U856">
        <f t="shared" si="182"/>
        <v>1146</v>
      </c>
      <c r="V856">
        <f t="shared" si="183"/>
        <v>431</v>
      </c>
      <c r="W856">
        <f t="shared" si="184"/>
        <v>355</v>
      </c>
      <c r="X856">
        <f t="shared" si="185"/>
        <v>0.35149999999999998</v>
      </c>
      <c r="Y856" s="1">
        <f t="shared" si="186"/>
        <v>58624206</v>
      </c>
      <c r="Z856">
        <f t="shared" si="187"/>
        <v>51155.502617801045</v>
      </c>
      <c r="AA856">
        <f t="shared" si="188"/>
        <v>99996</v>
      </c>
      <c r="AB856">
        <f t="shared" si="189"/>
        <v>5091</v>
      </c>
      <c r="AC856">
        <f t="shared" si="190"/>
        <v>1521352.77</v>
      </c>
      <c r="AD856">
        <f t="shared" si="191"/>
        <v>1327.5329581151832</v>
      </c>
      <c r="AE856">
        <f t="shared" si="192"/>
        <v>0.35149999999999998</v>
      </c>
      <c r="AF856">
        <f t="shared" si="193"/>
        <v>882524501.67999971</v>
      </c>
      <c r="AG856" t="str">
        <f t="shared" si="194"/>
        <v>Active</v>
      </c>
      <c r="AH856">
        <f t="shared" si="195"/>
        <v>3434.3999999999996</v>
      </c>
    </row>
    <row r="857" spans="1:34" x14ac:dyDescent="0.35">
      <c r="A857" t="s">
        <v>2391</v>
      </c>
      <c r="B857" t="s">
        <v>2392</v>
      </c>
      <c r="C857">
        <v>33</v>
      </c>
      <c r="D857" t="s">
        <v>38</v>
      </c>
      <c r="E857" t="s">
        <v>32</v>
      </c>
      <c r="F857" t="s">
        <v>59</v>
      </c>
      <c r="G857">
        <v>65929</v>
      </c>
      <c r="H857">
        <v>694</v>
      </c>
      <c r="I857">
        <v>19157</v>
      </c>
      <c r="J857">
        <v>8.4499999999999993</v>
      </c>
      <c r="K857">
        <v>36</v>
      </c>
      <c r="L857" t="s">
        <v>40</v>
      </c>
      <c r="M857">
        <v>34.450000000000003</v>
      </c>
      <c r="N857">
        <v>48124</v>
      </c>
      <c r="O857">
        <v>205896</v>
      </c>
      <c r="P857" t="s">
        <v>2393</v>
      </c>
      <c r="Q857" t="s">
        <v>61</v>
      </c>
      <c r="R857" t="s">
        <v>28</v>
      </c>
      <c r="S857" t="s">
        <v>68</v>
      </c>
      <c r="T857">
        <v>577.1</v>
      </c>
      <c r="U857">
        <f t="shared" si="182"/>
        <v>1145</v>
      </c>
      <c r="V857">
        <f t="shared" si="183"/>
        <v>431</v>
      </c>
      <c r="W857">
        <f t="shared" si="184"/>
        <v>354</v>
      </c>
      <c r="X857">
        <f t="shared" si="185"/>
        <v>0.35149999999999998</v>
      </c>
      <c r="Y857" s="1">
        <f t="shared" si="186"/>
        <v>58563746</v>
      </c>
      <c r="Z857">
        <f t="shared" si="187"/>
        <v>51147.376419213972</v>
      </c>
      <c r="AA857">
        <f t="shared" si="188"/>
        <v>99996</v>
      </c>
      <c r="AB857">
        <f t="shared" si="189"/>
        <v>5091</v>
      </c>
      <c r="AC857">
        <f t="shared" si="190"/>
        <v>1521066.57</v>
      </c>
      <c r="AD857">
        <f t="shared" si="191"/>
        <v>1328.4424192139738</v>
      </c>
      <c r="AE857">
        <f t="shared" si="192"/>
        <v>0.35149999999999998</v>
      </c>
      <c r="AF857">
        <f t="shared" si="193"/>
        <v>881003148.90999973</v>
      </c>
      <c r="AG857" t="str">
        <f t="shared" si="194"/>
        <v>Active</v>
      </c>
      <c r="AH857">
        <f t="shared" si="195"/>
        <v>6925.2000000000007</v>
      </c>
    </row>
    <row r="858" spans="1:34" x14ac:dyDescent="0.35">
      <c r="A858" t="s">
        <v>2394</v>
      </c>
      <c r="B858" t="s">
        <v>2395</v>
      </c>
      <c r="C858">
        <v>29</v>
      </c>
      <c r="D858" t="s">
        <v>22</v>
      </c>
      <c r="E858" t="s">
        <v>32</v>
      </c>
      <c r="F858" t="s">
        <v>24</v>
      </c>
      <c r="G858">
        <v>70120</v>
      </c>
      <c r="H858">
        <v>729</v>
      </c>
      <c r="I858">
        <v>31394</v>
      </c>
      <c r="J858">
        <v>15.17</v>
      </c>
      <c r="K858">
        <v>36</v>
      </c>
      <c r="L858" t="s">
        <v>25</v>
      </c>
      <c r="M858">
        <v>13.68</v>
      </c>
      <c r="N858">
        <v>11834</v>
      </c>
      <c r="O858">
        <v>192472</v>
      </c>
      <c r="P858" t="s">
        <v>1613</v>
      </c>
      <c r="Q858" t="s">
        <v>42</v>
      </c>
      <c r="R858" t="s">
        <v>28</v>
      </c>
      <c r="S858" t="s">
        <v>29</v>
      </c>
      <c r="T858">
        <v>1004.35</v>
      </c>
      <c r="U858">
        <f t="shared" si="182"/>
        <v>1144</v>
      </c>
      <c r="V858">
        <f t="shared" si="183"/>
        <v>431</v>
      </c>
      <c r="W858">
        <f t="shared" si="184"/>
        <v>353</v>
      </c>
      <c r="X858">
        <f t="shared" si="185"/>
        <v>0.35149999999999998</v>
      </c>
      <c r="Y858" s="1">
        <f t="shared" si="186"/>
        <v>58544589</v>
      </c>
      <c r="Z858">
        <f t="shared" si="187"/>
        <v>51175.340034965033</v>
      </c>
      <c r="AA858">
        <f t="shared" si="188"/>
        <v>99996</v>
      </c>
      <c r="AB858">
        <f t="shared" si="189"/>
        <v>5091</v>
      </c>
      <c r="AC858">
        <f t="shared" si="190"/>
        <v>1520489.47</v>
      </c>
      <c r="AD858">
        <f t="shared" si="191"/>
        <v>1329.0991870629371</v>
      </c>
      <c r="AE858">
        <f t="shared" si="192"/>
        <v>0.35149999999999998</v>
      </c>
      <c r="AF858">
        <f t="shared" si="193"/>
        <v>879482082.33999968</v>
      </c>
      <c r="AG858" t="str">
        <f t="shared" si="194"/>
        <v>Active</v>
      </c>
      <c r="AH858">
        <f t="shared" si="195"/>
        <v>12052.2</v>
      </c>
    </row>
    <row r="859" spans="1:34" x14ac:dyDescent="0.35">
      <c r="A859" t="s">
        <v>2396</v>
      </c>
      <c r="B859" t="s">
        <v>2397</v>
      </c>
      <c r="C859">
        <v>53</v>
      </c>
      <c r="D859" t="s">
        <v>38</v>
      </c>
      <c r="E859" t="s">
        <v>32</v>
      </c>
      <c r="F859" t="s">
        <v>46</v>
      </c>
      <c r="G859">
        <v>113009</v>
      </c>
      <c r="H859">
        <v>626</v>
      </c>
      <c r="I859">
        <v>89730</v>
      </c>
      <c r="J859">
        <v>16.670000000000002</v>
      </c>
      <c r="K859">
        <v>240</v>
      </c>
      <c r="L859" t="s">
        <v>33</v>
      </c>
      <c r="M859">
        <v>50.05</v>
      </c>
      <c r="N859">
        <v>37797</v>
      </c>
      <c r="O859">
        <v>210329</v>
      </c>
      <c r="P859" t="s">
        <v>1716</v>
      </c>
      <c r="Q859" t="s">
        <v>42</v>
      </c>
      <c r="R859" t="s">
        <v>48</v>
      </c>
      <c r="S859" t="s">
        <v>43</v>
      </c>
      <c r="T859">
        <v>436.2</v>
      </c>
      <c r="U859">
        <f t="shared" si="182"/>
        <v>1143</v>
      </c>
      <c r="V859">
        <f t="shared" si="183"/>
        <v>430</v>
      </c>
      <c r="W859">
        <f t="shared" si="184"/>
        <v>353</v>
      </c>
      <c r="X859">
        <f t="shared" si="185"/>
        <v>0.35149999999999998</v>
      </c>
      <c r="Y859" s="1">
        <f t="shared" si="186"/>
        <v>58513195</v>
      </c>
      <c r="Z859">
        <f t="shared" si="187"/>
        <v>51192.646544181975</v>
      </c>
      <c r="AA859">
        <f t="shared" si="188"/>
        <v>99996</v>
      </c>
      <c r="AB859">
        <f t="shared" si="189"/>
        <v>5091</v>
      </c>
      <c r="AC859">
        <f t="shared" si="190"/>
        <v>1519485.1199999999</v>
      </c>
      <c r="AD859">
        <f t="shared" si="191"/>
        <v>1329.383307086614</v>
      </c>
      <c r="AE859">
        <f t="shared" si="192"/>
        <v>0.35149999999999998</v>
      </c>
      <c r="AF859">
        <f t="shared" si="193"/>
        <v>877961592.86999965</v>
      </c>
      <c r="AG859" t="str">
        <f t="shared" si="194"/>
        <v>Active</v>
      </c>
      <c r="AH859">
        <f t="shared" si="195"/>
        <v>5234.3999999999996</v>
      </c>
    </row>
    <row r="860" spans="1:34" x14ac:dyDescent="0.35">
      <c r="A860" t="s">
        <v>2398</v>
      </c>
      <c r="B860" t="s">
        <v>2399</v>
      </c>
      <c r="C860">
        <v>30</v>
      </c>
      <c r="D860" t="s">
        <v>38</v>
      </c>
      <c r="E860" t="s">
        <v>23</v>
      </c>
      <c r="F860" t="s">
        <v>59</v>
      </c>
      <c r="G860">
        <v>166890</v>
      </c>
      <c r="H860">
        <v>473</v>
      </c>
      <c r="I860">
        <v>46345</v>
      </c>
      <c r="J860">
        <v>19.46</v>
      </c>
      <c r="K860">
        <v>12</v>
      </c>
      <c r="L860" t="s">
        <v>52</v>
      </c>
      <c r="M860">
        <v>59.39</v>
      </c>
      <c r="N860">
        <v>79493</v>
      </c>
      <c r="O860">
        <v>129130</v>
      </c>
      <c r="P860" t="s">
        <v>860</v>
      </c>
      <c r="Q860" t="s">
        <v>61</v>
      </c>
      <c r="R860" t="s">
        <v>48</v>
      </c>
      <c r="S860" t="s">
        <v>68</v>
      </c>
      <c r="T860">
        <v>4613.6400000000003</v>
      </c>
      <c r="U860">
        <f t="shared" si="182"/>
        <v>1142</v>
      </c>
      <c r="V860">
        <f t="shared" si="183"/>
        <v>429</v>
      </c>
      <c r="W860">
        <f t="shared" si="184"/>
        <v>353</v>
      </c>
      <c r="X860">
        <f t="shared" si="185"/>
        <v>0.35149999999999998</v>
      </c>
      <c r="Y860" s="1">
        <f t="shared" si="186"/>
        <v>58423465</v>
      </c>
      <c r="Z860">
        <f t="shared" si="187"/>
        <v>51158.901050788088</v>
      </c>
      <c r="AA860">
        <f t="shared" si="188"/>
        <v>99996</v>
      </c>
      <c r="AB860">
        <f t="shared" si="189"/>
        <v>5091</v>
      </c>
      <c r="AC860">
        <f t="shared" si="190"/>
        <v>1519048.92</v>
      </c>
      <c r="AD860">
        <f t="shared" si="191"/>
        <v>1330.1654290718038</v>
      </c>
      <c r="AE860">
        <f t="shared" si="192"/>
        <v>0.35149999999999998</v>
      </c>
      <c r="AF860">
        <f t="shared" si="193"/>
        <v>876442107.74999976</v>
      </c>
      <c r="AG860" t="str">
        <f t="shared" si="194"/>
        <v>Active</v>
      </c>
      <c r="AH860">
        <f t="shared" si="195"/>
        <v>55363.680000000008</v>
      </c>
    </row>
    <row r="861" spans="1:34" x14ac:dyDescent="0.35">
      <c r="A861" t="s">
        <v>2400</v>
      </c>
      <c r="B861" t="s">
        <v>2401</v>
      </c>
      <c r="C861">
        <v>43</v>
      </c>
      <c r="D861" t="s">
        <v>22</v>
      </c>
      <c r="E861" t="s">
        <v>23</v>
      </c>
      <c r="F861" t="s">
        <v>24</v>
      </c>
      <c r="G861">
        <v>180647</v>
      </c>
      <c r="H861">
        <v>742</v>
      </c>
      <c r="I861">
        <v>86815</v>
      </c>
      <c r="J861">
        <v>15.23</v>
      </c>
      <c r="K861">
        <v>36</v>
      </c>
      <c r="L861" t="s">
        <v>33</v>
      </c>
      <c r="M861">
        <v>16</v>
      </c>
      <c r="N861">
        <v>22282</v>
      </c>
      <c r="O861">
        <v>145077</v>
      </c>
      <c r="P861" t="s">
        <v>99</v>
      </c>
      <c r="Q861" t="s">
        <v>42</v>
      </c>
      <c r="R861" t="s">
        <v>28</v>
      </c>
      <c r="S861" t="s">
        <v>43</v>
      </c>
      <c r="T861">
        <v>2778.8</v>
      </c>
      <c r="U861">
        <f t="shared" si="182"/>
        <v>1141</v>
      </c>
      <c r="V861">
        <f t="shared" si="183"/>
        <v>429</v>
      </c>
      <c r="W861">
        <f t="shared" si="184"/>
        <v>352</v>
      </c>
      <c r="X861">
        <f t="shared" si="185"/>
        <v>0.35149999999999998</v>
      </c>
      <c r="Y861" s="1">
        <f t="shared" si="186"/>
        <v>58377120</v>
      </c>
      <c r="Z861">
        <f t="shared" si="187"/>
        <v>51163.120070113939</v>
      </c>
      <c r="AA861">
        <f t="shared" si="188"/>
        <v>99996</v>
      </c>
      <c r="AB861">
        <f t="shared" si="189"/>
        <v>5091</v>
      </c>
      <c r="AC861">
        <f t="shared" si="190"/>
        <v>1514435.2799999998</v>
      </c>
      <c r="AD861">
        <f t="shared" si="191"/>
        <v>1327.2877125328657</v>
      </c>
      <c r="AE861">
        <f t="shared" si="192"/>
        <v>0.35149999999999998</v>
      </c>
      <c r="AF861">
        <f t="shared" si="193"/>
        <v>874923058.82999969</v>
      </c>
      <c r="AG861" t="str">
        <f t="shared" si="194"/>
        <v>Over Paid</v>
      </c>
      <c r="AH861">
        <f t="shared" si="195"/>
        <v>33345.600000000006</v>
      </c>
    </row>
    <row r="862" spans="1:34" x14ac:dyDescent="0.35">
      <c r="A862" t="s">
        <v>2402</v>
      </c>
      <c r="B862" t="s">
        <v>2403</v>
      </c>
      <c r="C862">
        <v>64</v>
      </c>
      <c r="D862" t="s">
        <v>38</v>
      </c>
      <c r="E862" t="s">
        <v>39</v>
      </c>
      <c r="F862" t="s">
        <v>59</v>
      </c>
      <c r="G862">
        <v>143570</v>
      </c>
      <c r="H862">
        <v>484</v>
      </c>
      <c r="I862">
        <v>30079</v>
      </c>
      <c r="J862">
        <v>10.199999999999999</v>
      </c>
      <c r="K862">
        <v>360</v>
      </c>
      <c r="L862" t="s">
        <v>33</v>
      </c>
      <c r="M862">
        <v>13.49</v>
      </c>
      <c r="N862">
        <v>58199</v>
      </c>
      <c r="O862">
        <v>139456</v>
      </c>
      <c r="P862" t="s">
        <v>2404</v>
      </c>
      <c r="Q862" t="s">
        <v>42</v>
      </c>
      <c r="R862" t="s">
        <v>48</v>
      </c>
      <c r="S862" t="s">
        <v>29</v>
      </c>
      <c r="T862">
        <v>92.08</v>
      </c>
      <c r="U862">
        <f t="shared" si="182"/>
        <v>1140</v>
      </c>
      <c r="V862">
        <f t="shared" si="183"/>
        <v>428</v>
      </c>
      <c r="W862">
        <f t="shared" si="184"/>
        <v>352</v>
      </c>
      <c r="X862">
        <f t="shared" si="185"/>
        <v>0.35149999999999998</v>
      </c>
      <c r="Y862" s="1">
        <f t="shared" si="186"/>
        <v>58290305</v>
      </c>
      <c r="Z862">
        <f t="shared" si="187"/>
        <v>51131.846491228069</v>
      </c>
      <c r="AA862">
        <f t="shared" si="188"/>
        <v>99996</v>
      </c>
      <c r="AB862">
        <f t="shared" si="189"/>
        <v>5091</v>
      </c>
      <c r="AC862">
        <f t="shared" si="190"/>
        <v>1511656.4800000002</v>
      </c>
      <c r="AD862">
        <f t="shared" si="191"/>
        <v>1326.0144561403511</v>
      </c>
      <c r="AE862">
        <f t="shared" si="192"/>
        <v>0.35149999999999998</v>
      </c>
      <c r="AF862">
        <f t="shared" si="193"/>
        <v>873408623.54999971</v>
      </c>
      <c r="AG862" t="str">
        <f t="shared" si="194"/>
        <v>Active</v>
      </c>
      <c r="AH862">
        <f t="shared" si="195"/>
        <v>1104.96</v>
      </c>
    </row>
    <row r="863" spans="1:34" x14ac:dyDescent="0.35">
      <c r="A863" t="s">
        <v>2405</v>
      </c>
      <c r="B863" t="s">
        <v>2406</v>
      </c>
      <c r="C863">
        <v>51</v>
      </c>
      <c r="D863" t="s">
        <v>22</v>
      </c>
      <c r="E863" t="s">
        <v>23</v>
      </c>
      <c r="F863" t="s">
        <v>24</v>
      </c>
      <c r="G863">
        <v>132719</v>
      </c>
      <c r="H863">
        <v>832</v>
      </c>
      <c r="I863">
        <v>38418</v>
      </c>
      <c r="J863">
        <v>10.79</v>
      </c>
      <c r="K863">
        <v>120</v>
      </c>
      <c r="L863" t="s">
        <v>33</v>
      </c>
      <c r="M863">
        <v>35.65</v>
      </c>
      <c r="N863">
        <v>23179</v>
      </c>
      <c r="O863">
        <v>25322</v>
      </c>
      <c r="P863" t="s">
        <v>1326</v>
      </c>
      <c r="Q863" t="s">
        <v>42</v>
      </c>
      <c r="R863" t="s">
        <v>48</v>
      </c>
      <c r="S863" t="s">
        <v>35</v>
      </c>
      <c r="T863">
        <v>354.69</v>
      </c>
      <c r="U863">
        <f t="shared" si="182"/>
        <v>1139</v>
      </c>
      <c r="V863">
        <f t="shared" si="183"/>
        <v>427</v>
      </c>
      <c r="W863">
        <f t="shared" si="184"/>
        <v>352</v>
      </c>
      <c r="X863">
        <f t="shared" si="185"/>
        <v>0.35149999999999998</v>
      </c>
      <c r="Y863" s="1">
        <f t="shared" si="186"/>
        <v>58260226</v>
      </c>
      <c r="Z863">
        <f t="shared" si="187"/>
        <v>51150.330114135206</v>
      </c>
      <c r="AA863">
        <f t="shared" si="188"/>
        <v>99996</v>
      </c>
      <c r="AB863">
        <f t="shared" si="189"/>
        <v>5091</v>
      </c>
      <c r="AC863">
        <f t="shared" si="190"/>
        <v>1511564.4000000001</v>
      </c>
      <c r="AD863">
        <f t="shared" si="191"/>
        <v>1327.0978050921863</v>
      </c>
      <c r="AE863">
        <f t="shared" si="192"/>
        <v>0.35149999999999998</v>
      </c>
      <c r="AF863">
        <f t="shared" si="193"/>
        <v>871896967.06999969</v>
      </c>
      <c r="AG863" t="str">
        <f t="shared" si="194"/>
        <v>Active</v>
      </c>
      <c r="AH863">
        <f t="shared" si="195"/>
        <v>4256.28</v>
      </c>
    </row>
    <row r="864" spans="1:34" x14ac:dyDescent="0.35">
      <c r="A864" t="s">
        <v>2407</v>
      </c>
      <c r="B864" t="s">
        <v>2408</v>
      </c>
      <c r="C864">
        <v>60</v>
      </c>
      <c r="D864" t="s">
        <v>22</v>
      </c>
      <c r="E864" t="s">
        <v>39</v>
      </c>
      <c r="F864" t="s">
        <v>24</v>
      </c>
      <c r="G864">
        <v>197107</v>
      </c>
      <c r="H864">
        <v>324</v>
      </c>
      <c r="I864">
        <v>50777</v>
      </c>
      <c r="J864">
        <v>12.38</v>
      </c>
      <c r="K864">
        <v>36</v>
      </c>
      <c r="L864" t="s">
        <v>52</v>
      </c>
      <c r="M864">
        <v>43.1</v>
      </c>
      <c r="N864">
        <v>43444</v>
      </c>
      <c r="O864">
        <v>39570</v>
      </c>
      <c r="P864" t="s">
        <v>2409</v>
      </c>
      <c r="Q864" t="s">
        <v>42</v>
      </c>
      <c r="R864" t="s">
        <v>28</v>
      </c>
      <c r="S864" t="s">
        <v>43</v>
      </c>
      <c r="T864">
        <v>1585.09</v>
      </c>
      <c r="U864">
        <f t="shared" si="182"/>
        <v>1138</v>
      </c>
      <c r="V864">
        <f t="shared" si="183"/>
        <v>426</v>
      </c>
      <c r="W864">
        <f t="shared" si="184"/>
        <v>352</v>
      </c>
      <c r="X864">
        <f t="shared" si="185"/>
        <v>0.35149999999999998</v>
      </c>
      <c r="Y864" s="1">
        <f t="shared" si="186"/>
        <v>58221808</v>
      </c>
      <c r="Z864">
        <f t="shared" si="187"/>
        <v>51161.518453427067</v>
      </c>
      <c r="AA864">
        <f t="shared" si="188"/>
        <v>99996</v>
      </c>
      <c r="AB864">
        <f t="shared" si="189"/>
        <v>5091</v>
      </c>
      <c r="AC864">
        <f t="shared" si="190"/>
        <v>1511209.7100000002</v>
      </c>
      <c r="AD864">
        <f t="shared" si="191"/>
        <v>1327.9522934973641</v>
      </c>
      <c r="AE864">
        <f t="shared" si="192"/>
        <v>0.35149999999999998</v>
      </c>
      <c r="AF864">
        <f t="shared" si="193"/>
        <v>870385402.6699996</v>
      </c>
      <c r="AG864" t="str">
        <f t="shared" si="194"/>
        <v>Active</v>
      </c>
      <c r="AH864">
        <f t="shared" si="195"/>
        <v>19021.079999999998</v>
      </c>
    </row>
    <row r="865" spans="1:34" x14ac:dyDescent="0.35">
      <c r="A865" t="s">
        <v>2410</v>
      </c>
      <c r="B865" t="s">
        <v>2411</v>
      </c>
      <c r="C865">
        <v>39</v>
      </c>
      <c r="D865" t="s">
        <v>22</v>
      </c>
      <c r="E865" t="s">
        <v>23</v>
      </c>
      <c r="F865" t="s">
        <v>46</v>
      </c>
      <c r="G865">
        <v>142930</v>
      </c>
      <c r="H865">
        <v>842</v>
      </c>
      <c r="I865">
        <v>17586</v>
      </c>
      <c r="J865">
        <v>8.02</v>
      </c>
      <c r="K865">
        <v>24</v>
      </c>
      <c r="L865" t="s">
        <v>40</v>
      </c>
      <c r="M865">
        <v>30.97</v>
      </c>
      <c r="N865">
        <v>31229</v>
      </c>
      <c r="O865">
        <v>212659</v>
      </c>
      <c r="P865" t="s">
        <v>2412</v>
      </c>
      <c r="Q865" t="s">
        <v>27</v>
      </c>
      <c r="R865" t="s">
        <v>48</v>
      </c>
      <c r="S865" t="s">
        <v>43</v>
      </c>
      <c r="T865">
        <v>791.52</v>
      </c>
      <c r="U865">
        <f t="shared" si="182"/>
        <v>1137</v>
      </c>
      <c r="V865">
        <f t="shared" si="183"/>
        <v>425</v>
      </c>
      <c r="W865">
        <f t="shared" si="184"/>
        <v>352</v>
      </c>
      <c r="X865">
        <f t="shared" si="185"/>
        <v>0.35149999999999998</v>
      </c>
      <c r="Y865" s="1">
        <f t="shared" si="186"/>
        <v>58171031</v>
      </c>
      <c r="Z865">
        <f t="shared" si="187"/>
        <v>51161.856640281439</v>
      </c>
      <c r="AA865">
        <f t="shared" si="188"/>
        <v>99996</v>
      </c>
      <c r="AB865">
        <f t="shared" si="189"/>
        <v>5091</v>
      </c>
      <c r="AC865">
        <f t="shared" si="190"/>
        <v>1509624.62</v>
      </c>
      <c r="AD865">
        <f t="shared" si="191"/>
        <v>1327.7261389621813</v>
      </c>
      <c r="AE865">
        <f t="shared" si="192"/>
        <v>0.35149999999999998</v>
      </c>
      <c r="AF865">
        <f t="shared" si="193"/>
        <v>868874192.95999968</v>
      </c>
      <c r="AG865" t="str">
        <f t="shared" si="194"/>
        <v>Active</v>
      </c>
      <c r="AH865">
        <f t="shared" si="195"/>
        <v>9498.24</v>
      </c>
    </row>
    <row r="866" spans="1:34" x14ac:dyDescent="0.35">
      <c r="A866" t="s">
        <v>2413</v>
      </c>
      <c r="B866" t="s">
        <v>2414</v>
      </c>
      <c r="C866">
        <v>33</v>
      </c>
      <c r="D866" t="s">
        <v>38</v>
      </c>
      <c r="E866" t="s">
        <v>32</v>
      </c>
      <c r="F866" t="s">
        <v>24</v>
      </c>
      <c r="G866">
        <v>174735</v>
      </c>
      <c r="H866">
        <v>427</v>
      </c>
      <c r="I866">
        <v>80094</v>
      </c>
      <c r="J866">
        <v>7.53</v>
      </c>
      <c r="K866">
        <v>24</v>
      </c>
      <c r="L866" t="s">
        <v>86</v>
      </c>
      <c r="M866">
        <v>7.95</v>
      </c>
      <c r="N866">
        <v>38699</v>
      </c>
      <c r="O866">
        <v>70215</v>
      </c>
      <c r="P866" t="s">
        <v>2415</v>
      </c>
      <c r="Q866" t="s">
        <v>27</v>
      </c>
      <c r="R866" t="s">
        <v>28</v>
      </c>
      <c r="S866" t="s">
        <v>35</v>
      </c>
      <c r="T866">
        <v>3588.54</v>
      </c>
      <c r="U866">
        <f t="shared" si="182"/>
        <v>1136</v>
      </c>
      <c r="V866">
        <f t="shared" si="183"/>
        <v>425</v>
      </c>
      <c r="W866">
        <f t="shared" si="184"/>
        <v>352</v>
      </c>
      <c r="X866">
        <f t="shared" si="185"/>
        <v>0.35149999999999998</v>
      </c>
      <c r="Y866" s="1">
        <f t="shared" si="186"/>
        <v>58153445</v>
      </c>
      <c r="Z866">
        <f t="shared" si="187"/>
        <v>51191.412852112677</v>
      </c>
      <c r="AA866">
        <f t="shared" si="188"/>
        <v>99996</v>
      </c>
      <c r="AB866">
        <f t="shared" si="189"/>
        <v>5091</v>
      </c>
      <c r="AC866">
        <f t="shared" si="190"/>
        <v>1508833.1</v>
      </c>
      <c r="AD866">
        <f t="shared" si="191"/>
        <v>1328.1981514084507</v>
      </c>
      <c r="AE866">
        <f t="shared" si="192"/>
        <v>0.35149999999999998</v>
      </c>
      <c r="AF866">
        <f t="shared" si="193"/>
        <v>867364568.33999968</v>
      </c>
      <c r="AG866" t="str">
        <f t="shared" si="194"/>
        <v>Active</v>
      </c>
      <c r="AH866">
        <f t="shared" si="195"/>
        <v>43062.479999999996</v>
      </c>
    </row>
    <row r="867" spans="1:34" x14ac:dyDescent="0.35">
      <c r="A867" t="s">
        <v>2416</v>
      </c>
      <c r="B867" t="s">
        <v>2417</v>
      </c>
      <c r="C867">
        <v>34</v>
      </c>
      <c r="D867" t="s">
        <v>22</v>
      </c>
      <c r="E867" t="s">
        <v>32</v>
      </c>
      <c r="F867" t="s">
        <v>46</v>
      </c>
      <c r="G867">
        <v>55888</v>
      </c>
      <c r="H867">
        <v>544</v>
      </c>
      <c r="I867">
        <v>60523</v>
      </c>
      <c r="J867">
        <v>11.64</v>
      </c>
      <c r="K867">
        <v>24</v>
      </c>
      <c r="L867" t="s">
        <v>52</v>
      </c>
      <c r="M867">
        <v>58.26</v>
      </c>
      <c r="N867">
        <v>16714</v>
      </c>
      <c r="O867">
        <v>104958</v>
      </c>
      <c r="P867" t="s">
        <v>2418</v>
      </c>
      <c r="Q867" t="s">
        <v>27</v>
      </c>
      <c r="R867" t="s">
        <v>28</v>
      </c>
      <c r="S867" t="s">
        <v>43</v>
      </c>
      <c r="T867">
        <v>2815.33</v>
      </c>
      <c r="U867">
        <f t="shared" si="182"/>
        <v>1135</v>
      </c>
      <c r="V867">
        <f t="shared" si="183"/>
        <v>425</v>
      </c>
      <c r="W867">
        <f t="shared" si="184"/>
        <v>352</v>
      </c>
      <c r="X867">
        <f t="shared" si="185"/>
        <v>0.35149999999999998</v>
      </c>
      <c r="Y867" s="1">
        <f t="shared" si="186"/>
        <v>58073351</v>
      </c>
      <c r="Z867">
        <f t="shared" si="187"/>
        <v>51165.948017621144</v>
      </c>
      <c r="AA867">
        <f t="shared" si="188"/>
        <v>99996</v>
      </c>
      <c r="AB867">
        <f t="shared" si="189"/>
        <v>5091</v>
      </c>
      <c r="AC867">
        <f t="shared" si="190"/>
        <v>1505244.56</v>
      </c>
      <c r="AD867">
        <f t="shared" si="191"/>
        <v>1326.2066607929517</v>
      </c>
      <c r="AE867">
        <f t="shared" si="192"/>
        <v>0.35149999999999998</v>
      </c>
      <c r="AF867">
        <f t="shared" si="193"/>
        <v>865855735.23999965</v>
      </c>
      <c r="AG867" t="str">
        <f t="shared" si="194"/>
        <v>Active</v>
      </c>
      <c r="AH867">
        <f t="shared" si="195"/>
        <v>33783.96</v>
      </c>
    </row>
    <row r="868" spans="1:34" x14ac:dyDescent="0.35">
      <c r="A868" t="s">
        <v>2419</v>
      </c>
      <c r="B868" t="s">
        <v>2420</v>
      </c>
      <c r="C868">
        <v>50</v>
      </c>
      <c r="D868" t="s">
        <v>38</v>
      </c>
      <c r="E868" t="s">
        <v>32</v>
      </c>
      <c r="F868" t="s">
        <v>24</v>
      </c>
      <c r="G868">
        <v>123902</v>
      </c>
      <c r="H868">
        <v>677</v>
      </c>
      <c r="I868">
        <v>66119</v>
      </c>
      <c r="J868">
        <v>21.28</v>
      </c>
      <c r="K868">
        <v>120</v>
      </c>
      <c r="L868" t="s">
        <v>52</v>
      </c>
      <c r="M868">
        <v>23.26</v>
      </c>
      <c r="N868">
        <v>50339</v>
      </c>
      <c r="O868">
        <v>241065</v>
      </c>
      <c r="P868" t="s">
        <v>2026</v>
      </c>
      <c r="Q868" t="s">
        <v>42</v>
      </c>
      <c r="R868" t="s">
        <v>48</v>
      </c>
      <c r="S868" t="s">
        <v>29</v>
      </c>
      <c r="T868">
        <v>668.24</v>
      </c>
      <c r="U868">
        <f t="shared" si="182"/>
        <v>1134</v>
      </c>
      <c r="V868">
        <f t="shared" si="183"/>
        <v>425</v>
      </c>
      <c r="W868">
        <f t="shared" si="184"/>
        <v>352</v>
      </c>
      <c r="X868">
        <f t="shared" si="185"/>
        <v>0.35149999999999998</v>
      </c>
      <c r="Y868" s="1">
        <f t="shared" si="186"/>
        <v>58012828</v>
      </c>
      <c r="Z868">
        <f t="shared" si="187"/>
        <v>51157.696649029982</v>
      </c>
      <c r="AA868">
        <f t="shared" si="188"/>
        <v>99996</v>
      </c>
      <c r="AB868">
        <f t="shared" si="189"/>
        <v>5091</v>
      </c>
      <c r="AC868">
        <f t="shared" si="190"/>
        <v>1502429.23</v>
      </c>
      <c r="AD868">
        <f t="shared" si="191"/>
        <v>1324.8935008818341</v>
      </c>
      <c r="AE868">
        <f t="shared" si="192"/>
        <v>0.35149999999999998</v>
      </c>
      <c r="AF868">
        <f t="shared" si="193"/>
        <v>864350490.67999971</v>
      </c>
      <c r="AG868" t="str">
        <f t="shared" si="194"/>
        <v>Active</v>
      </c>
      <c r="AH868">
        <f t="shared" si="195"/>
        <v>8018.88</v>
      </c>
    </row>
    <row r="869" spans="1:34" x14ac:dyDescent="0.35">
      <c r="A869" t="s">
        <v>2421</v>
      </c>
      <c r="B869" t="s">
        <v>2422</v>
      </c>
      <c r="C869">
        <v>58</v>
      </c>
      <c r="D869" t="s">
        <v>38</v>
      </c>
      <c r="E869" t="s">
        <v>32</v>
      </c>
      <c r="F869" t="s">
        <v>59</v>
      </c>
      <c r="G869">
        <v>167069</v>
      </c>
      <c r="H869">
        <v>656</v>
      </c>
      <c r="I869">
        <v>55689</v>
      </c>
      <c r="J869">
        <v>18.77</v>
      </c>
      <c r="K869">
        <v>60</v>
      </c>
      <c r="L869" t="s">
        <v>52</v>
      </c>
      <c r="M869">
        <v>11.19</v>
      </c>
      <c r="N869">
        <v>33007</v>
      </c>
      <c r="O869">
        <v>23026</v>
      </c>
      <c r="P869" t="s">
        <v>1326</v>
      </c>
      <c r="Q869" t="s">
        <v>42</v>
      </c>
      <c r="R869" t="s">
        <v>48</v>
      </c>
      <c r="S869" t="s">
        <v>49</v>
      </c>
      <c r="T869">
        <v>1102.3599999999999</v>
      </c>
      <c r="U869">
        <f t="shared" si="182"/>
        <v>1133</v>
      </c>
      <c r="V869">
        <f t="shared" si="183"/>
        <v>424</v>
      </c>
      <c r="W869">
        <f t="shared" si="184"/>
        <v>352</v>
      </c>
      <c r="X869">
        <f t="shared" si="185"/>
        <v>0.35149999999999998</v>
      </c>
      <c r="Y869" s="1">
        <f t="shared" si="186"/>
        <v>57946709</v>
      </c>
      <c r="Z869">
        <f t="shared" si="187"/>
        <v>51144.491615180938</v>
      </c>
      <c r="AA869">
        <f t="shared" si="188"/>
        <v>99996</v>
      </c>
      <c r="AB869">
        <f t="shared" si="189"/>
        <v>5091</v>
      </c>
      <c r="AC869">
        <f t="shared" si="190"/>
        <v>1501760.99</v>
      </c>
      <c r="AD869">
        <f t="shared" si="191"/>
        <v>1325.4730714916152</v>
      </c>
      <c r="AE869">
        <f t="shared" si="192"/>
        <v>0.35149999999999998</v>
      </c>
      <c r="AF869">
        <f t="shared" si="193"/>
        <v>862848061.44999969</v>
      </c>
      <c r="AG869" t="str">
        <f t="shared" si="194"/>
        <v>Active</v>
      </c>
      <c r="AH869">
        <f t="shared" si="195"/>
        <v>13228.32</v>
      </c>
    </row>
    <row r="870" spans="1:34" x14ac:dyDescent="0.35">
      <c r="A870" t="s">
        <v>2423</v>
      </c>
      <c r="B870" t="s">
        <v>2424</v>
      </c>
      <c r="C870">
        <v>57</v>
      </c>
      <c r="D870" t="s">
        <v>22</v>
      </c>
      <c r="E870" t="s">
        <v>39</v>
      </c>
      <c r="F870" t="s">
        <v>24</v>
      </c>
      <c r="G870">
        <v>134023</v>
      </c>
      <c r="H870">
        <v>497</v>
      </c>
      <c r="I870">
        <v>66934</v>
      </c>
      <c r="J870">
        <v>6.97</v>
      </c>
      <c r="K870">
        <v>180</v>
      </c>
      <c r="L870" t="s">
        <v>86</v>
      </c>
      <c r="M870">
        <v>5.7</v>
      </c>
      <c r="N870">
        <v>56657</v>
      </c>
      <c r="O870">
        <v>192046</v>
      </c>
      <c r="P870" t="s">
        <v>2106</v>
      </c>
      <c r="Q870" t="s">
        <v>61</v>
      </c>
      <c r="R870" t="s">
        <v>28</v>
      </c>
      <c r="S870" t="s">
        <v>68</v>
      </c>
      <c r="T870">
        <v>397.77</v>
      </c>
      <c r="U870">
        <f t="shared" si="182"/>
        <v>1132</v>
      </c>
      <c r="V870">
        <f t="shared" si="183"/>
        <v>423</v>
      </c>
      <c r="W870">
        <f t="shared" si="184"/>
        <v>352</v>
      </c>
      <c r="X870">
        <f t="shared" si="185"/>
        <v>0.35149999999999998</v>
      </c>
      <c r="Y870" s="1">
        <f t="shared" si="186"/>
        <v>57891020</v>
      </c>
      <c r="Z870">
        <f t="shared" si="187"/>
        <v>51140.477031802118</v>
      </c>
      <c r="AA870">
        <f t="shared" si="188"/>
        <v>99996</v>
      </c>
      <c r="AB870">
        <f t="shared" si="189"/>
        <v>5091</v>
      </c>
      <c r="AC870">
        <f t="shared" si="190"/>
        <v>1500658.63</v>
      </c>
      <c r="AD870">
        <f t="shared" si="191"/>
        <v>1325.6701678445229</v>
      </c>
      <c r="AE870">
        <f t="shared" si="192"/>
        <v>0.35149999999999998</v>
      </c>
      <c r="AF870">
        <f t="shared" si="193"/>
        <v>861346300.45999956</v>
      </c>
      <c r="AG870" t="str">
        <f t="shared" si="194"/>
        <v>Active</v>
      </c>
      <c r="AH870">
        <f t="shared" si="195"/>
        <v>4773.24</v>
      </c>
    </row>
    <row r="871" spans="1:34" x14ac:dyDescent="0.35">
      <c r="A871" t="s">
        <v>2425</v>
      </c>
      <c r="B871" t="s">
        <v>2426</v>
      </c>
      <c r="C871">
        <v>46</v>
      </c>
      <c r="D871" t="s">
        <v>22</v>
      </c>
      <c r="E871" t="s">
        <v>32</v>
      </c>
      <c r="F871" t="s">
        <v>46</v>
      </c>
      <c r="G871">
        <v>51756</v>
      </c>
      <c r="H871">
        <v>492</v>
      </c>
      <c r="I871">
        <v>43783</v>
      </c>
      <c r="J871">
        <v>11.37</v>
      </c>
      <c r="K871">
        <v>240</v>
      </c>
      <c r="L871" t="s">
        <v>86</v>
      </c>
      <c r="M871">
        <v>27.79</v>
      </c>
      <c r="N871">
        <v>16869</v>
      </c>
      <c r="O871">
        <v>102808</v>
      </c>
      <c r="P871" t="s">
        <v>1878</v>
      </c>
      <c r="Q871" t="s">
        <v>42</v>
      </c>
      <c r="R871" t="s">
        <v>28</v>
      </c>
      <c r="S871" t="s">
        <v>43</v>
      </c>
      <c r="T871">
        <v>203.17</v>
      </c>
      <c r="U871">
        <f t="shared" si="182"/>
        <v>1131</v>
      </c>
      <c r="V871">
        <f t="shared" si="183"/>
        <v>423</v>
      </c>
      <c r="W871">
        <f t="shared" si="184"/>
        <v>351</v>
      </c>
      <c r="X871">
        <f t="shared" si="185"/>
        <v>0.35149999999999998</v>
      </c>
      <c r="Y871" s="1">
        <f t="shared" si="186"/>
        <v>57824086</v>
      </c>
      <c r="Z871">
        <f t="shared" si="187"/>
        <v>51126.51282051282</v>
      </c>
      <c r="AA871">
        <f t="shared" si="188"/>
        <v>99996</v>
      </c>
      <c r="AB871">
        <f t="shared" si="189"/>
        <v>5091</v>
      </c>
      <c r="AC871">
        <f t="shared" si="190"/>
        <v>1500260.86</v>
      </c>
      <c r="AD871">
        <f t="shared" si="191"/>
        <v>1326.4905923961098</v>
      </c>
      <c r="AE871">
        <f t="shared" si="192"/>
        <v>0.35149999999999998</v>
      </c>
      <c r="AF871">
        <f t="shared" si="193"/>
        <v>859845641.82999957</v>
      </c>
      <c r="AG871" t="str">
        <f t="shared" si="194"/>
        <v>Active</v>
      </c>
      <c r="AH871">
        <f t="shared" si="195"/>
        <v>2438.04</v>
      </c>
    </row>
    <row r="872" spans="1:34" x14ac:dyDescent="0.35">
      <c r="A872" t="s">
        <v>2427</v>
      </c>
      <c r="B872" t="s">
        <v>2428</v>
      </c>
      <c r="C872">
        <v>23</v>
      </c>
      <c r="D872" t="s">
        <v>22</v>
      </c>
      <c r="E872" t="s">
        <v>39</v>
      </c>
      <c r="F872" t="s">
        <v>24</v>
      </c>
      <c r="G872">
        <v>54402</v>
      </c>
      <c r="H872">
        <v>483</v>
      </c>
      <c r="I872">
        <v>57293</v>
      </c>
      <c r="J872">
        <v>16.53</v>
      </c>
      <c r="K872">
        <v>240</v>
      </c>
      <c r="L872" t="s">
        <v>25</v>
      </c>
      <c r="M872">
        <v>45.2</v>
      </c>
      <c r="N872">
        <v>67072</v>
      </c>
      <c r="O872">
        <v>26843</v>
      </c>
      <c r="P872" t="s">
        <v>1458</v>
      </c>
      <c r="Q872" t="s">
        <v>27</v>
      </c>
      <c r="R872" t="s">
        <v>48</v>
      </c>
      <c r="S872" t="s">
        <v>68</v>
      </c>
      <c r="T872">
        <v>278.18</v>
      </c>
      <c r="U872">
        <f t="shared" si="182"/>
        <v>1130</v>
      </c>
      <c r="V872">
        <f t="shared" si="183"/>
        <v>422</v>
      </c>
      <c r="W872">
        <f t="shared" si="184"/>
        <v>351</v>
      </c>
      <c r="X872">
        <f t="shared" si="185"/>
        <v>0.35149999999999998</v>
      </c>
      <c r="Y872" s="1">
        <f t="shared" si="186"/>
        <v>57780303</v>
      </c>
      <c r="Z872">
        <f t="shared" si="187"/>
        <v>51133.01150442478</v>
      </c>
      <c r="AA872">
        <f t="shared" si="188"/>
        <v>99996</v>
      </c>
      <c r="AB872">
        <f t="shared" si="189"/>
        <v>5091</v>
      </c>
      <c r="AC872">
        <f t="shared" si="190"/>
        <v>1500057.69</v>
      </c>
      <c r="AD872">
        <f t="shared" si="191"/>
        <v>1327.4846814159291</v>
      </c>
      <c r="AE872">
        <f t="shared" si="192"/>
        <v>0.35149999999999998</v>
      </c>
      <c r="AF872">
        <f t="shared" si="193"/>
        <v>858345380.96999967</v>
      </c>
      <c r="AG872" t="str">
        <f t="shared" si="194"/>
        <v>Active</v>
      </c>
      <c r="AH872">
        <f t="shared" si="195"/>
        <v>3338.16</v>
      </c>
    </row>
    <row r="873" spans="1:34" x14ac:dyDescent="0.35">
      <c r="A873" t="s">
        <v>2429</v>
      </c>
      <c r="B873" t="s">
        <v>2430</v>
      </c>
      <c r="C873">
        <v>24</v>
      </c>
      <c r="D873" t="s">
        <v>22</v>
      </c>
      <c r="E873" t="s">
        <v>23</v>
      </c>
      <c r="F873" t="s">
        <v>46</v>
      </c>
      <c r="G873">
        <v>164630</v>
      </c>
      <c r="H873">
        <v>814</v>
      </c>
      <c r="I873">
        <v>74918</v>
      </c>
      <c r="J873">
        <v>18.91</v>
      </c>
      <c r="K873">
        <v>240</v>
      </c>
      <c r="L873" t="s">
        <v>33</v>
      </c>
      <c r="M873">
        <v>50.03</v>
      </c>
      <c r="N873">
        <v>43503</v>
      </c>
      <c r="O873">
        <v>211056</v>
      </c>
      <c r="P873" t="s">
        <v>1231</v>
      </c>
      <c r="Q873" t="s">
        <v>61</v>
      </c>
      <c r="R873" t="s">
        <v>48</v>
      </c>
      <c r="S873" t="s">
        <v>29</v>
      </c>
      <c r="T873">
        <v>371.19</v>
      </c>
      <c r="U873">
        <f t="shared" si="182"/>
        <v>1129</v>
      </c>
      <c r="V873">
        <f t="shared" si="183"/>
        <v>422</v>
      </c>
      <c r="W873">
        <f t="shared" si="184"/>
        <v>351</v>
      </c>
      <c r="X873">
        <f t="shared" si="185"/>
        <v>0.35149999999999998</v>
      </c>
      <c r="Y873" s="1">
        <f t="shared" si="186"/>
        <v>57723010</v>
      </c>
      <c r="Z873">
        <f t="shared" si="187"/>
        <v>51127.555358724538</v>
      </c>
      <c r="AA873">
        <f t="shared" si="188"/>
        <v>99996</v>
      </c>
      <c r="AB873">
        <f t="shared" si="189"/>
        <v>5091</v>
      </c>
      <c r="AC873">
        <f t="shared" si="190"/>
        <v>1499779.51</v>
      </c>
      <c r="AD873">
        <f t="shared" si="191"/>
        <v>1328.4140921169176</v>
      </c>
      <c r="AE873">
        <f t="shared" si="192"/>
        <v>0.35149999999999998</v>
      </c>
      <c r="AF873">
        <f t="shared" si="193"/>
        <v>856845323.27999961</v>
      </c>
      <c r="AG873" t="str">
        <f t="shared" si="194"/>
        <v>Active</v>
      </c>
      <c r="AH873">
        <f t="shared" si="195"/>
        <v>4454.28</v>
      </c>
    </row>
    <row r="874" spans="1:34" x14ac:dyDescent="0.35">
      <c r="A874" t="s">
        <v>2431</v>
      </c>
      <c r="B874" t="s">
        <v>2432</v>
      </c>
      <c r="C874">
        <v>52</v>
      </c>
      <c r="D874" t="s">
        <v>22</v>
      </c>
      <c r="E874" t="s">
        <v>39</v>
      </c>
      <c r="F874" t="s">
        <v>59</v>
      </c>
      <c r="G874">
        <v>128867</v>
      </c>
      <c r="H874">
        <v>469</v>
      </c>
      <c r="I874">
        <v>44519</v>
      </c>
      <c r="J874">
        <v>17.8</v>
      </c>
      <c r="K874">
        <v>180</v>
      </c>
      <c r="L874" t="s">
        <v>52</v>
      </c>
      <c r="M874">
        <v>31.36</v>
      </c>
      <c r="N874">
        <v>50538</v>
      </c>
      <c r="O874">
        <v>206998</v>
      </c>
      <c r="P874" t="s">
        <v>477</v>
      </c>
      <c r="Q874" t="s">
        <v>61</v>
      </c>
      <c r="R874" t="s">
        <v>48</v>
      </c>
      <c r="S874" t="s">
        <v>29</v>
      </c>
      <c r="T874">
        <v>291.35000000000002</v>
      </c>
      <c r="U874">
        <f t="shared" si="182"/>
        <v>1128</v>
      </c>
      <c r="V874">
        <f t="shared" si="183"/>
        <v>422</v>
      </c>
      <c r="W874">
        <f t="shared" si="184"/>
        <v>350</v>
      </c>
      <c r="X874">
        <f t="shared" si="185"/>
        <v>0.35149999999999998</v>
      </c>
      <c r="Y874" s="1">
        <f t="shared" si="186"/>
        <v>57648092</v>
      </c>
      <c r="Z874">
        <f t="shared" si="187"/>
        <v>51106.464539007095</v>
      </c>
      <c r="AA874">
        <f t="shared" si="188"/>
        <v>99996</v>
      </c>
      <c r="AB874">
        <f t="shared" si="189"/>
        <v>5091</v>
      </c>
      <c r="AC874">
        <f t="shared" si="190"/>
        <v>1499408.3200000003</v>
      </c>
      <c r="AD874">
        <f t="shared" si="191"/>
        <v>1329.2626950354613</v>
      </c>
      <c r="AE874">
        <f t="shared" si="192"/>
        <v>0.35149999999999998</v>
      </c>
      <c r="AF874">
        <f t="shared" si="193"/>
        <v>855345543.7699995</v>
      </c>
      <c r="AG874" t="str">
        <f t="shared" si="194"/>
        <v>Active</v>
      </c>
      <c r="AH874">
        <f t="shared" si="195"/>
        <v>3496.2000000000003</v>
      </c>
    </row>
    <row r="875" spans="1:34" x14ac:dyDescent="0.35">
      <c r="A875" t="s">
        <v>2433</v>
      </c>
      <c r="B875" t="s">
        <v>2434</v>
      </c>
      <c r="C875">
        <v>65</v>
      </c>
      <c r="D875" t="s">
        <v>38</v>
      </c>
      <c r="E875" t="s">
        <v>39</v>
      </c>
      <c r="F875" t="s">
        <v>59</v>
      </c>
      <c r="G875">
        <v>98219</v>
      </c>
      <c r="H875">
        <v>340</v>
      </c>
      <c r="I875">
        <v>32352</v>
      </c>
      <c r="J875">
        <v>4.33</v>
      </c>
      <c r="K875">
        <v>48</v>
      </c>
      <c r="L875" t="s">
        <v>52</v>
      </c>
      <c r="M875">
        <v>11.92</v>
      </c>
      <c r="N875">
        <v>36599</v>
      </c>
      <c r="O875">
        <v>241870</v>
      </c>
      <c r="P875" t="s">
        <v>2435</v>
      </c>
      <c r="Q875" t="s">
        <v>42</v>
      </c>
      <c r="R875" t="s">
        <v>28</v>
      </c>
      <c r="S875" t="s">
        <v>35</v>
      </c>
      <c r="T875">
        <v>703.18</v>
      </c>
      <c r="U875">
        <f t="shared" si="182"/>
        <v>1127</v>
      </c>
      <c r="V875">
        <f t="shared" si="183"/>
        <v>422</v>
      </c>
      <c r="W875">
        <f t="shared" si="184"/>
        <v>349</v>
      </c>
      <c r="X875">
        <f t="shared" si="185"/>
        <v>0.35149999999999998</v>
      </c>
      <c r="Y875" s="1">
        <f t="shared" si="186"/>
        <v>57603573</v>
      </c>
      <c r="Z875">
        <f t="shared" si="187"/>
        <v>51112.309671694762</v>
      </c>
      <c r="AA875">
        <f t="shared" si="188"/>
        <v>99996</v>
      </c>
      <c r="AB875">
        <f t="shared" si="189"/>
        <v>5091</v>
      </c>
      <c r="AC875">
        <f t="shared" si="190"/>
        <v>1499116.9700000002</v>
      </c>
      <c r="AD875">
        <f t="shared" si="191"/>
        <v>1330.1836468500446</v>
      </c>
      <c r="AE875">
        <f t="shared" si="192"/>
        <v>0.35149999999999998</v>
      </c>
      <c r="AF875">
        <f t="shared" si="193"/>
        <v>853846135.44999957</v>
      </c>
      <c r="AG875" t="str">
        <f t="shared" si="194"/>
        <v>Active</v>
      </c>
      <c r="AH875">
        <f t="shared" si="195"/>
        <v>8438.16</v>
      </c>
    </row>
    <row r="876" spans="1:34" x14ac:dyDescent="0.35">
      <c r="A876" t="s">
        <v>2436</v>
      </c>
      <c r="B876" t="s">
        <v>2437</v>
      </c>
      <c r="C876">
        <v>64</v>
      </c>
      <c r="D876" t="s">
        <v>38</v>
      </c>
      <c r="E876" t="s">
        <v>39</v>
      </c>
      <c r="F876" t="s">
        <v>46</v>
      </c>
      <c r="G876">
        <v>92837</v>
      </c>
      <c r="H876">
        <v>484</v>
      </c>
      <c r="I876">
        <v>27048</v>
      </c>
      <c r="J876">
        <v>13.76</v>
      </c>
      <c r="K876">
        <v>12</v>
      </c>
      <c r="L876" t="s">
        <v>25</v>
      </c>
      <c r="M876">
        <v>42.89</v>
      </c>
      <c r="N876">
        <v>34677</v>
      </c>
      <c r="O876">
        <v>23513</v>
      </c>
      <c r="P876" t="s">
        <v>2438</v>
      </c>
      <c r="Q876" t="s">
        <v>27</v>
      </c>
      <c r="R876" t="s">
        <v>28</v>
      </c>
      <c r="S876" t="s">
        <v>49</v>
      </c>
      <c r="T876">
        <v>2564.15</v>
      </c>
      <c r="U876">
        <f t="shared" si="182"/>
        <v>1126</v>
      </c>
      <c r="V876">
        <f t="shared" si="183"/>
        <v>421</v>
      </c>
      <c r="W876">
        <f t="shared" si="184"/>
        <v>349</v>
      </c>
      <c r="X876">
        <f t="shared" si="185"/>
        <v>0.35149999999999998</v>
      </c>
      <c r="Y876" s="1">
        <f t="shared" si="186"/>
        <v>57571221</v>
      </c>
      <c r="Z876">
        <f t="shared" si="187"/>
        <v>51128.970692717587</v>
      </c>
      <c r="AA876">
        <f t="shared" si="188"/>
        <v>99996</v>
      </c>
      <c r="AB876">
        <f t="shared" si="189"/>
        <v>5091</v>
      </c>
      <c r="AC876">
        <f t="shared" si="190"/>
        <v>1498413.7900000003</v>
      </c>
      <c r="AD876">
        <f t="shared" si="191"/>
        <v>1330.7404884547072</v>
      </c>
      <c r="AE876">
        <f t="shared" si="192"/>
        <v>0.35149999999999998</v>
      </c>
      <c r="AF876">
        <f t="shared" si="193"/>
        <v>852347018.47999954</v>
      </c>
      <c r="AG876" t="str">
        <f t="shared" si="194"/>
        <v>Active</v>
      </c>
      <c r="AH876">
        <f t="shared" si="195"/>
        <v>30769.800000000003</v>
      </c>
    </row>
    <row r="877" spans="1:34" x14ac:dyDescent="0.35">
      <c r="A877" t="s">
        <v>2439</v>
      </c>
      <c r="B877" t="s">
        <v>2440</v>
      </c>
      <c r="C877">
        <v>44</v>
      </c>
      <c r="D877" t="s">
        <v>38</v>
      </c>
      <c r="E877" t="s">
        <v>23</v>
      </c>
      <c r="F877" t="s">
        <v>46</v>
      </c>
      <c r="G877">
        <v>120362</v>
      </c>
      <c r="H877">
        <v>685</v>
      </c>
      <c r="I877">
        <v>50348</v>
      </c>
      <c r="J877">
        <v>23.47</v>
      </c>
      <c r="K877">
        <v>60</v>
      </c>
      <c r="L877" t="s">
        <v>52</v>
      </c>
      <c r="M877">
        <v>15.6</v>
      </c>
      <c r="N877">
        <v>50233</v>
      </c>
      <c r="O877">
        <v>159330</v>
      </c>
      <c r="P877" t="s">
        <v>1974</v>
      </c>
      <c r="Q877" t="s">
        <v>61</v>
      </c>
      <c r="R877" t="s">
        <v>28</v>
      </c>
      <c r="S877" t="s">
        <v>43</v>
      </c>
      <c r="T877">
        <v>1036.08</v>
      </c>
      <c r="U877">
        <f t="shared" si="182"/>
        <v>1125</v>
      </c>
      <c r="V877">
        <f t="shared" si="183"/>
        <v>421</v>
      </c>
      <c r="W877">
        <f t="shared" si="184"/>
        <v>349</v>
      </c>
      <c r="X877">
        <f t="shared" si="185"/>
        <v>0.35149999999999998</v>
      </c>
      <c r="Y877" s="1">
        <f t="shared" si="186"/>
        <v>57544173</v>
      </c>
      <c r="Z877">
        <f t="shared" si="187"/>
        <v>51150.375999999997</v>
      </c>
      <c r="AA877">
        <f t="shared" si="188"/>
        <v>99996</v>
      </c>
      <c r="AB877">
        <f t="shared" si="189"/>
        <v>5091</v>
      </c>
      <c r="AC877">
        <f t="shared" si="190"/>
        <v>1495849.6400000004</v>
      </c>
      <c r="AD877">
        <f t="shared" si="191"/>
        <v>1329.6441244444447</v>
      </c>
      <c r="AE877">
        <f t="shared" si="192"/>
        <v>0.35149999999999998</v>
      </c>
      <c r="AF877">
        <f t="shared" si="193"/>
        <v>850848604.68999958</v>
      </c>
      <c r="AG877" t="str">
        <f t="shared" si="194"/>
        <v>Over Paid</v>
      </c>
      <c r="AH877">
        <f t="shared" si="195"/>
        <v>12432.96</v>
      </c>
    </row>
    <row r="878" spans="1:34" x14ac:dyDescent="0.35">
      <c r="A878" t="s">
        <v>2441</v>
      </c>
      <c r="B878" t="s">
        <v>2442</v>
      </c>
      <c r="C878">
        <v>34</v>
      </c>
      <c r="D878" t="s">
        <v>22</v>
      </c>
      <c r="E878" t="s">
        <v>39</v>
      </c>
      <c r="F878" t="s">
        <v>59</v>
      </c>
      <c r="G878">
        <v>61840</v>
      </c>
      <c r="H878">
        <v>685</v>
      </c>
      <c r="I878">
        <v>53646</v>
      </c>
      <c r="J878">
        <v>12</v>
      </c>
      <c r="K878">
        <v>12</v>
      </c>
      <c r="L878" t="s">
        <v>33</v>
      </c>
      <c r="M878">
        <v>18.149999999999999</v>
      </c>
      <c r="N878">
        <v>7052</v>
      </c>
      <c r="O878">
        <v>210730</v>
      </c>
      <c r="P878" t="s">
        <v>248</v>
      </c>
      <c r="Q878" t="s">
        <v>27</v>
      </c>
      <c r="R878" t="s">
        <v>28</v>
      </c>
      <c r="S878" t="s">
        <v>29</v>
      </c>
      <c r="T878">
        <v>5006.96</v>
      </c>
      <c r="U878">
        <f t="shared" si="182"/>
        <v>1124</v>
      </c>
      <c r="V878">
        <f t="shared" si="183"/>
        <v>421</v>
      </c>
      <c r="W878">
        <f t="shared" si="184"/>
        <v>348</v>
      </c>
      <c r="X878">
        <f t="shared" si="185"/>
        <v>0.35149999999999998</v>
      </c>
      <c r="Y878" s="1">
        <f t="shared" si="186"/>
        <v>57493825</v>
      </c>
      <c r="Z878">
        <f t="shared" si="187"/>
        <v>51151.089857651248</v>
      </c>
      <c r="AA878">
        <f t="shared" si="188"/>
        <v>99996</v>
      </c>
      <c r="AB878">
        <f t="shared" si="189"/>
        <v>5091</v>
      </c>
      <c r="AC878">
        <f t="shared" si="190"/>
        <v>1494813.5600000005</v>
      </c>
      <c r="AD878">
        <f t="shared" si="191"/>
        <v>1329.9053024911036</v>
      </c>
      <c r="AE878">
        <f t="shared" si="192"/>
        <v>0.35149999999999998</v>
      </c>
      <c r="AF878">
        <f t="shared" si="193"/>
        <v>849352755.04999959</v>
      </c>
      <c r="AG878" t="str">
        <f t="shared" si="194"/>
        <v>Active</v>
      </c>
      <c r="AH878">
        <f t="shared" si="195"/>
        <v>60083.520000000004</v>
      </c>
    </row>
    <row r="879" spans="1:34" x14ac:dyDescent="0.35">
      <c r="A879" t="s">
        <v>2443</v>
      </c>
      <c r="B879" t="s">
        <v>2444</v>
      </c>
      <c r="C879">
        <v>46</v>
      </c>
      <c r="D879" t="s">
        <v>38</v>
      </c>
      <c r="E879" t="s">
        <v>39</v>
      </c>
      <c r="F879" t="s">
        <v>24</v>
      </c>
      <c r="G879">
        <v>155185</v>
      </c>
      <c r="H879">
        <v>657</v>
      </c>
      <c r="I879">
        <v>86831</v>
      </c>
      <c r="J879">
        <v>11.89</v>
      </c>
      <c r="K879">
        <v>120</v>
      </c>
      <c r="L879" t="s">
        <v>40</v>
      </c>
      <c r="M879">
        <v>36.31</v>
      </c>
      <c r="N879">
        <v>16503</v>
      </c>
      <c r="O879">
        <v>234482</v>
      </c>
      <c r="P879" t="s">
        <v>2445</v>
      </c>
      <c r="Q879" t="s">
        <v>27</v>
      </c>
      <c r="R879" t="s">
        <v>48</v>
      </c>
      <c r="S879" t="s">
        <v>43</v>
      </c>
      <c r="T879">
        <v>809.63</v>
      </c>
      <c r="U879">
        <f t="shared" si="182"/>
        <v>1123</v>
      </c>
      <c r="V879">
        <f t="shared" si="183"/>
        <v>421</v>
      </c>
      <c r="W879">
        <f t="shared" si="184"/>
        <v>348</v>
      </c>
      <c r="X879">
        <f t="shared" si="185"/>
        <v>0.35149999999999998</v>
      </c>
      <c r="Y879" s="1">
        <f t="shared" si="186"/>
        <v>57440179</v>
      </c>
      <c r="Z879">
        <f t="shared" si="187"/>
        <v>51148.868210151377</v>
      </c>
      <c r="AA879">
        <f t="shared" si="188"/>
        <v>99996</v>
      </c>
      <c r="AB879">
        <f t="shared" si="189"/>
        <v>5091</v>
      </c>
      <c r="AC879">
        <f t="shared" si="190"/>
        <v>1489806.6000000006</v>
      </c>
      <c r="AD879">
        <f t="shared" si="191"/>
        <v>1326.6309884238651</v>
      </c>
      <c r="AE879">
        <f t="shared" si="192"/>
        <v>0.35149999999999998</v>
      </c>
      <c r="AF879">
        <f t="shared" si="193"/>
        <v>847857941.48999965</v>
      </c>
      <c r="AG879" t="str">
        <f t="shared" si="194"/>
        <v>Over Paid</v>
      </c>
      <c r="AH879">
        <f t="shared" si="195"/>
        <v>9715.56</v>
      </c>
    </row>
    <row r="880" spans="1:34" x14ac:dyDescent="0.35">
      <c r="A880" t="s">
        <v>2446</v>
      </c>
      <c r="B880" t="s">
        <v>2447</v>
      </c>
      <c r="C880">
        <v>40</v>
      </c>
      <c r="D880" t="s">
        <v>38</v>
      </c>
      <c r="E880" t="s">
        <v>32</v>
      </c>
      <c r="F880" t="s">
        <v>59</v>
      </c>
      <c r="G880">
        <v>111998</v>
      </c>
      <c r="H880">
        <v>431</v>
      </c>
      <c r="I880">
        <v>15341</v>
      </c>
      <c r="J880">
        <v>4.07</v>
      </c>
      <c r="K880">
        <v>24</v>
      </c>
      <c r="L880" t="s">
        <v>40</v>
      </c>
      <c r="M880">
        <v>25.33</v>
      </c>
      <c r="N880">
        <v>71436</v>
      </c>
      <c r="O880">
        <v>137065</v>
      </c>
      <c r="P880" t="s">
        <v>2448</v>
      </c>
      <c r="Q880" t="s">
        <v>61</v>
      </c>
      <c r="R880" t="s">
        <v>48</v>
      </c>
      <c r="S880" t="s">
        <v>49</v>
      </c>
      <c r="T880">
        <v>665.22</v>
      </c>
      <c r="U880">
        <f t="shared" si="182"/>
        <v>1122</v>
      </c>
      <c r="V880">
        <f t="shared" si="183"/>
        <v>421</v>
      </c>
      <c r="W880">
        <f t="shared" si="184"/>
        <v>348</v>
      </c>
      <c r="X880">
        <f t="shared" si="185"/>
        <v>0.35149999999999998</v>
      </c>
      <c r="Y880" s="1">
        <f t="shared" si="186"/>
        <v>57353348</v>
      </c>
      <c r="Z880">
        <f t="shared" si="187"/>
        <v>51117.065953654186</v>
      </c>
      <c r="AA880">
        <f t="shared" si="188"/>
        <v>99996</v>
      </c>
      <c r="AB880">
        <f t="shared" si="189"/>
        <v>5091</v>
      </c>
      <c r="AC880">
        <f t="shared" si="190"/>
        <v>1488996.9700000007</v>
      </c>
      <c r="AD880">
        <f t="shared" si="191"/>
        <v>1327.0917736185388</v>
      </c>
      <c r="AE880">
        <f t="shared" si="192"/>
        <v>0.35149999999999998</v>
      </c>
      <c r="AF880">
        <f t="shared" si="193"/>
        <v>846368134.88999951</v>
      </c>
      <c r="AG880" t="str">
        <f t="shared" si="194"/>
        <v>Active</v>
      </c>
      <c r="AH880">
        <f t="shared" si="195"/>
        <v>7982.64</v>
      </c>
    </row>
    <row r="881" spans="1:34" x14ac:dyDescent="0.35">
      <c r="A881" t="s">
        <v>2449</v>
      </c>
      <c r="B881" t="s">
        <v>2450</v>
      </c>
      <c r="C881">
        <v>39</v>
      </c>
      <c r="D881" t="s">
        <v>38</v>
      </c>
      <c r="E881" t="s">
        <v>32</v>
      </c>
      <c r="F881" t="s">
        <v>59</v>
      </c>
      <c r="G881">
        <v>65780</v>
      </c>
      <c r="H881">
        <v>615</v>
      </c>
      <c r="I881">
        <v>29419</v>
      </c>
      <c r="J881">
        <v>14.61</v>
      </c>
      <c r="K881">
        <v>60</v>
      </c>
      <c r="L881" t="s">
        <v>33</v>
      </c>
      <c r="M881">
        <v>38.89</v>
      </c>
      <c r="N881">
        <v>78077</v>
      </c>
      <c r="O881">
        <v>12206</v>
      </c>
      <c r="P881" t="s">
        <v>2451</v>
      </c>
      <c r="Q881" t="s">
        <v>42</v>
      </c>
      <c r="R881" t="s">
        <v>28</v>
      </c>
      <c r="S881" t="s">
        <v>29</v>
      </c>
      <c r="T881">
        <v>561.95000000000005</v>
      </c>
      <c r="U881">
        <f t="shared" si="182"/>
        <v>1121</v>
      </c>
      <c r="V881">
        <f t="shared" si="183"/>
        <v>421</v>
      </c>
      <c r="W881">
        <f t="shared" si="184"/>
        <v>347</v>
      </c>
      <c r="X881">
        <f t="shared" si="185"/>
        <v>0.35149999999999998</v>
      </c>
      <c r="Y881" s="1">
        <f t="shared" si="186"/>
        <v>57338007</v>
      </c>
      <c r="Z881">
        <f t="shared" si="187"/>
        <v>51148.98037466548</v>
      </c>
      <c r="AA881">
        <f t="shared" si="188"/>
        <v>99996</v>
      </c>
      <c r="AB881">
        <f t="shared" si="189"/>
        <v>5091</v>
      </c>
      <c r="AC881">
        <f t="shared" si="190"/>
        <v>1488331.7500000007</v>
      </c>
      <c r="AD881">
        <f t="shared" si="191"/>
        <v>1327.6822033898311</v>
      </c>
      <c r="AE881">
        <f t="shared" si="192"/>
        <v>0.35149999999999998</v>
      </c>
      <c r="AF881">
        <f t="shared" si="193"/>
        <v>844879137.91999972</v>
      </c>
      <c r="AG881" t="str">
        <f t="shared" si="194"/>
        <v>Active</v>
      </c>
      <c r="AH881">
        <f t="shared" si="195"/>
        <v>6743.4000000000005</v>
      </c>
    </row>
    <row r="882" spans="1:34" x14ac:dyDescent="0.35">
      <c r="A882" t="s">
        <v>2452</v>
      </c>
      <c r="B882" t="s">
        <v>2453</v>
      </c>
      <c r="C882">
        <v>37</v>
      </c>
      <c r="D882" t="s">
        <v>22</v>
      </c>
      <c r="E882" t="s">
        <v>23</v>
      </c>
      <c r="F882" t="s">
        <v>59</v>
      </c>
      <c r="G882">
        <v>97789</v>
      </c>
      <c r="H882">
        <v>640</v>
      </c>
      <c r="I882">
        <v>63685</v>
      </c>
      <c r="J882">
        <v>16.37</v>
      </c>
      <c r="K882">
        <v>12</v>
      </c>
      <c r="L882" t="s">
        <v>52</v>
      </c>
      <c r="M882">
        <v>44.65</v>
      </c>
      <c r="N882">
        <v>51585</v>
      </c>
      <c r="O882">
        <v>230472</v>
      </c>
      <c r="P882" t="s">
        <v>221</v>
      </c>
      <c r="Q882" t="s">
        <v>27</v>
      </c>
      <c r="R882" t="s">
        <v>48</v>
      </c>
      <c r="S882" t="s">
        <v>29</v>
      </c>
      <c r="T882">
        <v>6175.85</v>
      </c>
      <c r="U882">
        <f t="shared" si="182"/>
        <v>1120</v>
      </c>
      <c r="V882">
        <f t="shared" si="183"/>
        <v>420</v>
      </c>
      <c r="W882">
        <f t="shared" si="184"/>
        <v>347</v>
      </c>
      <c r="X882">
        <f t="shared" si="185"/>
        <v>0.35149999999999998</v>
      </c>
      <c r="Y882" s="1">
        <f t="shared" si="186"/>
        <v>57308588</v>
      </c>
      <c r="Z882">
        <f t="shared" si="187"/>
        <v>51168.382142857146</v>
      </c>
      <c r="AA882">
        <f t="shared" si="188"/>
        <v>99996</v>
      </c>
      <c r="AB882">
        <f t="shared" si="189"/>
        <v>5091</v>
      </c>
      <c r="AC882">
        <f t="shared" si="190"/>
        <v>1487769.8000000005</v>
      </c>
      <c r="AD882">
        <f t="shared" si="191"/>
        <v>1328.3658928571433</v>
      </c>
      <c r="AE882">
        <f t="shared" si="192"/>
        <v>0.35149999999999998</v>
      </c>
      <c r="AF882">
        <f t="shared" si="193"/>
        <v>843390806.16999972</v>
      </c>
      <c r="AG882" t="str">
        <f t="shared" si="194"/>
        <v>Active</v>
      </c>
      <c r="AH882">
        <f t="shared" si="195"/>
        <v>74110.200000000012</v>
      </c>
    </row>
    <row r="883" spans="1:34" x14ac:dyDescent="0.35">
      <c r="A883" t="s">
        <v>2454</v>
      </c>
      <c r="B883" t="s">
        <v>2455</v>
      </c>
      <c r="C883">
        <v>26</v>
      </c>
      <c r="D883" t="s">
        <v>22</v>
      </c>
      <c r="E883" t="s">
        <v>23</v>
      </c>
      <c r="F883" t="s">
        <v>59</v>
      </c>
      <c r="G883">
        <v>131680</v>
      </c>
      <c r="H883">
        <v>351</v>
      </c>
      <c r="I883">
        <v>87066</v>
      </c>
      <c r="J883">
        <v>8.8000000000000007</v>
      </c>
      <c r="K883">
        <v>48</v>
      </c>
      <c r="L883" t="s">
        <v>33</v>
      </c>
      <c r="M883">
        <v>8.7200000000000006</v>
      </c>
      <c r="N883">
        <v>47241</v>
      </c>
      <c r="O883">
        <v>52943</v>
      </c>
      <c r="P883" t="s">
        <v>2456</v>
      </c>
      <c r="Q883" t="s">
        <v>42</v>
      </c>
      <c r="R883" t="s">
        <v>28</v>
      </c>
      <c r="S883" t="s">
        <v>43</v>
      </c>
      <c r="T883">
        <v>1973.5</v>
      </c>
      <c r="U883">
        <f t="shared" si="182"/>
        <v>1119</v>
      </c>
      <c r="V883">
        <f t="shared" si="183"/>
        <v>420</v>
      </c>
      <c r="W883">
        <f t="shared" si="184"/>
        <v>347</v>
      </c>
      <c r="X883">
        <f t="shared" si="185"/>
        <v>0.35149999999999998</v>
      </c>
      <c r="Y883" s="1">
        <f t="shared" si="186"/>
        <v>57244903</v>
      </c>
      <c r="Z883">
        <f t="shared" si="187"/>
        <v>51157.19660411081</v>
      </c>
      <c r="AA883">
        <f t="shared" si="188"/>
        <v>99996</v>
      </c>
      <c r="AB883">
        <f t="shared" si="189"/>
        <v>5091</v>
      </c>
      <c r="AC883">
        <f t="shared" si="190"/>
        <v>1481593.9500000009</v>
      </c>
      <c r="AD883">
        <f t="shared" si="191"/>
        <v>1324.0339142091161</v>
      </c>
      <c r="AE883">
        <f t="shared" si="192"/>
        <v>0.35149999999999998</v>
      </c>
      <c r="AF883">
        <f t="shared" si="193"/>
        <v>841903036.36999977</v>
      </c>
      <c r="AG883" t="str">
        <f t="shared" si="194"/>
        <v>Over Paid</v>
      </c>
      <c r="AH883">
        <f t="shared" si="195"/>
        <v>23682</v>
      </c>
    </row>
    <row r="884" spans="1:34" x14ac:dyDescent="0.35">
      <c r="A884" t="s">
        <v>2457</v>
      </c>
      <c r="B884" t="s">
        <v>2458</v>
      </c>
      <c r="C884">
        <v>32</v>
      </c>
      <c r="D884" t="s">
        <v>38</v>
      </c>
      <c r="E884" t="s">
        <v>39</v>
      </c>
      <c r="F884" t="s">
        <v>59</v>
      </c>
      <c r="G884">
        <v>177955</v>
      </c>
      <c r="H884">
        <v>385</v>
      </c>
      <c r="I884">
        <v>46138</v>
      </c>
      <c r="J884">
        <v>14.14</v>
      </c>
      <c r="K884">
        <v>24</v>
      </c>
      <c r="L884" t="s">
        <v>52</v>
      </c>
      <c r="M884">
        <v>5.59</v>
      </c>
      <c r="N884">
        <v>6862</v>
      </c>
      <c r="O884">
        <v>243527</v>
      </c>
      <c r="P884" t="s">
        <v>2459</v>
      </c>
      <c r="Q884" t="s">
        <v>27</v>
      </c>
      <c r="R884" t="s">
        <v>28</v>
      </c>
      <c r="S884" t="s">
        <v>49</v>
      </c>
      <c r="T884">
        <v>2194.25</v>
      </c>
      <c r="U884">
        <f t="shared" si="182"/>
        <v>1118</v>
      </c>
      <c r="V884">
        <f t="shared" si="183"/>
        <v>419</v>
      </c>
      <c r="W884">
        <f t="shared" si="184"/>
        <v>347</v>
      </c>
      <c r="X884">
        <f t="shared" si="185"/>
        <v>0.35149999999999998</v>
      </c>
      <c r="Y884" s="1">
        <f t="shared" si="186"/>
        <v>57157837</v>
      </c>
      <c r="Z884">
        <f t="shared" si="187"/>
        <v>51125.077817531303</v>
      </c>
      <c r="AA884">
        <f t="shared" si="188"/>
        <v>99996</v>
      </c>
      <c r="AB884">
        <f t="shared" si="189"/>
        <v>5091</v>
      </c>
      <c r="AC884">
        <f t="shared" si="190"/>
        <v>1479620.4500000009</v>
      </c>
      <c r="AD884">
        <f t="shared" si="191"/>
        <v>1323.4529964221833</v>
      </c>
      <c r="AE884">
        <f t="shared" si="192"/>
        <v>0.35149999999999998</v>
      </c>
      <c r="AF884">
        <f t="shared" si="193"/>
        <v>840421442.41999972</v>
      </c>
      <c r="AG884" t="str">
        <f t="shared" si="194"/>
        <v>Active</v>
      </c>
      <c r="AH884">
        <f t="shared" si="195"/>
        <v>26331</v>
      </c>
    </row>
    <row r="885" spans="1:34" x14ac:dyDescent="0.35">
      <c r="A885" t="s">
        <v>2460</v>
      </c>
      <c r="B885" t="s">
        <v>2461</v>
      </c>
      <c r="C885">
        <v>54</v>
      </c>
      <c r="D885" t="s">
        <v>38</v>
      </c>
      <c r="E885" t="s">
        <v>39</v>
      </c>
      <c r="F885" t="s">
        <v>46</v>
      </c>
      <c r="G885">
        <v>164888</v>
      </c>
      <c r="H885">
        <v>522</v>
      </c>
      <c r="I885">
        <v>78592</v>
      </c>
      <c r="J885">
        <v>3.67</v>
      </c>
      <c r="K885">
        <v>120</v>
      </c>
      <c r="L885" t="s">
        <v>40</v>
      </c>
      <c r="M885">
        <v>30.59</v>
      </c>
      <c r="N885">
        <v>47323</v>
      </c>
      <c r="O885">
        <v>109834</v>
      </c>
      <c r="P885" t="s">
        <v>242</v>
      </c>
      <c r="Q885" t="s">
        <v>27</v>
      </c>
      <c r="R885" t="s">
        <v>48</v>
      </c>
      <c r="S885" t="s">
        <v>68</v>
      </c>
      <c r="T885">
        <v>678.97</v>
      </c>
      <c r="U885">
        <f t="shared" si="182"/>
        <v>1117</v>
      </c>
      <c r="V885">
        <f t="shared" si="183"/>
        <v>419</v>
      </c>
      <c r="W885">
        <f t="shared" si="184"/>
        <v>347</v>
      </c>
      <c r="X885">
        <f t="shared" si="185"/>
        <v>0.35149999999999998</v>
      </c>
      <c r="Y885" s="1">
        <f t="shared" si="186"/>
        <v>57111699</v>
      </c>
      <c r="Z885">
        <f t="shared" si="187"/>
        <v>51129.542524619515</v>
      </c>
      <c r="AA885">
        <f t="shared" si="188"/>
        <v>99996</v>
      </c>
      <c r="AB885">
        <f t="shared" si="189"/>
        <v>5091</v>
      </c>
      <c r="AC885">
        <f t="shared" si="190"/>
        <v>1477426.2000000009</v>
      </c>
      <c r="AD885">
        <f t="shared" si="191"/>
        <v>1322.6734109221136</v>
      </c>
      <c r="AE885">
        <f t="shared" si="192"/>
        <v>0.35149999999999998</v>
      </c>
      <c r="AF885">
        <f t="shared" si="193"/>
        <v>838941821.96999979</v>
      </c>
      <c r="AG885" t="str">
        <f t="shared" si="194"/>
        <v>Active</v>
      </c>
      <c r="AH885">
        <f t="shared" si="195"/>
        <v>8147.64</v>
      </c>
    </row>
    <row r="886" spans="1:34" x14ac:dyDescent="0.35">
      <c r="A886" t="s">
        <v>2462</v>
      </c>
      <c r="B886" t="s">
        <v>2463</v>
      </c>
      <c r="C886">
        <v>38</v>
      </c>
      <c r="D886" t="s">
        <v>22</v>
      </c>
      <c r="E886" t="s">
        <v>23</v>
      </c>
      <c r="F886" t="s">
        <v>46</v>
      </c>
      <c r="G886">
        <v>199989</v>
      </c>
      <c r="H886">
        <v>479</v>
      </c>
      <c r="I886">
        <v>48047</v>
      </c>
      <c r="J886">
        <v>15.44</v>
      </c>
      <c r="K886">
        <v>12</v>
      </c>
      <c r="L886" t="s">
        <v>25</v>
      </c>
      <c r="M886">
        <v>27.6</v>
      </c>
      <c r="N886">
        <v>62987</v>
      </c>
      <c r="O886">
        <v>126669</v>
      </c>
      <c r="P886" t="s">
        <v>823</v>
      </c>
      <c r="Q886" t="s">
        <v>42</v>
      </c>
      <c r="R886" t="s">
        <v>28</v>
      </c>
      <c r="S886" t="s">
        <v>29</v>
      </c>
      <c r="T886">
        <v>4622.12</v>
      </c>
      <c r="U886">
        <f t="shared" si="182"/>
        <v>1116</v>
      </c>
      <c r="V886">
        <f t="shared" si="183"/>
        <v>419</v>
      </c>
      <c r="W886">
        <f t="shared" si="184"/>
        <v>347</v>
      </c>
      <c r="X886">
        <f t="shared" si="185"/>
        <v>0.35149999999999998</v>
      </c>
      <c r="Y886" s="1">
        <f t="shared" si="186"/>
        <v>57033107</v>
      </c>
      <c r="Z886">
        <f t="shared" si="187"/>
        <v>51104.934587813623</v>
      </c>
      <c r="AA886">
        <f t="shared" si="188"/>
        <v>99996</v>
      </c>
      <c r="AB886">
        <f t="shared" si="189"/>
        <v>5091</v>
      </c>
      <c r="AC886">
        <f t="shared" si="190"/>
        <v>1476747.2300000009</v>
      </c>
      <c r="AD886">
        <f t="shared" si="191"/>
        <v>1323.2502060931909</v>
      </c>
      <c r="AE886">
        <f t="shared" si="192"/>
        <v>0.35149999999999998</v>
      </c>
      <c r="AF886">
        <f t="shared" si="193"/>
        <v>837464395.76999974</v>
      </c>
      <c r="AG886" t="str">
        <f t="shared" si="194"/>
        <v>Active</v>
      </c>
      <c r="AH886">
        <f t="shared" si="195"/>
        <v>55465.440000000002</v>
      </c>
    </row>
    <row r="887" spans="1:34" x14ac:dyDescent="0.35">
      <c r="A887" t="s">
        <v>2464</v>
      </c>
      <c r="B887" t="s">
        <v>2465</v>
      </c>
      <c r="C887">
        <v>39</v>
      </c>
      <c r="D887" t="s">
        <v>38</v>
      </c>
      <c r="E887" t="s">
        <v>32</v>
      </c>
      <c r="F887" t="s">
        <v>24</v>
      </c>
      <c r="G887">
        <v>190100</v>
      </c>
      <c r="H887">
        <v>414</v>
      </c>
      <c r="I887">
        <v>59318</v>
      </c>
      <c r="J887">
        <v>19.43</v>
      </c>
      <c r="K887">
        <v>24</v>
      </c>
      <c r="L887" t="s">
        <v>33</v>
      </c>
      <c r="M887">
        <v>19.86</v>
      </c>
      <c r="N887">
        <v>41111</v>
      </c>
      <c r="O887">
        <v>32999</v>
      </c>
      <c r="P887" t="s">
        <v>2466</v>
      </c>
      <c r="Q887" t="s">
        <v>42</v>
      </c>
      <c r="R887" t="s">
        <v>28</v>
      </c>
      <c r="S887" t="s">
        <v>35</v>
      </c>
      <c r="T887">
        <v>2951.81</v>
      </c>
      <c r="U887">
        <f t="shared" si="182"/>
        <v>1115</v>
      </c>
      <c r="V887">
        <f t="shared" si="183"/>
        <v>418</v>
      </c>
      <c r="W887">
        <f t="shared" si="184"/>
        <v>347</v>
      </c>
      <c r="X887">
        <f t="shared" si="185"/>
        <v>0.35149999999999998</v>
      </c>
      <c r="Y887" s="1">
        <f t="shared" si="186"/>
        <v>56985060</v>
      </c>
      <c r="Z887">
        <f t="shared" si="187"/>
        <v>51107.677130044845</v>
      </c>
      <c r="AA887">
        <f t="shared" si="188"/>
        <v>99996</v>
      </c>
      <c r="AB887">
        <f t="shared" si="189"/>
        <v>5091</v>
      </c>
      <c r="AC887">
        <f t="shared" si="190"/>
        <v>1472125.110000001</v>
      </c>
      <c r="AD887">
        <f t="shared" si="191"/>
        <v>1320.2915784753372</v>
      </c>
      <c r="AE887">
        <f t="shared" si="192"/>
        <v>0.35149999999999998</v>
      </c>
      <c r="AF887">
        <f t="shared" si="193"/>
        <v>835987648.53999972</v>
      </c>
      <c r="AG887" t="str">
        <f t="shared" si="194"/>
        <v>Over Paid</v>
      </c>
      <c r="AH887">
        <f t="shared" si="195"/>
        <v>35421.72</v>
      </c>
    </row>
    <row r="888" spans="1:34" x14ac:dyDescent="0.35">
      <c r="A888" t="s">
        <v>2467</v>
      </c>
      <c r="B888" t="s">
        <v>2468</v>
      </c>
      <c r="C888">
        <v>64</v>
      </c>
      <c r="D888" t="s">
        <v>38</v>
      </c>
      <c r="E888" t="s">
        <v>32</v>
      </c>
      <c r="F888" t="s">
        <v>46</v>
      </c>
      <c r="G888">
        <v>128912</v>
      </c>
      <c r="H888">
        <v>667</v>
      </c>
      <c r="I888">
        <v>87101</v>
      </c>
      <c r="J888">
        <v>22.42</v>
      </c>
      <c r="K888">
        <v>60</v>
      </c>
      <c r="L888" t="s">
        <v>52</v>
      </c>
      <c r="M888">
        <v>47.82</v>
      </c>
      <c r="N888">
        <v>78270</v>
      </c>
      <c r="O888">
        <v>99031</v>
      </c>
      <c r="P888" t="s">
        <v>2469</v>
      </c>
      <c r="Q888" t="s">
        <v>42</v>
      </c>
      <c r="R888" t="s">
        <v>28</v>
      </c>
      <c r="S888" t="s">
        <v>68</v>
      </c>
      <c r="T888">
        <v>1777.15</v>
      </c>
      <c r="U888">
        <f t="shared" si="182"/>
        <v>1114</v>
      </c>
      <c r="V888">
        <f t="shared" si="183"/>
        <v>417</v>
      </c>
      <c r="W888">
        <f t="shared" si="184"/>
        <v>347</v>
      </c>
      <c r="X888">
        <f t="shared" si="185"/>
        <v>0.35149999999999998</v>
      </c>
      <c r="Y888" s="1">
        <f t="shared" si="186"/>
        <v>56925742</v>
      </c>
      <c r="Z888">
        <f t="shared" si="187"/>
        <v>51100.307001795329</v>
      </c>
      <c r="AA888">
        <f t="shared" si="188"/>
        <v>99996</v>
      </c>
      <c r="AB888">
        <f t="shared" si="189"/>
        <v>5091</v>
      </c>
      <c r="AC888">
        <f t="shared" si="190"/>
        <v>1469173.300000001</v>
      </c>
      <c r="AD888">
        <f t="shared" si="191"/>
        <v>1318.8270197486543</v>
      </c>
      <c r="AE888">
        <f t="shared" si="192"/>
        <v>0.35149999999999998</v>
      </c>
      <c r="AF888">
        <f t="shared" si="193"/>
        <v>834515523.42999971</v>
      </c>
      <c r="AG888" t="str">
        <f t="shared" si="194"/>
        <v>Active</v>
      </c>
      <c r="AH888">
        <f t="shared" si="195"/>
        <v>21325.800000000003</v>
      </c>
    </row>
    <row r="889" spans="1:34" x14ac:dyDescent="0.35">
      <c r="A889" t="s">
        <v>2470</v>
      </c>
      <c r="B889" t="s">
        <v>2471</v>
      </c>
      <c r="C889">
        <v>49</v>
      </c>
      <c r="D889" t="s">
        <v>22</v>
      </c>
      <c r="E889" t="s">
        <v>39</v>
      </c>
      <c r="F889" t="s">
        <v>46</v>
      </c>
      <c r="G889">
        <v>101875</v>
      </c>
      <c r="H889">
        <v>624</v>
      </c>
      <c r="I889">
        <v>68201</v>
      </c>
      <c r="J889">
        <v>12.34</v>
      </c>
      <c r="K889">
        <v>180</v>
      </c>
      <c r="L889" t="s">
        <v>40</v>
      </c>
      <c r="M889">
        <v>59.97</v>
      </c>
      <c r="N889">
        <v>57317</v>
      </c>
      <c r="O889">
        <v>10814</v>
      </c>
      <c r="P889" t="s">
        <v>2472</v>
      </c>
      <c r="Q889" t="s">
        <v>61</v>
      </c>
      <c r="R889" t="s">
        <v>28</v>
      </c>
      <c r="S889" t="s">
        <v>43</v>
      </c>
      <c r="T889">
        <v>425.65</v>
      </c>
      <c r="U889">
        <f t="shared" si="182"/>
        <v>1113</v>
      </c>
      <c r="V889">
        <f t="shared" si="183"/>
        <v>416</v>
      </c>
      <c r="W889">
        <f t="shared" si="184"/>
        <v>347</v>
      </c>
      <c r="X889">
        <f t="shared" si="185"/>
        <v>0.35149999999999998</v>
      </c>
      <c r="Y889" s="1">
        <f t="shared" si="186"/>
        <v>56838641</v>
      </c>
      <c r="Z889">
        <f t="shared" si="187"/>
        <v>51067.961365678348</v>
      </c>
      <c r="AA889">
        <f t="shared" si="188"/>
        <v>99996</v>
      </c>
      <c r="AB889">
        <f t="shared" si="189"/>
        <v>5091</v>
      </c>
      <c r="AC889">
        <f t="shared" si="190"/>
        <v>1467396.1500000011</v>
      </c>
      <c r="AD889">
        <f t="shared" si="191"/>
        <v>1318.4152291105131</v>
      </c>
      <c r="AE889">
        <f t="shared" si="192"/>
        <v>0.35149999999999998</v>
      </c>
      <c r="AF889">
        <f t="shared" si="193"/>
        <v>833046350.12999988</v>
      </c>
      <c r="AG889" t="str">
        <f t="shared" si="194"/>
        <v>Active</v>
      </c>
      <c r="AH889">
        <f t="shared" si="195"/>
        <v>5107.7999999999993</v>
      </c>
    </row>
    <row r="890" spans="1:34" x14ac:dyDescent="0.35">
      <c r="A890" t="s">
        <v>2473</v>
      </c>
      <c r="B890" t="s">
        <v>2474</v>
      </c>
      <c r="C890">
        <v>26</v>
      </c>
      <c r="D890" t="s">
        <v>38</v>
      </c>
      <c r="E890" t="s">
        <v>32</v>
      </c>
      <c r="F890" t="s">
        <v>24</v>
      </c>
      <c r="G890">
        <v>192202</v>
      </c>
      <c r="H890">
        <v>304</v>
      </c>
      <c r="I890">
        <v>5372</v>
      </c>
      <c r="J890">
        <v>13.17</v>
      </c>
      <c r="K890">
        <v>24</v>
      </c>
      <c r="L890" t="s">
        <v>40</v>
      </c>
      <c r="M890">
        <v>12.15</v>
      </c>
      <c r="N890">
        <v>20712</v>
      </c>
      <c r="O890">
        <v>182226</v>
      </c>
      <c r="P890" t="s">
        <v>2475</v>
      </c>
      <c r="Q890" t="s">
        <v>42</v>
      </c>
      <c r="R890" t="s">
        <v>28</v>
      </c>
      <c r="S890" t="s">
        <v>35</v>
      </c>
      <c r="T890">
        <v>253.31</v>
      </c>
      <c r="U890">
        <f t="shared" si="182"/>
        <v>1112</v>
      </c>
      <c r="V890">
        <f t="shared" si="183"/>
        <v>416</v>
      </c>
      <c r="W890">
        <f t="shared" si="184"/>
        <v>346</v>
      </c>
      <c r="X890">
        <f t="shared" si="185"/>
        <v>0.35149999999999998</v>
      </c>
      <c r="Y890" s="1">
        <f t="shared" si="186"/>
        <v>56770440</v>
      </c>
      <c r="Z890">
        <f t="shared" si="187"/>
        <v>51052.553956834534</v>
      </c>
      <c r="AA890">
        <f t="shared" si="188"/>
        <v>99996</v>
      </c>
      <c r="AB890">
        <f t="shared" si="189"/>
        <v>5091</v>
      </c>
      <c r="AC890">
        <f t="shared" si="190"/>
        <v>1466970.5000000009</v>
      </c>
      <c r="AD890">
        <f t="shared" si="191"/>
        <v>1319.2180755395691</v>
      </c>
      <c r="AE890">
        <f t="shared" si="192"/>
        <v>0.35149999999999998</v>
      </c>
      <c r="AF890">
        <f t="shared" si="193"/>
        <v>831578953.9799999</v>
      </c>
      <c r="AG890" t="str">
        <f t="shared" si="194"/>
        <v>Active</v>
      </c>
      <c r="AH890">
        <f t="shared" si="195"/>
        <v>3039.7200000000003</v>
      </c>
    </row>
    <row r="891" spans="1:34" x14ac:dyDescent="0.35">
      <c r="A891" t="s">
        <v>2476</v>
      </c>
      <c r="B891" t="s">
        <v>2477</v>
      </c>
      <c r="C891">
        <v>41</v>
      </c>
      <c r="D891" t="s">
        <v>22</v>
      </c>
      <c r="E891" t="s">
        <v>32</v>
      </c>
      <c r="F891" t="s">
        <v>24</v>
      </c>
      <c r="G891">
        <v>142538</v>
      </c>
      <c r="H891">
        <v>359</v>
      </c>
      <c r="I891">
        <v>25330</v>
      </c>
      <c r="J891">
        <v>14.57</v>
      </c>
      <c r="K891">
        <v>24</v>
      </c>
      <c r="L891" t="s">
        <v>25</v>
      </c>
      <c r="M891">
        <v>47.24</v>
      </c>
      <c r="N891">
        <v>24042</v>
      </c>
      <c r="O891">
        <v>139614</v>
      </c>
      <c r="P891" t="s">
        <v>2478</v>
      </c>
      <c r="Q891" t="s">
        <v>27</v>
      </c>
      <c r="R891" t="s">
        <v>28</v>
      </c>
      <c r="S891" t="s">
        <v>68</v>
      </c>
      <c r="T891">
        <v>1209.19</v>
      </c>
      <c r="U891">
        <f t="shared" si="182"/>
        <v>1111</v>
      </c>
      <c r="V891">
        <f t="shared" si="183"/>
        <v>415</v>
      </c>
      <c r="W891">
        <f t="shared" si="184"/>
        <v>346</v>
      </c>
      <c r="X891">
        <f t="shared" si="185"/>
        <v>0.35149999999999998</v>
      </c>
      <c r="Y891" s="1">
        <f t="shared" si="186"/>
        <v>56765068</v>
      </c>
      <c r="Z891">
        <f t="shared" si="187"/>
        <v>51093.670567056703</v>
      </c>
      <c r="AA891">
        <f t="shared" si="188"/>
        <v>99996</v>
      </c>
      <c r="AB891">
        <f t="shared" si="189"/>
        <v>5091</v>
      </c>
      <c r="AC891">
        <f t="shared" si="190"/>
        <v>1466717.1900000009</v>
      </c>
      <c r="AD891">
        <f t="shared" si="191"/>
        <v>1320.1774887488757</v>
      </c>
      <c r="AE891">
        <f t="shared" si="192"/>
        <v>0.35149999999999998</v>
      </c>
      <c r="AF891">
        <f t="shared" si="193"/>
        <v>830111983.47999978</v>
      </c>
      <c r="AG891" t="str">
        <f t="shared" si="194"/>
        <v>Active</v>
      </c>
      <c r="AH891">
        <f t="shared" si="195"/>
        <v>14510.28</v>
      </c>
    </row>
    <row r="892" spans="1:34" x14ac:dyDescent="0.35">
      <c r="A892" t="s">
        <v>2479</v>
      </c>
      <c r="B892" t="s">
        <v>2480</v>
      </c>
      <c r="C892">
        <v>29</v>
      </c>
      <c r="D892" t="s">
        <v>22</v>
      </c>
      <c r="E892" t="s">
        <v>39</v>
      </c>
      <c r="F892" t="s">
        <v>46</v>
      </c>
      <c r="G892">
        <v>27033</v>
      </c>
      <c r="H892">
        <v>399</v>
      </c>
      <c r="I892">
        <v>5291</v>
      </c>
      <c r="J892">
        <v>16.73</v>
      </c>
      <c r="K892">
        <v>36</v>
      </c>
      <c r="L892" t="s">
        <v>33</v>
      </c>
      <c r="M892">
        <v>19.12</v>
      </c>
      <c r="N892">
        <v>43532</v>
      </c>
      <c r="O892">
        <v>45998</v>
      </c>
      <c r="P892" t="s">
        <v>966</v>
      </c>
      <c r="Q892" t="s">
        <v>61</v>
      </c>
      <c r="R892" t="s">
        <v>28</v>
      </c>
      <c r="S892" t="s">
        <v>49</v>
      </c>
      <c r="T892">
        <v>171.56</v>
      </c>
      <c r="U892">
        <f t="shared" si="182"/>
        <v>1110</v>
      </c>
      <c r="V892">
        <f t="shared" si="183"/>
        <v>415</v>
      </c>
      <c r="W892">
        <f t="shared" si="184"/>
        <v>346</v>
      </c>
      <c r="X892">
        <f t="shared" si="185"/>
        <v>0.35149999999999998</v>
      </c>
      <c r="Y892" s="1">
        <f t="shared" si="186"/>
        <v>56739738</v>
      </c>
      <c r="Z892">
        <f t="shared" si="187"/>
        <v>51116.881081081083</v>
      </c>
      <c r="AA892">
        <f t="shared" si="188"/>
        <v>99996</v>
      </c>
      <c r="AB892">
        <f t="shared" si="189"/>
        <v>5091</v>
      </c>
      <c r="AC892">
        <f t="shared" si="190"/>
        <v>1465508.0000000007</v>
      </c>
      <c r="AD892">
        <f t="shared" si="191"/>
        <v>1320.2774774774782</v>
      </c>
      <c r="AE892">
        <f t="shared" si="192"/>
        <v>0.35149999999999998</v>
      </c>
      <c r="AF892">
        <f t="shared" si="193"/>
        <v>828645266.28999972</v>
      </c>
      <c r="AG892" t="str">
        <f t="shared" si="194"/>
        <v>Active</v>
      </c>
      <c r="AH892">
        <f t="shared" si="195"/>
        <v>2058.7200000000003</v>
      </c>
    </row>
    <row r="893" spans="1:34" x14ac:dyDescent="0.35">
      <c r="A893" t="s">
        <v>2481</v>
      </c>
      <c r="B893" t="s">
        <v>2482</v>
      </c>
      <c r="C893">
        <v>60</v>
      </c>
      <c r="D893" t="s">
        <v>38</v>
      </c>
      <c r="E893" t="s">
        <v>32</v>
      </c>
      <c r="F893" t="s">
        <v>24</v>
      </c>
      <c r="G893">
        <v>73069</v>
      </c>
      <c r="H893">
        <v>481</v>
      </c>
      <c r="I893">
        <v>94466</v>
      </c>
      <c r="J893">
        <v>22.25</v>
      </c>
      <c r="K893">
        <v>24</v>
      </c>
      <c r="L893" t="s">
        <v>40</v>
      </c>
      <c r="M893">
        <v>31.03</v>
      </c>
      <c r="N893">
        <v>13876</v>
      </c>
      <c r="O893">
        <v>40073</v>
      </c>
      <c r="P893" t="s">
        <v>2081</v>
      </c>
      <c r="Q893" t="s">
        <v>27</v>
      </c>
      <c r="R893" t="s">
        <v>28</v>
      </c>
      <c r="S893" t="s">
        <v>29</v>
      </c>
      <c r="T893">
        <v>4811.8599999999997</v>
      </c>
      <c r="U893">
        <f t="shared" si="182"/>
        <v>1109</v>
      </c>
      <c r="V893">
        <f t="shared" si="183"/>
        <v>415</v>
      </c>
      <c r="W893">
        <f t="shared" si="184"/>
        <v>345</v>
      </c>
      <c r="X893">
        <f t="shared" si="185"/>
        <v>0.35149999999999998</v>
      </c>
      <c r="Y893" s="1">
        <f t="shared" si="186"/>
        <v>56734447</v>
      </c>
      <c r="Z893">
        <f t="shared" si="187"/>
        <v>51158.202885482417</v>
      </c>
      <c r="AA893">
        <f t="shared" si="188"/>
        <v>99996</v>
      </c>
      <c r="AB893">
        <f t="shared" si="189"/>
        <v>5091</v>
      </c>
      <c r="AC893">
        <f t="shared" si="190"/>
        <v>1465336.4400000006</v>
      </c>
      <c r="AD893">
        <f t="shared" si="191"/>
        <v>1321.313291253382</v>
      </c>
      <c r="AE893">
        <f t="shared" si="192"/>
        <v>0.35149999999999998</v>
      </c>
      <c r="AF893">
        <f t="shared" si="193"/>
        <v>827179758.28999972</v>
      </c>
      <c r="AG893" t="str">
        <f t="shared" si="194"/>
        <v>Active</v>
      </c>
      <c r="AH893">
        <f t="shared" si="195"/>
        <v>57742.319999999992</v>
      </c>
    </row>
    <row r="894" spans="1:34" x14ac:dyDescent="0.35">
      <c r="A894" t="s">
        <v>2483</v>
      </c>
      <c r="B894" t="s">
        <v>2484</v>
      </c>
      <c r="C894">
        <v>48</v>
      </c>
      <c r="D894" t="s">
        <v>38</v>
      </c>
      <c r="E894" t="s">
        <v>39</v>
      </c>
      <c r="F894" t="s">
        <v>46</v>
      </c>
      <c r="G894">
        <v>77102</v>
      </c>
      <c r="H894">
        <v>488</v>
      </c>
      <c r="I894">
        <v>95191</v>
      </c>
      <c r="J894">
        <v>9.1199999999999992</v>
      </c>
      <c r="K894">
        <v>180</v>
      </c>
      <c r="L894" t="s">
        <v>40</v>
      </c>
      <c r="M894">
        <v>53.17</v>
      </c>
      <c r="N894">
        <v>62957</v>
      </c>
      <c r="O894">
        <v>34579</v>
      </c>
      <c r="P894" t="s">
        <v>2485</v>
      </c>
      <c r="Q894" t="s">
        <v>42</v>
      </c>
      <c r="R894" t="s">
        <v>28</v>
      </c>
      <c r="S894" t="s">
        <v>68</v>
      </c>
      <c r="T894">
        <v>577.07000000000005</v>
      </c>
      <c r="U894">
        <f t="shared" si="182"/>
        <v>1108</v>
      </c>
      <c r="V894">
        <f t="shared" si="183"/>
        <v>415</v>
      </c>
      <c r="W894">
        <f t="shared" si="184"/>
        <v>345</v>
      </c>
      <c r="X894">
        <f t="shared" si="185"/>
        <v>0.35149999999999998</v>
      </c>
      <c r="Y894" s="1">
        <f t="shared" si="186"/>
        <v>56639981</v>
      </c>
      <c r="Z894">
        <f t="shared" si="187"/>
        <v>51119.116425992783</v>
      </c>
      <c r="AA894">
        <f t="shared" si="188"/>
        <v>99996</v>
      </c>
      <c r="AB894">
        <f t="shared" si="189"/>
        <v>5091</v>
      </c>
      <c r="AC894">
        <f t="shared" si="190"/>
        <v>1460524.580000001</v>
      </c>
      <c r="AD894">
        <f t="shared" si="191"/>
        <v>1318.1629783393512</v>
      </c>
      <c r="AE894">
        <f t="shared" si="192"/>
        <v>0.35149999999999998</v>
      </c>
      <c r="AF894">
        <f t="shared" si="193"/>
        <v>825714421.84999967</v>
      </c>
      <c r="AG894" t="str">
        <f t="shared" si="194"/>
        <v>Active</v>
      </c>
      <c r="AH894">
        <f t="shared" si="195"/>
        <v>6924.84</v>
      </c>
    </row>
    <row r="895" spans="1:34" x14ac:dyDescent="0.35">
      <c r="A895" t="s">
        <v>2486</v>
      </c>
      <c r="B895" t="s">
        <v>2487</v>
      </c>
      <c r="C895">
        <v>35</v>
      </c>
      <c r="D895" t="s">
        <v>38</v>
      </c>
      <c r="E895" t="s">
        <v>32</v>
      </c>
      <c r="F895" t="s">
        <v>59</v>
      </c>
      <c r="G895">
        <v>154706</v>
      </c>
      <c r="H895">
        <v>676</v>
      </c>
      <c r="I895">
        <v>87795</v>
      </c>
      <c r="J895">
        <v>15.06</v>
      </c>
      <c r="K895">
        <v>180</v>
      </c>
      <c r="L895" t="s">
        <v>33</v>
      </c>
      <c r="M895">
        <v>49.74</v>
      </c>
      <c r="N895">
        <v>42073</v>
      </c>
      <c r="O895">
        <v>115915</v>
      </c>
      <c r="P895" t="s">
        <v>2488</v>
      </c>
      <c r="Q895" t="s">
        <v>27</v>
      </c>
      <c r="R895" t="s">
        <v>48</v>
      </c>
      <c r="S895" t="s">
        <v>43</v>
      </c>
      <c r="T895">
        <v>561.21</v>
      </c>
      <c r="U895">
        <f t="shared" si="182"/>
        <v>1107</v>
      </c>
      <c r="V895">
        <f t="shared" si="183"/>
        <v>414</v>
      </c>
      <c r="W895">
        <f t="shared" si="184"/>
        <v>345</v>
      </c>
      <c r="X895">
        <f t="shared" si="185"/>
        <v>0.35149999999999998</v>
      </c>
      <c r="Y895" s="1">
        <f t="shared" si="186"/>
        <v>56544790</v>
      </c>
      <c r="Z895">
        <f t="shared" si="187"/>
        <v>51079.304426377596</v>
      </c>
      <c r="AA895">
        <f t="shared" si="188"/>
        <v>99996</v>
      </c>
      <c r="AB895">
        <f t="shared" si="189"/>
        <v>5091</v>
      </c>
      <c r="AC895">
        <f t="shared" si="190"/>
        <v>1459947.5100000009</v>
      </c>
      <c r="AD895">
        <f t="shared" si="191"/>
        <v>1318.8324390243911</v>
      </c>
      <c r="AE895">
        <f t="shared" si="192"/>
        <v>0.35149999999999998</v>
      </c>
      <c r="AF895">
        <f t="shared" si="193"/>
        <v>824253897.26999974</v>
      </c>
      <c r="AG895" t="str">
        <f t="shared" si="194"/>
        <v>Active</v>
      </c>
      <c r="AH895">
        <f t="shared" si="195"/>
        <v>6734.52</v>
      </c>
    </row>
    <row r="896" spans="1:34" x14ac:dyDescent="0.35">
      <c r="A896" t="s">
        <v>2489</v>
      </c>
      <c r="B896" t="s">
        <v>2490</v>
      </c>
      <c r="C896">
        <v>59</v>
      </c>
      <c r="D896" t="s">
        <v>38</v>
      </c>
      <c r="E896" t="s">
        <v>23</v>
      </c>
      <c r="F896" t="s">
        <v>59</v>
      </c>
      <c r="G896">
        <v>164052</v>
      </c>
      <c r="H896">
        <v>453</v>
      </c>
      <c r="I896">
        <v>16039</v>
      </c>
      <c r="J896">
        <v>20.64</v>
      </c>
      <c r="K896">
        <v>24</v>
      </c>
      <c r="L896" t="s">
        <v>40</v>
      </c>
      <c r="M896">
        <v>10.84</v>
      </c>
      <c r="N896">
        <v>47438</v>
      </c>
      <c r="O896">
        <v>24268</v>
      </c>
      <c r="P896" t="s">
        <v>2491</v>
      </c>
      <c r="Q896" t="s">
        <v>27</v>
      </c>
      <c r="R896" t="s">
        <v>48</v>
      </c>
      <c r="S896" t="s">
        <v>35</v>
      </c>
      <c r="T896">
        <v>806.23</v>
      </c>
      <c r="U896">
        <f t="shared" si="182"/>
        <v>1106</v>
      </c>
      <c r="V896">
        <f t="shared" si="183"/>
        <v>414</v>
      </c>
      <c r="W896">
        <f t="shared" si="184"/>
        <v>345</v>
      </c>
      <c r="X896">
        <f t="shared" si="185"/>
        <v>0.35149999999999998</v>
      </c>
      <c r="Y896" s="1">
        <f t="shared" si="186"/>
        <v>56456995</v>
      </c>
      <c r="Z896">
        <f t="shared" si="187"/>
        <v>51046.107594936708</v>
      </c>
      <c r="AA896">
        <f t="shared" si="188"/>
        <v>99996</v>
      </c>
      <c r="AB896">
        <f t="shared" si="189"/>
        <v>5091</v>
      </c>
      <c r="AC896">
        <f t="shared" si="190"/>
        <v>1459386.3000000007</v>
      </c>
      <c r="AD896">
        <f t="shared" si="191"/>
        <v>1319.5174502712484</v>
      </c>
      <c r="AE896">
        <f t="shared" si="192"/>
        <v>0.35149999999999998</v>
      </c>
      <c r="AF896">
        <f t="shared" si="193"/>
        <v>822793949.75999987</v>
      </c>
      <c r="AG896" t="str">
        <f t="shared" si="194"/>
        <v>Active</v>
      </c>
      <c r="AH896">
        <f t="shared" si="195"/>
        <v>9674.76</v>
      </c>
    </row>
    <row r="897" spans="1:34" x14ac:dyDescent="0.35">
      <c r="A897" t="s">
        <v>2492</v>
      </c>
      <c r="B897" t="s">
        <v>2493</v>
      </c>
      <c r="C897">
        <v>62</v>
      </c>
      <c r="D897" t="s">
        <v>22</v>
      </c>
      <c r="E897" t="s">
        <v>23</v>
      </c>
      <c r="F897" t="s">
        <v>46</v>
      </c>
      <c r="G897">
        <v>86139</v>
      </c>
      <c r="H897">
        <v>534</v>
      </c>
      <c r="I897">
        <v>83177</v>
      </c>
      <c r="J897">
        <v>15.08</v>
      </c>
      <c r="K897">
        <v>36</v>
      </c>
      <c r="L897" t="s">
        <v>52</v>
      </c>
      <c r="M897">
        <v>37.72</v>
      </c>
      <c r="N897">
        <v>49576</v>
      </c>
      <c r="O897">
        <v>43899</v>
      </c>
      <c r="P897" t="s">
        <v>2494</v>
      </c>
      <c r="Q897" t="s">
        <v>42</v>
      </c>
      <c r="R897" t="s">
        <v>48</v>
      </c>
      <c r="S897" t="s">
        <v>35</v>
      </c>
      <c r="T897">
        <v>2658.89</v>
      </c>
      <c r="U897">
        <f t="shared" si="182"/>
        <v>1105</v>
      </c>
      <c r="V897">
        <f t="shared" si="183"/>
        <v>414</v>
      </c>
      <c r="W897">
        <f t="shared" si="184"/>
        <v>345</v>
      </c>
      <c r="X897">
        <f t="shared" si="185"/>
        <v>0.35149999999999998</v>
      </c>
      <c r="Y897" s="1">
        <f t="shared" si="186"/>
        <v>56440956</v>
      </c>
      <c r="Z897">
        <f t="shared" si="187"/>
        <v>51077.788235294116</v>
      </c>
      <c r="AA897">
        <f t="shared" si="188"/>
        <v>99996</v>
      </c>
      <c r="AB897">
        <f t="shared" si="189"/>
        <v>5091</v>
      </c>
      <c r="AC897">
        <f t="shared" si="190"/>
        <v>1458580.0700000008</v>
      </c>
      <c r="AD897">
        <f t="shared" si="191"/>
        <v>1319.9819638009058</v>
      </c>
      <c r="AE897">
        <f t="shared" si="192"/>
        <v>0.35149999999999998</v>
      </c>
      <c r="AF897">
        <f t="shared" si="193"/>
        <v>821334563.45999992</v>
      </c>
      <c r="AG897" t="str">
        <f t="shared" si="194"/>
        <v>Active</v>
      </c>
      <c r="AH897">
        <f t="shared" si="195"/>
        <v>31906.68</v>
      </c>
    </row>
    <row r="898" spans="1:34" x14ac:dyDescent="0.35">
      <c r="A898" t="s">
        <v>2495</v>
      </c>
      <c r="B898" t="s">
        <v>2496</v>
      </c>
      <c r="C898">
        <v>54</v>
      </c>
      <c r="D898" t="s">
        <v>38</v>
      </c>
      <c r="E898" t="s">
        <v>39</v>
      </c>
      <c r="F898" t="s">
        <v>24</v>
      </c>
      <c r="G898">
        <v>58037</v>
      </c>
      <c r="H898">
        <v>717</v>
      </c>
      <c r="I898">
        <v>18200</v>
      </c>
      <c r="J898">
        <v>4.26</v>
      </c>
      <c r="K898">
        <v>60</v>
      </c>
      <c r="L898" t="s">
        <v>52</v>
      </c>
      <c r="M898">
        <v>25.87</v>
      </c>
      <c r="N898">
        <v>68325</v>
      </c>
      <c r="O898">
        <v>246297</v>
      </c>
      <c r="P898" t="s">
        <v>924</v>
      </c>
      <c r="Q898" t="s">
        <v>61</v>
      </c>
      <c r="R898" t="s">
        <v>28</v>
      </c>
      <c r="S898" t="s">
        <v>43</v>
      </c>
      <c r="T898">
        <v>316.26</v>
      </c>
      <c r="U898">
        <f t="shared" ref="U898:U961" si="196">COUNTA(A898:A2897)</f>
        <v>1104</v>
      </c>
      <c r="V898">
        <f t="shared" ref="V898:V961" si="197">COUNTIF(Q898:Q2897,"APPROVED")</f>
        <v>413</v>
      </c>
      <c r="W898">
        <f t="shared" ref="W898:W961" si="198">COUNTIF(Q898:Q2898,"Rejected")</f>
        <v>345</v>
      </c>
      <c r="X898">
        <f t="shared" ref="X898:X961" si="199">703/2000</f>
        <v>0.35149999999999998</v>
      </c>
      <c r="Y898" s="1">
        <f t="shared" ref="Y898:Y961" si="200">SUM(I898:I2897)</f>
        <v>56357779</v>
      </c>
      <c r="Z898">
        <f t="shared" ref="Z898:Z961" si="201">AVERAGE(I898:I20897)</f>
        <v>51048.71286231884</v>
      </c>
      <c r="AA898">
        <f t="shared" ref="AA898:AA961" si="202">MAX(I898:I2897)</f>
        <v>99996</v>
      </c>
      <c r="AB898">
        <f t="shared" ref="AB898:AB961" si="203">MIN(I898:I2897)</f>
        <v>5091</v>
      </c>
      <c r="AC898">
        <f t="shared" ref="AC898:AC961" si="204">SUM(T898:T2897)</f>
        <v>1455921.1800000006</v>
      </c>
      <c r="AD898">
        <f t="shared" ref="AD898:AD961" si="205">AVERAGE(T898:T2897)</f>
        <v>1318.7691847826093</v>
      </c>
      <c r="AE898">
        <f t="shared" ref="AE898:AE961" si="206">703/2000</f>
        <v>0.35149999999999998</v>
      </c>
      <c r="AF898">
        <f t="shared" ref="AF898:AF961" si="207">SUM(AC898:AC2897)</f>
        <v>819875983.38999987</v>
      </c>
      <c r="AG898" t="str">
        <f t="shared" ref="AG898:AG961" si="208">IF(AH898=0,"Bad", IF(AH897&lt;I897, "Active", IF(AH897=I897, "Good", "Over Paid")))</f>
        <v>Active</v>
      </c>
      <c r="AH898">
        <f t="shared" ref="AH898:AH961" si="209">T898*12</f>
        <v>3795.12</v>
      </c>
    </row>
    <row r="899" spans="1:34" x14ac:dyDescent="0.35">
      <c r="A899" t="s">
        <v>2497</v>
      </c>
      <c r="B899" t="s">
        <v>2498</v>
      </c>
      <c r="C899">
        <v>64</v>
      </c>
      <c r="D899" t="s">
        <v>22</v>
      </c>
      <c r="E899" t="s">
        <v>32</v>
      </c>
      <c r="F899" t="s">
        <v>59</v>
      </c>
      <c r="G899">
        <v>53303</v>
      </c>
      <c r="H899">
        <v>824</v>
      </c>
      <c r="I899">
        <v>44922</v>
      </c>
      <c r="J899">
        <v>7.01</v>
      </c>
      <c r="K899">
        <v>12</v>
      </c>
      <c r="L899" t="s">
        <v>40</v>
      </c>
      <c r="M899">
        <v>12.9</v>
      </c>
      <c r="N899">
        <v>30992</v>
      </c>
      <c r="O899">
        <v>163544</v>
      </c>
      <c r="P899" t="s">
        <v>1308</v>
      </c>
      <c r="Q899" t="s">
        <v>61</v>
      </c>
      <c r="R899" t="s">
        <v>48</v>
      </c>
      <c r="S899" t="s">
        <v>49</v>
      </c>
      <c r="T899">
        <v>4005.92</v>
      </c>
      <c r="U899">
        <f t="shared" si="196"/>
        <v>1103</v>
      </c>
      <c r="V899">
        <f t="shared" si="197"/>
        <v>413</v>
      </c>
      <c r="W899">
        <f t="shared" si="198"/>
        <v>344</v>
      </c>
      <c r="X899">
        <f t="shared" si="199"/>
        <v>0.35149999999999998</v>
      </c>
      <c r="Y899" s="1">
        <f t="shared" si="200"/>
        <v>56339579</v>
      </c>
      <c r="Z899">
        <f t="shared" si="201"/>
        <v>51078.494106980957</v>
      </c>
      <c r="AA899">
        <f t="shared" si="202"/>
        <v>99996</v>
      </c>
      <c r="AB899">
        <f t="shared" si="203"/>
        <v>5091</v>
      </c>
      <c r="AC899">
        <f t="shared" si="204"/>
        <v>1455604.9200000006</v>
      </c>
      <c r="AD899">
        <f t="shared" si="205"/>
        <v>1319.6780779691755</v>
      </c>
      <c r="AE899">
        <f t="shared" si="206"/>
        <v>0.35149999999999998</v>
      </c>
      <c r="AF899">
        <f t="shared" si="207"/>
        <v>818420062.20999992</v>
      </c>
      <c r="AG899" t="str">
        <f t="shared" si="208"/>
        <v>Active</v>
      </c>
      <c r="AH899">
        <f t="shared" si="209"/>
        <v>48071.040000000001</v>
      </c>
    </row>
    <row r="900" spans="1:34" x14ac:dyDescent="0.35">
      <c r="A900" t="s">
        <v>2499</v>
      </c>
      <c r="B900" t="s">
        <v>2500</v>
      </c>
      <c r="C900">
        <v>48</v>
      </c>
      <c r="D900" t="s">
        <v>38</v>
      </c>
      <c r="E900" t="s">
        <v>39</v>
      </c>
      <c r="F900" t="s">
        <v>59</v>
      </c>
      <c r="G900">
        <v>60256</v>
      </c>
      <c r="H900">
        <v>432</v>
      </c>
      <c r="I900">
        <v>91256</v>
      </c>
      <c r="J900">
        <v>23.58</v>
      </c>
      <c r="K900">
        <v>36</v>
      </c>
      <c r="L900" t="s">
        <v>40</v>
      </c>
      <c r="M900">
        <v>7.59</v>
      </c>
      <c r="N900">
        <v>38424</v>
      </c>
      <c r="O900">
        <v>35167</v>
      </c>
      <c r="P900" t="s">
        <v>814</v>
      </c>
      <c r="Q900" t="s">
        <v>27</v>
      </c>
      <c r="R900" t="s">
        <v>48</v>
      </c>
      <c r="S900" t="s">
        <v>29</v>
      </c>
      <c r="T900">
        <v>3132.62</v>
      </c>
      <c r="U900">
        <f t="shared" si="196"/>
        <v>1102</v>
      </c>
      <c r="V900">
        <f t="shared" si="197"/>
        <v>413</v>
      </c>
      <c r="W900">
        <f t="shared" si="198"/>
        <v>343</v>
      </c>
      <c r="X900">
        <f t="shared" si="199"/>
        <v>0.35149999999999998</v>
      </c>
      <c r="Y900" s="1">
        <f t="shared" si="200"/>
        <v>56294657</v>
      </c>
      <c r="Z900">
        <f t="shared" si="201"/>
        <v>51084.080762250451</v>
      </c>
      <c r="AA900">
        <f t="shared" si="202"/>
        <v>99996</v>
      </c>
      <c r="AB900">
        <f t="shared" si="203"/>
        <v>5091</v>
      </c>
      <c r="AC900">
        <f t="shared" si="204"/>
        <v>1451599.0000000005</v>
      </c>
      <c r="AD900">
        <f t="shared" si="205"/>
        <v>1317.240471869329</v>
      </c>
      <c r="AE900">
        <f t="shared" si="206"/>
        <v>0.35149999999999998</v>
      </c>
      <c r="AF900">
        <f t="shared" si="207"/>
        <v>816964457.28999984</v>
      </c>
      <c r="AG900" t="str">
        <f t="shared" si="208"/>
        <v>Over Paid</v>
      </c>
      <c r="AH900">
        <f t="shared" si="209"/>
        <v>37591.440000000002</v>
      </c>
    </row>
    <row r="901" spans="1:34" x14ac:dyDescent="0.35">
      <c r="A901" t="s">
        <v>2501</v>
      </c>
      <c r="B901" t="s">
        <v>2502</v>
      </c>
      <c r="C901">
        <v>37</v>
      </c>
      <c r="D901" t="s">
        <v>38</v>
      </c>
      <c r="E901" t="s">
        <v>23</v>
      </c>
      <c r="F901" t="s">
        <v>59</v>
      </c>
      <c r="G901">
        <v>159795</v>
      </c>
      <c r="H901">
        <v>553</v>
      </c>
      <c r="I901">
        <v>10437</v>
      </c>
      <c r="J901">
        <v>12.34</v>
      </c>
      <c r="K901">
        <v>24</v>
      </c>
      <c r="L901" t="s">
        <v>86</v>
      </c>
      <c r="M901">
        <v>24.08</v>
      </c>
      <c r="N901">
        <v>45903</v>
      </c>
      <c r="O901">
        <v>59361</v>
      </c>
      <c r="P901" t="s">
        <v>2503</v>
      </c>
      <c r="Q901" t="s">
        <v>42</v>
      </c>
      <c r="R901" t="s">
        <v>48</v>
      </c>
      <c r="S901" t="s">
        <v>43</v>
      </c>
      <c r="T901">
        <v>488.54</v>
      </c>
      <c r="U901">
        <f t="shared" si="196"/>
        <v>1101</v>
      </c>
      <c r="V901">
        <f t="shared" si="197"/>
        <v>413</v>
      </c>
      <c r="W901">
        <f t="shared" si="198"/>
        <v>343</v>
      </c>
      <c r="X901">
        <f t="shared" si="199"/>
        <v>0.35149999999999998</v>
      </c>
      <c r="Y901" s="1">
        <f t="shared" si="200"/>
        <v>56203401</v>
      </c>
      <c r="Z901">
        <f t="shared" si="201"/>
        <v>51047.594005449588</v>
      </c>
      <c r="AA901">
        <f t="shared" si="202"/>
        <v>99996</v>
      </c>
      <c r="AB901">
        <f t="shared" si="203"/>
        <v>5091</v>
      </c>
      <c r="AC901">
        <f t="shared" si="204"/>
        <v>1448466.3800000006</v>
      </c>
      <c r="AD901">
        <f t="shared" si="205"/>
        <v>1315.5916257947326</v>
      </c>
      <c r="AE901">
        <f t="shared" si="206"/>
        <v>0.35149999999999998</v>
      </c>
      <c r="AF901">
        <f t="shared" si="207"/>
        <v>815512858.28999984</v>
      </c>
      <c r="AG901" t="str">
        <f t="shared" si="208"/>
        <v>Active</v>
      </c>
      <c r="AH901">
        <f t="shared" si="209"/>
        <v>5862.4800000000005</v>
      </c>
    </row>
    <row r="902" spans="1:34" x14ac:dyDescent="0.35">
      <c r="A902" t="s">
        <v>2504</v>
      </c>
      <c r="B902" t="s">
        <v>2505</v>
      </c>
      <c r="C902">
        <v>54</v>
      </c>
      <c r="D902" t="s">
        <v>22</v>
      </c>
      <c r="E902" t="s">
        <v>32</v>
      </c>
      <c r="F902" t="s">
        <v>46</v>
      </c>
      <c r="G902">
        <v>38962</v>
      </c>
      <c r="H902">
        <v>381</v>
      </c>
      <c r="I902">
        <v>76269</v>
      </c>
      <c r="J902">
        <v>16.989999999999998</v>
      </c>
      <c r="K902">
        <v>120</v>
      </c>
      <c r="L902" t="s">
        <v>52</v>
      </c>
      <c r="M902">
        <v>52.17</v>
      </c>
      <c r="N902">
        <v>60252</v>
      </c>
      <c r="O902">
        <v>220105</v>
      </c>
      <c r="P902" t="s">
        <v>2506</v>
      </c>
      <c r="Q902" t="s">
        <v>61</v>
      </c>
      <c r="R902" t="s">
        <v>28</v>
      </c>
      <c r="S902" t="s">
        <v>29</v>
      </c>
      <c r="T902">
        <v>743.56</v>
      </c>
      <c r="U902">
        <f t="shared" si="196"/>
        <v>1100</v>
      </c>
      <c r="V902">
        <f t="shared" si="197"/>
        <v>412</v>
      </c>
      <c r="W902">
        <f t="shared" si="198"/>
        <v>343</v>
      </c>
      <c r="X902">
        <f t="shared" si="199"/>
        <v>0.35149999999999998</v>
      </c>
      <c r="Y902" s="1">
        <f t="shared" si="200"/>
        <v>56192964</v>
      </c>
      <c r="Z902">
        <f t="shared" si="201"/>
        <v>51084.512727272726</v>
      </c>
      <c r="AA902">
        <f t="shared" si="202"/>
        <v>99996</v>
      </c>
      <c r="AB902">
        <f t="shared" si="203"/>
        <v>5091</v>
      </c>
      <c r="AC902">
        <f t="shared" si="204"/>
        <v>1447977.8400000005</v>
      </c>
      <c r="AD902">
        <f t="shared" si="205"/>
        <v>1316.3434909090913</v>
      </c>
      <c r="AE902">
        <f t="shared" si="206"/>
        <v>0.35149999999999998</v>
      </c>
      <c r="AF902">
        <f t="shared" si="207"/>
        <v>814064391.90999985</v>
      </c>
      <c r="AG902" t="str">
        <f t="shared" si="208"/>
        <v>Active</v>
      </c>
      <c r="AH902">
        <f t="shared" si="209"/>
        <v>8922.7199999999993</v>
      </c>
    </row>
    <row r="903" spans="1:34" x14ac:dyDescent="0.35">
      <c r="A903" t="s">
        <v>2507</v>
      </c>
      <c r="B903" t="s">
        <v>2508</v>
      </c>
      <c r="C903">
        <v>50</v>
      </c>
      <c r="D903" t="s">
        <v>22</v>
      </c>
      <c r="E903" t="s">
        <v>32</v>
      </c>
      <c r="F903" t="s">
        <v>46</v>
      </c>
      <c r="G903">
        <v>91943</v>
      </c>
      <c r="H903">
        <v>488</v>
      </c>
      <c r="I903">
        <v>8302</v>
      </c>
      <c r="J903">
        <v>12.81</v>
      </c>
      <c r="K903">
        <v>360</v>
      </c>
      <c r="L903" t="s">
        <v>33</v>
      </c>
      <c r="M903">
        <v>59.97</v>
      </c>
      <c r="N903">
        <v>63237</v>
      </c>
      <c r="O903">
        <v>52649</v>
      </c>
      <c r="P903" t="s">
        <v>2509</v>
      </c>
      <c r="Q903" t="s">
        <v>42</v>
      </c>
      <c r="R903" t="s">
        <v>28</v>
      </c>
      <c r="S903" t="s">
        <v>43</v>
      </c>
      <c r="T903">
        <v>26.02</v>
      </c>
      <c r="U903">
        <f t="shared" si="196"/>
        <v>1099</v>
      </c>
      <c r="V903">
        <f t="shared" si="197"/>
        <v>412</v>
      </c>
      <c r="W903">
        <f t="shared" si="198"/>
        <v>342</v>
      </c>
      <c r="X903">
        <f t="shared" si="199"/>
        <v>0.35149999999999998</v>
      </c>
      <c r="Y903" s="1">
        <f t="shared" si="200"/>
        <v>56116695</v>
      </c>
      <c r="Z903">
        <f t="shared" si="201"/>
        <v>51061.596906278435</v>
      </c>
      <c r="AA903">
        <f t="shared" si="202"/>
        <v>99996</v>
      </c>
      <c r="AB903">
        <f t="shared" si="203"/>
        <v>5091</v>
      </c>
      <c r="AC903">
        <f t="shared" si="204"/>
        <v>1447234.2800000007</v>
      </c>
      <c r="AD903">
        <f t="shared" si="205"/>
        <v>1316.8646769790726</v>
      </c>
      <c r="AE903">
        <f t="shared" si="206"/>
        <v>0.35149999999999998</v>
      </c>
      <c r="AF903">
        <f t="shared" si="207"/>
        <v>812616414.06999993</v>
      </c>
      <c r="AG903" t="str">
        <f t="shared" si="208"/>
        <v>Active</v>
      </c>
      <c r="AH903">
        <f t="shared" si="209"/>
        <v>312.24</v>
      </c>
    </row>
    <row r="904" spans="1:34" x14ac:dyDescent="0.35">
      <c r="A904" t="s">
        <v>2510</v>
      </c>
      <c r="B904" t="s">
        <v>2511</v>
      </c>
      <c r="C904">
        <v>63</v>
      </c>
      <c r="D904" t="s">
        <v>38</v>
      </c>
      <c r="E904" t="s">
        <v>32</v>
      </c>
      <c r="F904" t="s">
        <v>59</v>
      </c>
      <c r="G904">
        <v>186783</v>
      </c>
      <c r="H904">
        <v>683</v>
      </c>
      <c r="I904">
        <v>20994</v>
      </c>
      <c r="J904">
        <v>23.93</v>
      </c>
      <c r="K904">
        <v>180</v>
      </c>
      <c r="L904" t="s">
        <v>52</v>
      </c>
      <c r="M904">
        <v>32.479999999999997</v>
      </c>
      <c r="N904">
        <v>15415</v>
      </c>
      <c r="O904">
        <v>4007</v>
      </c>
      <c r="P904" t="s">
        <v>2512</v>
      </c>
      <c r="Q904" t="s">
        <v>42</v>
      </c>
      <c r="R904" t="s">
        <v>48</v>
      </c>
      <c r="S904" t="s">
        <v>43</v>
      </c>
      <c r="T904">
        <v>144.54</v>
      </c>
      <c r="U904">
        <f t="shared" si="196"/>
        <v>1098</v>
      </c>
      <c r="V904">
        <f t="shared" si="197"/>
        <v>411</v>
      </c>
      <c r="W904">
        <f t="shared" si="198"/>
        <v>342</v>
      </c>
      <c r="X904">
        <f t="shared" si="199"/>
        <v>0.35149999999999998</v>
      </c>
      <c r="Y904" s="1">
        <f t="shared" si="200"/>
        <v>56108393</v>
      </c>
      <c r="Z904">
        <f t="shared" si="201"/>
        <v>51100.540072859745</v>
      </c>
      <c r="AA904">
        <f t="shared" si="202"/>
        <v>99996</v>
      </c>
      <c r="AB904">
        <f t="shared" si="203"/>
        <v>5091</v>
      </c>
      <c r="AC904">
        <f t="shared" si="204"/>
        <v>1447208.2600000007</v>
      </c>
      <c r="AD904">
        <f t="shared" si="205"/>
        <v>1318.0403096539169</v>
      </c>
      <c r="AE904">
        <f t="shared" si="206"/>
        <v>0.35149999999999998</v>
      </c>
      <c r="AF904">
        <f t="shared" si="207"/>
        <v>811169179.78999984</v>
      </c>
      <c r="AG904" t="str">
        <f t="shared" si="208"/>
        <v>Active</v>
      </c>
      <c r="AH904">
        <f t="shared" si="209"/>
        <v>1734.48</v>
      </c>
    </row>
    <row r="905" spans="1:34" x14ac:dyDescent="0.35">
      <c r="A905" t="s">
        <v>2513</v>
      </c>
      <c r="B905" t="s">
        <v>2514</v>
      </c>
      <c r="C905">
        <v>30</v>
      </c>
      <c r="D905" t="s">
        <v>38</v>
      </c>
      <c r="E905" t="s">
        <v>23</v>
      </c>
      <c r="F905" t="s">
        <v>46</v>
      </c>
      <c r="G905">
        <v>144555</v>
      </c>
      <c r="H905">
        <v>766</v>
      </c>
      <c r="I905">
        <v>13404</v>
      </c>
      <c r="J905">
        <v>7.37</v>
      </c>
      <c r="K905">
        <v>120</v>
      </c>
      <c r="L905" t="s">
        <v>40</v>
      </c>
      <c r="M905">
        <v>53.67</v>
      </c>
      <c r="N905">
        <v>24169</v>
      </c>
      <c r="O905">
        <v>33682</v>
      </c>
      <c r="P905" t="s">
        <v>2169</v>
      </c>
      <c r="Q905" t="s">
        <v>61</v>
      </c>
      <c r="R905" t="s">
        <v>48</v>
      </c>
      <c r="S905" t="s">
        <v>29</v>
      </c>
      <c r="T905">
        <v>119.93</v>
      </c>
      <c r="U905">
        <f t="shared" si="196"/>
        <v>1097</v>
      </c>
      <c r="V905">
        <f t="shared" si="197"/>
        <v>410</v>
      </c>
      <c r="W905">
        <f t="shared" si="198"/>
        <v>342</v>
      </c>
      <c r="X905">
        <f t="shared" si="199"/>
        <v>0.35149999999999998</v>
      </c>
      <c r="Y905" s="1">
        <f t="shared" si="200"/>
        <v>56087399</v>
      </c>
      <c r="Z905">
        <f t="shared" si="201"/>
        <v>51127.984503190521</v>
      </c>
      <c r="AA905">
        <f t="shared" si="202"/>
        <v>99996</v>
      </c>
      <c r="AB905">
        <f t="shared" si="203"/>
        <v>5091</v>
      </c>
      <c r="AC905">
        <f t="shared" si="204"/>
        <v>1447063.7200000007</v>
      </c>
      <c r="AD905">
        <f t="shared" si="205"/>
        <v>1319.1100455788521</v>
      </c>
      <c r="AE905">
        <f t="shared" si="206"/>
        <v>0.35149999999999998</v>
      </c>
      <c r="AF905">
        <f t="shared" si="207"/>
        <v>809721971.52999985</v>
      </c>
      <c r="AG905" t="str">
        <f t="shared" si="208"/>
        <v>Active</v>
      </c>
      <c r="AH905">
        <f t="shared" si="209"/>
        <v>1439.16</v>
      </c>
    </row>
    <row r="906" spans="1:34" x14ac:dyDescent="0.35">
      <c r="A906" t="s">
        <v>2515</v>
      </c>
      <c r="B906" t="s">
        <v>2516</v>
      </c>
      <c r="C906">
        <v>24</v>
      </c>
      <c r="D906" t="s">
        <v>38</v>
      </c>
      <c r="E906" t="s">
        <v>23</v>
      </c>
      <c r="F906" t="s">
        <v>46</v>
      </c>
      <c r="G906">
        <v>60710</v>
      </c>
      <c r="H906">
        <v>379</v>
      </c>
      <c r="I906">
        <v>84006</v>
      </c>
      <c r="J906">
        <v>9.1</v>
      </c>
      <c r="K906">
        <v>360</v>
      </c>
      <c r="L906" t="s">
        <v>40</v>
      </c>
      <c r="M906">
        <v>55.42</v>
      </c>
      <c r="N906">
        <v>12875</v>
      </c>
      <c r="O906">
        <v>15999</v>
      </c>
      <c r="P906" t="s">
        <v>887</v>
      </c>
      <c r="Q906" t="s">
        <v>42</v>
      </c>
      <c r="R906" t="s">
        <v>48</v>
      </c>
      <c r="S906" t="s">
        <v>43</v>
      </c>
      <c r="T906">
        <v>254.58</v>
      </c>
      <c r="U906">
        <f t="shared" si="196"/>
        <v>1096</v>
      </c>
      <c r="V906">
        <f t="shared" si="197"/>
        <v>410</v>
      </c>
      <c r="W906">
        <f t="shared" si="198"/>
        <v>341</v>
      </c>
      <c r="X906">
        <f t="shared" si="199"/>
        <v>0.35149999999999998</v>
      </c>
      <c r="Y906" s="1">
        <f t="shared" si="200"/>
        <v>56073995</v>
      </c>
      <c r="Z906">
        <f t="shared" si="201"/>
        <v>51162.404197080294</v>
      </c>
      <c r="AA906">
        <f t="shared" si="202"/>
        <v>99996</v>
      </c>
      <c r="AB906">
        <f t="shared" si="203"/>
        <v>5091</v>
      </c>
      <c r="AC906">
        <f t="shared" si="204"/>
        <v>1446943.7900000007</v>
      </c>
      <c r="AD906">
        <f t="shared" si="205"/>
        <v>1320.204187956205</v>
      </c>
      <c r="AE906">
        <f t="shared" si="206"/>
        <v>0.35149999999999998</v>
      </c>
      <c r="AF906">
        <f t="shared" si="207"/>
        <v>808274907.80999994</v>
      </c>
      <c r="AG906" t="str">
        <f t="shared" si="208"/>
        <v>Active</v>
      </c>
      <c r="AH906">
        <f t="shared" si="209"/>
        <v>3054.96</v>
      </c>
    </row>
    <row r="907" spans="1:34" x14ac:dyDescent="0.35">
      <c r="A907" t="s">
        <v>2517</v>
      </c>
      <c r="B907" t="s">
        <v>2518</v>
      </c>
      <c r="C907">
        <v>44</v>
      </c>
      <c r="D907" t="s">
        <v>22</v>
      </c>
      <c r="E907" t="s">
        <v>39</v>
      </c>
      <c r="F907" t="s">
        <v>46</v>
      </c>
      <c r="G907">
        <v>124255</v>
      </c>
      <c r="H907">
        <v>552</v>
      </c>
      <c r="I907">
        <v>68364</v>
      </c>
      <c r="J907">
        <v>23.05</v>
      </c>
      <c r="K907">
        <v>180</v>
      </c>
      <c r="L907" t="s">
        <v>86</v>
      </c>
      <c r="M907">
        <v>22.67</v>
      </c>
      <c r="N907">
        <v>31088</v>
      </c>
      <c r="O907">
        <v>20103</v>
      </c>
      <c r="P907" t="s">
        <v>1825</v>
      </c>
      <c r="Q907" t="s">
        <v>42</v>
      </c>
      <c r="R907" t="s">
        <v>48</v>
      </c>
      <c r="S907" t="s">
        <v>29</v>
      </c>
      <c r="T907">
        <v>467.34</v>
      </c>
      <c r="U907">
        <f t="shared" si="196"/>
        <v>1095</v>
      </c>
      <c r="V907">
        <f t="shared" si="197"/>
        <v>409</v>
      </c>
      <c r="W907">
        <f t="shared" si="198"/>
        <v>341</v>
      </c>
      <c r="X907">
        <f t="shared" si="199"/>
        <v>0.35149999999999998</v>
      </c>
      <c r="Y907" s="1">
        <f t="shared" si="200"/>
        <v>55989989</v>
      </c>
      <c r="Z907">
        <f t="shared" si="201"/>
        <v>51132.410045662102</v>
      </c>
      <c r="AA907">
        <f t="shared" si="202"/>
        <v>99996</v>
      </c>
      <c r="AB907">
        <f t="shared" si="203"/>
        <v>5091</v>
      </c>
      <c r="AC907">
        <f t="shared" si="204"/>
        <v>1446689.2100000009</v>
      </c>
      <c r="AD907">
        <f t="shared" si="205"/>
        <v>1321.1773607305945</v>
      </c>
      <c r="AE907">
        <f t="shared" si="206"/>
        <v>0.35149999999999998</v>
      </c>
      <c r="AF907">
        <f t="shared" si="207"/>
        <v>806827964.01999998</v>
      </c>
      <c r="AG907" t="str">
        <f t="shared" si="208"/>
        <v>Active</v>
      </c>
      <c r="AH907">
        <f t="shared" si="209"/>
        <v>5608.08</v>
      </c>
    </row>
    <row r="908" spans="1:34" x14ac:dyDescent="0.35">
      <c r="A908" t="s">
        <v>2519</v>
      </c>
      <c r="B908" t="s">
        <v>2520</v>
      </c>
      <c r="C908">
        <v>46</v>
      </c>
      <c r="D908" t="s">
        <v>38</v>
      </c>
      <c r="E908" t="s">
        <v>32</v>
      </c>
      <c r="F908" t="s">
        <v>59</v>
      </c>
      <c r="G908">
        <v>119295</v>
      </c>
      <c r="H908">
        <v>417</v>
      </c>
      <c r="I908">
        <v>66842</v>
      </c>
      <c r="J908">
        <v>22.68</v>
      </c>
      <c r="K908">
        <v>36</v>
      </c>
      <c r="L908" t="s">
        <v>86</v>
      </c>
      <c r="M908">
        <v>41.04</v>
      </c>
      <c r="N908">
        <v>25693</v>
      </c>
      <c r="O908">
        <v>69941</v>
      </c>
      <c r="P908" t="s">
        <v>2521</v>
      </c>
      <c r="Q908" t="s">
        <v>42</v>
      </c>
      <c r="R908" t="s">
        <v>28</v>
      </c>
      <c r="S908" t="s">
        <v>43</v>
      </c>
      <c r="T908">
        <v>2277.83</v>
      </c>
      <c r="U908">
        <f t="shared" si="196"/>
        <v>1094</v>
      </c>
      <c r="V908">
        <f t="shared" si="197"/>
        <v>408</v>
      </c>
      <c r="W908">
        <f t="shared" si="198"/>
        <v>341</v>
      </c>
      <c r="X908">
        <f t="shared" si="199"/>
        <v>0.35149999999999998</v>
      </c>
      <c r="Y908" s="1">
        <f t="shared" si="200"/>
        <v>55921625</v>
      </c>
      <c r="Z908">
        <f t="shared" si="201"/>
        <v>51116.659049360147</v>
      </c>
      <c r="AA908">
        <f t="shared" si="202"/>
        <v>99996</v>
      </c>
      <c r="AB908">
        <f t="shared" si="203"/>
        <v>5091</v>
      </c>
      <c r="AC908">
        <f t="shared" si="204"/>
        <v>1446221.8700000008</v>
      </c>
      <c r="AD908">
        <f t="shared" si="205"/>
        <v>1321.9578336380264</v>
      </c>
      <c r="AE908">
        <f t="shared" si="206"/>
        <v>0.35149999999999998</v>
      </c>
      <c r="AF908">
        <f t="shared" si="207"/>
        <v>805381274.80999994</v>
      </c>
      <c r="AG908" t="str">
        <f t="shared" si="208"/>
        <v>Active</v>
      </c>
      <c r="AH908">
        <f t="shared" si="209"/>
        <v>27333.96</v>
      </c>
    </row>
    <row r="909" spans="1:34" x14ac:dyDescent="0.35">
      <c r="A909" t="s">
        <v>2522</v>
      </c>
      <c r="B909" t="s">
        <v>2523</v>
      </c>
      <c r="C909">
        <v>34</v>
      </c>
      <c r="D909" t="s">
        <v>22</v>
      </c>
      <c r="E909" t="s">
        <v>23</v>
      </c>
      <c r="F909" t="s">
        <v>24</v>
      </c>
      <c r="G909">
        <v>98364</v>
      </c>
      <c r="H909">
        <v>517</v>
      </c>
      <c r="I909">
        <v>43909</v>
      </c>
      <c r="J909">
        <v>16.329999999999998</v>
      </c>
      <c r="K909">
        <v>12</v>
      </c>
      <c r="L909" t="s">
        <v>25</v>
      </c>
      <c r="M909">
        <v>12.31</v>
      </c>
      <c r="N909">
        <v>34747</v>
      </c>
      <c r="O909">
        <v>159647</v>
      </c>
      <c r="P909" t="s">
        <v>1503</v>
      </c>
      <c r="Q909" t="s">
        <v>42</v>
      </c>
      <c r="R909" t="s">
        <v>48</v>
      </c>
      <c r="S909" t="s">
        <v>43</v>
      </c>
      <c r="T909">
        <v>4256.6099999999997</v>
      </c>
      <c r="U909">
        <f t="shared" si="196"/>
        <v>1093</v>
      </c>
      <c r="V909">
        <f t="shared" si="197"/>
        <v>407</v>
      </c>
      <c r="W909">
        <f t="shared" si="198"/>
        <v>341</v>
      </c>
      <c r="X909">
        <f t="shared" si="199"/>
        <v>0.35149999999999998</v>
      </c>
      <c r="Y909" s="1">
        <f t="shared" si="200"/>
        <v>55854783</v>
      </c>
      <c r="Z909">
        <f t="shared" si="201"/>
        <v>51102.271729185726</v>
      </c>
      <c r="AA909">
        <f t="shared" si="202"/>
        <v>99996</v>
      </c>
      <c r="AB909">
        <f t="shared" si="203"/>
        <v>5091</v>
      </c>
      <c r="AC909">
        <f t="shared" si="204"/>
        <v>1443944.040000001</v>
      </c>
      <c r="AD909">
        <f t="shared" si="205"/>
        <v>1321.0832936871006</v>
      </c>
      <c r="AE909">
        <f t="shared" si="206"/>
        <v>0.35149999999999998</v>
      </c>
      <c r="AF909">
        <f t="shared" si="207"/>
        <v>803935052.94000006</v>
      </c>
      <c r="AG909" t="str">
        <f t="shared" si="208"/>
        <v>Active</v>
      </c>
      <c r="AH909">
        <f t="shared" si="209"/>
        <v>51079.319999999992</v>
      </c>
    </row>
    <row r="910" spans="1:34" x14ac:dyDescent="0.35">
      <c r="A910" t="s">
        <v>2524</v>
      </c>
      <c r="B910" t="s">
        <v>2525</v>
      </c>
      <c r="C910">
        <v>64</v>
      </c>
      <c r="D910" t="s">
        <v>22</v>
      </c>
      <c r="E910" t="s">
        <v>23</v>
      </c>
      <c r="F910" t="s">
        <v>46</v>
      </c>
      <c r="G910">
        <v>41876</v>
      </c>
      <c r="H910">
        <v>339</v>
      </c>
      <c r="I910">
        <v>26407</v>
      </c>
      <c r="J910">
        <v>11.16</v>
      </c>
      <c r="K910">
        <v>24</v>
      </c>
      <c r="L910" t="s">
        <v>25</v>
      </c>
      <c r="M910">
        <v>22.57</v>
      </c>
      <c r="N910">
        <v>23920</v>
      </c>
      <c r="O910">
        <v>49510</v>
      </c>
      <c r="P910" t="s">
        <v>296</v>
      </c>
      <c r="Q910" t="s">
        <v>42</v>
      </c>
      <c r="R910" t="s">
        <v>28</v>
      </c>
      <c r="S910" t="s">
        <v>68</v>
      </c>
      <c r="T910">
        <v>1223.08</v>
      </c>
      <c r="U910">
        <f t="shared" si="196"/>
        <v>1092</v>
      </c>
      <c r="V910">
        <f t="shared" si="197"/>
        <v>406</v>
      </c>
      <c r="W910">
        <f t="shared" si="198"/>
        <v>341</v>
      </c>
      <c r="X910">
        <f t="shared" si="199"/>
        <v>0.35149999999999998</v>
      </c>
      <c r="Y910" s="1">
        <f t="shared" si="200"/>
        <v>55810874</v>
      </c>
      <c r="Z910">
        <f t="shared" si="201"/>
        <v>51108.858974358976</v>
      </c>
      <c r="AA910">
        <f t="shared" si="202"/>
        <v>99996</v>
      </c>
      <c r="AB910">
        <f t="shared" si="203"/>
        <v>5091</v>
      </c>
      <c r="AC910">
        <f t="shared" si="204"/>
        <v>1439687.4300000009</v>
      </c>
      <c r="AD910">
        <f t="shared" si="205"/>
        <v>1318.3950824175831</v>
      </c>
      <c r="AE910">
        <f t="shared" si="206"/>
        <v>0.35149999999999998</v>
      </c>
      <c r="AF910">
        <f t="shared" si="207"/>
        <v>802491108.89999998</v>
      </c>
      <c r="AG910" t="str">
        <f t="shared" si="208"/>
        <v>Over Paid</v>
      </c>
      <c r="AH910">
        <f t="shared" si="209"/>
        <v>14676.96</v>
      </c>
    </row>
    <row r="911" spans="1:34" x14ac:dyDescent="0.35">
      <c r="A911" t="s">
        <v>2526</v>
      </c>
      <c r="B911" t="s">
        <v>2527</v>
      </c>
      <c r="C911">
        <v>63</v>
      </c>
      <c r="D911" t="s">
        <v>22</v>
      </c>
      <c r="E911" t="s">
        <v>39</v>
      </c>
      <c r="F911" t="s">
        <v>24</v>
      </c>
      <c r="G911">
        <v>57448</v>
      </c>
      <c r="H911">
        <v>703</v>
      </c>
      <c r="I911">
        <v>14439</v>
      </c>
      <c r="J911">
        <v>19.96</v>
      </c>
      <c r="K911">
        <v>240</v>
      </c>
      <c r="L911" t="s">
        <v>52</v>
      </c>
      <c r="M911">
        <v>27.47</v>
      </c>
      <c r="N911">
        <v>26653</v>
      </c>
      <c r="O911">
        <v>18119</v>
      </c>
      <c r="P911" t="s">
        <v>2528</v>
      </c>
      <c r="Q911" t="s">
        <v>61</v>
      </c>
      <c r="R911" t="s">
        <v>28</v>
      </c>
      <c r="S911" t="s">
        <v>29</v>
      </c>
      <c r="T911">
        <v>72.17</v>
      </c>
      <c r="U911">
        <f t="shared" si="196"/>
        <v>1091</v>
      </c>
      <c r="V911">
        <f t="shared" si="197"/>
        <v>405</v>
      </c>
      <c r="W911">
        <f t="shared" si="198"/>
        <v>341</v>
      </c>
      <c r="X911">
        <f t="shared" si="199"/>
        <v>0.35149999999999998</v>
      </c>
      <c r="Y911" s="1">
        <f t="shared" si="200"/>
        <v>55784467</v>
      </c>
      <c r="Z911">
        <f t="shared" si="201"/>
        <v>51131.500458295144</v>
      </c>
      <c r="AA911">
        <f t="shared" si="202"/>
        <v>99996</v>
      </c>
      <c r="AB911">
        <f t="shared" si="203"/>
        <v>5091</v>
      </c>
      <c r="AC911">
        <f t="shared" si="204"/>
        <v>1438464.350000001</v>
      </c>
      <c r="AD911">
        <f t="shared" si="205"/>
        <v>1318.4824472960595</v>
      </c>
      <c r="AE911">
        <f t="shared" si="206"/>
        <v>0.35149999999999998</v>
      </c>
      <c r="AF911">
        <f t="shared" si="207"/>
        <v>801051421.47000003</v>
      </c>
      <c r="AG911" t="str">
        <f t="shared" si="208"/>
        <v>Active</v>
      </c>
      <c r="AH911">
        <f t="shared" si="209"/>
        <v>866.04</v>
      </c>
    </row>
    <row r="912" spans="1:34" x14ac:dyDescent="0.35">
      <c r="A912" t="s">
        <v>2529</v>
      </c>
      <c r="B912" t="s">
        <v>2530</v>
      </c>
      <c r="C912">
        <v>55</v>
      </c>
      <c r="D912" t="s">
        <v>38</v>
      </c>
      <c r="E912" t="s">
        <v>23</v>
      </c>
      <c r="F912" t="s">
        <v>59</v>
      </c>
      <c r="G912">
        <v>158163</v>
      </c>
      <c r="H912">
        <v>670</v>
      </c>
      <c r="I912">
        <v>32147</v>
      </c>
      <c r="J912">
        <v>10.29</v>
      </c>
      <c r="K912">
        <v>360</v>
      </c>
      <c r="L912" t="s">
        <v>86</v>
      </c>
      <c r="M912">
        <v>38.19</v>
      </c>
      <c r="N912">
        <v>55842</v>
      </c>
      <c r="O912">
        <v>76077</v>
      </c>
      <c r="P912" t="s">
        <v>2531</v>
      </c>
      <c r="Q912" t="s">
        <v>27</v>
      </c>
      <c r="R912" t="s">
        <v>28</v>
      </c>
      <c r="S912" t="s">
        <v>49</v>
      </c>
      <c r="T912">
        <v>98.49</v>
      </c>
      <c r="U912">
        <f t="shared" si="196"/>
        <v>1090</v>
      </c>
      <c r="V912">
        <f t="shared" si="197"/>
        <v>405</v>
      </c>
      <c r="W912">
        <f t="shared" si="198"/>
        <v>340</v>
      </c>
      <c r="X912">
        <f t="shared" si="199"/>
        <v>0.35149999999999998</v>
      </c>
      <c r="Y912" s="1">
        <f t="shared" si="200"/>
        <v>55770028</v>
      </c>
      <c r="Z912">
        <f t="shared" si="201"/>
        <v>51165.163302752291</v>
      </c>
      <c r="AA912">
        <f t="shared" si="202"/>
        <v>99996</v>
      </c>
      <c r="AB912">
        <f t="shared" si="203"/>
        <v>5091</v>
      </c>
      <c r="AC912">
        <f t="shared" si="204"/>
        <v>1438392.1800000009</v>
      </c>
      <c r="AD912">
        <f t="shared" si="205"/>
        <v>1319.6258532110101</v>
      </c>
      <c r="AE912">
        <f t="shared" si="206"/>
        <v>0.35149999999999998</v>
      </c>
      <c r="AF912">
        <f t="shared" si="207"/>
        <v>799612957.11999989</v>
      </c>
      <c r="AG912" t="str">
        <f t="shared" si="208"/>
        <v>Active</v>
      </c>
      <c r="AH912">
        <f t="shared" si="209"/>
        <v>1181.8799999999999</v>
      </c>
    </row>
    <row r="913" spans="1:34" x14ac:dyDescent="0.35">
      <c r="A913" t="s">
        <v>2532</v>
      </c>
      <c r="B913" t="s">
        <v>2533</v>
      </c>
      <c r="C913">
        <v>41</v>
      </c>
      <c r="D913" t="s">
        <v>22</v>
      </c>
      <c r="E913" t="s">
        <v>32</v>
      </c>
      <c r="F913" t="s">
        <v>24</v>
      </c>
      <c r="G913">
        <v>57498</v>
      </c>
      <c r="H913">
        <v>670</v>
      </c>
      <c r="I913">
        <v>64326</v>
      </c>
      <c r="J913">
        <v>23.72</v>
      </c>
      <c r="K913">
        <v>240</v>
      </c>
      <c r="L913" t="s">
        <v>52</v>
      </c>
      <c r="M913">
        <v>7.64</v>
      </c>
      <c r="N913">
        <v>76530</v>
      </c>
      <c r="O913">
        <v>65441</v>
      </c>
      <c r="P913" t="s">
        <v>2534</v>
      </c>
      <c r="Q913" t="s">
        <v>42</v>
      </c>
      <c r="R913" t="s">
        <v>48</v>
      </c>
      <c r="S913" t="s">
        <v>43</v>
      </c>
      <c r="T913">
        <v>331.6</v>
      </c>
      <c r="U913">
        <f t="shared" si="196"/>
        <v>1089</v>
      </c>
      <c r="V913">
        <f t="shared" si="197"/>
        <v>405</v>
      </c>
      <c r="W913">
        <f t="shared" si="198"/>
        <v>340</v>
      </c>
      <c r="X913">
        <f t="shared" si="199"/>
        <v>0.35149999999999998</v>
      </c>
      <c r="Y913" s="1">
        <f t="shared" si="200"/>
        <v>55737881</v>
      </c>
      <c r="Z913">
        <f t="shared" si="201"/>
        <v>51182.627180899908</v>
      </c>
      <c r="AA913">
        <f t="shared" si="202"/>
        <v>99996</v>
      </c>
      <c r="AB913">
        <f t="shared" si="203"/>
        <v>5091</v>
      </c>
      <c r="AC913">
        <f t="shared" si="204"/>
        <v>1438293.6900000009</v>
      </c>
      <c r="AD913">
        <f t="shared" si="205"/>
        <v>1320.7471900826454</v>
      </c>
      <c r="AE913">
        <f t="shared" si="206"/>
        <v>0.35149999999999998</v>
      </c>
      <c r="AF913">
        <f t="shared" si="207"/>
        <v>798174564.93999994</v>
      </c>
      <c r="AG913" t="str">
        <f t="shared" si="208"/>
        <v>Active</v>
      </c>
      <c r="AH913">
        <f t="shared" si="209"/>
        <v>3979.2000000000003</v>
      </c>
    </row>
    <row r="914" spans="1:34" x14ac:dyDescent="0.35">
      <c r="A914" t="s">
        <v>2535</v>
      </c>
      <c r="B914" t="s">
        <v>2536</v>
      </c>
      <c r="C914">
        <v>65</v>
      </c>
      <c r="D914" t="s">
        <v>22</v>
      </c>
      <c r="E914" t="s">
        <v>23</v>
      </c>
      <c r="F914" t="s">
        <v>24</v>
      </c>
      <c r="G914">
        <v>27320</v>
      </c>
      <c r="H914">
        <v>434</v>
      </c>
      <c r="I914">
        <v>53022</v>
      </c>
      <c r="J914">
        <v>5.9</v>
      </c>
      <c r="K914">
        <v>120</v>
      </c>
      <c r="L914" t="s">
        <v>25</v>
      </c>
      <c r="M914">
        <v>58.03</v>
      </c>
      <c r="N914">
        <v>18901</v>
      </c>
      <c r="O914">
        <v>184189</v>
      </c>
      <c r="P914" t="s">
        <v>2537</v>
      </c>
      <c r="Q914" t="s">
        <v>61</v>
      </c>
      <c r="R914" t="s">
        <v>28</v>
      </c>
      <c r="S914" t="s">
        <v>35</v>
      </c>
      <c r="T914">
        <v>467.92</v>
      </c>
      <c r="U914">
        <f t="shared" si="196"/>
        <v>1088</v>
      </c>
      <c r="V914">
        <f t="shared" si="197"/>
        <v>404</v>
      </c>
      <c r="W914">
        <f t="shared" si="198"/>
        <v>340</v>
      </c>
      <c r="X914">
        <f t="shared" si="199"/>
        <v>0.35149999999999998</v>
      </c>
      <c r="Y914" s="1">
        <f t="shared" si="200"/>
        <v>55673555</v>
      </c>
      <c r="Z914">
        <f t="shared" si="201"/>
        <v>51170.546875</v>
      </c>
      <c r="AA914">
        <f t="shared" si="202"/>
        <v>99996</v>
      </c>
      <c r="AB914">
        <f t="shared" si="203"/>
        <v>5091</v>
      </c>
      <c r="AC914">
        <f t="shared" si="204"/>
        <v>1437962.090000001</v>
      </c>
      <c r="AD914">
        <f t="shared" si="205"/>
        <v>1321.6563327205893</v>
      </c>
      <c r="AE914">
        <f t="shared" si="206"/>
        <v>0.35149999999999998</v>
      </c>
      <c r="AF914">
        <f t="shared" si="207"/>
        <v>796736271.25</v>
      </c>
      <c r="AG914" t="str">
        <f t="shared" si="208"/>
        <v>Active</v>
      </c>
      <c r="AH914">
        <f t="shared" si="209"/>
        <v>5615.04</v>
      </c>
    </row>
    <row r="915" spans="1:34" x14ac:dyDescent="0.35">
      <c r="A915" t="s">
        <v>2538</v>
      </c>
      <c r="B915" t="s">
        <v>2539</v>
      </c>
      <c r="C915">
        <v>41</v>
      </c>
      <c r="D915" t="s">
        <v>22</v>
      </c>
      <c r="E915" t="s">
        <v>23</v>
      </c>
      <c r="F915" t="s">
        <v>59</v>
      </c>
      <c r="G915">
        <v>195547</v>
      </c>
      <c r="H915">
        <v>368</v>
      </c>
      <c r="I915">
        <v>50683</v>
      </c>
      <c r="J915">
        <v>15.41</v>
      </c>
      <c r="K915">
        <v>120</v>
      </c>
      <c r="L915" t="s">
        <v>25</v>
      </c>
      <c r="M915">
        <v>15.7</v>
      </c>
      <c r="N915">
        <v>36184</v>
      </c>
      <c r="O915">
        <v>97351</v>
      </c>
      <c r="P915" t="s">
        <v>2540</v>
      </c>
      <c r="Q915" t="s">
        <v>27</v>
      </c>
      <c r="R915" t="s">
        <v>48</v>
      </c>
      <c r="S915" t="s">
        <v>35</v>
      </c>
      <c r="T915">
        <v>487.44</v>
      </c>
      <c r="U915">
        <f t="shared" si="196"/>
        <v>1087</v>
      </c>
      <c r="V915">
        <f t="shared" si="197"/>
        <v>404</v>
      </c>
      <c r="W915">
        <f t="shared" si="198"/>
        <v>339</v>
      </c>
      <c r="X915">
        <f t="shared" si="199"/>
        <v>0.35149999999999998</v>
      </c>
      <c r="Y915" s="1">
        <f t="shared" si="200"/>
        <v>55620533</v>
      </c>
      <c r="Z915">
        <f t="shared" si="201"/>
        <v>51168.843606255752</v>
      </c>
      <c r="AA915">
        <f t="shared" si="202"/>
        <v>99996</v>
      </c>
      <c r="AB915">
        <f t="shared" si="203"/>
        <v>5091</v>
      </c>
      <c r="AC915">
        <f t="shared" si="204"/>
        <v>1437494.1700000009</v>
      </c>
      <c r="AD915">
        <f t="shared" si="205"/>
        <v>1322.4417387304516</v>
      </c>
      <c r="AE915">
        <f t="shared" si="206"/>
        <v>0.35149999999999998</v>
      </c>
      <c r="AF915">
        <f t="shared" si="207"/>
        <v>795298309.15999997</v>
      </c>
      <c r="AG915" t="str">
        <f t="shared" si="208"/>
        <v>Active</v>
      </c>
      <c r="AH915">
        <f t="shared" si="209"/>
        <v>5849.28</v>
      </c>
    </row>
    <row r="916" spans="1:34" x14ac:dyDescent="0.35">
      <c r="A916" t="s">
        <v>2541</v>
      </c>
      <c r="B916" t="s">
        <v>2542</v>
      </c>
      <c r="C916">
        <v>63</v>
      </c>
      <c r="D916" t="s">
        <v>38</v>
      </c>
      <c r="E916" t="s">
        <v>39</v>
      </c>
      <c r="F916" t="s">
        <v>46</v>
      </c>
      <c r="G916">
        <v>60606</v>
      </c>
      <c r="H916">
        <v>327</v>
      </c>
      <c r="I916">
        <v>51083</v>
      </c>
      <c r="J916">
        <v>11.82</v>
      </c>
      <c r="K916">
        <v>48</v>
      </c>
      <c r="L916" t="s">
        <v>40</v>
      </c>
      <c r="M916">
        <v>14.12</v>
      </c>
      <c r="N916">
        <v>15863</v>
      </c>
      <c r="O916">
        <v>246278</v>
      </c>
      <c r="P916" t="s">
        <v>2543</v>
      </c>
      <c r="Q916" t="s">
        <v>42</v>
      </c>
      <c r="R916" t="s">
        <v>28</v>
      </c>
      <c r="S916" t="s">
        <v>49</v>
      </c>
      <c r="T916">
        <v>1190.02</v>
      </c>
      <c r="U916">
        <f t="shared" si="196"/>
        <v>1086</v>
      </c>
      <c r="V916">
        <f t="shared" si="197"/>
        <v>404</v>
      </c>
      <c r="W916">
        <f t="shared" si="198"/>
        <v>339</v>
      </c>
      <c r="X916">
        <f t="shared" si="199"/>
        <v>0.35149999999999998</v>
      </c>
      <c r="Y916" s="1">
        <f t="shared" si="200"/>
        <v>55569850</v>
      </c>
      <c r="Z916">
        <f t="shared" si="201"/>
        <v>51169.290976058932</v>
      </c>
      <c r="AA916">
        <f t="shared" si="202"/>
        <v>99996</v>
      </c>
      <c r="AB916">
        <f t="shared" si="203"/>
        <v>5091</v>
      </c>
      <c r="AC916">
        <f t="shared" si="204"/>
        <v>1437006.7300000009</v>
      </c>
      <c r="AD916">
        <f t="shared" si="205"/>
        <v>1323.2106169429105</v>
      </c>
      <c r="AE916">
        <f t="shared" si="206"/>
        <v>0.35149999999999998</v>
      </c>
      <c r="AF916">
        <f t="shared" si="207"/>
        <v>793860814.98999989</v>
      </c>
      <c r="AG916" t="str">
        <f t="shared" si="208"/>
        <v>Active</v>
      </c>
      <c r="AH916">
        <f t="shared" si="209"/>
        <v>14280.24</v>
      </c>
    </row>
    <row r="917" spans="1:34" x14ac:dyDescent="0.35">
      <c r="A917" t="s">
        <v>2544</v>
      </c>
      <c r="B917" t="s">
        <v>2545</v>
      </c>
      <c r="C917">
        <v>61</v>
      </c>
      <c r="D917" t="s">
        <v>38</v>
      </c>
      <c r="E917" t="s">
        <v>23</v>
      </c>
      <c r="F917" t="s">
        <v>24</v>
      </c>
      <c r="G917">
        <v>82897</v>
      </c>
      <c r="H917">
        <v>509</v>
      </c>
      <c r="I917">
        <v>58695</v>
      </c>
      <c r="J917">
        <v>21.3</v>
      </c>
      <c r="K917">
        <v>240</v>
      </c>
      <c r="L917" t="s">
        <v>52</v>
      </c>
      <c r="M917">
        <v>53.71</v>
      </c>
      <c r="N917">
        <v>66924</v>
      </c>
      <c r="O917">
        <v>105363</v>
      </c>
      <c r="P917" t="s">
        <v>2546</v>
      </c>
      <c r="Q917" t="s">
        <v>27</v>
      </c>
      <c r="R917" t="s">
        <v>28</v>
      </c>
      <c r="S917" t="s">
        <v>43</v>
      </c>
      <c r="T917">
        <v>296.64999999999998</v>
      </c>
      <c r="U917">
        <f t="shared" si="196"/>
        <v>1085</v>
      </c>
      <c r="V917">
        <f t="shared" si="197"/>
        <v>403</v>
      </c>
      <c r="W917">
        <f t="shared" si="198"/>
        <v>339</v>
      </c>
      <c r="X917">
        <f t="shared" si="199"/>
        <v>0.35149999999999998</v>
      </c>
      <c r="Y917" s="1">
        <f t="shared" si="200"/>
        <v>55518767</v>
      </c>
      <c r="Z917">
        <f t="shared" si="201"/>
        <v>51169.370506912441</v>
      </c>
      <c r="AA917">
        <f t="shared" si="202"/>
        <v>99996</v>
      </c>
      <c r="AB917">
        <f t="shared" si="203"/>
        <v>5091</v>
      </c>
      <c r="AC917">
        <f t="shared" si="204"/>
        <v>1435816.7100000009</v>
      </c>
      <c r="AD917">
        <f t="shared" si="205"/>
        <v>1323.3333732718902</v>
      </c>
      <c r="AE917">
        <f t="shared" si="206"/>
        <v>0.35149999999999998</v>
      </c>
      <c r="AF917">
        <f t="shared" si="207"/>
        <v>792423808.25999987</v>
      </c>
      <c r="AG917" t="str">
        <f t="shared" si="208"/>
        <v>Active</v>
      </c>
      <c r="AH917">
        <f t="shared" si="209"/>
        <v>3559.7999999999997</v>
      </c>
    </row>
    <row r="918" spans="1:34" x14ac:dyDescent="0.35">
      <c r="A918" t="s">
        <v>2547</v>
      </c>
      <c r="B918" t="s">
        <v>2548</v>
      </c>
      <c r="C918">
        <v>35</v>
      </c>
      <c r="D918" t="s">
        <v>38</v>
      </c>
      <c r="E918" t="s">
        <v>39</v>
      </c>
      <c r="F918" t="s">
        <v>59</v>
      </c>
      <c r="G918">
        <v>188494</v>
      </c>
      <c r="H918">
        <v>472</v>
      </c>
      <c r="I918">
        <v>19780</v>
      </c>
      <c r="J918">
        <v>12.16</v>
      </c>
      <c r="K918">
        <v>36</v>
      </c>
      <c r="L918" t="s">
        <v>25</v>
      </c>
      <c r="M918">
        <v>28.35</v>
      </c>
      <c r="N918">
        <v>53159</v>
      </c>
      <c r="O918">
        <v>121464</v>
      </c>
      <c r="P918" t="s">
        <v>2549</v>
      </c>
      <c r="Q918" t="s">
        <v>61</v>
      </c>
      <c r="R918" t="s">
        <v>48</v>
      </c>
      <c r="S918" t="s">
        <v>43</v>
      </c>
      <c r="T918">
        <v>616.26</v>
      </c>
      <c r="U918">
        <f t="shared" si="196"/>
        <v>1084</v>
      </c>
      <c r="V918">
        <f t="shared" si="197"/>
        <v>403</v>
      </c>
      <c r="W918">
        <f t="shared" si="198"/>
        <v>339</v>
      </c>
      <c r="X918">
        <f t="shared" si="199"/>
        <v>0.35149999999999998</v>
      </c>
      <c r="Y918" s="1">
        <f t="shared" si="200"/>
        <v>55460072</v>
      </c>
      <c r="Z918">
        <f t="shared" si="201"/>
        <v>51162.428044280445</v>
      </c>
      <c r="AA918">
        <f t="shared" si="202"/>
        <v>99996</v>
      </c>
      <c r="AB918">
        <f t="shared" si="203"/>
        <v>5091</v>
      </c>
      <c r="AC918">
        <f t="shared" si="204"/>
        <v>1435520.060000001</v>
      </c>
      <c r="AD918">
        <f t="shared" si="205"/>
        <v>1324.2804981549825</v>
      </c>
      <c r="AE918">
        <f t="shared" si="206"/>
        <v>0.35149999999999998</v>
      </c>
      <c r="AF918">
        <f t="shared" si="207"/>
        <v>790987991.54999995</v>
      </c>
      <c r="AG918" t="str">
        <f t="shared" si="208"/>
        <v>Active</v>
      </c>
      <c r="AH918">
        <f t="shared" si="209"/>
        <v>7395.12</v>
      </c>
    </row>
    <row r="919" spans="1:34" x14ac:dyDescent="0.35">
      <c r="A919" t="s">
        <v>2550</v>
      </c>
      <c r="B919" t="s">
        <v>2551</v>
      </c>
      <c r="C919">
        <v>40</v>
      </c>
      <c r="D919" t="s">
        <v>38</v>
      </c>
      <c r="E919" t="s">
        <v>32</v>
      </c>
      <c r="F919" t="s">
        <v>59</v>
      </c>
      <c r="G919">
        <v>167518</v>
      </c>
      <c r="H919">
        <v>612</v>
      </c>
      <c r="I919">
        <v>23986</v>
      </c>
      <c r="J919">
        <v>17.38</v>
      </c>
      <c r="K919">
        <v>360</v>
      </c>
      <c r="L919" t="s">
        <v>33</v>
      </c>
      <c r="M919">
        <v>45.52</v>
      </c>
      <c r="N919">
        <v>36194</v>
      </c>
      <c r="O919">
        <v>38081</v>
      </c>
      <c r="P919" t="s">
        <v>2552</v>
      </c>
      <c r="Q919" t="s">
        <v>61</v>
      </c>
      <c r="R919" t="s">
        <v>28</v>
      </c>
      <c r="S919" t="s">
        <v>68</v>
      </c>
      <c r="T919">
        <v>78.209999999999994</v>
      </c>
      <c r="U919">
        <f t="shared" si="196"/>
        <v>1083</v>
      </c>
      <c r="V919">
        <f t="shared" si="197"/>
        <v>403</v>
      </c>
      <c r="W919">
        <f t="shared" si="198"/>
        <v>338</v>
      </c>
      <c r="X919">
        <f t="shared" si="199"/>
        <v>0.35149999999999998</v>
      </c>
      <c r="Y919" s="1">
        <f t="shared" si="200"/>
        <v>55440292</v>
      </c>
      <c r="Z919">
        <f t="shared" si="201"/>
        <v>51191.405355493996</v>
      </c>
      <c r="AA919">
        <f t="shared" si="202"/>
        <v>99996</v>
      </c>
      <c r="AB919">
        <f t="shared" si="203"/>
        <v>5091</v>
      </c>
      <c r="AC919">
        <f t="shared" si="204"/>
        <v>1434903.8000000007</v>
      </c>
      <c r="AD919">
        <f t="shared" si="205"/>
        <v>1324.9342566943683</v>
      </c>
      <c r="AE919">
        <f t="shared" si="206"/>
        <v>0.35149999999999998</v>
      </c>
      <c r="AF919">
        <f t="shared" si="207"/>
        <v>789552471.49000001</v>
      </c>
      <c r="AG919" t="str">
        <f t="shared" si="208"/>
        <v>Active</v>
      </c>
      <c r="AH919">
        <f t="shared" si="209"/>
        <v>938.52</v>
      </c>
    </row>
    <row r="920" spans="1:34" x14ac:dyDescent="0.35">
      <c r="A920" t="s">
        <v>2553</v>
      </c>
      <c r="B920" t="s">
        <v>2554</v>
      </c>
      <c r="C920">
        <v>64</v>
      </c>
      <c r="D920" t="s">
        <v>38</v>
      </c>
      <c r="E920" t="s">
        <v>32</v>
      </c>
      <c r="F920" t="s">
        <v>46</v>
      </c>
      <c r="G920">
        <v>109378</v>
      </c>
      <c r="H920">
        <v>459</v>
      </c>
      <c r="I920">
        <v>66635</v>
      </c>
      <c r="J920">
        <v>16.89</v>
      </c>
      <c r="K920">
        <v>24</v>
      </c>
      <c r="L920" t="s">
        <v>33</v>
      </c>
      <c r="M920">
        <v>32</v>
      </c>
      <c r="N920">
        <v>12784</v>
      </c>
      <c r="O920">
        <v>179892</v>
      </c>
      <c r="P920" t="s">
        <v>2555</v>
      </c>
      <c r="Q920" t="s">
        <v>42</v>
      </c>
      <c r="R920" t="s">
        <v>28</v>
      </c>
      <c r="S920" t="s">
        <v>35</v>
      </c>
      <c r="T920">
        <v>3245.4</v>
      </c>
      <c r="U920">
        <f t="shared" si="196"/>
        <v>1082</v>
      </c>
      <c r="V920">
        <f t="shared" si="197"/>
        <v>403</v>
      </c>
      <c r="W920">
        <f t="shared" si="198"/>
        <v>337</v>
      </c>
      <c r="X920">
        <f t="shared" si="199"/>
        <v>0.35149999999999998</v>
      </c>
      <c r="Y920" s="1">
        <f t="shared" si="200"/>
        <v>55416306</v>
      </c>
      <c r="Z920">
        <f t="shared" si="201"/>
        <v>51216.54898336414</v>
      </c>
      <c r="AA920">
        <f t="shared" si="202"/>
        <v>99996</v>
      </c>
      <c r="AB920">
        <f t="shared" si="203"/>
        <v>5091</v>
      </c>
      <c r="AC920">
        <f t="shared" si="204"/>
        <v>1434825.5900000008</v>
      </c>
      <c r="AD920">
        <f t="shared" si="205"/>
        <v>1326.0864972273575</v>
      </c>
      <c r="AE920">
        <f t="shared" si="206"/>
        <v>0.35149999999999998</v>
      </c>
      <c r="AF920">
        <f t="shared" si="207"/>
        <v>788117567.69000006</v>
      </c>
      <c r="AG920" t="str">
        <f t="shared" si="208"/>
        <v>Active</v>
      </c>
      <c r="AH920">
        <f t="shared" si="209"/>
        <v>38944.800000000003</v>
      </c>
    </row>
    <row r="921" spans="1:34" x14ac:dyDescent="0.35">
      <c r="A921" t="s">
        <v>2556</v>
      </c>
      <c r="B921" t="s">
        <v>2557</v>
      </c>
      <c r="C921">
        <v>61</v>
      </c>
      <c r="D921" t="s">
        <v>38</v>
      </c>
      <c r="E921" t="s">
        <v>39</v>
      </c>
      <c r="F921" t="s">
        <v>24</v>
      </c>
      <c r="G921">
        <v>35801</v>
      </c>
      <c r="H921">
        <v>696</v>
      </c>
      <c r="I921">
        <v>25781</v>
      </c>
      <c r="J921">
        <v>9.34</v>
      </c>
      <c r="K921">
        <v>120</v>
      </c>
      <c r="L921" t="s">
        <v>25</v>
      </c>
      <c r="M921">
        <v>12.19</v>
      </c>
      <c r="N921">
        <v>19645</v>
      </c>
      <c r="O921">
        <v>173275</v>
      </c>
      <c r="P921" t="s">
        <v>2558</v>
      </c>
      <c r="Q921" t="s">
        <v>27</v>
      </c>
      <c r="R921" t="s">
        <v>48</v>
      </c>
      <c r="S921" t="s">
        <v>43</v>
      </c>
      <c r="T921">
        <v>234.91</v>
      </c>
      <c r="U921">
        <f t="shared" si="196"/>
        <v>1081</v>
      </c>
      <c r="V921">
        <f t="shared" si="197"/>
        <v>402</v>
      </c>
      <c r="W921">
        <f t="shared" si="198"/>
        <v>337</v>
      </c>
      <c r="X921">
        <f t="shared" si="199"/>
        <v>0.35149999999999998</v>
      </c>
      <c r="Y921" s="1">
        <f t="shared" si="200"/>
        <v>55349671</v>
      </c>
      <c r="Z921">
        <f t="shared" si="201"/>
        <v>51202.285846438484</v>
      </c>
      <c r="AA921">
        <f t="shared" si="202"/>
        <v>99996</v>
      </c>
      <c r="AB921">
        <f t="shared" si="203"/>
        <v>5091</v>
      </c>
      <c r="AC921">
        <f t="shared" si="204"/>
        <v>1431580.1900000006</v>
      </c>
      <c r="AD921">
        <f t="shared" si="205"/>
        <v>1324.3109990749313</v>
      </c>
      <c r="AE921">
        <f t="shared" si="206"/>
        <v>0.35149999999999998</v>
      </c>
      <c r="AF921">
        <f t="shared" si="207"/>
        <v>786682742.10000014</v>
      </c>
      <c r="AG921" t="str">
        <f t="shared" si="208"/>
        <v>Active</v>
      </c>
      <c r="AH921">
        <f t="shared" si="209"/>
        <v>2818.92</v>
      </c>
    </row>
    <row r="922" spans="1:34" x14ac:dyDescent="0.35">
      <c r="A922" t="s">
        <v>2559</v>
      </c>
      <c r="B922" t="s">
        <v>2560</v>
      </c>
      <c r="C922">
        <v>21</v>
      </c>
      <c r="D922" t="s">
        <v>22</v>
      </c>
      <c r="E922" t="s">
        <v>39</v>
      </c>
      <c r="F922" t="s">
        <v>59</v>
      </c>
      <c r="G922">
        <v>83526</v>
      </c>
      <c r="H922">
        <v>736</v>
      </c>
      <c r="I922">
        <v>19026</v>
      </c>
      <c r="J922">
        <v>23.34</v>
      </c>
      <c r="K922">
        <v>240</v>
      </c>
      <c r="L922" t="s">
        <v>52</v>
      </c>
      <c r="M922">
        <v>26.98</v>
      </c>
      <c r="N922">
        <v>26136</v>
      </c>
      <c r="O922">
        <v>23285</v>
      </c>
      <c r="P922" t="s">
        <v>2561</v>
      </c>
      <c r="Q922" t="s">
        <v>61</v>
      </c>
      <c r="R922" t="s">
        <v>28</v>
      </c>
      <c r="S922" t="s">
        <v>43</v>
      </c>
      <c r="T922">
        <v>97.78</v>
      </c>
      <c r="U922">
        <f t="shared" si="196"/>
        <v>1080</v>
      </c>
      <c r="V922">
        <f t="shared" si="197"/>
        <v>402</v>
      </c>
      <c r="W922">
        <f t="shared" si="198"/>
        <v>337</v>
      </c>
      <c r="X922">
        <f t="shared" si="199"/>
        <v>0.35149999999999998</v>
      </c>
      <c r="Y922" s="1">
        <f t="shared" si="200"/>
        <v>55323890</v>
      </c>
      <c r="Z922">
        <f t="shared" si="201"/>
        <v>51225.824074074073</v>
      </c>
      <c r="AA922">
        <f t="shared" si="202"/>
        <v>99996</v>
      </c>
      <c r="AB922">
        <f t="shared" si="203"/>
        <v>5091</v>
      </c>
      <c r="AC922">
        <f t="shared" si="204"/>
        <v>1431345.2800000007</v>
      </c>
      <c r="AD922">
        <f t="shared" si="205"/>
        <v>1325.3197037037044</v>
      </c>
      <c r="AE922">
        <f t="shared" si="206"/>
        <v>0.35149999999999998</v>
      </c>
      <c r="AF922">
        <f t="shared" si="207"/>
        <v>785251161.91000021</v>
      </c>
      <c r="AG922" t="str">
        <f t="shared" si="208"/>
        <v>Active</v>
      </c>
      <c r="AH922">
        <f t="shared" si="209"/>
        <v>1173.3600000000001</v>
      </c>
    </row>
    <row r="923" spans="1:34" x14ac:dyDescent="0.35">
      <c r="A923" t="s">
        <v>2562</v>
      </c>
      <c r="B923" t="s">
        <v>2563</v>
      </c>
      <c r="C923">
        <v>41</v>
      </c>
      <c r="D923" t="s">
        <v>22</v>
      </c>
      <c r="E923" t="s">
        <v>23</v>
      </c>
      <c r="F923" t="s">
        <v>46</v>
      </c>
      <c r="G923">
        <v>50422</v>
      </c>
      <c r="H923">
        <v>349</v>
      </c>
      <c r="I923">
        <v>95441</v>
      </c>
      <c r="J923">
        <v>9.58</v>
      </c>
      <c r="K923">
        <v>24</v>
      </c>
      <c r="L923" t="s">
        <v>33</v>
      </c>
      <c r="M923">
        <v>16.78</v>
      </c>
      <c r="N923">
        <v>64011</v>
      </c>
      <c r="O923">
        <v>104977</v>
      </c>
      <c r="P923" t="s">
        <v>2564</v>
      </c>
      <c r="Q923" t="s">
        <v>42</v>
      </c>
      <c r="R923" t="s">
        <v>28</v>
      </c>
      <c r="S923" t="s">
        <v>49</v>
      </c>
      <c r="T923">
        <v>4357.68</v>
      </c>
      <c r="U923">
        <f t="shared" si="196"/>
        <v>1079</v>
      </c>
      <c r="V923">
        <f t="shared" si="197"/>
        <v>402</v>
      </c>
      <c r="W923">
        <f t="shared" si="198"/>
        <v>336</v>
      </c>
      <c r="X923">
        <f t="shared" si="199"/>
        <v>0.35149999999999998</v>
      </c>
      <c r="Y923" s="1">
        <f t="shared" si="200"/>
        <v>55304864</v>
      </c>
      <c r="Z923">
        <f t="shared" si="201"/>
        <v>51255.66635773865</v>
      </c>
      <c r="AA923">
        <f t="shared" si="202"/>
        <v>99996</v>
      </c>
      <c r="AB923">
        <f t="shared" si="203"/>
        <v>5091</v>
      </c>
      <c r="AC923">
        <f t="shared" si="204"/>
        <v>1431247.5000000007</v>
      </c>
      <c r="AD923">
        <f t="shared" si="205"/>
        <v>1326.4573679332723</v>
      </c>
      <c r="AE923">
        <f t="shared" si="206"/>
        <v>0.35149999999999998</v>
      </c>
      <c r="AF923">
        <f t="shared" si="207"/>
        <v>783819816.63000023</v>
      </c>
      <c r="AG923" t="str">
        <f t="shared" si="208"/>
        <v>Active</v>
      </c>
      <c r="AH923">
        <f t="shared" si="209"/>
        <v>52292.160000000003</v>
      </c>
    </row>
    <row r="924" spans="1:34" x14ac:dyDescent="0.35">
      <c r="A924" t="s">
        <v>2565</v>
      </c>
      <c r="B924" t="s">
        <v>2566</v>
      </c>
      <c r="C924">
        <v>25</v>
      </c>
      <c r="D924" t="s">
        <v>38</v>
      </c>
      <c r="E924" t="s">
        <v>23</v>
      </c>
      <c r="F924" t="s">
        <v>59</v>
      </c>
      <c r="G924">
        <v>97631</v>
      </c>
      <c r="H924">
        <v>611</v>
      </c>
      <c r="I924">
        <v>19892</v>
      </c>
      <c r="J924">
        <v>13.63</v>
      </c>
      <c r="K924">
        <v>24</v>
      </c>
      <c r="L924" t="s">
        <v>86</v>
      </c>
      <c r="M924">
        <v>51.76</v>
      </c>
      <c r="N924">
        <v>24115</v>
      </c>
      <c r="O924">
        <v>237946</v>
      </c>
      <c r="P924" t="s">
        <v>2567</v>
      </c>
      <c r="Q924" t="s">
        <v>27</v>
      </c>
      <c r="R924" t="s">
        <v>28</v>
      </c>
      <c r="S924" t="s">
        <v>68</v>
      </c>
      <c r="T924">
        <v>941.8</v>
      </c>
      <c r="U924">
        <f t="shared" si="196"/>
        <v>1078</v>
      </c>
      <c r="V924">
        <f t="shared" si="197"/>
        <v>401</v>
      </c>
      <c r="W924">
        <f t="shared" si="198"/>
        <v>336</v>
      </c>
      <c r="X924">
        <f t="shared" si="199"/>
        <v>0.35149999999999998</v>
      </c>
      <c r="Y924" s="1">
        <f t="shared" si="200"/>
        <v>55209423</v>
      </c>
      <c r="Z924">
        <f t="shared" si="201"/>
        <v>51214.678107606676</v>
      </c>
      <c r="AA924">
        <f t="shared" si="202"/>
        <v>99996</v>
      </c>
      <c r="AB924">
        <f t="shared" si="203"/>
        <v>5091</v>
      </c>
      <c r="AC924">
        <f t="shared" si="204"/>
        <v>1426889.8200000005</v>
      </c>
      <c r="AD924">
        <f t="shared" si="205"/>
        <v>1323.6454730983307</v>
      </c>
      <c r="AE924">
        <f t="shared" si="206"/>
        <v>0.35149999999999998</v>
      </c>
      <c r="AF924">
        <f t="shared" si="207"/>
        <v>782388569.13000023</v>
      </c>
      <c r="AG924" t="str">
        <f t="shared" si="208"/>
        <v>Active</v>
      </c>
      <c r="AH924">
        <f t="shared" si="209"/>
        <v>11301.599999999999</v>
      </c>
    </row>
    <row r="925" spans="1:34" x14ac:dyDescent="0.35">
      <c r="A925" t="s">
        <v>2568</v>
      </c>
      <c r="B925" t="s">
        <v>2569</v>
      </c>
      <c r="C925">
        <v>26</v>
      </c>
      <c r="D925" t="s">
        <v>22</v>
      </c>
      <c r="E925" t="s">
        <v>32</v>
      </c>
      <c r="F925" t="s">
        <v>24</v>
      </c>
      <c r="G925">
        <v>89943</v>
      </c>
      <c r="H925">
        <v>349</v>
      </c>
      <c r="I925">
        <v>82053</v>
      </c>
      <c r="J925">
        <v>18.02</v>
      </c>
      <c r="K925">
        <v>180</v>
      </c>
      <c r="L925" t="s">
        <v>40</v>
      </c>
      <c r="M925">
        <v>21.91</v>
      </c>
      <c r="N925">
        <v>78638</v>
      </c>
      <c r="O925">
        <v>241753</v>
      </c>
      <c r="P925" t="s">
        <v>1063</v>
      </c>
      <c r="Q925" t="s">
        <v>61</v>
      </c>
      <c r="R925" t="s">
        <v>48</v>
      </c>
      <c r="S925" t="s">
        <v>35</v>
      </c>
      <c r="T925">
        <v>537.99</v>
      </c>
      <c r="U925">
        <f t="shared" si="196"/>
        <v>1077</v>
      </c>
      <c r="V925">
        <f t="shared" si="197"/>
        <v>401</v>
      </c>
      <c r="W925">
        <f t="shared" si="198"/>
        <v>336</v>
      </c>
      <c r="X925">
        <f t="shared" si="199"/>
        <v>0.35149999999999998</v>
      </c>
      <c r="Y925" s="1">
        <f t="shared" si="200"/>
        <v>55189531</v>
      </c>
      <c r="Z925">
        <f t="shared" si="201"/>
        <v>51243.761374187561</v>
      </c>
      <c r="AA925">
        <f t="shared" si="202"/>
        <v>99996</v>
      </c>
      <c r="AB925">
        <f t="shared" si="203"/>
        <v>5091</v>
      </c>
      <c r="AC925">
        <f t="shared" si="204"/>
        <v>1425948.0200000005</v>
      </c>
      <c r="AD925">
        <f t="shared" si="205"/>
        <v>1324.0000185701026</v>
      </c>
      <c r="AE925">
        <f t="shared" si="206"/>
        <v>0.35149999999999998</v>
      </c>
      <c r="AF925">
        <f t="shared" si="207"/>
        <v>780961679.3100003</v>
      </c>
      <c r="AG925" t="str">
        <f t="shared" si="208"/>
        <v>Active</v>
      </c>
      <c r="AH925">
        <f t="shared" si="209"/>
        <v>6455.88</v>
      </c>
    </row>
    <row r="926" spans="1:34" x14ac:dyDescent="0.35">
      <c r="A926" t="s">
        <v>2570</v>
      </c>
      <c r="B926" t="s">
        <v>2571</v>
      </c>
      <c r="C926">
        <v>33</v>
      </c>
      <c r="D926" t="s">
        <v>22</v>
      </c>
      <c r="E926" t="s">
        <v>23</v>
      </c>
      <c r="F926" t="s">
        <v>46</v>
      </c>
      <c r="G926">
        <v>155085</v>
      </c>
      <c r="H926">
        <v>495</v>
      </c>
      <c r="I926">
        <v>24618</v>
      </c>
      <c r="J926">
        <v>19.04</v>
      </c>
      <c r="K926">
        <v>24</v>
      </c>
      <c r="L926" t="s">
        <v>86</v>
      </c>
      <c r="M926">
        <v>20.78</v>
      </c>
      <c r="N926">
        <v>2899</v>
      </c>
      <c r="O926">
        <v>97961</v>
      </c>
      <c r="P926" t="s">
        <v>2572</v>
      </c>
      <c r="Q926" t="s">
        <v>61</v>
      </c>
      <c r="R926" t="s">
        <v>48</v>
      </c>
      <c r="S926" t="s">
        <v>49</v>
      </c>
      <c r="T926">
        <v>1221.05</v>
      </c>
      <c r="U926">
        <f t="shared" si="196"/>
        <v>1076</v>
      </c>
      <c r="V926">
        <f t="shared" si="197"/>
        <v>401</v>
      </c>
      <c r="W926">
        <f t="shared" si="198"/>
        <v>335</v>
      </c>
      <c r="X926">
        <f t="shared" si="199"/>
        <v>0.35149999999999998</v>
      </c>
      <c r="Y926" s="1">
        <f t="shared" si="200"/>
        <v>55107478</v>
      </c>
      <c r="Z926">
        <f t="shared" si="201"/>
        <v>51215.128252788105</v>
      </c>
      <c r="AA926">
        <f t="shared" si="202"/>
        <v>99996</v>
      </c>
      <c r="AB926">
        <f t="shared" si="203"/>
        <v>5091</v>
      </c>
      <c r="AC926">
        <f t="shared" si="204"/>
        <v>1425410.0300000005</v>
      </c>
      <c r="AD926">
        <f t="shared" si="205"/>
        <v>1324.7305111524167</v>
      </c>
      <c r="AE926">
        <f t="shared" si="206"/>
        <v>0.35149999999999998</v>
      </c>
      <c r="AF926">
        <f t="shared" si="207"/>
        <v>779535731.29000032</v>
      </c>
      <c r="AG926" t="str">
        <f t="shared" si="208"/>
        <v>Active</v>
      </c>
      <c r="AH926">
        <f t="shared" si="209"/>
        <v>14652.599999999999</v>
      </c>
    </row>
    <row r="927" spans="1:34" x14ac:dyDescent="0.35">
      <c r="A927" t="s">
        <v>2573</v>
      </c>
      <c r="B927" t="s">
        <v>2574</v>
      </c>
      <c r="C927">
        <v>58</v>
      </c>
      <c r="D927" t="s">
        <v>38</v>
      </c>
      <c r="E927" t="s">
        <v>39</v>
      </c>
      <c r="F927" t="s">
        <v>46</v>
      </c>
      <c r="G927">
        <v>143158</v>
      </c>
      <c r="H927">
        <v>310</v>
      </c>
      <c r="I927">
        <v>22113</v>
      </c>
      <c r="J927">
        <v>3.69</v>
      </c>
      <c r="K927">
        <v>12</v>
      </c>
      <c r="L927" t="s">
        <v>52</v>
      </c>
      <c r="M927">
        <v>55.48</v>
      </c>
      <c r="N927">
        <v>23535</v>
      </c>
      <c r="O927">
        <v>24667</v>
      </c>
      <c r="P927" t="s">
        <v>1494</v>
      </c>
      <c r="Q927" t="s">
        <v>27</v>
      </c>
      <c r="R927" t="s">
        <v>48</v>
      </c>
      <c r="S927" t="s">
        <v>68</v>
      </c>
      <c r="T927">
        <v>1910.75</v>
      </c>
      <c r="U927">
        <f t="shared" si="196"/>
        <v>1075</v>
      </c>
      <c r="V927">
        <f t="shared" si="197"/>
        <v>401</v>
      </c>
      <c r="W927">
        <f t="shared" si="198"/>
        <v>334</v>
      </c>
      <c r="X927">
        <f t="shared" si="199"/>
        <v>0.35149999999999998</v>
      </c>
      <c r="Y927" s="1">
        <f t="shared" si="200"/>
        <v>55082860</v>
      </c>
      <c r="Z927">
        <f t="shared" si="201"/>
        <v>51239.869767441858</v>
      </c>
      <c r="AA927">
        <f t="shared" si="202"/>
        <v>99996</v>
      </c>
      <c r="AB927">
        <f t="shared" si="203"/>
        <v>5091</v>
      </c>
      <c r="AC927">
        <f t="shared" si="204"/>
        <v>1424188.9800000004</v>
      </c>
      <c r="AD927">
        <f t="shared" si="205"/>
        <v>1324.8269581395352</v>
      </c>
      <c r="AE927">
        <f t="shared" si="206"/>
        <v>0.35149999999999998</v>
      </c>
      <c r="AF927">
        <f t="shared" si="207"/>
        <v>778110321.26000023</v>
      </c>
      <c r="AG927" t="str">
        <f t="shared" si="208"/>
        <v>Active</v>
      </c>
      <c r="AH927">
        <f t="shared" si="209"/>
        <v>22929</v>
      </c>
    </row>
    <row r="928" spans="1:34" x14ac:dyDescent="0.35">
      <c r="A928" t="s">
        <v>2575</v>
      </c>
      <c r="B928" t="s">
        <v>2576</v>
      </c>
      <c r="C928">
        <v>65</v>
      </c>
      <c r="D928" t="s">
        <v>38</v>
      </c>
      <c r="E928" t="s">
        <v>39</v>
      </c>
      <c r="F928" t="s">
        <v>46</v>
      </c>
      <c r="G928">
        <v>102086</v>
      </c>
      <c r="H928">
        <v>387</v>
      </c>
      <c r="I928">
        <v>72662</v>
      </c>
      <c r="J928">
        <v>15.73</v>
      </c>
      <c r="K928">
        <v>48</v>
      </c>
      <c r="L928" t="s">
        <v>52</v>
      </c>
      <c r="M928">
        <v>31.16</v>
      </c>
      <c r="N928">
        <v>79557</v>
      </c>
      <c r="O928">
        <v>24415</v>
      </c>
      <c r="P928" t="s">
        <v>2577</v>
      </c>
      <c r="Q928" t="s">
        <v>61</v>
      </c>
      <c r="R928" t="s">
        <v>48</v>
      </c>
      <c r="S928" t="s">
        <v>49</v>
      </c>
      <c r="T928">
        <v>1751.91</v>
      </c>
      <c r="U928">
        <f t="shared" si="196"/>
        <v>1074</v>
      </c>
      <c r="V928">
        <f t="shared" si="197"/>
        <v>401</v>
      </c>
      <c r="W928">
        <f t="shared" si="198"/>
        <v>334</v>
      </c>
      <c r="X928">
        <f t="shared" si="199"/>
        <v>0.35149999999999998</v>
      </c>
      <c r="Y928" s="1">
        <f t="shared" si="200"/>
        <v>55060747</v>
      </c>
      <c r="Z928">
        <f t="shared" si="201"/>
        <v>51266.989757914336</v>
      </c>
      <c r="AA928">
        <f t="shared" si="202"/>
        <v>99996</v>
      </c>
      <c r="AB928">
        <f t="shared" si="203"/>
        <v>5091</v>
      </c>
      <c r="AC928">
        <f t="shared" si="204"/>
        <v>1422278.2300000004</v>
      </c>
      <c r="AD928">
        <f t="shared" si="205"/>
        <v>1324.2814059590321</v>
      </c>
      <c r="AE928">
        <f t="shared" si="206"/>
        <v>0.35149999999999998</v>
      </c>
      <c r="AF928">
        <f t="shared" si="207"/>
        <v>776686132.28000033</v>
      </c>
      <c r="AG928" t="str">
        <f t="shared" si="208"/>
        <v>Over Paid</v>
      </c>
      <c r="AH928">
        <f t="shared" si="209"/>
        <v>21022.920000000002</v>
      </c>
    </row>
    <row r="929" spans="1:34" x14ac:dyDescent="0.35">
      <c r="A929" t="s">
        <v>2578</v>
      </c>
      <c r="B929" t="s">
        <v>2579</v>
      </c>
      <c r="C929">
        <v>32</v>
      </c>
      <c r="D929" t="s">
        <v>22</v>
      </c>
      <c r="E929" t="s">
        <v>23</v>
      </c>
      <c r="F929" t="s">
        <v>24</v>
      </c>
      <c r="G929">
        <v>181083</v>
      </c>
      <c r="H929">
        <v>329</v>
      </c>
      <c r="I929">
        <v>35043</v>
      </c>
      <c r="J929">
        <v>10.73</v>
      </c>
      <c r="K929">
        <v>60</v>
      </c>
      <c r="L929" t="s">
        <v>40</v>
      </c>
      <c r="M929">
        <v>49.63</v>
      </c>
      <c r="N929">
        <v>48168</v>
      </c>
      <c r="O929">
        <v>84010</v>
      </c>
      <c r="P929" t="s">
        <v>654</v>
      </c>
      <c r="Q929" t="s">
        <v>42</v>
      </c>
      <c r="R929" t="s">
        <v>28</v>
      </c>
      <c r="S929" t="s">
        <v>68</v>
      </c>
      <c r="T929">
        <v>646.72</v>
      </c>
      <c r="U929">
        <f t="shared" si="196"/>
        <v>1073</v>
      </c>
      <c r="V929">
        <f t="shared" si="197"/>
        <v>401</v>
      </c>
      <c r="W929">
        <f t="shared" si="198"/>
        <v>333</v>
      </c>
      <c r="X929">
        <f t="shared" si="199"/>
        <v>0.35149999999999998</v>
      </c>
      <c r="Y929" s="1">
        <f t="shared" si="200"/>
        <v>54988085</v>
      </c>
      <c r="Z929">
        <f t="shared" si="201"/>
        <v>51247.050326188255</v>
      </c>
      <c r="AA929">
        <f t="shared" si="202"/>
        <v>99996</v>
      </c>
      <c r="AB929">
        <f t="shared" si="203"/>
        <v>5091</v>
      </c>
      <c r="AC929">
        <f t="shared" si="204"/>
        <v>1420526.3200000003</v>
      </c>
      <c r="AD929">
        <f t="shared" si="205"/>
        <v>1323.8828704566638</v>
      </c>
      <c r="AE929">
        <f t="shared" si="206"/>
        <v>0.35149999999999998</v>
      </c>
      <c r="AF929">
        <f t="shared" si="207"/>
        <v>775263854.05000031</v>
      </c>
      <c r="AG929" t="str">
        <f t="shared" si="208"/>
        <v>Active</v>
      </c>
      <c r="AH929">
        <f t="shared" si="209"/>
        <v>7760.64</v>
      </c>
    </row>
    <row r="930" spans="1:34" x14ac:dyDescent="0.35">
      <c r="A930" t="s">
        <v>2580</v>
      </c>
      <c r="B930" t="s">
        <v>2581</v>
      </c>
      <c r="C930">
        <v>31</v>
      </c>
      <c r="D930" t="s">
        <v>38</v>
      </c>
      <c r="E930" t="s">
        <v>39</v>
      </c>
      <c r="F930" t="s">
        <v>59</v>
      </c>
      <c r="G930">
        <v>32709</v>
      </c>
      <c r="H930">
        <v>509</v>
      </c>
      <c r="I930">
        <v>34435</v>
      </c>
      <c r="J930">
        <v>7.64</v>
      </c>
      <c r="K930">
        <v>48</v>
      </c>
      <c r="L930" t="s">
        <v>33</v>
      </c>
      <c r="M930">
        <v>31.83</v>
      </c>
      <c r="N930">
        <v>70033</v>
      </c>
      <c r="O930">
        <v>107825</v>
      </c>
      <c r="P930" t="s">
        <v>2456</v>
      </c>
      <c r="Q930" t="s">
        <v>61</v>
      </c>
      <c r="R930" t="s">
        <v>48</v>
      </c>
      <c r="S930" t="s">
        <v>68</v>
      </c>
      <c r="T930">
        <v>772.2</v>
      </c>
      <c r="U930">
        <f t="shared" si="196"/>
        <v>1072</v>
      </c>
      <c r="V930">
        <f t="shared" si="197"/>
        <v>400</v>
      </c>
      <c r="W930">
        <f t="shared" si="198"/>
        <v>333</v>
      </c>
      <c r="X930">
        <f t="shared" si="199"/>
        <v>0.35149999999999998</v>
      </c>
      <c r="Y930" s="1">
        <f t="shared" si="200"/>
        <v>54953042</v>
      </c>
      <c r="Z930">
        <f t="shared" si="201"/>
        <v>51262.166044776117</v>
      </c>
      <c r="AA930">
        <f t="shared" si="202"/>
        <v>99996</v>
      </c>
      <c r="AB930">
        <f t="shared" si="203"/>
        <v>5091</v>
      </c>
      <c r="AC930">
        <f t="shared" si="204"/>
        <v>1419879.6</v>
      </c>
      <c r="AD930">
        <f t="shared" si="205"/>
        <v>1324.5145522388061</v>
      </c>
      <c r="AE930">
        <f t="shared" si="206"/>
        <v>0.35149999999999998</v>
      </c>
      <c r="AF930">
        <f t="shared" si="207"/>
        <v>773843327.7300005</v>
      </c>
      <c r="AG930" t="str">
        <f t="shared" si="208"/>
        <v>Active</v>
      </c>
      <c r="AH930">
        <f t="shared" si="209"/>
        <v>9266.4000000000015</v>
      </c>
    </row>
    <row r="931" spans="1:34" x14ac:dyDescent="0.35">
      <c r="A931" t="s">
        <v>2582</v>
      </c>
      <c r="B931" t="s">
        <v>2583</v>
      </c>
      <c r="C931">
        <v>56</v>
      </c>
      <c r="D931" t="s">
        <v>38</v>
      </c>
      <c r="E931" t="s">
        <v>39</v>
      </c>
      <c r="F931" t="s">
        <v>24</v>
      </c>
      <c r="G931">
        <v>58076</v>
      </c>
      <c r="H931">
        <v>457</v>
      </c>
      <c r="I931">
        <v>50701</v>
      </c>
      <c r="J931">
        <v>12.79</v>
      </c>
      <c r="K931">
        <v>24</v>
      </c>
      <c r="L931" t="s">
        <v>33</v>
      </c>
      <c r="M931">
        <v>19.579999999999998</v>
      </c>
      <c r="N931">
        <v>7442</v>
      </c>
      <c r="O931">
        <v>11115</v>
      </c>
      <c r="P931" t="s">
        <v>2546</v>
      </c>
      <c r="Q931" t="s">
        <v>27</v>
      </c>
      <c r="R931" t="s">
        <v>48</v>
      </c>
      <c r="S931" t="s">
        <v>29</v>
      </c>
      <c r="T931">
        <v>2382.7399999999998</v>
      </c>
      <c r="U931">
        <f t="shared" si="196"/>
        <v>1071</v>
      </c>
      <c r="V931">
        <f t="shared" si="197"/>
        <v>400</v>
      </c>
      <c r="W931">
        <f t="shared" si="198"/>
        <v>332</v>
      </c>
      <c r="X931">
        <f t="shared" si="199"/>
        <v>0.35149999999999998</v>
      </c>
      <c r="Y931" s="1">
        <f t="shared" si="200"/>
        <v>54918607</v>
      </c>
      <c r="Z931">
        <f t="shared" si="201"/>
        <v>51277.877684407096</v>
      </c>
      <c r="AA931">
        <f t="shared" si="202"/>
        <v>99996</v>
      </c>
      <c r="AB931">
        <f t="shared" si="203"/>
        <v>5091</v>
      </c>
      <c r="AC931">
        <f t="shared" si="204"/>
        <v>1419107.4000000001</v>
      </c>
      <c r="AD931">
        <f t="shared" si="205"/>
        <v>1325.0302521008405</v>
      </c>
      <c r="AE931">
        <f t="shared" si="206"/>
        <v>0.35149999999999998</v>
      </c>
      <c r="AF931">
        <f t="shared" si="207"/>
        <v>772423448.13000059</v>
      </c>
      <c r="AG931" t="str">
        <f t="shared" si="208"/>
        <v>Active</v>
      </c>
      <c r="AH931">
        <f t="shared" si="209"/>
        <v>28592.879999999997</v>
      </c>
    </row>
    <row r="932" spans="1:34" x14ac:dyDescent="0.35">
      <c r="A932" t="s">
        <v>2584</v>
      </c>
      <c r="B932" t="s">
        <v>2585</v>
      </c>
      <c r="C932">
        <v>48</v>
      </c>
      <c r="D932" t="s">
        <v>22</v>
      </c>
      <c r="E932" t="s">
        <v>32</v>
      </c>
      <c r="F932" t="s">
        <v>46</v>
      </c>
      <c r="G932">
        <v>20969</v>
      </c>
      <c r="H932">
        <v>741</v>
      </c>
      <c r="I932">
        <v>34239</v>
      </c>
      <c r="J932">
        <v>14.17</v>
      </c>
      <c r="K932">
        <v>12</v>
      </c>
      <c r="L932" t="s">
        <v>25</v>
      </c>
      <c r="M932">
        <v>56.45</v>
      </c>
      <c r="N932">
        <v>27912</v>
      </c>
      <c r="O932">
        <v>55106</v>
      </c>
      <c r="P932" t="s">
        <v>1201</v>
      </c>
      <c r="Q932" t="s">
        <v>61</v>
      </c>
      <c r="R932" t="s">
        <v>48</v>
      </c>
      <c r="S932" t="s">
        <v>49</v>
      </c>
      <c r="T932">
        <v>3257.56</v>
      </c>
      <c r="U932">
        <f t="shared" si="196"/>
        <v>1070</v>
      </c>
      <c r="V932">
        <f t="shared" si="197"/>
        <v>400</v>
      </c>
      <c r="W932">
        <f t="shared" si="198"/>
        <v>332</v>
      </c>
      <c r="X932">
        <f t="shared" si="199"/>
        <v>0.35149999999999998</v>
      </c>
      <c r="Y932" s="1">
        <f t="shared" si="200"/>
        <v>54867906</v>
      </c>
      <c r="Z932">
        <f t="shared" si="201"/>
        <v>51278.416822429906</v>
      </c>
      <c r="AA932">
        <f t="shared" si="202"/>
        <v>99996</v>
      </c>
      <c r="AB932">
        <f t="shared" si="203"/>
        <v>5091</v>
      </c>
      <c r="AC932">
        <f t="shared" si="204"/>
        <v>1416724.6600000001</v>
      </c>
      <c r="AD932">
        <f t="shared" si="205"/>
        <v>1324.0417383177571</v>
      </c>
      <c r="AE932">
        <f t="shared" si="206"/>
        <v>0.35149999999999998</v>
      </c>
      <c r="AF932">
        <f t="shared" si="207"/>
        <v>771004340.7300005</v>
      </c>
      <c r="AG932" t="str">
        <f t="shared" si="208"/>
        <v>Active</v>
      </c>
      <c r="AH932">
        <f t="shared" si="209"/>
        <v>39090.720000000001</v>
      </c>
    </row>
    <row r="933" spans="1:34" x14ac:dyDescent="0.35">
      <c r="A933" t="s">
        <v>2586</v>
      </c>
      <c r="B933" t="s">
        <v>2587</v>
      </c>
      <c r="C933">
        <v>62</v>
      </c>
      <c r="D933" t="s">
        <v>22</v>
      </c>
      <c r="E933" t="s">
        <v>39</v>
      </c>
      <c r="F933" t="s">
        <v>46</v>
      </c>
      <c r="G933">
        <v>59859</v>
      </c>
      <c r="H933">
        <v>428</v>
      </c>
      <c r="I933">
        <v>25862</v>
      </c>
      <c r="J933">
        <v>8.84</v>
      </c>
      <c r="K933">
        <v>12</v>
      </c>
      <c r="L933" t="s">
        <v>40</v>
      </c>
      <c r="M933">
        <v>44.78</v>
      </c>
      <c r="N933">
        <v>77968</v>
      </c>
      <c r="O933">
        <v>2879</v>
      </c>
      <c r="P933" t="s">
        <v>361</v>
      </c>
      <c r="Q933" t="s">
        <v>27</v>
      </c>
      <c r="R933" t="s">
        <v>28</v>
      </c>
      <c r="S933" t="s">
        <v>49</v>
      </c>
      <c r="T933">
        <v>2345.6799999999998</v>
      </c>
      <c r="U933">
        <f t="shared" si="196"/>
        <v>1069</v>
      </c>
      <c r="V933">
        <f t="shared" si="197"/>
        <v>400</v>
      </c>
      <c r="W933">
        <f t="shared" si="198"/>
        <v>331</v>
      </c>
      <c r="X933">
        <f t="shared" si="199"/>
        <v>0.35149999999999998</v>
      </c>
      <c r="Y933" s="1">
        <f t="shared" si="200"/>
        <v>54833667</v>
      </c>
      <c r="Z933">
        <f t="shared" si="201"/>
        <v>51294.356407857813</v>
      </c>
      <c r="AA933">
        <f t="shared" si="202"/>
        <v>99996</v>
      </c>
      <c r="AB933">
        <f t="shared" si="203"/>
        <v>5091</v>
      </c>
      <c r="AC933">
        <f t="shared" si="204"/>
        <v>1413467.1000000003</v>
      </c>
      <c r="AD933">
        <f t="shared" si="205"/>
        <v>1322.2330215154352</v>
      </c>
      <c r="AE933">
        <f t="shared" si="206"/>
        <v>0.35149999999999998</v>
      </c>
      <c r="AF933">
        <f t="shared" si="207"/>
        <v>769587616.07000053</v>
      </c>
      <c r="AG933" t="str">
        <f t="shared" si="208"/>
        <v>Over Paid</v>
      </c>
      <c r="AH933">
        <f t="shared" si="209"/>
        <v>28148.159999999996</v>
      </c>
    </row>
    <row r="934" spans="1:34" x14ac:dyDescent="0.35">
      <c r="A934" t="s">
        <v>2588</v>
      </c>
      <c r="B934" t="s">
        <v>2589</v>
      </c>
      <c r="C934">
        <v>30</v>
      </c>
      <c r="D934" t="s">
        <v>38</v>
      </c>
      <c r="E934" t="s">
        <v>32</v>
      </c>
      <c r="F934" t="s">
        <v>24</v>
      </c>
      <c r="G934">
        <v>27295</v>
      </c>
      <c r="H934">
        <v>753</v>
      </c>
      <c r="I934">
        <v>7915</v>
      </c>
      <c r="J934">
        <v>11.55</v>
      </c>
      <c r="K934">
        <v>36</v>
      </c>
      <c r="L934" t="s">
        <v>86</v>
      </c>
      <c r="M934">
        <v>46.28</v>
      </c>
      <c r="N934">
        <v>54930</v>
      </c>
      <c r="O934">
        <v>149271</v>
      </c>
      <c r="P934" t="s">
        <v>2590</v>
      </c>
      <c r="Q934" t="s">
        <v>61</v>
      </c>
      <c r="R934" t="s">
        <v>28</v>
      </c>
      <c r="S934" t="s">
        <v>29</v>
      </c>
      <c r="T934">
        <v>245.26</v>
      </c>
      <c r="U934">
        <f t="shared" si="196"/>
        <v>1068</v>
      </c>
      <c r="V934">
        <f t="shared" si="197"/>
        <v>400</v>
      </c>
      <c r="W934">
        <f t="shared" si="198"/>
        <v>331</v>
      </c>
      <c r="X934">
        <f t="shared" si="199"/>
        <v>0.35149999999999998</v>
      </c>
      <c r="Y934" s="1">
        <f t="shared" si="200"/>
        <v>54807805</v>
      </c>
      <c r="Z934">
        <f t="shared" si="201"/>
        <v>51318.169475655428</v>
      </c>
      <c r="AA934">
        <f t="shared" si="202"/>
        <v>99996</v>
      </c>
      <c r="AB934">
        <f t="shared" si="203"/>
        <v>5091</v>
      </c>
      <c r="AC934">
        <f t="shared" si="204"/>
        <v>1411121.4200000002</v>
      </c>
      <c r="AD934">
        <f t="shared" si="205"/>
        <v>1321.2747378277154</v>
      </c>
      <c r="AE934">
        <f t="shared" si="206"/>
        <v>0.35149999999999998</v>
      </c>
      <c r="AF934">
        <f t="shared" si="207"/>
        <v>768174148.97000051</v>
      </c>
      <c r="AG934" t="str">
        <f t="shared" si="208"/>
        <v>Over Paid</v>
      </c>
      <c r="AH934">
        <f t="shared" si="209"/>
        <v>2943.12</v>
      </c>
    </row>
    <row r="935" spans="1:34" x14ac:dyDescent="0.35">
      <c r="A935" t="s">
        <v>2591</v>
      </c>
      <c r="B935" t="s">
        <v>2592</v>
      </c>
      <c r="C935">
        <v>53</v>
      </c>
      <c r="D935" t="s">
        <v>38</v>
      </c>
      <c r="E935" t="s">
        <v>23</v>
      </c>
      <c r="F935" t="s">
        <v>59</v>
      </c>
      <c r="G935">
        <v>52458</v>
      </c>
      <c r="H935">
        <v>472</v>
      </c>
      <c r="I935">
        <v>7629</v>
      </c>
      <c r="J935">
        <v>17.89</v>
      </c>
      <c r="K935">
        <v>240</v>
      </c>
      <c r="L935" t="s">
        <v>52</v>
      </c>
      <c r="M935">
        <v>51.41</v>
      </c>
      <c r="N935">
        <v>19370</v>
      </c>
      <c r="O935">
        <v>234547</v>
      </c>
      <c r="P935" t="s">
        <v>2593</v>
      </c>
      <c r="Q935" t="s">
        <v>61</v>
      </c>
      <c r="R935" t="s">
        <v>28</v>
      </c>
      <c r="S935" t="s">
        <v>29</v>
      </c>
      <c r="T935">
        <v>37.47</v>
      </c>
      <c r="U935">
        <f t="shared" si="196"/>
        <v>1067</v>
      </c>
      <c r="V935">
        <f t="shared" si="197"/>
        <v>400</v>
      </c>
      <c r="W935">
        <f t="shared" si="198"/>
        <v>330</v>
      </c>
      <c r="X935">
        <f t="shared" si="199"/>
        <v>0.35149999999999998</v>
      </c>
      <c r="Y935" s="1">
        <f t="shared" si="200"/>
        <v>54799890</v>
      </c>
      <c r="Z935">
        <f t="shared" si="201"/>
        <v>51358.847235238987</v>
      </c>
      <c r="AA935">
        <f t="shared" si="202"/>
        <v>99996</v>
      </c>
      <c r="AB935">
        <f t="shared" si="203"/>
        <v>5091</v>
      </c>
      <c r="AC935">
        <f t="shared" si="204"/>
        <v>1410876.1600000004</v>
      </c>
      <c r="AD935">
        <f t="shared" si="205"/>
        <v>1322.2831865042178</v>
      </c>
      <c r="AE935">
        <f t="shared" si="206"/>
        <v>0.35149999999999998</v>
      </c>
      <c r="AF935">
        <f t="shared" si="207"/>
        <v>766763027.55000055</v>
      </c>
      <c r="AG935" t="str">
        <f t="shared" si="208"/>
        <v>Active</v>
      </c>
      <c r="AH935">
        <f t="shared" si="209"/>
        <v>449.64</v>
      </c>
    </row>
    <row r="936" spans="1:34" x14ac:dyDescent="0.35">
      <c r="A936" t="s">
        <v>2594</v>
      </c>
      <c r="B936" t="s">
        <v>2595</v>
      </c>
      <c r="C936">
        <v>33</v>
      </c>
      <c r="D936" t="s">
        <v>22</v>
      </c>
      <c r="E936" t="s">
        <v>23</v>
      </c>
      <c r="F936" t="s">
        <v>59</v>
      </c>
      <c r="G936">
        <v>84219</v>
      </c>
      <c r="H936">
        <v>602</v>
      </c>
      <c r="I936">
        <v>56640</v>
      </c>
      <c r="J936">
        <v>16.059999999999999</v>
      </c>
      <c r="K936">
        <v>24</v>
      </c>
      <c r="L936" t="s">
        <v>33</v>
      </c>
      <c r="M936">
        <v>30.44</v>
      </c>
      <c r="N936">
        <v>42374</v>
      </c>
      <c r="O936">
        <v>14278</v>
      </c>
      <c r="P936" t="s">
        <v>1135</v>
      </c>
      <c r="Q936" t="s">
        <v>27</v>
      </c>
      <c r="R936" t="s">
        <v>28</v>
      </c>
      <c r="S936" t="s">
        <v>35</v>
      </c>
      <c r="T936">
        <v>2739.02</v>
      </c>
      <c r="U936">
        <f t="shared" si="196"/>
        <v>1066</v>
      </c>
      <c r="V936">
        <f t="shared" si="197"/>
        <v>400</v>
      </c>
      <c r="W936">
        <f t="shared" si="198"/>
        <v>329</v>
      </c>
      <c r="X936">
        <f t="shared" si="199"/>
        <v>0.35149999999999998</v>
      </c>
      <c r="Y936" s="1">
        <f t="shared" si="200"/>
        <v>54792261</v>
      </c>
      <c r="Z936">
        <f t="shared" si="201"/>
        <v>51399.869606003755</v>
      </c>
      <c r="AA936">
        <f t="shared" si="202"/>
        <v>99996</v>
      </c>
      <c r="AB936">
        <f t="shared" si="203"/>
        <v>5091</v>
      </c>
      <c r="AC936">
        <f t="shared" si="204"/>
        <v>1410838.6900000004</v>
      </c>
      <c r="AD936">
        <f t="shared" si="205"/>
        <v>1323.4884521575989</v>
      </c>
      <c r="AE936">
        <f t="shared" si="206"/>
        <v>0.35149999999999998</v>
      </c>
      <c r="AF936">
        <f t="shared" si="207"/>
        <v>765352151.39000058</v>
      </c>
      <c r="AG936" t="str">
        <f t="shared" si="208"/>
        <v>Active</v>
      </c>
      <c r="AH936">
        <f t="shared" si="209"/>
        <v>32868.239999999998</v>
      </c>
    </row>
    <row r="937" spans="1:34" x14ac:dyDescent="0.35">
      <c r="A937" t="s">
        <v>2596</v>
      </c>
      <c r="B937" t="s">
        <v>2597</v>
      </c>
      <c r="C937">
        <v>31</v>
      </c>
      <c r="D937" t="s">
        <v>22</v>
      </c>
      <c r="E937" t="s">
        <v>32</v>
      </c>
      <c r="F937" t="s">
        <v>24</v>
      </c>
      <c r="G937">
        <v>70590</v>
      </c>
      <c r="H937">
        <v>362</v>
      </c>
      <c r="I937">
        <v>10906</v>
      </c>
      <c r="J937">
        <v>8.73</v>
      </c>
      <c r="K937">
        <v>60</v>
      </c>
      <c r="L937" t="s">
        <v>33</v>
      </c>
      <c r="M937">
        <v>18.489999999999998</v>
      </c>
      <c r="N937">
        <v>40269</v>
      </c>
      <c r="O937">
        <v>180464</v>
      </c>
      <c r="P937" t="s">
        <v>1537</v>
      </c>
      <c r="Q937" t="s">
        <v>42</v>
      </c>
      <c r="R937" t="s">
        <v>28</v>
      </c>
      <c r="S937" t="s">
        <v>68</v>
      </c>
      <c r="T937">
        <v>197.63</v>
      </c>
      <c r="U937">
        <f t="shared" si="196"/>
        <v>1065</v>
      </c>
      <c r="V937">
        <f t="shared" si="197"/>
        <v>400</v>
      </c>
      <c r="W937">
        <f t="shared" si="198"/>
        <v>329</v>
      </c>
      <c r="X937">
        <f t="shared" si="199"/>
        <v>0.35149999999999998</v>
      </c>
      <c r="Y937" s="1">
        <f t="shared" si="200"/>
        <v>54735621</v>
      </c>
      <c r="Z937">
        <f t="shared" si="201"/>
        <v>51394.949295774648</v>
      </c>
      <c r="AA937">
        <f t="shared" si="202"/>
        <v>99996</v>
      </c>
      <c r="AB937">
        <f t="shared" si="203"/>
        <v>5091</v>
      </c>
      <c r="AC937">
        <f t="shared" si="204"/>
        <v>1408099.6700000002</v>
      </c>
      <c r="AD937">
        <f t="shared" si="205"/>
        <v>1322.1593145539907</v>
      </c>
      <c r="AE937">
        <f t="shared" si="206"/>
        <v>0.35149999999999998</v>
      </c>
      <c r="AF937">
        <f t="shared" si="207"/>
        <v>763941312.70000064</v>
      </c>
      <c r="AG937" t="str">
        <f t="shared" si="208"/>
        <v>Active</v>
      </c>
      <c r="AH937">
        <f t="shared" si="209"/>
        <v>2371.56</v>
      </c>
    </row>
    <row r="938" spans="1:34" x14ac:dyDescent="0.35">
      <c r="A938" t="s">
        <v>2598</v>
      </c>
      <c r="B938" t="s">
        <v>2599</v>
      </c>
      <c r="C938">
        <v>28</v>
      </c>
      <c r="D938" t="s">
        <v>38</v>
      </c>
      <c r="E938" t="s">
        <v>39</v>
      </c>
      <c r="F938" t="s">
        <v>46</v>
      </c>
      <c r="G938">
        <v>38190</v>
      </c>
      <c r="H938">
        <v>494</v>
      </c>
      <c r="I938">
        <v>85753</v>
      </c>
      <c r="J938">
        <v>3.61</v>
      </c>
      <c r="K938">
        <v>60</v>
      </c>
      <c r="L938" t="s">
        <v>33</v>
      </c>
      <c r="M938">
        <v>33.409999999999997</v>
      </c>
      <c r="N938">
        <v>27862</v>
      </c>
      <c r="O938">
        <v>46758</v>
      </c>
      <c r="P938" t="s">
        <v>2600</v>
      </c>
      <c r="Q938" t="s">
        <v>61</v>
      </c>
      <c r="R938" t="s">
        <v>28</v>
      </c>
      <c r="S938" t="s">
        <v>49</v>
      </c>
      <c r="T938">
        <v>1480.81</v>
      </c>
      <c r="U938">
        <f t="shared" si="196"/>
        <v>1064</v>
      </c>
      <c r="V938">
        <f t="shared" si="197"/>
        <v>399</v>
      </c>
      <c r="W938">
        <f t="shared" si="198"/>
        <v>329</v>
      </c>
      <c r="X938">
        <f t="shared" si="199"/>
        <v>0.35149999999999998</v>
      </c>
      <c r="Y938" s="1">
        <f t="shared" si="200"/>
        <v>54724715</v>
      </c>
      <c r="Z938">
        <f t="shared" si="201"/>
        <v>51433.00281954887</v>
      </c>
      <c r="AA938">
        <f t="shared" si="202"/>
        <v>99996</v>
      </c>
      <c r="AB938">
        <f t="shared" si="203"/>
        <v>5091</v>
      </c>
      <c r="AC938">
        <f t="shared" si="204"/>
        <v>1407902.0400000003</v>
      </c>
      <c r="AD938">
        <f t="shared" si="205"/>
        <v>1323.216203007519</v>
      </c>
      <c r="AE938">
        <f t="shared" si="206"/>
        <v>0.35149999999999998</v>
      </c>
      <c r="AF938">
        <f t="shared" si="207"/>
        <v>762533213.03000057</v>
      </c>
      <c r="AG938" t="str">
        <f t="shared" si="208"/>
        <v>Active</v>
      </c>
      <c r="AH938">
        <f t="shared" si="209"/>
        <v>17769.72</v>
      </c>
    </row>
    <row r="939" spans="1:34" x14ac:dyDescent="0.35">
      <c r="A939" t="s">
        <v>2601</v>
      </c>
      <c r="B939" t="s">
        <v>2602</v>
      </c>
      <c r="C939">
        <v>56</v>
      </c>
      <c r="D939" t="s">
        <v>22</v>
      </c>
      <c r="E939" t="s">
        <v>32</v>
      </c>
      <c r="F939" t="s">
        <v>59</v>
      </c>
      <c r="G939">
        <v>102225</v>
      </c>
      <c r="H939">
        <v>804</v>
      </c>
      <c r="I939">
        <v>56778</v>
      </c>
      <c r="J939">
        <v>23.2</v>
      </c>
      <c r="K939">
        <v>120</v>
      </c>
      <c r="L939" t="s">
        <v>40</v>
      </c>
      <c r="M939">
        <v>47.75</v>
      </c>
      <c r="N939">
        <v>14491</v>
      </c>
      <c r="O939">
        <v>18265</v>
      </c>
      <c r="P939" t="s">
        <v>607</v>
      </c>
      <c r="Q939" t="s">
        <v>61</v>
      </c>
      <c r="R939" t="s">
        <v>28</v>
      </c>
      <c r="S939" t="s">
        <v>68</v>
      </c>
      <c r="T939">
        <v>582.91999999999996</v>
      </c>
      <c r="U939">
        <f t="shared" si="196"/>
        <v>1063</v>
      </c>
      <c r="V939">
        <f t="shared" si="197"/>
        <v>399</v>
      </c>
      <c r="W939">
        <f t="shared" si="198"/>
        <v>328</v>
      </c>
      <c r="X939">
        <f t="shared" si="199"/>
        <v>0.35149999999999998</v>
      </c>
      <c r="Y939" s="1">
        <f t="shared" si="200"/>
        <v>54638962</v>
      </c>
      <c r="Z939">
        <f t="shared" si="201"/>
        <v>51400.716839134526</v>
      </c>
      <c r="AA939">
        <f t="shared" si="202"/>
        <v>99996</v>
      </c>
      <c r="AB939">
        <f t="shared" si="203"/>
        <v>5091</v>
      </c>
      <c r="AC939">
        <f t="shared" si="204"/>
        <v>1406421.2300000002</v>
      </c>
      <c r="AD939">
        <f t="shared" si="205"/>
        <v>1323.0679492003765</v>
      </c>
      <c r="AE939">
        <f t="shared" si="206"/>
        <v>0.35149999999999998</v>
      </c>
      <c r="AF939">
        <f t="shared" si="207"/>
        <v>761125310.99000049</v>
      </c>
      <c r="AG939" t="str">
        <f t="shared" si="208"/>
        <v>Active</v>
      </c>
      <c r="AH939">
        <f t="shared" si="209"/>
        <v>6995.0399999999991</v>
      </c>
    </row>
    <row r="940" spans="1:34" x14ac:dyDescent="0.35">
      <c r="A940" t="s">
        <v>2603</v>
      </c>
      <c r="B940" t="s">
        <v>2604</v>
      </c>
      <c r="C940">
        <v>56</v>
      </c>
      <c r="D940" t="s">
        <v>38</v>
      </c>
      <c r="E940" t="s">
        <v>23</v>
      </c>
      <c r="F940" t="s">
        <v>59</v>
      </c>
      <c r="G940">
        <v>72162</v>
      </c>
      <c r="H940">
        <v>734</v>
      </c>
      <c r="I940">
        <v>45554</v>
      </c>
      <c r="J940">
        <v>19.91</v>
      </c>
      <c r="K940">
        <v>48</v>
      </c>
      <c r="L940" t="s">
        <v>86</v>
      </c>
      <c r="M940">
        <v>53.8</v>
      </c>
      <c r="N940">
        <v>44290</v>
      </c>
      <c r="O940">
        <v>115016</v>
      </c>
      <c r="P940" t="s">
        <v>2605</v>
      </c>
      <c r="Q940" t="s">
        <v>61</v>
      </c>
      <c r="R940" t="s">
        <v>48</v>
      </c>
      <c r="S940" t="s">
        <v>35</v>
      </c>
      <c r="T940">
        <v>1138</v>
      </c>
      <c r="U940">
        <f t="shared" si="196"/>
        <v>1062</v>
      </c>
      <c r="V940">
        <f t="shared" si="197"/>
        <v>399</v>
      </c>
      <c r="W940">
        <f t="shared" si="198"/>
        <v>327</v>
      </c>
      <c r="X940">
        <f t="shared" si="199"/>
        <v>0.35149999999999998</v>
      </c>
      <c r="Y940" s="1">
        <f t="shared" si="200"/>
        <v>54582184</v>
      </c>
      <c r="Z940">
        <f t="shared" si="201"/>
        <v>51395.653483992464</v>
      </c>
      <c r="AA940">
        <f t="shared" si="202"/>
        <v>99996</v>
      </c>
      <c r="AB940">
        <f t="shared" si="203"/>
        <v>5091</v>
      </c>
      <c r="AC940">
        <f t="shared" si="204"/>
        <v>1405838.3100000003</v>
      </c>
      <c r="AD940">
        <f t="shared" si="205"/>
        <v>1323.7648870056501</v>
      </c>
      <c r="AE940">
        <f t="shared" si="206"/>
        <v>0.35149999999999998</v>
      </c>
      <c r="AF940">
        <f t="shared" si="207"/>
        <v>759718889.76000059</v>
      </c>
      <c r="AG940" t="str">
        <f t="shared" si="208"/>
        <v>Active</v>
      </c>
      <c r="AH940">
        <f t="shared" si="209"/>
        <v>13656</v>
      </c>
    </row>
    <row r="941" spans="1:34" x14ac:dyDescent="0.35">
      <c r="A941" t="s">
        <v>2606</v>
      </c>
      <c r="B941" t="s">
        <v>2607</v>
      </c>
      <c r="C941">
        <v>37</v>
      </c>
      <c r="D941" t="s">
        <v>38</v>
      </c>
      <c r="E941" t="s">
        <v>32</v>
      </c>
      <c r="F941" t="s">
        <v>24</v>
      </c>
      <c r="G941">
        <v>174087</v>
      </c>
      <c r="H941">
        <v>529</v>
      </c>
      <c r="I941">
        <v>11277</v>
      </c>
      <c r="J941">
        <v>20.79</v>
      </c>
      <c r="K941">
        <v>24</v>
      </c>
      <c r="L941" t="s">
        <v>40</v>
      </c>
      <c r="M941">
        <v>21.56</v>
      </c>
      <c r="N941">
        <v>20934</v>
      </c>
      <c r="O941">
        <v>194995</v>
      </c>
      <c r="P941" t="s">
        <v>2608</v>
      </c>
      <c r="Q941" t="s">
        <v>42</v>
      </c>
      <c r="R941" t="s">
        <v>28</v>
      </c>
      <c r="S941" t="s">
        <v>68</v>
      </c>
      <c r="T941">
        <v>567.55999999999995</v>
      </c>
      <c r="U941">
        <f t="shared" si="196"/>
        <v>1061</v>
      </c>
      <c r="V941">
        <f t="shared" si="197"/>
        <v>399</v>
      </c>
      <c r="W941">
        <f t="shared" si="198"/>
        <v>326</v>
      </c>
      <c r="X941">
        <f t="shared" si="199"/>
        <v>0.35149999999999998</v>
      </c>
      <c r="Y941" s="1">
        <f t="shared" si="200"/>
        <v>54536630</v>
      </c>
      <c r="Z941">
        <f t="shared" si="201"/>
        <v>51401.159283694629</v>
      </c>
      <c r="AA941">
        <f t="shared" si="202"/>
        <v>99996</v>
      </c>
      <c r="AB941">
        <f t="shared" si="203"/>
        <v>5091</v>
      </c>
      <c r="AC941">
        <f t="shared" si="204"/>
        <v>1404700.3100000003</v>
      </c>
      <c r="AD941">
        <f t="shared" si="205"/>
        <v>1323.9399717247882</v>
      </c>
      <c r="AE941">
        <f t="shared" si="206"/>
        <v>0.35149999999999998</v>
      </c>
      <c r="AF941">
        <f t="shared" si="207"/>
        <v>758313051.45000052</v>
      </c>
      <c r="AG941" t="str">
        <f t="shared" si="208"/>
        <v>Active</v>
      </c>
      <c r="AH941">
        <f t="shared" si="209"/>
        <v>6810.7199999999993</v>
      </c>
    </row>
    <row r="942" spans="1:34" x14ac:dyDescent="0.35">
      <c r="A942" t="s">
        <v>2609</v>
      </c>
      <c r="B942" t="s">
        <v>2610</v>
      </c>
      <c r="C942">
        <v>65</v>
      </c>
      <c r="D942" t="s">
        <v>38</v>
      </c>
      <c r="E942" t="s">
        <v>39</v>
      </c>
      <c r="F942" t="s">
        <v>59</v>
      </c>
      <c r="G942">
        <v>106587</v>
      </c>
      <c r="H942">
        <v>629</v>
      </c>
      <c r="I942">
        <v>78730</v>
      </c>
      <c r="J942">
        <v>5.43</v>
      </c>
      <c r="K942">
        <v>120</v>
      </c>
      <c r="L942" t="s">
        <v>25</v>
      </c>
      <c r="M942">
        <v>49.98</v>
      </c>
      <c r="N942">
        <v>18740</v>
      </c>
      <c r="O942">
        <v>17717</v>
      </c>
      <c r="P942" t="s">
        <v>212</v>
      </c>
      <c r="Q942" t="s">
        <v>42</v>
      </c>
      <c r="R942" t="s">
        <v>28</v>
      </c>
      <c r="S942" t="s">
        <v>35</v>
      </c>
      <c r="T942">
        <v>691.71</v>
      </c>
      <c r="U942">
        <f t="shared" si="196"/>
        <v>1060</v>
      </c>
      <c r="V942">
        <f t="shared" si="197"/>
        <v>398</v>
      </c>
      <c r="W942">
        <f t="shared" si="198"/>
        <v>326</v>
      </c>
      <c r="X942">
        <f t="shared" si="199"/>
        <v>0.35149999999999998</v>
      </c>
      <c r="Y942" s="1">
        <f t="shared" si="200"/>
        <v>54525353</v>
      </c>
      <c r="Z942">
        <f t="shared" si="201"/>
        <v>51439.012264150944</v>
      </c>
      <c r="AA942">
        <f t="shared" si="202"/>
        <v>99996</v>
      </c>
      <c r="AB942">
        <f t="shared" si="203"/>
        <v>5091</v>
      </c>
      <c r="AC942">
        <f t="shared" si="204"/>
        <v>1404132.7500000002</v>
      </c>
      <c r="AD942">
        <f t="shared" si="205"/>
        <v>1324.6535377358493</v>
      </c>
      <c r="AE942">
        <f t="shared" si="206"/>
        <v>0.35149999999999998</v>
      </c>
      <c r="AF942">
        <f t="shared" si="207"/>
        <v>756908351.14000058</v>
      </c>
      <c r="AG942" t="str">
        <f t="shared" si="208"/>
        <v>Active</v>
      </c>
      <c r="AH942">
        <f t="shared" si="209"/>
        <v>8300.52</v>
      </c>
    </row>
    <row r="943" spans="1:34" x14ac:dyDescent="0.35">
      <c r="A943" t="s">
        <v>2611</v>
      </c>
      <c r="B943" t="s">
        <v>2612</v>
      </c>
      <c r="C943">
        <v>46</v>
      </c>
      <c r="D943" t="s">
        <v>22</v>
      </c>
      <c r="E943" t="s">
        <v>32</v>
      </c>
      <c r="F943" t="s">
        <v>59</v>
      </c>
      <c r="G943">
        <v>123271</v>
      </c>
      <c r="H943">
        <v>771</v>
      </c>
      <c r="I943">
        <v>40340</v>
      </c>
      <c r="J943">
        <v>14.24</v>
      </c>
      <c r="K943">
        <v>120</v>
      </c>
      <c r="L943" t="s">
        <v>33</v>
      </c>
      <c r="M943">
        <v>51.95</v>
      </c>
      <c r="N943">
        <v>60464</v>
      </c>
      <c r="O943">
        <v>92433</v>
      </c>
      <c r="P943" t="s">
        <v>2613</v>
      </c>
      <c r="Q943" t="s">
        <v>42</v>
      </c>
      <c r="R943" t="s">
        <v>48</v>
      </c>
      <c r="S943" t="s">
        <v>43</v>
      </c>
      <c r="T943">
        <v>384.04</v>
      </c>
      <c r="U943">
        <f t="shared" si="196"/>
        <v>1059</v>
      </c>
      <c r="V943">
        <f t="shared" si="197"/>
        <v>397</v>
      </c>
      <c r="W943">
        <f t="shared" si="198"/>
        <v>326</v>
      </c>
      <c r="X943">
        <f t="shared" si="199"/>
        <v>0.35149999999999998</v>
      </c>
      <c r="Y943" s="1">
        <f t="shared" si="200"/>
        <v>54446623</v>
      </c>
      <c r="Z943">
        <f t="shared" si="201"/>
        <v>51413.241737488199</v>
      </c>
      <c r="AA943">
        <f t="shared" si="202"/>
        <v>99996</v>
      </c>
      <c r="AB943">
        <f t="shared" si="203"/>
        <v>5091</v>
      </c>
      <c r="AC943">
        <f t="shared" si="204"/>
        <v>1403441.0400000003</v>
      </c>
      <c r="AD943">
        <f t="shared" si="205"/>
        <v>1325.2512181303118</v>
      </c>
      <c r="AE943">
        <f t="shared" si="206"/>
        <v>0.35149999999999998</v>
      </c>
      <c r="AF943">
        <f t="shared" si="207"/>
        <v>755504218.39000058</v>
      </c>
      <c r="AG943" t="str">
        <f t="shared" si="208"/>
        <v>Active</v>
      </c>
      <c r="AH943">
        <f t="shared" si="209"/>
        <v>4608.4800000000005</v>
      </c>
    </row>
    <row r="944" spans="1:34" x14ac:dyDescent="0.35">
      <c r="A944" t="s">
        <v>2614</v>
      </c>
      <c r="B944" t="s">
        <v>2615</v>
      </c>
      <c r="C944">
        <v>22</v>
      </c>
      <c r="D944" t="s">
        <v>22</v>
      </c>
      <c r="E944" t="s">
        <v>23</v>
      </c>
      <c r="F944" t="s">
        <v>24</v>
      </c>
      <c r="G944">
        <v>115323</v>
      </c>
      <c r="H944">
        <v>797</v>
      </c>
      <c r="I944">
        <v>31221</v>
      </c>
      <c r="J944">
        <v>4.04</v>
      </c>
      <c r="K944">
        <v>36</v>
      </c>
      <c r="L944" t="s">
        <v>33</v>
      </c>
      <c r="M944">
        <v>16.54</v>
      </c>
      <c r="N944">
        <v>62437</v>
      </c>
      <c r="O944">
        <v>18630</v>
      </c>
      <c r="P944" t="s">
        <v>1063</v>
      </c>
      <c r="Q944" t="s">
        <v>42</v>
      </c>
      <c r="R944" t="s">
        <v>48</v>
      </c>
      <c r="S944" t="s">
        <v>68</v>
      </c>
      <c r="T944">
        <v>902.29</v>
      </c>
      <c r="U944">
        <f t="shared" si="196"/>
        <v>1058</v>
      </c>
      <c r="V944">
        <f t="shared" si="197"/>
        <v>396</v>
      </c>
      <c r="W944">
        <f t="shared" si="198"/>
        <v>326</v>
      </c>
      <c r="X944">
        <f t="shared" si="199"/>
        <v>0.35149999999999998</v>
      </c>
      <c r="Y944" s="1">
        <f t="shared" si="200"/>
        <v>54406283</v>
      </c>
      <c r="Z944">
        <f t="shared" si="201"/>
        <v>51423.707939508509</v>
      </c>
      <c r="AA944">
        <f t="shared" si="202"/>
        <v>99996</v>
      </c>
      <c r="AB944">
        <f t="shared" si="203"/>
        <v>5091</v>
      </c>
      <c r="AC944">
        <f t="shared" si="204"/>
        <v>1403057.0000000002</v>
      </c>
      <c r="AD944">
        <f t="shared" si="205"/>
        <v>1326.1408317580342</v>
      </c>
      <c r="AE944">
        <f t="shared" si="206"/>
        <v>0.35149999999999998</v>
      </c>
      <c r="AF944">
        <f t="shared" si="207"/>
        <v>754100777.3500005</v>
      </c>
      <c r="AG944" t="str">
        <f t="shared" si="208"/>
        <v>Active</v>
      </c>
      <c r="AH944">
        <f t="shared" si="209"/>
        <v>10827.48</v>
      </c>
    </row>
    <row r="945" spans="1:34" x14ac:dyDescent="0.35">
      <c r="A945" t="s">
        <v>2616</v>
      </c>
      <c r="B945" t="s">
        <v>2617</v>
      </c>
      <c r="C945">
        <v>30</v>
      </c>
      <c r="D945" t="s">
        <v>22</v>
      </c>
      <c r="E945" t="s">
        <v>32</v>
      </c>
      <c r="F945" t="s">
        <v>24</v>
      </c>
      <c r="G945">
        <v>126129</v>
      </c>
      <c r="H945">
        <v>660</v>
      </c>
      <c r="I945">
        <v>23349</v>
      </c>
      <c r="J945">
        <v>4.62</v>
      </c>
      <c r="K945">
        <v>240</v>
      </c>
      <c r="L945" t="s">
        <v>33</v>
      </c>
      <c r="M945">
        <v>58.8</v>
      </c>
      <c r="N945">
        <v>39621</v>
      </c>
      <c r="O945">
        <v>209504</v>
      </c>
      <c r="P945" t="s">
        <v>2618</v>
      </c>
      <c r="Q945" t="s">
        <v>61</v>
      </c>
      <c r="R945" t="s">
        <v>28</v>
      </c>
      <c r="S945" t="s">
        <v>29</v>
      </c>
      <c r="T945">
        <v>101.78</v>
      </c>
      <c r="U945">
        <f t="shared" si="196"/>
        <v>1057</v>
      </c>
      <c r="V945">
        <f t="shared" si="197"/>
        <v>395</v>
      </c>
      <c r="W945">
        <f t="shared" si="198"/>
        <v>326</v>
      </c>
      <c r="X945">
        <f t="shared" si="199"/>
        <v>0.35149999999999998</v>
      </c>
      <c r="Y945" s="1">
        <f t="shared" si="200"/>
        <v>54375062</v>
      </c>
      <c r="Z945">
        <f t="shared" si="201"/>
        <v>51442.821192052979</v>
      </c>
      <c r="AA945">
        <f t="shared" si="202"/>
        <v>99996</v>
      </c>
      <c r="AB945">
        <f t="shared" si="203"/>
        <v>5091</v>
      </c>
      <c r="AC945">
        <f t="shared" si="204"/>
        <v>1402154.7100000002</v>
      </c>
      <c r="AD945">
        <f t="shared" si="205"/>
        <v>1326.541825922422</v>
      </c>
      <c r="AE945">
        <f t="shared" si="206"/>
        <v>0.35149999999999998</v>
      </c>
      <c r="AF945">
        <f t="shared" si="207"/>
        <v>752697720.3500005</v>
      </c>
      <c r="AG945" t="str">
        <f t="shared" si="208"/>
        <v>Active</v>
      </c>
      <c r="AH945">
        <f t="shared" si="209"/>
        <v>1221.3600000000001</v>
      </c>
    </row>
    <row r="946" spans="1:34" x14ac:dyDescent="0.35">
      <c r="A946" t="s">
        <v>2619</v>
      </c>
      <c r="B946" t="s">
        <v>2620</v>
      </c>
      <c r="C946">
        <v>33</v>
      </c>
      <c r="D946" t="s">
        <v>38</v>
      </c>
      <c r="E946" t="s">
        <v>32</v>
      </c>
      <c r="F946" t="s">
        <v>59</v>
      </c>
      <c r="G946">
        <v>55218</v>
      </c>
      <c r="H946">
        <v>589</v>
      </c>
      <c r="I946">
        <v>44276</v>
      </c>
      <c r="J946">
        <v>23.05</v>
      </c>
      <c r="K946">
        <v>36</v>
      </c>
      <c r="L946" t="s">
        <v>33</v>
      </c>
      <c r="M946">
        <v>38.619999999999997</v>
      </c>
      <c r="N946">
        <v>26495</v>
      </c>
      <c r="O946">
        <v>216081</v>
      </c>
      <c r="P946" t="s">
        <v>2252</v>
      </c>
      <c r="Q946" t="s">
        <v>27</v>
      </c>
      <c r="R946" t="s">
        <v>28</v>
      </c>
      <c r="S946" t="s">
        <v>35</v>
      </c>
      <c r="T946">
        <v>1513.38</v>
      </c>
      <c r="U946">
        <f t="shared" si="196"/>
        <v>1056</v>
      </c>
      <c r="V946">
        <f t="shared" si="197"/>
        <v>395</v>
      </c>
      <c r="W946">
        <f t="shared" si="198"/>
        <v>325</v>
      </c>
      <c r="X946">
        <f t="shared" si="199"/>
        <v>0.35149999999999998</v>
      </c>
      <c r="Y946" s="1">
        <f t="shared" si="200"/>
        <v>54351713</v>
      </c>
      <c r="Z946">
        <f t="shared" si="201"/>
        <v>51469.425189393936</v>
      </c>
      <c r="AA946">
        <f t="shared" si="202"/>
        <v>99996</v>
      </c>
      <c r="AB946">
        <f t="shared" si="203"/>
        <v>5091</v>
      </c>
      <c r="AC946">
        <f t="shared" si="204"/>
        <v>1402052.9300000002</v>
      </c>
      <c r="AD946">
        <f t="shared" si="205"/>
        <v>1327.701638257576</v>
      </c>
      <c r="AE946">
        <f t="shared" si="206"/>
        <v>0.35149999999999998</v>
      </c>
      <c r="AF946">
        <f t="shared" si="207"/>
        <v>751295565.64000058</v>
      </c>
      <c r="AG946" t="str">
        <f t="shared" si="208"/>
        <v>Active</v>
      </c>
      <c r="AH946">
        <f t="shared" si="209"/>
        <v>18160.560000000001</v>
      </c>
    </row>
    <row r="947" spans="1:34" x14ac:dyDescent="0.35">
      <c r="A947" t="s">
        <v>2621</v>
      </c>
      <c r="B947" t="s">
        <v>2622</v>
      </c>
      <c r="C947">
        <v>38</v>
      </c>
      <c r="D947" t="s">
        <v>22</v>
      </c>
      <c r="E947" t="s">
        <v>23</v>
      </c>
      <c r="F947" t="s">
        <v>46</v>
      </c>
      <c r="G947">
        <v>112087</v>
      </c>
      <c r="H947">
        <v>820</v>
      </c>
      <c r="I947">
        <v>56627</v>
      </c>
      <c r="J947">
        <v>13.17</v>
      </c>
      <c r="K947">
        <v>24</v>
      </c>
      <c r="L947" t="s">
        <v>25</v>
      </c>
      <c r="M947">
        <v>41.13</v>
      </c>
      <c r="N947">
        <v>23946</v>
      </c>
      <c r="O947">
        <v>59425</v>
      </c>
      <c r="P947" t="s">
        <v>254</v>
      </c>
      <c r="Q947" t="s">
        <v>42</v>
      </c>
      <c r="R947" t="s">
        <v>28</v>
      </c>
      <c r="S947" t="s">
        <v>68</v>
      </c>
      <c r="T947">
        <v>2670.2</v>
      </c>
      <c r="U947">
        <f t="shared" si="196"/>
        <v>1055</v>
      </c>
      <c r="V947">
        <f t="shared" si="197"/>
        <v>395</v>
      </c>
      <c r="W947">
        <f t="shared" si="198"/>
        <v>325</v>
      </c>
      <c r="X947">
        <f t="shared" si="199"/>
        <v>0.35149999999999998</v>
      </c>
      <c r="Y947" s="1">
        <f t="shared" si="200"/>
        <v>54307437</v>
      </c>
      <c r="Z947">
        <f t="shared" si="201"/>
        <v>51476.243601895738</v>
      </c>
      <c r="AA947">
        <f t="shared" si="202"/>
        <v>99996</v>
      </c>
      <c r="AB947">
        <f t="shared" si="203"/>
        <v>5091</v>
      </c>
      <c r="AC947">
        <f t="shared" si="204"/>
        <v>1400539.55</v>
      </c>
      <c r="AD947">
        <f t="shared" si="205"/>
        <v>1327.5256398104266</v>
      </c>
      <c r="AE947">
        <f t="shared" si="206"/>
        <v>0.35149999999999998</v>
      </c>
      <c r="AF947">
        <f t="shared" si="207"/>
        <v>749893512.71000051</v>
      </c>
      <c r="AG947" t="str">
        <f t="shared" si="208"/>
        <v>Active</v>
      </c>
      <c r="AH947">
        <f t="shared" si="209"/>
        <v>32042.399999999998</v>
      </c>
    </row>
    <row r="948" spans="1:34" x14ac:dyDescent="0.35">
      <c r="A948" t="s">
        <v>2623</v>
      </c>
      <c r="B948" t="s">
        <v>2624</v>
      </c>
      <c r="C948">
        <v>45</v>
      </c>
      <c r="D948" t="s">
        <v>38</v>
      </c>
      <c r="E948" t="s">
        <v>23</v>
      </c>
      <c r="F948" t="s">
        <v>46</v>
      </c>
      <c r="G948">
        <v>81687</v>
      </c>
      <c r="H948">
        <v>441</v>
      </c>
      <c r="I948">
        <v>20094</v>
      </c>
      <c r="J948">
        <v>14.51</v>
      </c>
      <c r="K948">
        <v>12</v>
      </c>
      <c r="L948" t="s">
        <v>86</v>
      </c>
      <c r="M948">
        <v>12.7</v>
      </c>
      <c r="N948">
        <v>57198</v>
      </c>
      <c r="O948">
        <v>125641</v>
      </c>
      <c r="P948" t="s">
        <v>361</v>
      </c>
      <c r="Q948" t="s">
        <v>27</v>
      </c>
      <c r="R948" t="s">
        <v>48</v>
      </c>
      <c r="S948" t="s">
        <v>43</v>
      </c>
      <c r="T948">
        <v>1917.47</v>
      </c>
      <c r="U948">
        <f t="shared" si="196"/>
        <v>1054</v>
      </c>
      <c r="V948">
        <f t="shared" si="197"/>
        <v>394</v>
      </c>
      <c r="W948">
        <f t="shared" si="198"/>
        <v>325</v>
      </c>
      <c r="X948">
        <f t="shared" si="199"/>
        <v>0.35149999999999998</v>
      </c>
      <c r="Y948" s="1">
        <f t="shared" si="200"/>
        <v>54250810</v>
      </c>
      <c r="Z948">
        <f t="shared" si="201"/>
        <v>51471.356736242888</v>
      </c>
      <c r="AA948">
        <f t="shared" si="202"/>
        <v>99996</v>
      </c>
      <c r="AB948">
        <f t="shared" si="203"/>
        <v>5091</v>
      </c>
      <c r="AC948">
        <f t="shared" si="204"/>
        <v>1397869.3500000003</v>
      </c>
      <c r="AD948">
        <f t="shared" si="205"/>
        <v>1326.2517552182167</v>
      </c>
      <c r="AE948">
        <f t="shared" si="206"/>
        <v>0.35149999999999998</v>
      </c>
      <c r="AF948">
        <f t="shared" si="207"/>
        <v>748492973.16000056</v>
      </c>
      <c r="AG948" t="str">
        <f t="shared" si="208"/>
        <v>Active</v>
      </c>
      <c r="AH948">
        <f t="shared" si="209"/>
        <v>23009.64</v>
      </c>
    </row>
    <row r="949" spans="1:34" x14ac:dyDescent="0.35">
      <c r="A949" t="s">
        <v>2625</v>
      </c>
      <c r="B949" t="s">
        <v>2626</v>
      </c>
      <c r="C949">
        <v>38</v>
      </c>
      <c r="D949" t="s">
        <v>22</v>
      </c>
      <c r="E949" t="s">
        <v>39</v>
      </c>
      <c r="F949" t="s">
        <v>59</v>
      </c>
      <c r="G949">
        <v>72179</v>
      </c>
      <c r="H949">
        <v>668</v>
      </c>
      <c r="I949">
        <v>89954</v>
      </c>
      <c r="J949">
        <v>4.3</v>
      </c>
      <c r="K949">
        <v>180</v>
      </c>
      <c r="L949" t="s">
        <v>86</v>
      </c>
      <c r="M949">
        <v>10.38</v>
      </c>
      <c r="N949">
        <v>63743</v>
      </c>
      <c r="O949">
        <v>188492</v>
      </c>
      <c r="P949" t="s">
        <v>2627</v>
      </c>
      <c r="Q949" t="s">
        <v>27</v>
      </c>
      <c r="R949" t="s">
        <v>28</v>
      </c>
      <c r="S949" t="s">
        <v>43</v>
      </c>
      <c r="T949">
        <v>521.23</v>
      </c>
      <c r="U949">
        <f t="shared" si="196"/>
        <v>1053</v>
      </c>
      <c r="V949">
        <f t="shared" si="197"/>
        <v>394</v>
      </c>
      <c r="W949">
        <f t="shared" si="198"/>
        <v>325</v>
      </c>
      <c r="X949">
        <f t="shared" si="199"/>
        <v>0.35149999999999998</v>
      </c>
      <c r="Y949" s="1">
        <f t="shared" si="200"/>
        <v>54230716</v>
      </c>
      <c r="Z949">
        <f t="shared" si="201"/>
        <v>51501.154795821465</v>
      </c>
      <c r="AA949">
        <f t="shared" si="202"/>
        <v>99996</v>
      </c>
      <c r="AB949">
        <f t="shared" si="203"/>
        <v>5091</v>
      </c>
      <c r="AC949">
        <f t="shared" si="204"/>
        <v>1395951.8800000004</v>
      </c>
      <c r="AD949">
        <f t="shared" si="205"/>
        <v>1325.6902943969615</v>
      </c>
      <c r="AE949">
        <f t="shared" si="206"/>
        <v>0.35149999999999998</v>
      </c>
      <c r="AF949">
        <f t="shared" si="207"/>
        <v>747095103.81000066</v>
      </c>
      <c r="AG949" t="str">
        <f t="shared" si="208"/>
        <v>Over Paid</v>
      </c>
      <c r="AH949">
        <f t="shared" si="209"/>
        <v>6254.76</v>
      </c>
    </row>
    <row r="950" spans="1:34" x14ac:dyDescent="0.35">
      <c r="A950" t="s">
        <v>2628</v>
      </c>
      <c r="B950" t="s">
        <v>2629</v>
      </c>
      <c r="C950">
        <v>22</v>
      </c>
      <c r="D950" t="s">
        <v>22</v>
      </c>
      <c r="E950" t="s">
        <v>32</v>
      </c>
      <c r="F950" t="s">
        <v>59</v>
      </c>
      <c r="G950">
        <v>73984</v>
      </c>
      <c r="H950">
        <v>664</v>
      </c>
      <c r="I950">
        <v>71204</v>
      </c>
      <c r="J950">
        <v>17.100000000000001</v>
      </c>
      <c r="K950">
        <v>180</v>
      </c>
      <c r="L950" t="s">
        <v>25</v>
      </c>
      <c r="M950">
        <v>9.3800000000000008</v>
      </c>
      <c r="N950">
        <v>27286</v>
      </c>
      <c r="O950">
        <v>55973</v>
      </c>
      <c r="P950" t="s">
        <v>759</v>
      </c>
      <c r="Q950" t="s">
        <v>42</v>
      </c>
      <c r="R950" t="s">
        <v>48</v>
      </c>
      <c r="S950" t="s">
        <v>35</v>
      </c>
      <c r="T950">
        <v>463.22</v>
      </c>
      <c r="U950">
        <f t="shared" si="196"/>
        <v>1052</v>
      </c>
      <c r="V950">
        <f t="shared" si="197"/>
        <v>394</v>
      </c>
      <c r="W950">
        <f t="shared" si="198"/>
        <v>325</v>
      </c>
      <c r="X950">
        <f t="shared" si="199"/>
        <v>0.35149999999999998</v>
      </c>
      <c r="Y950" s="1">
        <f t="shared" si="200"/>
        <v>54140762</v>
      </c>
      <c r="Z950">
        <f t="shared" si="201"/>
        <v>51464.60266159696</v>
      </c>
      <c r="AA950">
        <f t="shared" si="202"/>
        <v>99996</v>
      </c>
      <c r="AB950">
        <f t="shared" si="203"/>
        <v>5091</v>
      </c>
      <c r="AC950">
        <f t="shared" si="204"/>
        <v>1395430.6500000004</v>
      </c>
      <c r="AD950">
        <f t="shared" si="205"/>
        <v>1326.4549904942969</v>
      </c>
      <c r="AE950">
        <f t="shared" si="206"/>
        <v>0.35149999999999998</v>
      </c>
      <c r="AF950">
        <f t="shared" si="207"/>
        <v>745699151.93000054</v>
      </c>
      <c r="AG950" t="str">
        <f t="shared" si="208"/>
        <v>Active</v>
      </c>
      <c r="AH950">
        <f t="shared" si="209"/>
        <v>5558.64</v>
      </c>
    </row>
    <row r="951" spans="1:34" x14ac:dyDescent="0.35">
      <c r="A951" t="s">
        <v>2630</v>
      </c>
      <c r="B951" t="s">
        <v>2631</v>
      </c>
      <c r="C951">
        <v>22</v>
      </c>
      <c r="D951" t="s">
        <v>38</v>
      </c>
      <c r="E951" t="s">
        <v>23</v>
      </c>
      <c r="F951" t="s">
        <v>59</v>
      </c>
      <c r="G951">
        <v>133893</v>
      </c>
      <c r="H951">
        <v>356</v>
      </c>
      <c r="I951">
        <v>95316</v>
      </c>
      <c r="J951">
        <v>22.89</v>
      </c>
      <c r="K951">
        <v>180</v>
      </c>
      <c r="L951" t="s">
        <v>86</v>
      </c>
      <c r="M951">
        <v>30.91</v>
      </c>
      <c r="N951">
        <v>18214</v>
      </c>
      <c r="O951">
        <v>212137</v>
      </c>
      <c r="P951" t="s">
        <v>2632</v>
      </c>
      <c r="Q951" t="s">
        <v>27</v>
      </c>
      <c r="R951" t="s">
        <v>28</v>
      </c>
      <c r="S951" t="s">
        <v>29</v>
      </c>
      <c r="T951">
        <v>650.74</v>
      </c>
      <c r="U951">
        <f t="shared" si="196"/>
        <v>1051</v>
      </c>
      <c r="V951">
        <f t="shared" si="197"/>
        <v>393</v>
      </c>
      <c r="W951">
        <f t="shared" si="198"/>
        <v>325</v>
      </c>
      <c r="X951">
        <f t="shared" si="199"/>
        <v>0.35149999999999998</v>
      </c>
      <c r="Y951" s="1">
        <f t="shared" si="200"/>
        <v>54069558</v>
      </c>
      <c r="Z951">
        <f t="shared" si="201"/>
        <v>51445.82112274025</v>
      </c>
      <c r="AA951">
        <f t="shared" si="202"/>
        <v>99996</v>
      </c>
      <c r="AB951">
        <f t="shared" si="203"/>
        <v>5091</v>
      </c>
      <c r="AC951">
        <f t="shared" si="204"/>
        <v>1394967.4300000004</v>
      </c>
      <c r="AD951">
        <f t="shared" si="205"/>
        <v>1327.2763368220747</v>
      </c>
      <c r="AE951">
        <f t="shared" si="206"/>
        <v>0.35149999999999998</v>
      </c>
      <c r="AF951">
        <f t="shared" si="207"/>
        <v>744303721.28000057</v>
      </c>
      <c r="AG951" t="str">
        <f t="shared" si="208"/>
        <v>Active</v>
      </c>
      <c r="AH951">
        <f t="shared" si="209"/>
        <v>7808.88</v>
      </c>
    </row>
    <row r="952" spans="1:34" x14ac:dyDescent="0.35">
      <c r="A952" t="s">
        <v>2633</v>
      </c>
      <c r="B952" t="s">
        <v>2634</v>
      </c>
      <c r="C952">
        <v>53</v>
      </c>
      <c r="D952" t="s">
        <v>22</v>
      </c>
      <c r="E952" t="s">
        <v>23</v>
      </c>
      <c r="F952" t="s">
        <v>24</v>
      </c>
      <c r="G952">
        <v>36761</v>
      </c>
      <c r="H952">
        <v>695</v>
      </c>
      <c r="I952">
        <v>53499</v>
      </c>
      <c r="J952">
        <v>10.93</v>
      </c>
      <c r="K952">
        <v>12</v>
      </c>
      <c r="L952" t="s">
        <v>25</v>
      </c>
      <c r="M952">
        <v>40.229999999999997</v>
      </c>
      <c r="N952">
        <v>54981</v>
      </c>
      <c r="O952">
        <v>106218</v>
      </c>
      <c r="P952" t="s">
        <v>794</v>
      </c>
      <c r="Q952" t="s">
        <v>42</v>
      </c>
      <c r="R952" t="s">
        <v>28</v>
      </c>
      <c r="S952" t="s">
        <v>43</v>
      </c>
      <c r="T952">
        <v>4945.54</v>
      </c>
      <c r="U952">
        <f t="shared" si="196"/>
        <v>1050</v>
      </c>
      <c r="V952">
        <f t="shared" si="197"/>
        <v>393</v>
      </c>
      <c r="W952">
        <f t="shared" si="198"/>
        <v>325</v>
      </c>
      <c r="X952">
        <f t="shared" si="199"/>
        <v>0.35149999999999998</v>
      </c>
      <c r="Y952" s="1">
        <f t="shared" si="200"/>
        <v>53974242</v>
      </c>
      <c r="Z952">
        <f t="shared" si="201"/>
        <v>51404.04</v>
      </c>
      <c r="AA952">
        <f t="shared" si="202"/>
        <v>99996</v>
      </c>
      <c r="AB952">
        <f t="shared" si="203"/>
        <v>5091</v>
      </c>
      <c r="AC952">
        <f t="shared" si="204"/>
        <v>1394316.6900000004</v>
      </c>
      <c r="AD952">
        <f t="shared" si="205"/>
        <v>1327.9206571428576</v>
      </c>
      <c r="AE952">
        <f t="shared" si="206"/>
        <v>0.35149999999999998</v>
      </c>
      <c r="AF952">
        <f t="shared" si="207"/>
        <v>742908753.85000062</v>
      </c>
      <c r="AG952" t="str">
        <f t="shared" si="208"/>
        <v>Active</v>
      </c>
      <c r="AH952">
        <f t="shared" si="209"/>
        <v>59346.479999999996</v>
      </c>
    </row>
    <row r="953" spans="1:34" x14ac:dyDescent="0.35">
      <c r="A953" t="s">
        <v>2635</v>
      </c>
      <c r="B953" t="s">
        <v>2636</v>
      </c>
      <c r="C953">
        <v>64</v>
      </c>
      <c r="D953" t="s">
        <v>22</v>
      </c>
      <c r="E953" t="s">
        <v>32</v>
      </c>
      <c r="F953" t="s">
        <v>46</v>
      </c>
      <c r="G953">
        <v>156568</v>
      </c>
      <c r="H953">
        <v>379</v>
      </c>
      <c r="I953">
        <v>56441</v>
      </c>
      <c r="J953">
        <v>23.76</v>
      </c>
      <c r="K953">
        <v>180</v>
      </c>
      <c r="L953" t="s">
        <v>52</v>
      </c>
      <c r="M953">
        <v>18.38</v>
      </c>
      <c r="N953">
        <v>38888</v>
      </c>
      <c r="O953">
        <v>237545</v>
      </c>
      <c r="P953" t="s">
        <v>2637</v>
      </c>
      <c r="Q953" t="s">
        <v>42</v>
      </c>
      <c r="R953" t="s">
        <v>28</v>
      </c>
      <c r="S953" t="s">
        <v>29</v>
      </c>
      <c r="T953">
        <v>388.06</v>
      </c>
      <c r="U953">
        <f t="shared" si="196"/>
        <v>1049</v>
      </c>
      <c r="V953">
        <f t="shared" si="197"/>
        <v>392</v>
      </c>
      <c r="W953">
        <f t="shared" si="198"/>
        <v>325</v>
      </c>
      <c r="X953">
        <f t="shared" si="199"/>
        <v>0.35149999999999998</v>
      </c>
      <c r="Y953" s="1">
        <f t="shared" si="200"/>
        <v>53920743</v>
      </c>
      <c r="Z953">
        <f t="shared" si="201"/>
        <v>51402.042897998093</v>
      </c>
      <c r="AA953">
        <f t="shared" si="202"/>
        <v>99996</v>
      </c>
      <c r="AB953">
        <f t="shared" si="203"/>
        <v>5091</v>
      </c>
      <c r="AC953">
        <f t="shared" si="204"/>
        <v>1389371.1500000004</v>
      </c>
      <c r="AD953">
        <f t="shared" si="205"/>
        <v>1324.472020972355</v>
      </c>
      <c r="AE953">
        <f t="shared" si="206"/>
        <v>0.35149999999999998</v>
      </c>
      <c r="AF953">
        <f t="shared" si="207"/>
        <v>741514437.16000068</v>
      </c>
      <c r="AG953" t="str">
        <f t="shared" si="208"/>
        <v>Over Paid</v>
      </c>
      <c r="AH953">
        <f t="shared" si="209"/>
        <v>4656.72</v>
      </c>
    </row>
    <row r="954" spans="1:34" x14ac:dyDescent="0.35">
      <c r="A954" t="s">
        <v>2638</v>
      </c>
      <c r="B954" t="s">
        <v>2639</v>
      </c>
      <c r="C954">
        <v>22</v>
      </c>
      <c r="D954" t="s">
        <v>22</v>
      </c>
      <c r="E954" t="s">
        <v>23</v>
      </c>
      <c r="F954" t="s">
        <v>24</v>
      </c>
      <c r="G954">
        <v>77315</v>
      </c>
      <c r="H954">
        <v>844</v>
      </c>
      <c r="I954">
        <v>11602</v>
      </c>
      <c r="J954">
        <v>23.77</v>
      </c>
      <c r="K954">
        <v>24</v>
      </c>
      <c r="L954" t="s">
        <v>40</v>
      </c>
      <c r="M954">
        <v>6.2</v>
      </c>
      <c r="N954">
        <v>17302</v>
      </c>
      <c r="O954">
        <v>110263</v>
      </c>
      <c r="P954" t="s">
        <v>1540</v>
      </c>
      <c r="Q954" t="s">
        <v>61</v>
      </c>
      <c r="R954" t="s">
        <v>48</v>
      </c>
      <c r="S954" t="s">
        <v>29</v>
      </c>
      <c r="T954">
        <v>598.32000000000005</v>
      </c>
      <c r="U954">
        <f t="shared" si="196"/>
        <v>1048</v>
      </c>
      <c r="V954">
        <f t="shared" si="197"/>
        <v>391</v>
      </c>
      <c r="W954">
        <f t="shared" si="198"/>
        <v>325</v>
      </c>
      <c r="X954">
        <f t="shared" si="199"/>
        <v>0.35149999999999998</v>
      </c>
      <c r="Y954" s="1">
        <f t="shared" si="200"/>
        <v>53864302</v>
      </c>
      <c r="Z954">
        <f t="shared" si="201"/>
        <v>51397.234732824429</v>
      </c>
      <c r="AA954">
        <f t="shared" si="202"/>
        <v>99996</v>
      </c>
      <c r="AB954">
        <f t="shared" si="203"/>
        <v>5091</v>
      </c>
      <c r="AC954">
        <f t="shared" si="204"/>
        <v>1388983.0900000005</v>
      </c>
      <c r="AD954">
        <f t="shared" si="205"/>
        <v>1325.3655438931303</v>
      </c>
      <c r="AE954">
        <f t="shared" si="206"/>
        <v>0.35149999999999998</v>
      </c>
      <c r="AF954">
        <f t="shared" si="207"/>
        <v>740125066.01000071</v>
      </c>
      <c r="AG954" t="str">
        <f t="shared" si="208"/>
        <v>Active</v>
      </c>
      <c r="AH954">
        <f t="shared" si="209"/>
        <v>7179.84</v>
      </c>
    </row>
    <row r="955" spans="1:34" x14ac:dyDescent="0.35">
      <c r="A955" t="s">
        <v>2640</v>
      </c>
      <c r="B955" t="s">
        <v>2641</v>
      </c>
      <c r="C955">
        <v>34</v>
      </c>
      <c r="D955" t="s">
        <v>38</v>
      </c>
      <c r="E955" t="s">
        <v>39</v>
      </c>
      <c r="F955" t="s">
        <v>59</v>
      </c>
      <c r="G955">
        <v>57700</v>
      </c>
      <c r="H955">
        <v>544</v>
      </c>
      <c r="I955">
        <v>8083</v>
      </c>
      <c r="J955">
        <v>13.15</v>
      </c>
      <c r="K955">
        <v>240</v>
      </c>
      <c r="L955" t="s">
        <v>86</v>
      </c>
      <c r="M955">
        <v>37.31</v>
      </c>
      <c r="N955">
        <v>2464</v>
      </c>
      <c r="O955">
        <v>206784</v>
      </c>
      <c r="P955" t="s">
        <v>2642</v>
      </c>
      <c r="Q955" t="s">
        <v>61</v>
      </c>
      <c r="R955" t="s">
        <v>28</v>
      </c>
      <c r="S955" t="s">
        <v>35</v>
      </c>
      <c r="T955">
        <v>38.11</v>
      </c>
      <c r="U955">
        <f t="shared" si="196"/>
        <v>1047</v>
      </c>
      <c r="V955">
        <f t="shared" si="197"/>
        <v>391</v>
      </c>
      <c r="W955">
        <f t="shared" si="198"/>
        <v>324</v>
      </c>
      <c r="X955">
        <f t="shared" si="199"/>
        <v>0.35149999999999998</v>
      </c>
      <c r="Y955" s="1">
        <f t="shared" si="200"/>
        <v>53852700</v>
      </c>
      <c r="Z955">
        <f t="shared" si="201"/>
        <v>51435.243553008593</v>
      </c>
      <c r="AA955">
        <f t="shared" si="202"/>
        <v>99996</v>
      </c>
      <c r="AB955">
        <f t="shared" si="203"/>
        <v>5091</v>
      </c>
      <c r="AC955">
        <f t="shared" si="204"/>
        <v>1388384.7700000005</v>
      </c>
      <c r="AD955">
        <f t="shared" si="205"/>
        <v>1326.0599522445086</v>
      </c>
      <c r="AE955">
        <f t="shared" si="206"/>
        <v>0.35149999999999998</v>
      </c>
      <c r="AF955">
        <f t="shared" si="207"/>
        <v>738736082.92000067</v>
      </c>
      <c r="AG955" t="str">
        <f t="shared" si="208"/>
        <v>Active</v>
      </c>
      <c r="AH955">
        <f t="shared" si="209"/>
        <v>457.32</v>
      </c>
    </row>
    <row r="956" spans="1:34" x14ac:dyDescent="0.35">
      <c r="A956" t="s">
        <v>2643</v>
      </c>
      <c r="B956" t="s">
        <v>2644</v>
      </c>
      <c r="C956">
        <v>23</v>
      </c>
      <c r="D956" t="s">
        <v>22</v>
      </c>
      <c r="E956" t="s">
        <v>39</v>
      </c>
      <c r="F956" t="s">
        <v>59</v>
      </c>
      <c r="G956">
        <v>135503</v>
      </c>
      <c r="H956">
        <v>799</v>
      </c>
      <c r="I956">
        <v>65441</v>
      </c>
      <c r="J956">
        <v>8.52</v>
      </c>
      <c r="K956">
        <v>24</v>
      </c>
      <c r="L956" t="s">
        <v>25</v>
      </c>
      <c r="M956">
        <v>54.18</v>
      </c>
      <c r="N956">
        <v>78461</v>
      </c>
      <c r="O956">
        <v>194271</v>
      </c>
      <c r="P956" t="s">
        <v>927</v>
      </c>
      <c r="Q956" t="s">
        <v>27</v>
      </c>
      <c r="R956" t="s">
        <v>48</v>
      </c>
      <c r="S956" t="s">
        <v>43</v>
      </c>
      <c r="T956">
        <v>2959.02</v>
      </c>
      <c r="U956">
        <f t="shared" si="196"/>
        <v>1046</v>
      </c>
      <c r="V956">
        <f t="shared" si="197"/>
        <v>391</v>
      </c>
      <c r="W956">
        <f t="shared" si="198"/>
        <v>323</v>
      </c>
      <c r="X956">
        <f t="shared" si="199"/>
        <v>0.35149999999999998</v>
      </c>
      <c r="Y956" s="1">
        <f t="shared" si="200"/>
        <v>53844617</v>
      </c>
      <c r="Z956">
        <f t="shared" si="201"/>
        <v>51476.689292543022</v>
      </c>
      <c r="AA956">
        <f t="shared" si="202"/>
        <v>99996</v>
      </c>
      <c r="AB956">
        <f t="shared" si="203"/>
        <v>5091</v>
      </c>
      <c r="AC956">
        <f t="shared" si="204"/>
        <v>1388346.6600000004</v>
      </c>
      <c r="AD956">
        <f t="shared" si="205"/>
        <v>1327.2912619502872</v>
      </c>
      <c r="AE956">
        <f t="shared" si="206"/>
        <v>0.35149999999999998</v>
      </c>
      <c r="AF956">
        <f t="shared" si="207"/>
        <v>737347698.15000081</v>
      </c>
      <c r="AG956" t="str">
        <f t="shared" si="208"/>
        <v>Active</v>
      </c>
      <c r="AH956">
        <f t="shared" si="209"/>
        <v>35508.239999999998</v>
      </c>
    </row>
    <row r="957" spans="1:34" x14ac:dyDescent="0.35">
      <c r="A957" t="s">
        <v>2645</v>
      </c>
      <c r="B957" t="s">
        <v>2646</v>
      </c>
      <c r="C957">
        <v>38</v>
      </c>
      <c r="D957" t="s">
        <v>22</v>
      </c>
      <c r="E957" t="s">
        <v>39</v>
      </c>
      <c r="F957" t="s">
        <v>46</v>
      </c>
      <c r="G957">
        <v>86945</v>
      </c>
      <c r="H957">
        <v>522</v>
      </c>
      <c r="I957">
        <v>38927</v>
      </c>
      <c r="J957">
        <v>8.86</v>
      </c>
      <c r="K957">
        <v>12</v>
      </c>
      <c r="L957" t="s">
        <v>52</v>
      </c>
      <c r="M957">
        <v>25.52</v>
      </c>
      <c r="N957">
        <v>15596</v>
      </c>
      <c r="O957">
        <v>124445</v>
      </c>
      <c r="P957" t="s">
        <v>2647</v>
      </c>
      <c r="Q957" t="s">
        <v>42</v>
      </c>
      <c r="R957" t="s">
        <v>48</v>
      </c>
      <c r="S957" t="s">
        <v>49</v>
      </c>
      <c r="T957">
        <v>3531.33</v>
      </c>
      <c r="U957">
        <f t="shared" si="196"/>
        <v>1045</v>
      </c>
      <c r="V957">
        <f t="shared" si="197"/>
        <v>391</v>
      </c>
      <c r="W957">
        <f t="shared" si="198"/>
        <v>323</v>
      </c>
      <c r="X957">
        <f t="shared" si="199"/>
        <v>0.35149999999999998</v>
      </c>
      <c r="Y957" s="1">
        <f t="shared" si="200"/>
        <v>53779176</v>
      </c>
      <c r="Z957">
        <f t="shared" si="201"/>
        <v>51463.326315789476</v>
      </c>
      <c r="AA957">
        <f t="shared" si="202"/>
        <v>99996</v>
      </c>
      <c r="AB957">
        <f t="shared" si="203"/>
        <v>5091</v>
      </c>
      <c r="AC957">
        <f t="shared" si="204"/>
        <v>1385387.6400000004</v>
      </c>
      <c r="AD957">
        <f t="shared" si="205"/>
        <v>1325.7297990430625</v>
      </c>
      <c r="AE957">
        <f t="shared" si="206"/>
        <v>0.35149999999999998</v>
      </c>
      <c r="AF957">
        <f t="shared" si="207"/>
        <v>735959351.49000084</v>
      </c>
      <c r="AG957" t="str">
        <f t="shared" si="208"/>
        <v>Active</v>
      </c>
      <c r="AH957">
        <f t="shared" si="209"/>
        <v>42375.96</v>
      </c>
    </row>
    <row r="958" spans="1:34" x14ac:dyDescent="0.35">
      <c r="A958" t="s">
        <v>2648</v>
      </c>
      <c r="B958" t="s">
        <v>2649</v>
      </c>
      <c r="C958">
        <v>23</v>
      </c>
      <c r="D958" t="s">
        <v>22</v>
      </c>
      <c r="E958" t="s">
        <v>23</v>
      </c>
      <c r="F958" t="s">
        <v>24</v>
      </c>
      <c r="G958">
        <v>185997</v>
      </c>
      <c r="H958">
        <v>508</v>
      </c>
      <c r="I958">
        <v>91428</v>
      </c>
      <c r="J958">
        <v>15.71</v>
      </c>
      <c r="K958">
        <v>36</v>
      </c>
      <c r="L958" t="s">
        <v>33</v>
      </c>
      <c r="M958">
        <v>9.26</v>
      </c>
      <c r="N958">
        <v>43130</v>
      </c>
      <c r="O958">
        <v>3938</v>
      </c>
      <c r="P958" t="s">
        <v>2647</v>
      </c>
      <c r="Q958" t="s">
        <v>27</v>
      </c>
      <c r="R958" t="s">
        <v>48</v>
      </c>
      <c r="S958" t="s">
        <v>68</v>
      </c>
      <c r="T958">
        <v>2938.65</v>
      </c>
      <c r="U958">
        <f t="shared" si="196"/>
        <v>1044</v>
      </c>
      <c r="V958">
        <f t="shared" si="197"/>
        <v>390</v>
      </c>
      <c r="W958">
        <f t="shared" si="198"/>
        <v>323</v>
      </c>
      <c r="X958">
        <f t="shared" si="199"/>
        <v>0.35149999999999998</v>
      </c>
      <c r="Y958" s="1">
        <f t="shared" si="200"/>
        <v>53740249</v>
      </c>
      <c r="Z958">
        <f t="shared" si="201"/>
        <v>51475.334291187741</v>
      </c>
      <c r="AA958">
        <f t="shared" si="202"/>
        <v>99996</v>
      </c>
      <c r="AB958">
        <f t="shared" si="203"/>
        <v>5091</v>
      </c>
      <c r="AC958">
        <f t="shared" si="204"/>
        <v>1381856.3100000003</v>
      </c>
      <c r="AD958">
        <f t="shared" si="205"/>
        <v>1323.617155172414</v>
      </c>
      <c r="AE958">
        <f t="shared" si="206"/>
        <v>0.35149999999999998</v>
      </c>
      <c r="AF958">
        <f t="shared" si="207"/>
        <v>734573963.85000086</v>
      </c>
      <c r="AG958" t="str">
        <f t="shared" si="208"/>
        <v>Over Paid</v>
      </c>
      <c r="AH958">
        <f t="shared" si="209"/>
        <v>35263.800000000003</v>
      </c>
    </row>
    <row r="959" spans="1:34" x14ac:dyDescent="0.35">
      <c r="A959" t="s">
        <v>2650</v>
      </c>
      <c r="B959" t="s">
        <v>2651</v>
      </c>
      <c r="C959">
        <v>40</v>
      </c>
      <c r="D959" t="s">
        <v>38</v>
      </c>
      <c r="E959" t="s">
        <v>32</v>
      </c>
      <c r="F959" t="s">
        <v>46</v>
      </c>
      <c r="G959">
        <v>181667</v>
      </c>
      <c r="H959">
        <v>644</v>
      </c>
      <c r="I959">
        <v>42867</v>
      </c>
      <c r="J959">
        <v>7.35</v>
      </c>
      <c r="K959">
        <v>24</v>
      </c>
      <c r="L959" t="s">
        <v>86</v>
      </c>
      <c r="M959">
        <v>26.57</v>
      </c>
      <c r="N959">
        <v>39248</v>
      </c>
      <c r="O959">
        <v>134044</v>
      </c>
      <c r="P959" t="s">
        <v>1993</v>
      </c>
      <c r="Q959" t="s">
        <v>42</v>
      </c>
      <c r="R959" t="s">
        <v>28</v>
      </c>
      <c r="S959" t="s">
        <v>35</v>
      </c>
      <c r="T959">
        <v>1917.41</v>
      </c>
      <c r="U959">
        <f t="shared" si="196"/>
        <v>1043</v>
      </c>
      <c r="V959">
        <f t="shared" si="197"/>
        <v>390</v>
      </c>
      <c r="W959">
        <f t="shared" si="198"/>
        <v>323</v>
      </c>
      <c r="X959">
        <f t="shared" si="199"/>
        <v>0.35149999999999998</v>
      </c>
      <c r="Y959" s="1">
        <f t="shared" si="200"/>
        <v>53648821</v>
      </c>
      <c r="Z959">
        <f t="shared" si="201"/>
        <v>51437.028763183123</v>
      </c>
      <c r="AA959">
        <f t="shared" si="202"/>
        <v>99996</v>
      </c>
      <c r="AB959">
        <f t="shared" si="203"/>
        <v>5091</v>
      </c>
      <c r="AC959">
        <f t="shared" si="204"/>
        <v>1378917.6600000006</v>
      </c>
      <c r="AD959">
        <f t="shared" si="205"/>
        <v>1322.0687056567599</v>
      </c>
      <c r="AE959">
        <f t="shared" si="206"/>
        <v>0.35149999999999998</v>
      </c>
      <c r="AF959">
        <f t="shared" si="207"/>
        <v>733192107.54000092</v>
      </c>
      <c r="AG959" t="str">
        <f t="shared" si="208"/>
        <v>Active</v>
      </c>
      <c r="AH959">
        <f t="shared" si="209"/>
        <v>23008.920000000002</v>
      </c>
    </row>
    <row r="960" spans="1:34" x14ac:dyDescent="0.35">
      <c r="A960" t="s">
        <v>2652</v>
      </c>
      <c r="B960" t="s">
        <v>2653</v>
      </c>
      <c r="C960">
        <v>45</v>
      </c>
      <c r="D960" t="s">
        <v>22</v>
      </c>
      <c r="E960" t="s">
        <v>23</v>
      </c>
      <c r="F960" t="s">
        <v>46</v>
      </c>
      <c r="G960">
        <v>71825</v>
      </c>
      <c r="H960">
        <v>497</v>
      </c>
      <c r="I960">
        <v>17078</v>
      </c>
      <c r="J960">
        <v>4.8600000000000003</v>
      </c>
      <c r="K960">
        <v>60</v>
      </c>
      <c r="L960" t="s">
        <v>52</v>
      </c>
      <c r="M960">
        <v>41.49</v>
      </c>
      <c r="N960">
        <v>23804</v>
      </c>
      <c r="O960">
        <v>158152</v>
      </c>
      <c r="P960" t="s">
        <v>1552</v>
      </c>
      <c r="Q960" t="s">
        <v>27</v>
      </c>
      <c r="R960" t="s">
        <v>48</v>
      </c>
      <c r="S960" t="s">
        <v>68</v>
      </c>
      <c r="T960">
        <v>298.47000000000003</v>
      </c>
      <c r="U960">
        <f t="shared" si="196"/>
        <v>1042</v>
      </c>
      <c r="V960">
        <f t="shared" si="197"/>
        <v>389</v>
      </c>
      <c r="W960">
        <f t="shared" si="198"/>
        <v>323</v>
      </c>
      <c r="X960">
        <f t="shared" si="199"/>
        <v>0.35149999999999998</v>
      </c>
      <c r="Y960" s="1">
        <f t="shared" si="200"/>
        <v>53605954</v>
      </c>
      <c r="Z960">
        <f t="shared" si="201"/>
        <v>51445.253358925147</v>
      </c>
      <c r="AA960">
        <f t="shared" si="202"/>
        <v>99996</v>
      </c>
      <c r="AB960">
        <f t="shared" si="203"/>
        <v>5091</v>
      </c>
      <c r="AC960">
        <f t="shared" si="204"/>
        <v>1377000.2500000007</v>
      </c>
      <c r="AD960">
        <f t="shared" si="205"/>
        <v>1321.4973608445305</v>
      </c>
      <c r="AE960">
        <f t="shared" si="206"/>
        <v>0.35149999999999998</v>
      </c>
      <c r="AF960">
        <f t="shared" si="207"/>
        <v>731813189.88000095</v>
      </c>
      <c r="AG960" t="str">
        <f t="shared" si="208"/>
        <v>Active</v>
      </c>
      <c r="AH960">
        <f t="shared" si="209"/>
        <v>3581.6400000000003</v>
      </c>
    </row>
    <row r="961" spans="1:34" x14ac:dyDescent="0.35">
      <c r="A961" t="s">
        <v>2654</v>
      </c>
      <c r="B961" t="s">
        <v>2655</v>
      </c>
      <c r="C961">
        <v>53</v>
      </c>
      <c r="D961" t="s">
        <v>38</v>
      </c>
      <c r="E961" t="s">
        <v>39</v>
      </c>
      <c r="F961" t="s">
        <v>24</v>
      </c>
      <c r="G961">
        <v>43602</v>
      </c>
      <c r="H961">
        <v>622</v>
      </c>
      <c r="I961">
        <v>48276</v>
      </c>
      <c r="J961">
        <v>23.54</v>
      </c>
      <c r="K961">
        <v>60</v>
      </c>
      <c r="L961" t="s">
        <v>52</v>
      </c>
      <c r="M961">
        <v>16.73</v>
      </c>
      <c r="N961">
        <v>53942</v>
      </c>
      <c r="O961">
        <v>138734</v>
      </c>
      <c r="P961" t="s">
        <v>2656</v>
      </c>
      <c r="Q961" t="s">
        <v>42</v>
      </c>
      <c r="R961" t="s">
        <v>48</v>
      </c>
      <c r="S961" t="s">
        <v>49</v>
      </c>
      <c r="T961">
        <v>994</v>
      </c>
      <c r="U961">
        <f t="shared" si="196"/>
        <v>1041</v>
      </c>
      <c r="V961">
        <f t="shared" si="197"/>
        <v>389</v>
      </c>
      <c r="W961">
        <f t="shared" si="198"/>
        <v>323</v>
      </c>
      <c r="X961">
        <f t="shared" si="199"/>
        <v>0.35149999999999998</v>
      </c>
      <c r="Y961" s="1">
        <f t="shared" si="200"/>
        <v>53588876</v>
      </c>
      <c r="Z961">
        <f t="shared" si="201"/>
        <v>51478.267050912582</v>
      </c>
      <c r="AA961">
        <f t="shared" si="202"/>
        <v>99996</v>
      </c>
      <c r="AB961">
        <f t="shared" si="203"/>
        <v>5091</v>
      </c>
      <c r="AC961">
        <f t="shared" si="204"/>
        <v>1376701.7800000007</v>
      </c>
      <c r="AD961">
        <f t="shared" si="205"/>
        <v>1322.48009606148</v>
      </c>
      <c r="AE961">
        <f t="shared" si="206"/>
        <v>0.35149999999999998</v>
      </c>
      <c r="AF961">
        <f t="shared" si="207"/>
        <v>730436189.63000095</v>
      </c>
      <c r="AG961" t="str">
        <f t="shared" si="208"/>
        <v>Active</v>
      </c>
      <c r="AH961">
        <f t="shared" si="209"/>
        <v>11928</v>
      </c>
    </row>
    <row r="962" spans="1:34" x14ac:dyDescent="0.35">
      <c r="A962" t="s">
        <v>2657</v>
      </c>
      <c r="B962" t="s">
        <v>2658</v>
      </c>
      <c r="C962">
        <v>51</v>
      </c>
      <c r="D962" t="s">
        <v>22</v>
      </c>
      <c r="E962" t="s">
        <v>39</v>
      </c>
      <c r="F962" t="s">
        <v>46</v>
      </c>
      <c r="G962">
        <v>36470</v>
      </c>
      <c r="H962">
        <v>696</v>
      </c>
      <c r="I962">
        <v>74346</v>
      </c>
      <c r="J962">
        <v>17.16</v>
      </c>
      <c r="K962">
        <v>24</v>
      </c>
      <c r="L962" t="s">
        <v>40</v>
      </c>
      <c r="M962">
        <v>44.26</v>
      </c>
      <c r="N962">
        <v>41801</v>
      </c>
      <c r="O962">
        <v>99275</v>
      </c>
      <c r="P962" t="s">
        <v>2456</v>
      </c>
      <c r="Q962" t="s">
        <v>27</v>
      </c>
      <c r="R962" t="s">
        <v>28</v>
      </c>
      <c r="S962" t="s">
        <v>43</v>
      </c>
      <c r="T962">
        <v>3629.32</v>
      </c>
      <c r="U962">
        <f t="shared" ref="U962:U1025" si="210">COUNTA(A962:A2961)</f>
        <v>1040</v>
      </c>
      <c r="V962">
        <f t="shared" ref="V962:V1025" si="211">COUNTIF(Q962:Q2961,"APPROVED")</f>
        <v>388</v>
      </c>
      <c r="W962">
        <f t="shared" ref="W962:W1025" si="212">COUNTIF(Q962:Q2962,"Rejected")</f>
        <v>323</v>
      </c>
      <c r="X962">
        <f t="shared" ref="X962:X1025" si="213">703/2000</f>
        <v>0.35149999999999998</v>
      </c>
      <c r="Y962" s="1">
        <f t="shared" ref="Y962:Y1025" si="214">SUM(I962:I2961)</f>
        <v>53540600</v>
      </c>
      <c r="Z962">
        <f t="shared" ref="Z962:Z1025" si="215">AVERAGE(I962:I20961)</f>
        <v>51481.346153846156</v>
      </c>
      <c r="AA962">
        <f t="shared" ref="AA962:AA1025" si="216">MAX(I962:I2961)</f>
        <v>99996</v>
      </c>
      <c r="AB962">
        <f t="shared" ref="AB962:AB1025" si="217">MIN(I962:I2961)</f>
        <v>5091</v>
      </c>
      <c r="AC962">
        <f t="shared" ref="AC962:AC1025" si="218">SUM(T962:T2961)</f>
        <v>1375707.7800000007</v>
      </c>
      <c r="AD962">
        <f t="shared" ref="AD962:AD1025" si="219">AVERAGE(T962:T2961)</f>
        <v>1322.7959423076929</v>
      </c>
      <c r="AE962">
        <f t="shared" ref="AE962:AE1025" si="220">703/2000</f>
        <v>0.35149999999999998</v>
      </c>
      <c r="AF962">
        <f t="shared" ref="AF962:AF1025" si="221">SUM(AC962:AC2961)</f>
        <v>729059487.85000086</v>
      </c>
      <c r="AG962" t="str">
        <f t="shared" ref="AG962:AG1025" si="222">IF(AH962=0,"Bad", IF(AH961&lt;I961, "Active", IF(AH961=I961, "Good", "Over Paid")))</f>
        <v>Active</v>
      </c>
      <c r="AH962">
        <f t="shared" ref="AH962:AH1025" si="223">T962*12</f>
        <v>43551.840000000004</v>
      </c>
    </row>
    <row r="963" spans="1:34" x14ac:dyDescent="0.35">
      <c r="A963" t="s">
        <v>2659</v>
      </c>
      <c r="B963" t="s">
        <v>2660</v>
      </c>
      <c r="C963">
        <v>41</v>
      </c>
      <c r="D963" t="s">
        <v>22</v>
      </c>
      <c r="E963" t="s">
        <v>23</v>
      </c>
      <c r="F963" t="s">
        <v>59</v>
      </c>
      <c r="G963">
        <v>132579</v>
      </c>
      <c r="H963">
        <v>395</v>
      </c>
      <c r="I963">
        <v>83722</v>
      </c>
      <c r="J963">
        <v>21.86</v>
      </c>
      <c r="K963">
        <v>36</v>
      </c>
      <c r="L963" t="s">
        <v>52</v>
      </c>
      <c r="M963">
        <v>15.12</v>
      </c>
      <c r="N963">
        <v>24623</v>
      </c>
      <c r="O963">
        <v>39484</v>
      </c>
      <c r="P963" t="s">
        <v>2661</v>
      </c>
      <c r="Q963" t="s">
        <v>61</v>
      </c>
      <c r="R963" t="s">
        <v>28</v>
      </c>
      <c r="S963" t="s">
        <v>49</v>
      </c>
      <c r="T963">
        <v>2833.99</v>
      </c>
      <c r="U963">
        <f t="shared" si="210"/>
        <v>1039</v>
      </c>
      <c r="V963">
        <f t="shared" si="211"/>
        <v>388</v>
      </c>
      <c r="W963">
        <f t="shared" si="212"/>
        <v>323</v>
      </c>
      <c r="X963">
        <f t="shared" si="213"/>
        <v>0.35149999999999998</v>
      </c>
      <c r="Y963" s="1">
        <f t="shared" si="214"/>
        <v>53466254</v>
      </c>
      <c r="Z963">
        <f t="shared" si="215"/>
        <v>51459.339749759383</v>
      </c>
      <c r="AA963">
        <f t="shared" si="216"/>
        <v>99996</v>
      </c>
      <c r="AB963">
        <f t="shared" si="217"/>
        <v>5091</v>
      </c>
      <c r="AC963">
        <f t="shared" si="218"/>
        <v>1372078.4600000007</v>
      </c>
      <c r="AD963">
        <f t="shared" si="219"/>
        <v>1320.5759961501451</v>
      </c>
      <c r="AE963">
        <f t="shared" si="220"/>
        <v>0.35149999999999998</v>
      </c>
      <c r="AF963">
        <f t="shared" si="221"/>
        <v>727683780.07000089</v>
      </c>
      <c r="AG963" t="str">
        <f t="shared" si="222"/>
        <v>Active</v>
      </c>
      <c r="AH963">
        <f t="shared" si="223"/>
        <v>34007.879999999997</v>
      </c>
    </row>
    <row r="964" spans="1:34" x14ac:dyDescent="0.35">
      <c r="A964" t="s">
        <v>2662</v>
      </c>
      <c r="B964" t="s">
        <v>2663</v>
      </c>
      <c r="C964">
        <v>60</v>
      </c>
      <c r="D964" t="s">
        <v>22</v>
      </c>
      <c r="E964" t="s">
        <v>39</v>
      </c>
      <c r="F964" t="s">
        <v>59</v>
      </c>
      <c r="G964">
        <v>168942</v>
      </c>
      <c r="H964">
        <v>488</v>
      </c>
      <c r="I964">
        <v>60214</v>
      </c>
      <c r="J964">
        <v>11.93</v>
      </c>
      <c r="K964">
        <v>240</v>
      </c>
      <c r="L964" t="s">
        <v>40</v>
      </c>
      <c r="M964">
        <v>11.33</v>
      </c>
      <c r="N964">
        <v>1219</v>
      </c>
      <c r="O964">
        <v>159959</v>
      </c>
      <c r="P964" t="s">
        <v>2664</v>
      </c>
      <c r="Q964" t="s">
        <v>61</v>
      </c>
      <c r="R964" t="s">
        <v>48</v>
      </c>
      <c r="S964" t="s">
        <v>29</v>
      </c>
      <c r="T964">
        <v>280.82</v>
      </c>
      <c r="U964">
        <f t="shared" si="210"/>
        <v>1038</v>
      </c>
      <c r="V964">
        <f t="shared" si="211"/>
        <v>388</v>
      </c>
      <c r="W964">
        <f t="shared" si="212"/>
        <v>322</v>
      </c>
      <c r="X964">
        <f t="shared" si="213"/>
        <v>0.35149999999999998</v>
      </c>
      <c r="Y964" s="1">
        <f t="shared" si="214"/>
        <v>53382532</v>
      </c>
      <c r="Z964">
        <f t="shared" si="215"/>
        <v>51428.258188824664</v>
      </c>
      <c r="AA964">
        <f t="shared" si="216"/>
        <v>99996</v>
      </c>
      <c r="AB964">
        <f t="shared" si="217"/>
        <v>5091</v>
      </c>
      <c r="AC964">
        <f t="shared" si="218"/>
        <v>1369244.4700000004</v>
      </c>
      <c r="AD964">
        <f t="shared" si="219"/>
        <v>1319.1179865125246</v>
      </c>
      <c r="AE964">
        <f t="shared" si="220"/>
        <v>0.35149999999999998</v>
      </c>
      <c r="AF964">
        <f t="shared" si="221"/>
        <v>726311701.61000085</v>
      </c>
      <c r="AG964" t="str">
        <f t="shared" si="222"/>
        <v>Active</v>
      </c>
      <c r="AH964">
        <f t="shared" si="223"/>
        <v>3369.84</v>
      </c>
    </row>
    <row r="965" spans="1:34" x14ac:dyDescent="0.35">
      <c r="A965" t="s">
        <v>2665</v>
      </c>
      <c r="B965" t="s">
        <v>2666</v>
      </c>
      <c r="C965">
        <v>52</v>
      </c>
      <c r="D965" t="s">
        <v>38</v>
      </c>
      <c r="E965" t="s">
        <v>32</v>
      </c>
      <c r="F965" t="s">
        <v>24</v>
      </c>
      <c r="G965">
        <v>188519</v>
      </c>
      <c r="H965">
        <v>639</v>
      </c>
      <c r="I965">
        <v>10249</v>
      </c>
      <c r="J965">
        <v>17.11</v>
      </c>
      <c r="K965">
        <v>12</v>
      </c>
      <c r="L965" t="s">
        <v>40</v>
      </c>
      <c r="M965">
        <v>34.06</v>
      </c>
      <c r="N965">
        <v>1492</v>
      </c>
      <c r="O965">
        <v>16864</v>
      </c>
      <c r="P965" t="s">
        <v>2667</v>
      </c>
      <c r="Q965" t="s">
        <v>27</v>
      </c>
      <c r="R965" t="s">
        <v>48</v>
      </c>
      <c r="S965" t="s">
        <v>43</v>
      </c>
      <c r="T965">
        <v>1000.22</v>
      </c>
      <c r="U965">
        <f t="shared" si="210"/>
        <v>1037</v>
      </c>
      <c r="V965">
        <f t="shared" si="211"/>
        <v>388</v>
      </c>
      <c r="W965">
        <f t="shared" si="212"/>
        <v>321</v>
      </c>
      <c r="X965">
        <f t="shared" si="213"/>
        <v>0.35149999999999998</v>
      </c>
      <c r="Y965" s="1">
        <f t="shared" si="214"/>
        <v>53322318</v>
      </c>
      <c r="Z965">
        <f t="shared" si="215"/>
        <v>51419.785920925744</v>
      </c>
      <c r="AA965">
        <f t="shared" si="216"/>
        <v>99996</v>
      </c>
      <c r="AB965">
        <f t="shared" si="217"/>
        <v>5091</v>
      </c>
      <c r="AC965">
        <f t="shared" si="218"/>
        <v>1368963.6500000004</v>
      </c>
      <c r="AD965">
        <f t="shared" si="219"/>
        <v>1320.1192381870785</v>
      </c>
      <c r="AE965">
        <f t="shared" si="220"/>
        <v>0.35149999999999998</v>
      </c>
      <c r="AF965">
        <f t="shared" si="221"/>
        <v>724942457.14000094</v>
      </c>
      <c r="AG965" t="str">
        <f t="shared" si="222"/>
        <v>Active</v>
      </c>
      <c r="AH965">
        <f t="shared" si="223"/>
        <v>12002.64</v>
      </c>
    </row>
    <row r="966" spans="1:34" x14ac:dyDescent="0.35">
      <c r="A966" t="s">
        <v>2668</v>
      </c>
      <c r="B966" t="s">
        <v>2669</v>
      </c>
      <c r="C966">
        <v>46</v>
      </c>
      <c r="D966" t="s">
        <v>38</v>
      </c>
      <c r="E966" t="s">
        <v>39</v>
      </c>
      <c r="F966" t="s">
        <v>46</v>
      </c>
      <c r="G966">
        <v>171859</v>
      </c>
      <c r="H966">
        <v>794</v>
      </c>
      <c r="I966">
        <v>47942</v>
      </c>
      <c r="J966">
        <v>5.44</v>
      </c>
      <c r="K966">
        <v>240</v>
      </c>
      <c r="L966" t="s">
        <v>40</v>
      </c>
      <c r="M966">
        <v>32.270000000000003</v>
      </c>
      <c r="N966">
        <v>10354</v>
      </c>
      <c r="O966">
        <v>246389</v>
      </c>
      <c r="P966" t="s">
        <v>1250</v>
      </c>
      <c r="Q966" t="s">
        <v>42</v>
      </c>
      <c r="R966" t="s">
        <v>48</v>
      </c>
      <c r="S966" t="s">
        <v>49</v>
      </c>
      <c r="T966">
        <v>210.63</v>
      </c>
      <c r="U966">
        <f t="shared" si="210"/>
        <v>1036</v>
      </c>
      <c r="V966">
        <f t="shared" si="211"/>
        <v>388</v>
      </c>
      <c r="W966">
        <f t="shared" si="212"/>
        <v>321</v>
      </c>
      <c r="X966">
        <f t="shared" si="213"/>
        <v>0.35149999999999998</v>
      </c>
      <c r="Y966" s="1">
        <f t="shared" si="214"/>
        <v>53312069</v>
      </c>
      <c r="Z966">
        <f t="shared" si="215"/>
        <v>51459.526061776065</v>
      </c>
      <c r="AA966">
        <f t="shared" si="216"/>
        <v>99996</v>
      </c>
      <c r="AB966">
        <f t="shared" si="217"/>
        <v>5091</v>
      </c>
      <c r="AC966">
        <f t="shared" si="218"/>
        <v>1367963.4300000004</v>
      </c>
      <c r="AD966">
        <f t="shared" si="219"/>
        <v>1320.4280212355216</v>
      </c>
      <c r="AE966">
        <f t="shared" si="220"/>
        <v>0.35149999999999998</v>
      </c>
      <c r="AF966">
        <f t="shared" si="221"/>
        <v>723573493.49000096</v>
      </c>
      <c r="AG966" t="str">
        <f t="shared" si="222"/>
        <v>Over Paid</v>
      </c>
      <c r="AH966">
        <f t="shared" si="223"/>
        <v>2527.56</v>
      </c>
    </row>
    <row r="967" spans="1:34" x14ac:dyDescent="0.35">
      <c r="A967" t="s">
        <v>2670</v>
      </c>
      <c r="B967" t="s">
        <v>2671</v>
      </c>
      <c r="C967">
        <v>40</v>
      </c>
      <c r="D967" t="s">
        <v>38</v>
      </c>
      <c r="E967" t="s">
        <v>39</v>
      </c>
      <c r="F967" t="s">
        <v>46</v>
      </c>
      <c r="G967">
        <v>49930</v>
      </c>
      <c r="H967">
        <v>638</v>
      </c>
      <c r="I967">
        <v>10119</v>
      </c>
      <c r="J967">
        <v>14.68</v>
      </c>
      <c r="K967">
        <v>60</v>
      </c>
      <c r="L967" t="s">
        <v>52</v>
      </c>
      <c r="M967">
        <v>43.07</v>
      </c>
      <c r="N967">
        <v>48343</v>
      </c>
      <c r="O967">
        <v>159321</v>
      </c>
      <c r="P967" t="s">
        <v>2672</v>
      </c>
      <c r="Q967" t="s">
        <v>27</v>
      </c>
      <c r="R967" t="s">
        <v>48</v>
      </c>
      <c r="S967" t="s">
        <v>68</v>
      </c>
      <c r="T967">
        <v>193.41</v>
      </c>
      <c r="U967">
        <f t="shared" si="210"/>
        <v>1035</v>
      </c>
      <c r="V967">
        <f t="shared" si="211"/>
        <v>387</v>
      </c>
      <c r="W967">
        <f t="shared" si="212"/>
        <v>321</v>
      </c>
      <c r="X967">
        <f t="shared" si="213"/>
        <v>0.35149999999999998</v>
      </c>
      <c r="Y967" s="1">
        <f t="shared" si="214"/>
        <v>53264127</v>
      </c>
      <c r="Z967">
        <f t="shared" si="215"/>
        <v>51462.924637681157</v>
      </c>
      <c r="AA967">
        <f t="shared" si="216"/>
        <v>99996</v>
      </c>
      <c r="AB967">
        <f t="shared" si="217"/>
        <v>5091</v>
      </c>
      <c r="AC967">
        <f t="shared" si="218"/>
        <v>1367752.8000000003</v>
      </c>
      <c r="AD967">
        <f t="shared" si="219"/>
        <v>1321.5002898550727</v>
      </c>
      <c r="AE967">
        <f t="shared" si="220"/>
        <v>0.35149999999999998</v>
      </c>
      <c r="AF967">
        <f t="shared" si="221"/>
        <v>722205530.0600009</v>
      </c>
      <c r="AG967" t="str">
        <f t="shared" si="222"/>
        <v>Active</v>
      </c>
      <c r="AH967">
        <f t="shared" si="223"/>
        <v>2320.92</v>
      </c>
    </row>
    <row r="968" spans="1:34" x14ac:dyDescent="0.35">
      <c r="A968" t="s">
        <v>2673</v>
      </c>
      <c r="B968" t="s">
        <v>2674</v>
      </c>
      <c r="C968">
        <v>31</v>
      </c>
      <c r="D968" t="s">
        <v>22</v>
      </c>
      <c r="E968" t="s">
        <v>23</v>
      </c>
      <c r="F968" t="s">
        <v>59</v>
      </c>
      <c r="G968">
        <v>20788</v>
      </c>
      <c r="H968">
        <v>801</v>
      </c>
      <c r="I968">
        <v>30112</v>
      </c>
      <c r="J968">
        <v>12.85</v>
      </c>
      <c r="K968">
        <v>48</v>
      </c>
      <c r="L968" t="s">
        <v>25</v>
      </c>
      <c r="M968">
        <v>55.11</v>
      </c>
      <c r="N968">
        <v>8619</v>
      </c>
      <c r="O968">
        <v>81520</v>
      </c>
      <c r="P968" t="s">
        <v>2675</v>
      </c>
      <c r="Q968" t="s">
        <v>42</v>
      </c>
      <c r="R968" t="s">
        <v>48</v>
      </c>
      <c r="S968" t="s">
        <v>35</v>
      </c>
      <c r="T968">
        <v>707.95</v>
      </c>
      <c r="U968">
        <f t="shared" si="210"/>
        <v>1034</v>
      </c>
      <c r="V968">
        <f t="shared" si="211"/>
        <v>387</v>
      </c>
      <c r="W968">
        <f t="shared" si="212"/>
        <v>321</v>
      </c>
      <c r="X968">
        <f t="shared" si="213"/>
        <v>0.35149999999999998</v>
      </c>
      <c r="Y968" s="1">
        <f t="shared" si="214"/>
        <v>53254008</v>
      </c>
      <c r="Z968">
        <f t="shared" si="215"/>
        <v>51502.909090909088</v>
      </c>
      <c r="AA968">
        <f t="shared" si="216"/>
        <v>99996</v>
      </c>
      <c r="AB968">
        <f t="shared" si="217"/>
        <v>5091</v>
      </c>
      <c r="AC968">
        <f t="shared" si="218"/>
        <v>1367559.3900000004</v>
      </c>
      <c r="AD968">
        <f t="shared" si="219"/>
        <v>1322.591286266925</v>
      </c>
      <c r="AE968">
        <f t="shared" si="220"/>
        <v>0.35149999999999998</v>
      </c>
      <c r="AF968">
        <f t="shared" si="221"/>
        <v>720837777.26000106</v>
      </c>
      <c r="AG968" t="str">
        <f t="shared" si="222"/>
        <v>Active</v>
      </c>
      <c r="AH968">
        <f t="shared" si="223"/>
        <v>8495.4000000000015</v>
      </c>
    </row>
    <row r="969" spans="1:34" x14ac:dyDescent="0.35">
      <c r="A969" t="s">
        <v>2676</v>
      </c>
      <c r="B969" t="s">
        <v>2677</v>
      </c>
      <c r="C969">
        <v>23</v>
      </c>
      <c r="D969" t="s">
        <v>38</v>
      </c>
      <c r="E969" t="s">
        <v>23</v>
      </c>
      <c r="F969" t="s">
        <v>46</v>
      </c>
      <c r="G969">
        <v>86293</v>
      </c>
      <c r="H969">
        <v>776</v>
      </c>
      <c r="I969">
        <v>72641</v>
      </c>
      <c r="J969">
        <v>3.6</v>
      </c>
      <c r="K969">
        <v>60</v>
      </c>
      <c r="L969" t="s">
        <v>40</v>
      </c>
      <c r="M969">
        <v>34.57</v>
      </c>
      <c r="N969">
        <v>34709</v>
      </c>
      <c r="O969">
        <v>184650</v>
      </c>
      <c r="P969" t="s">
        <v>120</v>
      </c>
      <c r="Q969" t="s">
        <v>27</v>
      </c>
      <c r="R969" t="s">
        <v>48</v>
      </c>
      <c r="S969" t="s">
        <v>68</v>
      </c>
      <c r="T969">
        <v>1254.27</v>
      </c>
      <c r="U969">
        <f t="shared" si="210"/>
        <v>1033</v>
      </c>
      <c r="V969">
        <f t="shared" si="211"/>
        <v>386</v>
      </c>
      <c r="W969">
        <f t="shared" si="212"/>
        <v>321</v>
      </c>
      <c r="X969">
        <f t="shared" si="213"/>
        <v>0.35149999999999998</v>
      </c>
      <c r="Y969" s="1">
        <f t="shared" si="214"/>
        <v>53223896</v>
      </c>
      <c r="Z969">
        <f t="shared" si="215"/>
        <v>51523.616650532429</v>
      </c>
      <c r="AA969">
        <f t="shared" si="216"/>
        <v>99996</v>
      </c>
      <c r="AB969">
        <f t="shared" si="217"/>
        <v>5091</v>
      </c>
      <c r="AC969">
        <f t="shared" si="218"/>
        <v>1366851.4400000004</v>
      </c>
      <c r="AD969">
        <f t="shared" si="219"/>
        <v>1323.1862923523722</v>
      </c>
      <c r="AE969">
        <f t="shared" si="220"/>
        <v>0.35149999999999998</v>
      </c>
      <c r="AF969">
        <f t="shared" si="221"/>
        <v>719470217.87000096</v>
      </c>
      <c r="AG969" t="str">
        <f t="shared" si="222"/>
        <v>Active</v>
      </c>
      <c r="AH969">
        <f t="shared" si="223"/>
        <v>15051.24</v>
      </c>
    </row>
    <row r="970" spans="1:34" x14ac:dyDescent="0.35">
      <c r="A970" t="s">
        <v>2678</v>
      </c>
      <c r="B970" t="s">
        <v>2679</v>
      </c>
      <c r="C970">
        <v>31</v>
      </c>
      <c r="D970" t="s">
        <v>22</v>
      </c>
      <c r="E970" t="s">
        <v>39</v>
      </c>
      <c r="F970" t="s">
        <v>59</v>
      </c>
      <c r="G970">
        <v>130355</v>
      </c>
      <c r="H970">
        <v>671</v>
      </c>
      <c r="I970">
        <v>18902</v>
      </c>
      <c r="J970">
        <v>20.47</v>
      </c>
      <c r="K970">
        <v>24</v>
      </c>
      <c r="L970" t="s">
        <v>40</v>
      </c>
      <c r="M970">
        <v>42.07</v>
      </c>
      <c r="N970">
        <v>8357</v>
      </c>
      <c r="O970">
        <v>44393</v>
      </c>
      <c r="P970" t="s">
        <v>2680</v>
      </c>
      <c r="Q970" t="s">
        <v>61</v>
      </c>
      <c r="R970" t="s">
        <v>48</v>
      </c>
      <c r="S970" t="s">
        <v>43</v>
      </c>
      <c r="T970">
        <v>948.8</v>
      </c>
      <c r="U970">
        <f t="shared" si="210"/>
        <v>1032</v>
      </c>
      <c r="V970">
        <f t="shared" si="211"/>
        <v>386</v>
      </c>
      <c r="W970">
        <f t="shared" si="212"/>
        <v>321</v>
      </c>
      <c r="X970">
        <f t="shared" si="213"/>
        <v>0.35149999999999998</v>
      </c>
      <c r="Y970" s="1">
        <f t="shared" si="214"/>
        <v>53151255</v>
      </c>
      <c r="Z970">
        <f t="shared" si="215"/>
        <v>51503.154069767443</v>
      </c>
      <c r="AA970">
        <f t="shared" si="216"/>
        <v>99996</v>
      </c>
      <c r="AB970">
        <f t="shared" si="217"/>
        <v>5091</v>
      </c>
      <c r="AC970">
        <f t="shared" si="218"/>
        <v>1365597.1700000004</v>
      </c>
      <c r="AD970">
        <f t="shared" si="219"/>
        <v>1323.2530717054267</v>
      </c>
      <c r="AE970">
        <f t="shared" si="220"/>
        <v>0.35149999999999998</v>
      </c>
      <c r="AF970">
        <f t="shared" si="221"/>
        <v>718103366.4300009</v>
      </c>
      <c r="AG970" t="str">
        <f t="shared" si="222"/>
        <v>Active</v>
      </c>
      <c r="AH970">
        <f t="shared" si="223"/>
        <v>11385.599999999999</v>
      </c>
    </row>
    <row r="971" spans="1:34" x14ac:dyDescent="0.35">
      <c r="A971" t="s">
        <v>2681</v>
      </c>
      <c r="B971" t="s">
        <v>2682</v>
      </c>
      <c r="C971">
        <v>63</v>
      </c>
      <c r="D971" t="s">
        <v>22</v>
      </c>
      <c r="E971" t="s">
        <v>39</v>
      </c>
      <c r="F971" t="s">
        <v>24</v>
      </c>
      <c r="G971">
        <v>151545</v>
      </c>
      <c r="H971">
        <v>597</v>
      </c>
      <c r="I971">
        <v>27409</v>
      </c>
      <c r="J971">
        <v>6.51</v>
      </c>
      <c r="K971">
        <v>240</v>
      </c>
      <c r="L971" t="s">
        <v>40</v>
      </c>
      <c r="M971">
        <v>41.5</v>
      </c>
      <c r="N971">
        <v>71717</v>
      </c>
      <c r="O971">
        <v>153040</v>
      </c>
      <c r="P971" t="s">
        <v>2683</v>
      </c>
      <c r="Q971" t="s">
        <v>42</v>
      </c>
      <c r="R971" t="s">
        <v>28</v>
      </c>
      <c r="S971" t="s">
        <v>43</v>
      </c>
      <c r="T971">
        <v>121.64</v>
      </c>
      <c r="U971">
        <f t="shared" si="210"/>
        <v>1031</v>
      </c>
      <c r="V971">
        <f t="shared" si="211"/>
        <v>386</v>
      </c>
      <c r="W971">
        <f t="shared" si="212"/>
        <v>320</v>
      </c>
      <c r="X971">
        <f t="shared" si="213"/>
        <v>0.35149999999999998</v>
      </c>
      <c r="Y971" s="1">
        <f t="shared" si="214"/>
        <v>53132353</v>
      </c>
      <c r="Z971">
        <f t="shared" si="215"/>
        <v>51534.774975751694</v>
      </c>
      <c r="AA971">
        <f t="shared" si="216"/>
        <v>99996</v>
      </c>
      <c r="AB971">
        <f t="shared" si="217"/>
        <v>5091</v>
      </c>
      <c r="AC971">
        <f t="shared" si="218"/>
        <v>1364648.3700000003</v>
      </c>
      <c r="AD971">
        <f t="shared" si="219"/>
        <v>1323.616265761397</v>
      </c>
      <c r="AE971">
        <f t="shared" si="220"/>
        <v>0.35149999999999998</v>
      </c>
      <c r="AF971">
        <f t="shared" si="221"/>
        <v>716737769.26000106</v>
      </c>
      <c r="AG971" t="str">
        <f t="shared" si="222"/>
        <v>Active</v>
      </c>
      <c r="AH971">
        <f t="shared" si="223"/>
        <v>1459.68</v>
      </c>
    </row>
    <row r="972" spans="1:34" x14ac:dyDescent="0.35">
      <c r="A972" t="s">
        <v>2684</v>
      </c>
      <c r="B972" t="s">
        <v>2685</v>
      </c>
      <c r="C972">
        <v>48</v>
      </c>
      <c r="D972" t="s">
        <v>22</v>
      </c>
      <c r="E972" t="s">
        <v>32</v>
      </c>
      <c r="F972" t="s">
        <v>46</v>
      </c>
      <c r="G972">
        <v>126457</v>
      </c>
      <c r="H972">
        <v>805</v>
      </c>
      <c r="I972">
        <v>86376</v>
      </c>
      <c r="J972">
        <v>10.32</v>
      </c>
      <c r="K972">
        <v>24</v>
      </c>
      <c r="L972" t="s">
        <v>40</v>
      </c>
      <c r="M972">
        <v>26.52</v>
      </c>
      <c r="N972">
        <v>21169</v>
      </c>
      <c r="O972">
        <v>105057</v>
      </c>
      <c r="P972" t="s">
        <v>60</v>
      </c>
      <c r="Q972" t="s">
        <v>27</v>
      </c>
      <c r="R972" t="s">
        <v>48</v>
      </c>
      <c r="S972" t="s">
        <v>35</v>
      </c>
      <c r="T972">
        <v>3970.42</v>
      </c>
      <c r="U972">
        <f t="shared" si="210"/>
        <v>1030</v>
      </c>
      <c r="V972">
        <f t="shared" si="211"/>
        <v>385</v>
      </c>
      <c r="W972">
        <f t="shared" si="212"/>
        <v>320</v>
      </c>
      <c r="X972">
        <f t="shared" si="213"/>
        <v>0.35149999999999998</v>
      </c>
      <c r="Y972" s="1">
        <f t="shared" si="214"/>
        <v>53104944</v>
      </c>
      <c r="Z972">
        <f t="shared" si="215"/>
        <v>51558.198058252427</v>
      </c>
      <c r="AA972">
        <f t="shared" si="216"/>
        <v>99996</v>
      </c>
      <c r="AB972">
        <f t="shared" si="217"/>
        <v>5091</v>
      </c>
      <c r="AC972">
        <f t="shared" si="218"/>
        <v>1364526.7300000004</v>
      </c>
      <c r="AD972">
        <f t="shared" si="219"/>
        <v>1324.7832330097092</v>
      </c>
      <c r="AE972">
        <f t="shared" si="220"/>
        <v>0.35149999999999998</v>
      </c>
      <c r="AF972">
        <f t="shared" si="221"/>
        <v>715373120.89000118</v>
      </c>
      <c r="AG972" t="str">
        <f t="shared" si="222"/>
        <v>Active</v>
      </c>
      <c r="AH972">
        <f t="shared" si="223"/>
        <v>47645.04</v>
      </c>
    </row>
    <row r="973" spans="1:34" x14ac:dyDescent="0.35">
      <c r="A973" t="s">
        <v>2686</v>
      </c>
      <c r="B973" t="s">
        <v>2687</v>
      </c>
      <c r="C973">
        <v>42</v>
      </c>
      <c r="D973" t="s">
        <v>22</v>
      </c>
      <c r="E973" t="s">
        <v>39</v>
      </c>
      <c r="F973" t="s">
        <v>46</v>
      </c>
      <c r="G973">
        <v>39535</v>
      </c>
      <c r="H973">
        <v>384</v>
      </c>
      <c r="I973">
        <v>18431</v>
      </c>
      <c r="J973">
        <v>22.42</v>
      </c>
      <c r="K973">
        <v>24</v>
      </c>
      <c r="L973" t="s">
        <v>25</v>
      </c>
      <c r="M973">
        <v>45.43</v>
      </c>
      <c r="N973">
        <v>30593</v>
      </c>
      <c r="O973">
        <v>241501</v>
      </c>
      <c r="P973" t="s">
        <v>1546</v>
      </c>
      <c r="Q973" t="s">
        <v>42</v>
      </c>
      <c r="R973" t="s">
        <v>48</v>
      </c>
      <c r="S973" t="s">
        <v>43</v>
      </c>
      <c r="T973">
        <v>940.13</v>
      </c>
      <c r="U973">
        <f t="shared" si="210"/>
        <v>1029</v>
      </c>
      <c r="V973">
        <f t="shared" si="211"/>
        <v>385</v>
      </c>
      <c r="W973">
        <f t="shared" si="212"/>
        <v>320</v>
      </c>
      <c r="X973">
        <f t="shared" si="213"/>
        <v>0.35149999999999998</v>
      </c>
      <c r="Y973" s="1">
        <f t="shared" si="214"/>
        <v>53018568</v>
      </c>
      <c r="Z973">
        <f t="shared" si="215"/>
        <v>51524.361516034987</v>
      </c>
      <c r="AA973">
        <f t="shared" si="216"/>
        <v>99996</v>
      </c>
      <c r="AB973">
        <f t="shared" si="217"/>
        <v>5091</v>
      </c>
      <c r="AC973">
        <f t="shared" si="218"/>
        <v>1360556.3100000003</v>
      </c>
      <c r="AD973">
        <f t="shared" si="219"/>
        <v>1322.2121574344026</v>
      </c>
      <c r="AE973">
        <f t="shared" si="220"/>
        <v>0.35149999999999998</v>
      </c>
      <c r="AF973">
        <f t="shared" si="221"/>
        <v>714008594.16000116</v>
      </c>
      <c r="AG973" t="str">
        <f t="shared" si="222"/>
        <v>Active</v>
      </c>
      <c r="AH973">
        <f t="shared" si="223"/>
        <v>11281.56</v>
      </c>
    </row>
    <row r="974" spans="1:34" x14ac:dyDescent="0.35">
      <c r="A974" t="s">
        <v>2688</v>
      </c>
      <c r="B974" t="s">
        <v>2689</v>
      </c>
      <c r="C974">
        <v>29</v>
      </c>
      <c r="D974" t="s">
        <v>38</v>
      </c>
      <c r="E974" t="s">
        <v>32</v>
      </c>
      <c r="F974" t="s">
        <v>46</v>
      </c>
      <c r="G974">
        <v>80538</v>
      </c>
      <c r="H974">
        <v>706</v>
      </c>
      <c r="I974">
        <v>57836</v>
      </c>
      <c r="J974">
        <v>18.850000000000001</v>
      </c>
      <c r="K974">
        <v>120</v>
      </c>
      <c r="L974" t="s">
        <v>33</v>
      </c>
      <c r="M974">
        <v>7.51</v>
      </c>
      <c r="N974">
        <v>11884</v>
      </c>
      <c r="O974">
        <v>159826</v>
      </c>
      <c r="P974" t="s">
        <v>2690</v>
      </c>
      <c r="Q974" t="s">
        <v>27</v>
      </c>
      <c r="R974" t="s">
        <v>48</v>
      </c>
      <c r="S974" t="s">
        <v>49</v>
      </c>
      <c r="T974">
        <v>572.82000000000005</v>
      </c>
      <c r="U974">
        <f t="shared" si="210"/>
        <v>1028</v>
      </c>
      <c r="V974">
        <f t="shared" si="211"/>
        <v>384</v>
      </c>
      <c r="W974">
        <f t="shared" si="212"/>
        <v>320</v>
      </c>
      <c r="X974">
        <f t="shared" si="213"/>
        <v>0.35149999999999998</v>
      </c>
      <c r="Y974" s="1">
        <f t="shared" si="214"/>
        <v>53000137</v>
      </c>
      <c r="Z974">
        <f t="shared" si="215"/>
        <v>51556.553501945527</v>
      </c>
      <c r="AA974">
        <f t="shared" si="216"/>
        <v>99996</v>
      </c>
      <c r="AB974">
        <f t="shared" si="217"/>
        <v>5091</v>
      </c>
      <c r="AC974">
        <f t="shared" si="218"/>
        <v>1359616.1800000002</v>
      </c>
      <c r="AD974">
        <f t="shared" si="219"/>
        <v>1322.583832684825</v>
      </c>
      <c r="AE974">
        <f t="shared" si="220"/>
        <v>0.35149999999999998</v>
      </c>
      <c r="AF974">
        <f t="shared" si="221"/>
        <v>712648037.85000122</v>
      </c>
      <c r="AG974" t="str">
        <f t="shared" si="222"/>
        <v>Active</v>
      </c>
      <c r="AH974">
        <f t="shared" si="223"/>
        <v>6873.84</v>
      </c>
    </row>
    <row r="975" spans="1:34" x14ac:dyDescent="0.35">
      <c r="A975" t="s">
        <v>2691</v>
      </c>
      <c r="B975" t="s">
        <v>2692</v>
      </c>
      <c r="C975">
        <v>44</v>
      </c>
      <c r="D975" t="s">
        <v>38</v>
      </c>
      <c r="E975" t="s">
        <v>32</v>
      </c>
      <c r="F975" t="s">
        <v>59</v>
      </c>
      <c r="G975">
        <v>130092</v>
      </c>
      <c r="H975">
        <v>692</v>
      </c>
      <c r="I975">
        <v>29199</v>
      </c>
      <c r="J975">
        <v>13.2</v>
      </c>
      <c r="K975">
        <v>12</v>
      </c>
      <c r="L975" t="s">
        <v>25</v>
      </c>
      <c r="M975">
        <v>36.950000000000003</v>
      </c>
      <c r="N975">
        <v>31477</v>
      </c>
      <c r="O975">
        <v>125088</v>
      </c>
      <c r="P975" t="s">
        <v>637</v>
      </c>
      <c r="Q975" t="s">
        <v>42</v>
      </c>
      <c r="R975" t="s">
        <v>28</v>
      </c>
      <c r="S975" t="s">
        <v>68</v>
      </c>
      <c r="T975">
        <v>2754.44</v>
      </c>
      <c r="U975">
        <f t="shared" si="210"/>
        <v>1027</v>
      </c>
      <c r="V975">
        <f t="shared" si="211"/>
        <v>384</v>
      </c>
      <c r="W975">
        <f t="shared" si="212"/>
        <v>320</v>
      </c>
      <c r="X975">
        <f t="shared" si="213"/>
        <v>0.35149999999999998</v>
      </c>
      <c r="Y975" s="1">
        <f t="shared" si="214"/>
        <v>52942301</v>
      </c>
      <c r="Z975">
        <f t="shared" si="215"/>
        <v>51550.439143135343</v>
      </c>
      <c r="AA975">
        <f t="shared" si="216"/>
        <v>99996</v>
      </c>
      <c r="AB975">
        <f t="shared" si="217"/>
        <v>5091</v>
      </c>
      <c r="AC975">
        <f t="shared" si="218"/>
        <v>1359043.36</v>
      </c>
      <c r="AD975">
        <f t="shared" si="219"/>
        <v>1323.3138851022397</v>
      </c>
      <c r="AE975">
        <f t="shared" si="220"/>
        <v>0.35149999999999998</v>
      </c>
      <c r="AF975">
        <f t="shared" si="221"/>
        <v>711288421.67000115</v>
      </c>
      <c r="AG975" t="str">
        <f t="shared" si="222"/>
        <v>Active</v>
      </c>
      <c r="AH975">
        <f t="shared" si="223"/>
        <v>33053.279999999999</v>
      </c>
    </row>
    <row r="976" spans="1:34" x14ac:dyDescent="0.35">
      <c r="A976" t="s">
        <v>2693</v>
      </c>
      <c r="B976" t="s">
        <v>2694</v>
      </c>
      <c r="C976">
        <v>40</v>
      </c>
      <c r="D976" t="s">
        <v>38</v>
      </c>
      <c r="E976" t="s">
        <v>32</v>
      </c>
      <c r="F976" t="s">
        <v>59</v>
      </c>
      <c r="G976">
        <v>123923</v>
      </c>
      <c r="H976">
        <v>484</v>
      </c>
      <c r="I976">
        <v>31256</v>
      </c>
      <c r="J976">
        <v>8.33</v>
      </c>
      <c r="K976">
        <v>36</v>
      </c>
      <c r="L976" t="s">
        <v>40</v>
      </c>
      <c r="M976">
        <v>14.03</v>
      </c>
      <c r="N976">
        <v>38490</v>
      </c>
      <c r="O976">
        <v>22574</v>
      </c>
      <c r="P976" t="s">
        <v>1414</v>
      </c>
      <c r="Q976" t="s">
        <v>27</v>
      </c>
      <c r="R976" t="s">
        <v>28</v>
      </c>
      <c r="S976" t="s">
        <v>68</v>
      </c>
      <c r="T976">
        <v>940.55</v>
      </c>
      <c r="U976">
        <f t="shared" si="210"/>
        <v>1026</v>
      </c>
      <c r="V976">
        <f t="shared" si="211"/>
        <v>383</v>
      </c>
      <c r="W976">
        <f t="shared" si="212"/>
        <v>320</v>
      </c>
      <c r="X976">
        <f t="shared" si="213"/>
        <v>0.35149999999999998</v>
      </c>
      <c r="Y976" s="1">
        <f t="shared" si="214"/>
        <v>52913102</v>
      </c>
      <c r="Z976">
        <f t="shared" si="215"/>
        <v>51572.224171539958</v>
      </c>
      <c r="AA976">
        <f t="shared" si="216"/>
        <v>99996</v>
      </c>
      <c r="AB976">
        <f t="shared" si="217"/>
        <v>5091</v>
      </c>
      <c r="AC976">
        <f t="shared" si="218"/>
        <v>1356288.9200000002</v>
      </c>
      <c r="AD976">
        <f t="shared" si="219"/>
        <v>1321.9190253411307</v>
      </c>
      <c r="AE976">
        <f t="shared" si="220"/>
        <v>0.35149999999999998</v>
      </c>
      <c r="AF976">
        <f t="shared" si="221"/>
        <v>709929378.31000113</v>
      </c>
      <c r="AG976" t="str">
        <f t="shared" si="222"/>
        <v>Over Paid</v>
      </c>
      <c r="AH976">
        <f t="shared" si="223"/>
        <v>11286.599999999999</v>
      </c>
    </row>
    <row r="977" spans="1:34" x14ac:dyDescent="0.35">
      <c r="A977" t="s">
        <v>2695</v>
      </c>
      <c r="B977" t="s">
        <v>2696</v>
      </c>
      <c r="C977">
        <v>57</v>
      </c>
      <c r="D977" t="s">
        <v>22</v>
      </c>
      <c r="E977" t="s">
        <v>23</v>
      </c>
      <c r="F977" t="s">
        <v>24</v>
      </c>
      <c r="G977">
        <v>141464</v>
      </c>
      <c r="H977">
        <v>449</v>
      </c>
      <c r="I977">
        <v>32457</v>
      </c>
      <c r="J977">
        <v>20.65</v>
      </c>
      <c r="K977">
        <v>24</v>
      </c>
      <c r="L977" t="s">
        <v>33</v>
      </c>
      <c r="M977">
        <v>26.35</v>
      </c>
      <c r="N977">
        <v>37754</v>
      </c>
      <c r="O977">
        <v>138264</v>
      </c>
      <c r="P977" t="s">
        <v>2697</v>
      </c>
      <c r="Q977" t="s">
        <v>61</v>
      </c>
      <c r="R977" t="s">
        <v>48</v>
      </c>
      <c r="S977" t="s">
        <v>68</v>
      </c>
      <c r="T977">
        <v>1631.64</v>
      </c>
      <c r="U977">
        <f t="shared" si="210"/>
        <v>1025</v>
      </c>
      <c r="V977">
        <f t="shared" si="211"/>
        <v>383</v>
      </c>
      <c r="W977">
        <f t="shared" si="212"/>
        <v>320</v>
      </c>
      <c r="X977">
        <f t="shared" si="213"/>
        <v>0.35149999999999998</v>
      </c>
      <c r="Y977" s="1">
        <f t="shared" si="214"/>
        <v>52881846</v>
      </c>
      <c r="Z977">
        <f t="shared" si="215"/>
        <v>51592.044878048779</v>
      </c>
      <c r="AA977">
        <f t="shared" si="216"/>
        <v>99996</v>
      </c>
      <c r="AB977">
        <f t="shared" si="217"/>
        <v>5091</v>
      </c>
      <c r="AC977">
        <f t="shared" si="218"/>
        <v>1355348.3700000003</v>
      </c>
      <c r="AD977">
        <f t="shared" si="219"/>
        <v>1322.2910926829272</v>
      </c>
      <c r="AE977">
        <f t="shared" si="220"/>
        <v>0.35149999999999998</v>
      </c>
      <c r="AF977">
        <f t="shared" si="221"/>
        <v>708573089.3900013</v>
      </c>
      <c r="AG977" t="str">
        <f t="shared" si="222"/>
        <v>Active</v>
      </c>
      <c r="AH977">
        <f t="shared" si="223"/>
        <v>19579.68</v>
      </c>
    </row>
    <row r="978" spans="1:34" x14ac:dyDescent="0.35">
      <c r="A978" t="s">
        <v>2698</v>
      </c>
      <c r="B978" t="s">
        <v>2699</v>
      </c>
      <c r="C978">
        <v>62</v>
      </c>
      <c r="D978" t="s">
        <v>22</v>
      </c>
      <c r="E978" t="s">
        <v>23</v>
      </c>
      <c r="F978" t="s">
        <v>46</v>
      </c>
      <c r="G978">
        <v>138012</v>
      </c>
      <c r="H978">
        <v>696</v>
      </c>
      <c r="I978">
        <v>30738</v>
      </c>
      <c r="J978">
        <v>21.22</v>
      </c>
      <c r="K978">
        <v>180</v>
      </c>
      <c r="L978" t="s">
        <v>25</v>
      </c>
      <c r="M978">
        <v>31.63</v>
      </c>
      <c r="N978">
        <v>48053</v>
      </c>
      <c r="O978">
        <v>166076</v>
      </c>
      <c r="P978" t="s">
        <v>2700</v>
      </c>
      <c r="Q978" t="s">
        <v>42</v>
      </c>
      <c r="R978" t="s">
        <v>48</v>
      </c>
      <c r="S978" t="s">
        <v>68</v>
      </c>
      <c r="T978">
        <v>207</v>
      </c>
      <c r="U978">
        <f t="shared" si="210"/>
        <v>1024</v>
      </c>
      <c r="V978">
        <f t="shared" si="211"/>
        <v>383</v>
      </c>
      <c r="W978">
        <f t="shared" si="212"/>
        <v>319</v>
      </c>
      <c r="X978">
        <f t="shared" si="213"/>
        <v>0.35149999999999998</v>
      </c>
      <c r="Y978" s="1">
        <f t="shared" si="214"/>
        <v>52849389</v>
      </c>
      <c r="Z978">
        <f t="shared" si="215"/>
        <v>51610.7314453125</v>
      </c>
      <c r="AA978">
        <f t="shared" si="216"/>
        <v>99996</v>
      </c>
      <c r="AB978">
        <f t="shared" si="217"/>
        <v>5091</v>
      </c>
      <c r="AC978">
        <f t="shared" si="218"/>
        <v>1353716.7300000004</v>
      </c>
      <c r="AD978">
        <f t="shared" si="219"/>
        <v>1321.9889941406254</v>
      </c>
      <c r="AE978">
        <f t="shared" si="220"/>
        <v>0.35149999999999998</v>
      </c>
      <c r="AF978">
        <f t="shared" si="221"/>
        <v>707217741.02000129</v>
      </c>
      <c r="AG978" t="str">
        <f t="shared" si="222"/>
        <v>Active</v>
      </c>
      <c r="AH978">
        <f t="shared" si="223"/>
        <v>2484</v>
      </c>
    </row>
    <row r="979" spans="1:34" x14ac:dyDescent="0.35">
      <c r="A979" t="s">
        <v>2701</v>
      </c>
      <c r="B979" t="s">
        <v>2702</v>
      </c>
      <c r="C979">
        <v>57</v>
      </c>
      <c r="D979" t="s">
        <v>38</v>
      </c>
      <c r="E979" t="s">
        <v>39</v>
      </c>
      <c r="F979" t="s">
        <v>59</v>
      </c>
      <c r="G979">
        <v>169489</v>
      </c>
      <c r="H979">
        <v>341</v>
      </c>
      <c r="I979">
        <v>62684</v>
      </c>
      <c r="J979">
        <v>13.85</v>
      </c>
      <c r="K979">
        <v>24</v>
      </c>
      <c r="L979" t="s">
        <v>52</v>
      </c>
      <c r="M979">
        <v>48.09</v>
      </c>
      <c r="N979">
        <v>16528</v>
      </c>
      <c r="O979">
        <v>203208</v>
      </c>
      <c r="P979" t="s">
        <v>1179</v>
      </c>
      <c r="Q979" t="s">
        <v>27</v>
      </c>
      <c r="R979" t="s">
        <v>28</v>
      </c>
      <c r="S979" t="s">
        <v>29</v>
      </c>
      <c r="T979">
        <v>2973.57</v>
      </c>
      <c r="U979">
        <f t="shared" si="210"/>
        <v>1023</v>
      </c>
      <c r="V979">
        <f t="shared" si="211"/>
        <v>382</v>
      </c>
      <c r="W979">
        <f t="shared" si="212"/>
        <v>319</v>
      </c>
      <c r="X979">
        <f t="shared" si="213"/>
        <v>0.35149999999999998</v>
      </c>
      <c r="Y979" s="1">
        <f t="shared" si="214"/>
        <v>52818651</v>
      </c>
      <c r="Z979">
        <f t="shared" si="215"/>
        <v>51631.134897360702</v>
      </c>
      <c r="AA979">
        <f t="shared" si="216"/>
        <v>99996</v>
      </c>
      <c r="AB979">
        <f t="shared" si="217"/>
        <v>5091</v>
      </c>
      <c r="AC979">
        <f t="shared" si="218"/>
        <v>1353509.7300000002</v>
      </c>
      <c r="AD979">
        <f t="shared" si="219"/>
        <v>1323.0789149560119</v>
      </c>
      <c r="AE979">
        <f t="shared" si="220"/>
        <v>0.35149999999999998</v>
      </c>
      <c r="AF979">
        <f t="shared" si="221"/>
        <v>705864024.29000127</v>
      </c>
      <c r="AG979" t="str">
        <f t="shared" si="222"/>
        <v>Active</v>
      </c>
      <c r="AH979">
        <f t="shared" si="223"/>
        <v>35682.840000000004</v>
      </c>
    </row>
    <row r="980" spans="1:34" x14ac:dyDescent="0.35">
      <c r="A980" t="s">
        <v>2703</v>
      </c>
      <c r="B980" t="s">
        <v>2704</v>
      </c>
      <c r="C980">
        <v>31</v>
      </c>
      <c r="D980" t="s">
        <v>38</v>
      </c>
      <c r="E980" t="s">
        <v>39</v>
      </c>
      <c r="F980" t="s">
        <v>59</v>
      </c>
      <c r="G980">
        <v>193695</v>
      </c>
      <c r="H980">
        <v>545</v>
      </c>
      <c r="I980">
        <v>7197</v>
      </c>
      <c r="J980">
        <v>19.91</v>
      </c>
      <c r="K980">
        <v>24</v>
      </c>
      <c r="L980" t="s">
        <v>52</v>
      </c>
      <c r="M980">
        <v>47.17</v>
      </c>
      <c r="N980">
        <v>384</v>
      </c>
      <c r="O980">
        <v>177132</v>
      </c>
      <c r="P980" t="s">
        <v>2705</v>
      </c>
      <c r="Q980" t="s">
        <v>27</v>
      </c>
      <c r="R980" t="s">
        <v>48</v>
      </c>
      <c r="S980" t="s">
        <v>49</v>
      </c>
      <c r="T980">
        <v>359.58</v>
      </c>
      <c r="U980">
        <f t="shared" si="210"/>
        <v>1022</v>
      </c>
      <c r="V980">
        <f t="shared" si="211"/>
        <v>382</v>
      </c>
      <c r="W980">
        <f t="shared" si="212"/>
        <v>319</v>
      </c>
      <c r="X980">
        <f t="shared" si="213"/>
        <v>0.35149999999999998</v>
      </c>
      <c r="Y980" s="1">
        <f t="shared" si="214"/>
        <v>52755967</v>
      </c>
      <c r="Z980">
        <f t="shared" si="215"/>
        <v>51620.319960861059</v>
      </c>
      <c r="AA980">
        <f t="shared" si="216"/>
        <v>99996</v>
      </c>
      <c r="AB980">
        <f t="shared" si="217"/>
        <v>5091</v>
      </c>
      <c r="AC980">
        <f t="shared" si="218"/>
        <v>1350536.1600000004</v>
      </c>
      <c r="AD980">
        <f t="shared" si="219"/>
        <v>1321.4639530332686</v>
      </c>
      <c r="AE980">
        <f t="shared" si="220"/>
        <v>0.35149999999999998</v>
      </c>
      <c r="AF980">
        <f t="shared" si="221"/>
        <v>704510514.56000149</v>
      </c>
      <c r="AG980" t="str">
        <f t="shared" si="222"/>
        <v>Active</v>
      </c>
      <c r="AH980">
        <f t="shared" si="223"/>
        <v>4314.96</v>
      </c>
    </row>
    <row r="981" spans="1:34" x14ac:dyDescent="0.35">
      <c r="A981" t="s">
        <v>2706</v>
      </c>
      <c r="B981" t="s">
        <v>2707</v>
      </c>
      <c r="C981">
        <v>65</v>
      </c>
      <c r="D981" t="s">
        <v>22</v>
      </c>
      <c r="E981" t="s">
        <v>39</v>
      </c>
      <c r="F981" t="s">
        <v>59</v>
      </c>
      <c r="G981">
        <v>58886</v>
      </c>
      <c r="H981">
        <v>603</v>
      </c>
      <c r="I981">
        <v>85262</v>
      </c>
      <c r="J981">
        <v>9.07</v>
      </c>
      <c r="K981">
        <v>36</v>
      </c>
      <c r="L981" t="s">
        <v>52</v>
      </c>
      <c r="M981">
        <v>27.7</v>
      </c>
      <c r="N981">
        <v>22840</v>
      </c>
      <c r="O981">
        <v>61202</v>
      </c>
      <c r="P981" t="s">
        <v>352</v>
      </c>
      <c r="Q981" t="s">
        <v>42</v>
      </c>
      <c r="R981" t="s">
        <v>48</v>
      </c>
      <c r="S981" t="s">
        <v>68</v>
      </c>
      <c r="T981">
        <v>2583.1999999999998</v>
      </c>
      <c r="U981">
        <f t="shared" si="210"/>
        <v>1021</v>
      </c>
      <c r="V981">
        <f t="shared" si="211"/>
        <v>382</v>
      </c>
      <c r="W981">
        <f t="shared" si="212"/>
        <v>319</v>
      </c>
      <c r="X981">
        <f t="shared" si="213"/>
        <v>0.35149999999999998</v>
      </c>
      <c r="Y981" s="1">
        <f t="shared" si="214"/>
        <v>52748770</v>
      </c>
      <c r="Z981">
        <f t="shared" si="215"/>
        <v>51663.82957884427</v>
      </c>
      <c r="AA981">
        <f t="shared" si="216"/>
        <v>99996</v>
      </c>
      <c r="AB981">
        <f t="shared" si="217"/>
        <v>5091</v>
      </c>
      <c r="AC981">
        <f t="shared" si="218"/>
        <v>1350176.58</v>
      </c>
      <c r="AD981">
        <f t="shared" si="219"/>
        <v>1322.4060528893242</v>
      </c>
      <c r="AE981">
        <f t="shared" si="220"/>
        <v>0.35149999999999998</v>
      </c>
      <c r="AF981">
        <f t="shared" si="221"/>
        <v>703159978.40000141</v>
      </c>
      <c r="AG981" t="str">
        <f t="shared" si="222"/>
        <v>Active</v>
      </c>
      <c r="AH981">
        <f t="shared" si="223"/>
        <v>30998.399999999998</v>
      </c>
    </row>
    <row r="982" spans="1:34" x14ac:dyDescent="0.35">
      <c r="A982" t="s">
        <v>2708</v>
      </c>
      <c r="B982" t="s">
        <v>2709</v>
      </c>
      <c r="C982">
        <v>21</v>
      </c>
      <c r="D982" t="s">
        <v>22</v>
      </c>
      <c r="E982" t="s">
        <v>39</v>
      </c>
      <c r="F982" t="s">
        <v>59</v>
      </c>
      <c r="G982">
        <v>106834</v>
      </c>
      <c r="H982">
        <v>338</v>
      </c>
      <c r="I982">
        <v>98527</v>
      </c>
      <c r="J982">
        <v>9.5399999999999991</v>
      </c>
      <c r="K982">
        <v>360</v>
      </c>
      <c r="L982" t="s">
        <v>52</v>
      </c>
      <c r="M982">
        <v>44.19</v>
      </c>
      <c r="N982">
        <v>47245</v>
      </c>
      <c r="O982">
        <v>157608</v>
      </c>
      <c r="P982" t="s">
        <v>2710</v>
      </c>
      <c r="Q982" t="s">
        <v>42</v>
      </c>
      <c r="R982" t="s">
        <v>48</v>
      </c>
      <c r="S982" t="s">
        <v>29</v>
      </c>
      <c r="T982">
        <v>299.8</v>
      </c>
      <c r="U982">
        <f t="shared" si="210"/>
        <v>1020</v>
      </c>
      <c r="V982">
        <f t="shared" si="211"/>
        <v>381</v>
      </c>
      <c r="W982">
        <f t="shared" si="212"/>
        <v>319</v>
      </c>
      <c r="X982">
        <f t="shared" si="213"/>
        <v>0.35149999999999998</v>
      </c>
      <c r="Y982" s="1">
        <f t="shared" si="214"/>
        <v>52663508</v>
      </c>
      <c r="Z982">
        <f t="shared" si="215"/>
        <v>51630.890196078428</v>
      </c>
      <c r="AA982">
        <f t="shared" si="216"/>
        <v>99996</v>
      </c>
      <c r="AB982">
        <f t="shared" si="217"/>
        <v>5091</v>
      </c>
      <c r="AC982">
        <f t="shared" si="218"/>
        <v>1347593.3800000001</v>
      </c>
      <c r="AD982">
        <f t="shared" si="219"/>
        <v>1321.169980392157</v>
      </c>
      <c r="AE982">
        <f t="shared" si="220"/>
        <v>0.35149999999999998</v>
      </c>
      <c r="AF982">
        <f t="shared" si="221"/>
        <v>701809801.82000136</v>
      </c>
      <c r="AG982" t="str">
        <f t="shared" si="222"/>
        <v>Active</v>
      </c>
      <c r="AH982">
        <f t="shared" si="223"/>
        <v>3597.6000000000004</v>
      </c>
    </row>
    <row r="983" spans="1:34" x14ac:dyDescent="0.35">
      <c r="A983" t="s">
        <v>2711</v>
      </c>
      <c r="B983" t="s">
        <v>2712</v>
      </c>
      <c r="C983">
        <v>55</v>
      </c>
      <c r="D983" t="s">
        <v>22</v>
      </c>
      <c r="E983" t="s">
        <v>32</v>
      </c>
      <c r="F983" t="s">
        <v>46</v>
      </c>
      <c r="G983">
        <v>143034</v>
      </c>
      <c r="H983">
        <v>438</v>
      </c>
      <c r="I983">
        <v>12224</v>
      </c>
      <c r="J983">
        <v>8.51</v>
      </c>
      <c r="K983">
        <v>24</v>
      </c>
      <c r="L983" t="s">
        <v>86</v>
      </c>
      <c r="M983">
        <v>42.52</v>
      </c>
      <c r="N983">
        <v>27683</v>
      </c>
      <c r="O983">
        <v>138236</v>
      </c>
      <c r="P983" t="s">
        <v>2713</v>
      </c>
      <c r="Q983" t="s">
        <v>42</v>
      </c>
      <c r="R983" t="s">
        <v>48</v>
      </c>
      <c r="S983" t="s">
        <v>29</v>
      </c>
      <c r="T983">
        <v>552.67999999999995</v>
      </c>
      <c r="U983">
        <f t="shared" si="210"/>
        <v>1019</v>
      </c>
      <c r="V983">
        <f t="shared" si="211"/>
        <v>380</v>
      </c>
      <c r="W983">
        <f t="shared" si="212"/>
        <v>319</v>
      </c>
      <c r="X983">
        <f t="shared" si="213"/>
        <v>0.35149999999999998</v>
      </c>
      <c r="Y983" s="1">
        <f t="shared" si="214"/>
        <v>52564981</v>
      </c>
      <c r="Z983">
        <f t="shared" si="215"/>
        <v>51584.868498527969</v>
      </c>
      <c r="AA983">
        <f t="shared" si="216"/>
        <v>99996</v>
      </c>
      <c r="AB983">
        <f t="shared" si="217"/>
        <v>5091</v>
      </c>
      <c r="AC983">
        <f t="shared" si="218"/>
        <v>1347293.5800000003</v>
      </c>
      <c r="AD983">
        <f t="shared" si="219"/>
        <v>1322.1723061825321</v>
      </c>
      <c r="AE983">
        <f t="shared" si="220"/>
        <v>0.35149999999999998</v>
      </c>
      <c r="AF983">
        <f t="shared" si="221"/>
        <v>700462208.44000137</v>
      </c>
      <c r="AG983" t="str">
        <f t="shared" si="222"/>
        <v>Active</v>
      </c>
      <c r="AH983">
        <f t="shared" si="223"/>
        <v>6632.16</v>
      </c>
    </row>
    <row r="984" spans="1:34" x14ac:dyDescent="0.35">
      <c r="A984" t="s">
        <v>2714</v>
      </c>
      <c r="B984" t="s">
        <v>2715</v>
      </c>
      <c r="C984">
        <v>51</v>
      </c>
      <c r="D984" t="s">
        <v>38</v>
      </c>
      <c r="E984" t="s">
        <v>32</v>
      </c>
      <c r="F984" t="s">
        <v>59</v>
      </c>
      <c r="G984">
        <v>99969</v>
      </c>
      <c r="H984">
        <v>495</v>
      </c>
      <c r="I984">
        <v>31153</v>
      </c>
      <c r="J984">
        <v>7.14</v>
      </c>
      <c r="K984">
        <v>60</v>
      </c>
      <c r="L984" t="s">
        <v>33</v>
      </c>
      <c r="M984">
        <v>39.57</v>
      </c>
      <c r="N984">
        <v>49666</v>
      </c>
      <c r="O984">
        <v>1467</v>
      </c>
      <c r="P984" t="s">
        <v>2716</v>
      </c>
      <c r="Q984" t="s">
        <v>61</v>
      </c>
      <c r="R984" t="s">
        <v>48</v>
      </c>
      <c r="S984" t="s">
        <v>49</v>
      </c>
      <c r="T984">
        <v>556.29</v>
      </c>
      <c r="U984">
        <f t="shared" si="210"/>
        <v>1018</v>
      </c>
      <c r="V984">
        <f t="shared" si="211"/>
        <v>379</v>
      </c>
      <c r="W984">
        <f t="shared" si="212"/>
        <v>319</v>
      </c>
      <c r="X984">
        <f t="shared" si="213"/>
        <v>0.35149999999999998</v>
      </c>
      <c r="Y984" s="1">
        <f t="shared" si="214"/>
        <v>52552757</v>
      </c>
      <c r="Z984">
        <f t="shared" si="215"/>
        <v>51623.533398821215</v>
      </c>
      <c r="AA984">
        <f t="shared" si="216"/>
        <v>99996</v>
      </c>
      <c r="AB984">
        <f t="shared" si="217"/>
        <v>5091</v>
      </c>
      <c r="AC984">
        <f t="shared" si="218"/>
        <v>1346740.9000000004</v>
      </c>
      <c r="AD984">
        <f t="shared" si="219"/>
        <v>1322.9281925343814</v>
      </c>
      <c r="AE984">
        <f t="shared" si="220"/>
        <v>0.35149999999999998</v>
      </c>
      <c r="AF984">
        <f t="shared" si="221"/>
        <v>699114914.86000144</v>
      </c>
      <c r="AG984" t="str">
        <f t="shared" si="222"/>
        <v>Active</v>
      </c>
      <c r="AH984">
        <f t="shared" si="223"/>
        <v>6675.48</v>
      </c>
    </row>
    <row r="985" spans="1:34" x14ac:dyDescent="0.35">
      <c r="A985" t="s">
        <v>2717</v>
      </c>
      <c r="B985" t="s">
        <v>2718</v>
      </c>
      <c r="C985">
        <v>54</v>
      </c>
      <c r="D985" t="s">
        <v>38</v>
      </c>
      <c r="E985" t="s">
        <v>23</v>
      </c>
      <c r="F985" t="s">
        <v>46</v>
      </c>
      <c r="G985">
        <v>155921</v>
      </c>
      <c r="H985">
        <v>330</v>
      </c>
      <c r="I985">
        <v>46244</v>
      </c>
      <c r="J985">
        <v>11.02</v>
      </c>
      <c r="K985">
        <v>48</v>
      </c>
      <c r="L985" t="s">
        <v>86</v>
      </c>
      <c r="M985">
        <v>17.89</v>
      </c>
      <c r="N985">
        <v>12219</v>
      </c>
      <c r="O985">
        <v>25795</v>
      </c>
      <c r="P985" t="s">
        <v>1344</v>
      </c>
      <c r="Q985" t="s">
        <v>42</v>
      </c>
      <c r="R985" t="s">
        <v>48</v>
      </c>
      <c r="S985" t="s">
        <v>49</v>
      </c>
      <c r="T985">
        <v>1069.5899999999999</v>
      </c>
      <c r="U985">
        <f t="shared" si="210"/>
        <v>1017</v>
      </c>
      <c r="V985">
        <f t="shared" si="211"/>
        <v>379</v>
      </c>
      <c r="W985">
        <f t="shared" si="212"/>
        <v>318</v>
      </c>
      <c r="X985">
        <f t="shared" si="213"/>
        <v>0.35149999999999998</v>
      </c>
      <c r="Y985" s="1">
        <f t="shared" si="214"/>
        <v>52521604</v>
      </c>
      <c r="Z985">
        <f t="shared" si="215"/>
        <v>51643.661750245818</v>
      </c>
      <c r="AA985">
        <f t="shared" si="216"/>
        <v>99996</v>
      </c>
      <c r="AB985">
        <f t="shared" si="217"/>
        <v>5091</v>
      </c>
      <c r="AC985">
        <f t="shared" si="218"/>
        <v>1346184.6100000003</v>
      </c>
      <c r="AD985">
        <f t="shared" si="219"/>
        <v>1323.6820157325471</v>
      </c>
      <c r="AE985">
        <f t="shared" si="220"/>
        <v>0.35149999999999998</v>
      </c>
      <c r="AF985">
        <f t="shared" si="221"/>
        <v>697768173.96000147</v>
      </c>
      <c r="AG985" t="str">
        <f t="shared" si="222"/>
        <v>Active</v>
      </c>
      <c r="AH985">
        <f t="shared" si="223"/>
        <v>12835.079999999998</v>
      </c>
    </row>
    <row r="986" spans="1:34" x14ac:dyDescent="0.35">
      <c r="A986" t="s">
        <v>2719</v>
      </c>
      <c r="B986" t="s">
        <v>2720</v>
      </c>
      <c r="C986">
        <v>49</v>
      </c>
      <c r="D986" t="s">
        <v>22</v>
      </c>
      <c r="E986" t="s">
        <v>23</v>
      </c>
      <c r="F986" t="s">
        <v>24</v>
      </c>
      <c r="G986">
        <v>27451</v>
      </c>
      <c r="H986">
        <v>810</v>
      </c>
      <c r="I986">
        <v>66829</v>
      </c>
      <c r="J986">
        <v>18.22</v>
      </c>
      <c r="K986">
        <v>24</v>
      </c>
      <c r="L986" t="s">
        <v>52</v>
      </c>
      <c r="M986">
        <v>50.38</v>
      </c>
      <c r="N986">
        <v>55273</v>
      </c>
      <c r="O986">
        <v>161631</v>
      </c>
      <c r="P986" t="s">
        <v>985</v>
      </c>
      <c r="Q986" t="s">
        <v>61</v>
      </c>
      <c r="R986" t="s">
        <v>48</v>
      </c>
      <c r="S986" t="s">
        <v>49</v>
      </c>
      <c r="T986">
        <v>3291.89</v>
      </c>
      <c r="U986">
        <f t="shared" si="210"/>
        <v>1016</v>
      </c>
      <c r="V986">
        <f t="shared" si="211"/>
        <v>378</v>
      </c>
      <c r="W986">
        <f t="shared" si="212"/>
        <v>318</v>
      </c>
      <c r="X986">
        <f t="shared" si="213"/>
        <v>0.35149999999999998</v>
      </c>
      <c r="Y986" s="1">
        <f t="shared" si="214"/>
        <v>52475360</v>
      </c>
      <c r="Z986">
        <f t="shared" si="215"/>
        <v>51648.976377952757</v>
      </c>
      <c r="AA986">
        <f t="shared" si="216"/>
        <v>99996</v>
      </c>
      <c r="AB986">
        <f t="shared" si="217"/>
        <v>5091</v>
      </c>
      <c r="AC986">
        <f t="shared" si="218"/>
        <v>1345115.0200000003</v>
      </c>
      <c r="AD986">
        <f t="shared" si="219"/>
        <v>1323.9321062992128</v>
      </c>
      <c r="AE986">
        <f t="shared" si="220"/>
        <v>0.35149999999999998</v>
      </c>
      <c r="AF986">
        <f t="shared" si="221"/>
        <v>696421989.35000134</v>
      </c>
      <c r="AG986" t="str">
        <f t="shared" si="222"/>
        <v>Active</v>
      </c>
      <c r="AH986">
        <f t="shared" si="223"/>
        <v>39502.68</v>
      </c>
    </row>
    <row r="987" spans="1:34" x14ac:dyDescent="0.35">
      <c r="A987" t="s">
        <v>2721</v>
      </c>
      <c r="B987" t="s">
        <v>2722</v>
      </c>
      <c r="C987">
        <v>42</v>
      </c>
      <c r="D987" t="s">
        <v>38</v>
      </c>
      <c r="E987" t="s">
        <v>23</v>
      </c>
      <c r="F987" t="s">
        <v>46</v>
      </c>
      <c r="G987">
        <v>106452</v>
      </c>
      <c r="H987">
        <v>421</v>
      </c>
      <c r="I987">
        <v>82218</v>
      </c>
      <c r="J987">
        <v>16.260000000000002</v>
      </c>
      <c r="K987">
        <v>60</v>
      </c>
      <c r="L987" t="s">
        <v>86</v>
      </c>
      <c r="M987">
        <v>42.56</v>
      </c>
      <c r="N987">
        <v>57288</v>
      </c>
      <c r="O987">
        <v>234560</v>
      </c>
      <c r="P987" t="s">
        <v>2531</v>
      </c>
      <c r="Q987" t="s">
        <v>42</v>
      </c>
      <c r="R987" t="s">
        <v>28</v>
      </c>
      <c r="S987" t="s">
        <v>35</v>
      </c>
      <c r="T987">
        <v>1593.11</v>
      </c>
      <c r="U987">
        <f t="shared" si="210"/>
        <v>1015</v>
      </c>
      <c r="V987">
        <f t="shared" si="211"/>
        <v>378</v>
      </c>
      <c r="W987">
        <f t="shared" si="212"/>
        <v>317</v>
      </c>
      <c r="X987">
        <f t="shared" si="213"/>
        <v>0.35149999999999998</v>
      </c>
      <c r="Y987" s="1">
        <f t="shared" si="214"/>
        <v>52408531</v>
      </c>
      <c r="Z987">
        <f t="shared" si="215"/>
        <v>51634.020689655175</v>
      </c>
      <c r="AA987">
        <f t="shared" si="216"/>
        <v>99996</v>
      </c>
      <c r="AB987">
        <f t="shared" si="217"/>
        <v>5091</v>
      </c>
      <c r="AC987">
        <f t="shared" si="218"/>
        <v>1341823.1300000001</v>
      </c>
      <c r="AD987">
        <f t="shared" si="219"/>
        <v>1321.9932315270937</v>
      </c>
      <c r="AE987">
        <f t="shared" si="220"/>
        <v>0.35149999999999998</v>
      </c>
      <c r="AF987">
        <f t="shared" si="221"/>
        <v>695076874.33000135</v>
      </c>
      <c r="AG987" t="str">
        <f t="shared" si="222"/>
        <v>Active</v>
      </c>
      <c r="AH987">
        <f t="shared" si="223"/>
        <v>19117.32</v>
      </c>
    </row>
    <row r="988" spans="1:34" x14ac:dyDescent="0.35">
      <c r="A988" t="s">
        <v>2723</v>
      </c>
      <c r="B988" t="s">
        <v>2724</v>
      </c>
      <c r="C988">
        <v>61</v>
      </c>
      <c r="D988" t="s">
        <v>38</v>
      </c>
      <c r="E988" t="s">
        <v>39</v>
      </c>
      <c r="F988" t="s">
        <v>59</v>
      </c>
      <c r="G988">
        <v>45258</v>
      </c>
      <c r="H988">
        <v>832</v>
      </c>
      <c r="I988">
        <v>57373</v>
      </c>
      <c r="J988">
        <v>14.35</v>
      </c>
      <c r="K988">
        <v>120</v>
      </c>
      <c r="L988" t="s">
        <v>33</v>
      </c>
      <c r="M988">
        <v>19.510000000000002</v>
      </c>
      <c r="N988">
        <v>60312</v>
      </c>
      <c r="O988">
        <v>218667</v>
      </c>
      <c r="P988" t="s">
        <v>2725</v>
      </c>
      <c r="Q988" t="s">
        <v>27</v>
      </c>
      <c r="R988" t="s">
        <v>28</v>
      </c>
      <c r="S988" t="s">
        <v>35</v>
      </c>
      <c r="T988">
        <v>546.72</v>
      </c>
      <c r="U988">
        <f t="shared" si="210"/>
        <v>1014</v>
      </c>
      <c r="V988">
        <f t="shared" si="211"/>
        <v>377</v>
      </c>
      <c r="W988">
        <f t="shared" si="212"/>
        <v>317</v>
      </c>
      <c r="X988">
        <f t="shared" si="213"/>
        <v>0.35149999999999998</v>
      </c>
      <c r="Y988" s="1">
        <f t="shared" si="214"/>
        <v>52326313</v>
      </c>
      <c r="Z988">
        <f t="shared" si="215"/>
        <v>51603.858974358976</v>
      </c>
      <c r="AA988">
        <f t="shared" si="216"/>
        <v>99996</v>
      </c>
      <c r="AB988">
        <f t="shared" si="217"/>
        <v>5091</v>
      </c>
      <c r="AC988">
        <f t="shared" si="218"/>
        <v>1340230.02</v>
      </c>
      <c r="AD988">
        <f t="shared" si="219"/>
        <v>1321.7258579881657</v>
      </c>
      <c r="AE988">
        <f t="shared" si="220"/>
        <v>0.35149999999999998</v>
      </c>
      <c r="AF988">
        <f t="shared" si="221"/>
        <v>693735051.20000136</v>
      </c>
      <c r="AG988" t="str">
        <f t="shared" si="222"/>
        <v>Active</v>
      </c>
      <c r="AH988">
        <f t="shared" si="223"/>
        <v>6560.64</v>
      </c>
    </row>
    <row r="989" spans="1:34" x14ac:dyDescent="0.35">
      <c r="A989" t="s">
        <v>2726</v>
      </c>
      <c r="B989" t="s">
        <v>2727</v>
      </c>
      <c r="C989">
        <v>59</v>
      </c>
      <c r="D989" t="s">
        <v>38</v>
      </c>
      <c r="E989" t="s">
        <v>39</v>
      </c>
      <c r="F989" t="s">
        <v>46</v>
      </c>
      <c r="G989">
        <v>87767</v>
      </c>
      <c r="H989">
        <v>430</v>
      </c>
      <c r="I989">
        <v>18350</v>
      </c>
      <c r="J989">
        <v>8.07</v>
      </c>
      <c r="K989">
        <v>12</v>
      </c>
      <c r="L989" t="s">
        <v>86</v>
      </c>
      <c r="M989">
        <v>33.29</v>
      </c>
      <c r="N989">
        <v>44299</v>
      </c>
      <c r="O989">
        <v>103534</v>
      </c>
      <c r="P989" t="s">
        <v>1543</v>
      </c>
      <c r="Q989" t="s">
        <v>61</v>
      </c>
      <c r="R989" t="s">
        <v>28</v>
      </c>
      <c r="S989" t="s">
        <v>43</v>
      </c>
      <c r="T989">
        <v>1652.57</v>
      </c>
      <c r="U989">
        <f t="shared" si="210"/>
        <v>1013</v>
      </c>
      <c r="V989">
        <f t="shared" si="211"/>
        <v>377</v>
      </c>
      <c r="W989">
        <f t="shared" si="212"/>
        <v>317</v>
      </c>
      <c r="X989">
        <f t="shared" si="213"/>
        <v>0.35149999999999998</v>
      </c>
      <c r="Y989" s="1">
        <f t="shared" si="214"/>
        <v>52268940</v>
      </c>
      <c r="Z989">
        <f t="shared" si="215"/>
        <v>51598.163869693977</v>
      </c>
      <c r="AA989">
        <f t="shared" si="216"/>
        <v>99996</v>
      </c>
      <c r="AB989">
        <f t="shared" si="217"/>
        <v>5091</v>
      </c>
      <c r="AC989">
        <f t="shared" si="218"/>
        <v>1339683.3</v>
      </c>
      <c r="AD989">
        <f t="shared" si="219"/>
        <v>1322.490918065153</v>
      </c>
      <c r="AE989">
        <f t="shared" si="220"/>
        <v>0.35149999999999998</v>
      </c>
      <c r="AF989">
        <f t="shared" si="221"/>
        <v>692394821.18000138</v>
      </c>
      <c r="AG989" t="str">
        <f t="shared" si="222"/>
        <v>Active</v>
      </c>
      <c r="AH989">
        <f t="shared" si="223"/>
        <v>19830.84</v>
      </c>
    </row>
    <row r="990" spans="1:34" x14ac:dyDescent="0.35">
      <c r="A990" t="s">
        <v>2728</v>
      </c>
      <c r="B990" t="s">
        <v>2729</v>
      </c>
      <c r="C990">
        <v>33</v>
      </c>
      <c r="D990" t="s">
        <v>22</v>
      </c>
      <c r="E990" t="s">
        <v>39</v>
      </c>
      <c r="F990" t="s">
        <v>24</v>
      </c>
      <c r="G990">
        <v>129090</v>
      </c>
      <c r="H990">
        <v>562</v>
      </c>
      <c r="I990">
        <v>37955</v>
      </c>
      <c r="J990">
        <v>14.16</v>
      </c>
      <c r="K990">
        <v>48</v>
      </c>
      <c r="L990" t="s">
        <v>33</v>
      </c>
      <c r="M990">
        <v>50.06</v>
      </c>
      <c r="N990">
        <v>50098</v>
      </c>
      <c r="O990">
        <v>242652</v>
      </c>
      <c r="P990" t="s">
        <v>1955</v>
      </c>
      <c r="Q990" t="s">
        <v>61</v>
      </c>
      <c r="R990" t="s">
        <v>48</v>
      </c>
      <c r="S990" t="s">
        <v>29</v>
      </c>
      <c r="T990">
        <v>902.7</v>
      </c>
      <c r="U990">
        <f t="shared" si="210"/>
        <v>1012</v>
      </c>
      <c r="V990">
        <f t="shared" si="211"/>
        <v>377</v>
      </c>
      <c r="W990">
        <f t="shared" si="212"/>
        <v>316</v>
      </c>
      <c r="X990">
        <f t="shared" si="213"/>
        <v>0.35149999999999998</v>
      </c>
      <c r="Y990" s="1">
        <f t="shared" si="214"/>
        <v>52250590</v>
      </c>
      <c r="Z990">
        <f t="shared" si="215"/>
        <v>51631.017786561264</v>
      </c>
      <c r="AA990">
        <f t="shared" si="216"/>
        <v>99996</v>
      </c>
      <c r="AB990">
        <f t="shared" si="217"/>
        <v>5091</v>
      </c>
      <c r="AC990">
        <f t="shared" si="218"/>
        <v>1338030.73</v>
      </c>
      <c r="AD990">
        <f t="shared" si="219"/>
        <v>1322.164752964427</v>
      </c>
      <c r="AE990">
        <f t="shared" si="220"/>
        <v>0.35149999999999998</v>
      </c>
      <c r="AF990">
        <f t="shared" si="221"/>
        <v>691055137.88000143</v>
      </c>
      <c r="AG990" t="str">
        <f t="shared" si="222"/>
        <v>Over Paid</v>
      </c>
      <c r="AH990">
        <f t="shared" si="223"/>
        <v>10832.400000000001</v>
      </c>
    </row>
    <row r="991" spans="1:34" x14ac:dyDescent="0.35">
      <c r="A991" t="s">
        <v>2730</v>
      </c>
      <c r="B991" t="s">
        <v>2731</v>
      </c>
      <c r="C991">
        <v>53</v>
      </c>
      <c r="D991" t="s">
        <v>38</v>
      </c>
      <c r="E991" t="s">
        <v>23</v>
      </c>
      <c r="F991" t="s">
        <v>59</v>
      </c>
      <c r="G991">
        <v>89038</v>
      </c>
      <c r="H991">
        <v>589</v>
      </c>
      <c r="I991">
        <v>20704</v>
      </c>
      <c r="J991">
        <v>19.55</v>
      </c>
      <c r="K991">
        <v>12</v>
      </c>
      <c r="L991" t="s">
        <v>52</v>
      </c>
      <c r="M991">
        <v>42.35</v>
      </c>
      <c r="N991">
        <v>42705</v>
      </c>
      <c r="O991">
        <v>120571</v>
      </c>
      <c r="P991" t="s">
        <v>2732</v>
      </c>
      <c r="Q991" t="s">
        <v>42</v>
      </c>
      <c r="R991" t="s">
        <v>28</v>
      </c>
      <c r="S991" t="s">
        <v>35</v>
      </c>
      <c r="T991">
        <v>2062.64</v>
      </c>
      <c r="U991">
        <f t="shared" si="210"/>
        <v>1011</v>
      </c>
      <c r="V991">
        <f t="shared" si="211"/>
        <v>377</v>
      </c>
      <c r="W991">
        <f t="shared" si="212"/>
        <v>315</v>
      </c>
      <c r="X991">
        <f t="shared" si="213"/>
        <v>0.35149999999999998</v>
      </c>
      <c r="Y991" s="1">
        <f t="shared" si="214"/>
        <v>52212635</v>
      </c>
      <c r="Z991">
        <f t="shared" si="215"/>
        <v>51644.545004945598</v>
      </c>
      <c r="AA991">
        <f t="shared" si="216"/>
        <v>99996</v>
      </c>
      <c r="AB991">
        <f t="shared" si="217"/>
        <v>5091</v>
      </c>
      <c r="AC991">
        <f t="shared" si="218"/>
        <v>1337128.03</v>
      </c>
      <c r="AD991">
        <f t="shared" si="219"/>
        <v>1322.5796538081108</v>
      </c>
      <c r="AE991">
        <f t="shared" si="220"/>
        <v>0.35149999999999998</v>
      </c>
      <c r="AF991">
        <f t="shared" si="221"/>
        <v>689717107.15000141</v>
      </c>
      <c r="AG991" t="str">
        <f t="shared" si="222"/>
        <v>Active</v>
      </c>
      <c r="AH991">
        <f t="shared" si="223"/>
        <v>24751.68</v>
      </c>
    </row>
    <row r="992" spans="1:34" x14ac:dyDescent="0.35">
      <c r="A992" t="s">
        <v>2733</v>
      </c>
      <c r="B992" t="s">
        <v>2734</v>
      </c>
      <c r="C992">
        <v>56</v>
      </c>
      <c r="D992" t="s">
        <v>22</v>
      </c>
      <c r="E992" t="s">
        <v>32</v>
      </c>
      <c r="F992" t="s">
        <v>24</v>
      </c>
      <c r="G992">
        <v>190684</v>
      </c>
      <c r="H992">
        <v>370</v>
      </c>
      <c r="I992">
        <v>63669</v>
      </c>
      <c r="J992">
        <v>3.89</v>
      </c>
      <c r="K992">
        <v>240</v>
      </c>
      <c r="L992" t="s">
        <v>33</v>
      </c>
      <c r="M992">
        <v>46.57</v>
      </c>
      <c r="N992">
        <v>11382</v>
      </c>
      <c r="O992">
        <v>56963</v>
      </c>
      <c r="P992" t="s">
        <v>2735</v>
      </c>
      <c r="Q992" t="s">
        <v>61</v>
      </c>
      <c r="R992" t="s">
        <v>28</v>
      </c>
      <c r="S992" t="s">
        <v>35</v>
      </c>
      <c r="T992">
        <v>275.61</v>
      </c>
      <c r="U992">
        <f t="shared" si="210"/>
        <v>1010</v>
      </c>
      <c r="V992">
        <f t="shared" si="211"/>
        <v>376</v>
      </c>
      <c r="W992">
        <f t="shared" si="212"/>
        <v>315</v>
      </c>
      <c r="X992">
        <f t="shared" si="213"/>
        <v>0.35149999999999998</v>
      </c>
      <c r="Y992" s="1">
        <f t="shared" si="214"/>
        <v>52191931</v>
      </c>
      <c r="Z992">
        <f t="shared" si="215"/>
        <v>51675.179207920795</v>
      </c>
      <c r="AA992">
        <f t="shared" si="216"/>
        <v>99996</v>
      </c>
      <c r="AB992">
        <f t="shared" si="217"/>
        <v>5091</v>
      </c>
      <c r="AC992">
        <f t="shared" si="218"/>
        <v>1335065.3899999999</v>
      </c>
      <c r="AD992">
        <f t="shared" si="219"/>
        <v>1321.8469207920791</v>
      </c>
      <c r="AE992">
        <f t="shared" si="220"/>
        <v>0.35149999999999998</v>
      </c>
      <c r="AF992">
        <f t="shared" si="221"/>
        <v>688379979.12000144</v>
      </c>
      <c r="AG992" t="str">
        <f t="shared" si="222"/>
        <v>Over Paid</v>
      </c>
      <c r="AH992">
        <f t="shared" si="223"/>
        <v>3307.32</v>
      </c>
    </row>
    <row r="993" spans="1:34" x14ac:dyDescent="0.35">
      <c r="A993" t="s">
        <v>2736</v>
      </c>
      <c r="B993" t="s">
        <v>2737</v>
      </c>
      <c r="C993">
        <v>54</v>
      </c>
      <c r="D993" t="s">
        <v>22</v>
      </c>
      <c r="E993" t="s">
        <v>39</v>
      </c>
      <c r="F993" t="s">
        <v>46</v>
      </c>
      <c r="G993">
        <v>135143</v>
      </c>
      <c r="H993">
        <v>500</v>
      </c>
      <c r="I993">
        <v>6901</v>
      </c>
      <c r="J993">
        <v>11.01</v>
      </c>
      <c r="K993">
        <v>60</v>
      </c>
      <c r="L993" t="s">
        <v>33</v>
      </c>
      <c r="M993">
        <v>35.74</v>
      </c>
      <c r="N993">
        <v>56428</v>
      </c>
      <c r="O993">
        <v>240467</v>
      </c>
      <c r="P993" t="s">
        <v>2738</v>
      </c>
      <c r="Q993" t="s">
        <v>61</v>
      </c>
      <c r="R993" t="s">
        <v>28</v>
      </c>
      <c r="S993" t="s">
        <v>35</v>
      </c>
      <c r="T993">
        <v>127.68</v>
      </c>
      <c r="U993">
        <f t="shared" si="210"/>
        <v>1009</v>
      </c>
      <c r="V993">
        <f t="shared" si="211"/>
        <v>376</v>
      </c>
      <c r="W993">
        <f t="shared" si="212"/>
        <v>314</v>
      </c>
      <c r="X993">
        <f t="shared" si="213"/>
        <v>0.35149999999999998</v>
      </c>
      <c r="Y993" s="1">
        <f t="shared" si="214"/>
        <v>52128262</v>
      </c>
      <c r="Z993">
        <f t="shared" si="215"/>
        <v>51663.292368681861</v>
      </c>
      <c r="AA993">
        <f t="shared" si="216"/>
        <v>99996</v>
      </c>
      <c r="AB993">
        <f t="shared" si="217"/>
        <v>5091</v>
      </c>
      <c r="AC993">
        <f t="shared" si="218"/>
        <v>1334789.7799999998</v>
      </c>
      <c r="AD993">
        <f t="shared" si="219"/>
        <v>1322.8838255698709</v>
      </c>
      <c r="AE993">
        <f t="shared" si="220"/>
        <v>0.35149999999999998</v>
      </c>
      <c r="AF993">
        <f t="shared" si="221"/>
        <v>687044913.73000133</v>
      </c>
      <c r="AG993" t="str">
        <f t="shared" si="222"/>
        <v>Active</v>
      </c>
      <c r="AH993">
        <f t="shared" si="223"/>
        <v>1532.16</v>
      </c>
    </row>
    <row r="994" spans="1:34" x14ac:dyDescent="0.35">
      <c r="A994" t="s">
        <v>2739</v>
      </c>
      <c r="B994" t="s">
        <v>2740</v>
      </c>
      <c r="C994">
        <v>52</v>
      </c>
      <c r="D994" t="s">
        <v>22</v>
      </c>
      <c r="E994" t="s">
        <v>39</v>
      </c>
      <c r="F994" t="s">
        <v>46</v>
      </c>
      <c r="G994">
        <v>145181</v>
      </c>
      <c r="H994">
        <v>765</v>
      </c>
      <c r="I994">
        <v>39957</v>
      </c>
      <c r="J994">
        <v>22.52</v>
      </c>
      <c r="K994">
        <v>120</v>
      </c>
      <c r="L994" t="s">
        <v>86</v>
      </c>
      <c r="M994">
        <v>5.24</v>
      </c>
      <c r="N994">
        <v>55765</v>
      </c>
      <c r="O994">
        <v>96752</v>
      </c>
      <c r="P994" t="s">
        <v>2543</v>
      </c>
      <c r="Q994" t="s">
        <v>42</v>
      </c>
      <c r="R994" t="s">
        <v>28</v>
      </c>
      <c r="S994" t="s">
        <v>35</v>
      </c>
      <c r="T994">
        <v>407.96</v>
      </c>
      <c r="U994">
        <f t="shared" si="210"/>
        <v>1008</v>
      </c>
      <c r="V994">
        <f t="shared" si="211"/>
        <v>376</v>
      </c>
      <c r="W994">
        <f t="shared" si="212"/>
        <v>313</v>
      </c>
      <c r="X994">
        <f t="shared" si="213"/>
        <v>0.35149999999999998</v>
      </c>
      <c r="Y994" s="1">
        <f t="shared" si="214"/>
        <v>52121361</v>
      </c>
      <c r="Z994">
        <f t="shared" si="215"/>
        <v>51707.699404761908</v>
      </c>
      <c r="AA994">
        <f t="shared" si="216"/>
        <v>99996</v>
      </c>
      <c r="AB994">
        <f t="shared" si="217"/>
        <v>5091</v>
      </c>
      <c r="AC994">
        <f t="shared" si="218"/>
        <v>1334662.0999999999</v>
      </c>
      <c r="AD994">
        <f t="shared" si="219"/>
        <v>1324.0695436507935</v>
      </c>
      <c r="AE994">
        <f t="shared" si="220"/>
        <v>0.35149999999999998</v>
      </c>
      <c r="AF994">
        <f t="shared" si="221"/>
        <v>685710123.95000136</v>
      </c>
      <c r="AG994" t="str">
        <f t="shared" si="222"/>
        <v>Active</v>
      </c>
      <c r="AH994">
        <f t="shared" si="223"/>
        <v>4895.5199999999995</v>
      </c>
    </row>
    <row r="995" spans="1:34" x14ac:dyDescent="0.35">
      <c r="A995" t="s">
        <v>2741</v>
      </c>
      <c r="B995" t="s">
        <v>2742</v>
      </c>
      <c r="C995">
        <v>48</v>
      </c>
      <c r="D995" t="s">
        <v>38</v>
      </c>
      <c r="E995" t="s">
        <v>32</v>
      </c>
      <c r="F995" t="s">
        <v>46</v>
      </c>
      <c r="G995">
        <v>119515</v>
      </c>
      <c r="H995">
        <v>757</v>
      </c>
      <c r="I995">
        <v>66871</v>
      </c>
      <c r="J995">
        <v>7.97</v>
      </c>
      <c r="K995">
        <v>36</v>
      </c>
      <c r="L995" t="s">
        <v>33</v>
      </c>
      <c r="M995">
        <v>34.21</v>
      </c>
      <c r="N995">
        <v>19129</v>
      </c>
      <c r="O995">
        <v>39642</v>
      </c>
      <c r="P995" t="s">
        <v>2743</v>
      </c>
      <c r="Q995" t="s">
        <v>61</v>
      </c>
      <c r="R995" t="s">
        <v>28</v>
      </c>
      <c r="S995" t="s">
        <v>35</v>
      </c>
      <c r="T995">
        <v>2005.57</v>
      </c>
      <c r="U995">
        <f t="shared" si="210"/>
        <v>1007</v>
      </c>
      <c r="V995">
        <f t="shared" si="211"/>
        <v>375</v>
      </c>
      <c r="W995">
        <f t="shared" si="212"/>
        <v>313</v>
      </c>
      <c r="X995">
        <f t="shared" si="213"/>
        <v>0.35149999999999998</v>
      </c>
      <c r="Y995" s="1">
        <f t="shared" si="214"/>
        <v>52081404</v>
      </c>
      <c r="Z995">
        <f t="shared" si="215"/>
        <v>51719.368421052633</v>
      </c>
      <c r="AA995">
        <f t="shared" si="216"/>
        <v>99996</v>
      </c>
      <c r="AB995">
        <f t="shared" si="217"/>
        <v>5091</v>
      </c>
      <c r="AC995">
        <f t="shared" si="218"/>
        <v>1334254.1399999999</v>
      </c>
      <c r="AD995">
        <f t="shared" si="219"/>
        <v>1324.979285004965</v>
      </c>
      <c r="AE995">
        <f t="shared" si="220"/>
        <v>0.35149999999999998</v>
      </c>
      <c r="AF995">
        <f t="shared" si="221"/>
        <v>684375461.85000134</v>
      </c>
      <c r="AG995" t="str">
        <f t="shared" si="222"/>
        <v>Active</v>
      </c>
      <c r="AH995">
        <f t="shared" si="223"/>
        <v>24066.84</v>
      </c>
    </row>
    <row r="996" spans="1:34" x14ac:dyDescent="0.35">
      <c r="A996" t="s">
        <v>2744</v>
      </c>
      <c r="B996" t="s">
        <v>2745</v>
      </c>
      <c r="C996">
        <v>61</v>
      </c>
      <c r="D996" t="s">
        <v>38</v>
      </c>
      <c r="E996" t="s">
        <v>23</v>
      </c>
      <c r="F996" t="s">
        <v>46</v>
      </c>
      <c r="G996">
        <v>154494</v>
      </c>
      <c r="H996">
        <v>490</v>
      </c>
      <c r="I996">
        <v>68972</v>
      </c>
      <c r="J996">
        <v>5.1100000000000003</v>
      </c>
      <c r="K996">
        <v>60</v>
      </c>
      <c r="L996" t="s">
        <v>33</v>
      </c>
      <c r="M996">
        <v>44.75</v>
      </c>
      <c r="N996">
        <v>10085</v>
      </c>
      <c r="O996">
        <v>178512</v>
      </c>
      <c r="P996" t="s">
        <v>2746</v>
      </c>
      <c r="Q996" t="s">
        <v>42</v>
      </c>
      <c r="R996" t="s">
        <v>48</v>
      </c>
      <c r="S996" t="s">
        <v>35</v>
      </c>
      <c r="T996">
        <v>1208.27</v>
      </c>
      <c r="U996">
        <f t="shared" si="210"/>
        <v>1006</v>
      </c>
      <c r="V996">
        <f t="shared" si="211"/>
        <v>375</v>
      </c>
      <c r="W996">
        <f t="shared" si="212"/>
        <v>312</v>
      </c>
      <c r="X996">
        <f t="shared" si="213"/>
        <v>0.35149999999999998</v>
      </c>
      <c r="Y996" s="1">
        <f t="shared" si="214"/>
        <v>52014533</v>
      </c>
      <c r="Z996">
        <f t="shared" si="215"/>
        <v>51704.307157057658</v>
      </c>
      <c r="AA996">
        <f t="shared" si="216"/>
        <v>99996</v>
      </c>
      <c r="AB996">
        <f t="shared" si="217"/>
        <v>5091</v>
      </c>
      <c r="AC996">
        <f t="shared" si="218"/>
        <v>1332248.5699999998</v>
      </c>
      <c r="AD996">
        <f t="shared" si="219"/>
        <v>1324.3027534791252</v>
      </c>
      <c r="AE996">
        <f t="shared" si="220"/>
        <v>0.35149999999999998</v>
      </c>
      <c r="AF996">
        <f t="shared" si="221"/>
        <v>683041207.71000123</v>
      </c>
      <c r="AG996" t="str">
        <f t="shared" si="222"/>
        <v>Active</v>
      </c>
      <c r="AH996">
        <f t="shared" si="223"/>
        <v>14499.24</v>
      </c>
    </row>
    <row r="997" spans="1:34" x14ac:dyDescent="0.35">
      <c r="A997" t="s">
        <v>2747</v>
      </c>
      <c r="B997" t="s">
        <v>2748</v>
      </c>
      <c r="C997">
        <v>24</v>
      </c>
      <c r="D997" t="s">
        <v>38</v>
      </c>
      <c r="E997" t="s">
        <v>39</v>
      </c>
      <c r="F997" t="s">
        <v>59</v>
      </c>
      <c r="G997">
        <v>108824</v>
      </c>
      <c r="H997">
        <v>587</v>
      </c>
      <c r="I997">
        <v>14772</v>
      </c>
      <c r="J997">
        <v>18.190000000000001</v>
      </c>
      <c r="K997">
        <v>36</v>
      </c>
      <c r="L997" t="s">
        <v>86</v>
      </c>
      <c r="M997">
        <v>51.08</v>
      </c>
      <c r="N997">
        <v>28510</v>
      </c>
      <c r="O997">
        <v>79019</v>
      </c>
      <c r="P997" t="s">
        <v>2749</v>
      </c>
      <c r="Q997" t="s">
        <v>42</v>
      </c>
      <c r="R997" t="s">
        <v>28</v>
      </c>
      <c r="S997" t="s">
        <v>49</v>
      </c>
      <c r="T997">
        <v>484.97</v>
      </c>
      <c r="U997">
        <f t="shared" si="210"/>
        <v>1005</v>
      </c>
      <c r="V997">
        <f t="shared" si="211"/>
        <v>374</v>
      </c>
      <c r="W997">
        <f t="shared" si="212"/>
        <v>312</v>
      </c>
      <c r="X997">
        <f t="shared" si="213"/>
        <v>0.35149999999999998</v>
      </c>
      <c r="Y997" s="1">
        <f t="shared" si="214"/>
        <v>51945561</v>
      </c>
      <c r="Z997">
        <f t="shared" si="215"/>
        <v>51687.125373134331</v>
      </c>
      <c r="AA997">
        <f t="shared" si="216"/>
        <v>99996</v>
      </c>
      <c r="AB997">
        <f t="shared" si="217"/>
        <v>5091</v>
      </c>
      <c r="AC997">
        <f t="shared" si="218"/>
        <v>1331040.2999999998</v>
      </c>
      <c r="AD997">
        <f t="shared" si="219"/>
        <v>1324.4182089552237</v>
      </c>
      <c r="AE997">
        <f t="shared" si="220"/>
        <v>0.35149999999999998</v>
      </c>
      <c r="AF997">
        <f t="shared" si="221"/>
        <v>681708959.14000118</v>
      </c>
      <c r="AG997" t="str">
        <f t="shared" si="222"/>
        <v>Active</v>
      </c>
      <c r="AH997">
        <f t="shared" si="223"/>
        <v>5819.64</v>
      </c>
    </row>
    <row r="998" spans="1:34" x14ac:dyDescent="0.35">
      <c r="A998" t="s">
        <v>2750</v>
      </c>
      <c r="B998" t="s">
        <v>2751</v>
      </c>
      <c r="C998">
        <v>48</v>
      </c>
      <c r="D998" t="s">
        <v>22</v>
      </c>
      <c r="E998" t="s">
        <v>23</v>
      </c>
      <c r="F998" t="s">
        <v>59</v>
      </c>
      <c r="G998">
        <v>37447</v>
      </c>
      <c r="H998">
        <v>366</v>
      </c>
      <c r="I998">
        <v>18988</v>
      </c>
      <c r="J998">
        <v>4.16</v>
      </c>
      <c r="K998">
        <v>360</v>
      </c>
      <c r="L998" t="s">
        <v>33</v>
      </c>
      <c r="M998">
        <v>51.03</v>
      </c>
      <c r="N998">
        <v>46810</v>
      </c>
      <c r="O998">
        <v>19590</v>
      </c>
      <c r="P998" t="s">
        <v>2752</v>
      </c>
      <c r="Q998" t="s">
        <v>27</v>
      </c>
      <c r="R998" t="s">
        <v>48</v>
      </c>
      <c r="S998" t="s">
        <v>29</v>
      </c>
      <c r="T998">
        <v>54.94</v>
      </c>
      <c r="U998">
        <f t="shared" si="210"/>
        <v>1004</v>
      </c>
      <c r="V998">
        <f t="shared" si="211"/>
        <v>373</v>
      </c>
      <c r="W998">
        <f t="shared" si="212"/>
        <v>312</v>
      </c>
      <c r="X998">
        <f t="shared" si="213"/>
        <v>0.35149999999999998</v>
      </c>
      <c r="Y998" s="1">
        <f t="shared" si="214"/>
        <v>51930789</v>
      </c>
      <c r="Z998">
        <f t="shared" si="215"/>
        <v>51723.893426294824</v>
      </c>
      <c r="AA998">
        <f t="shared" si="216"/>
        <v>99996</v>
      </c>
      <c r="AB998">
        <f t="shared" si="217"/>
        <v>5091</v>
      </c>
      <c r="AC998">
        <f t="shared" si="218"/>
        <v>1330555.3299999998</v>
      </c>
      <c r="AD998">
        <f t="shared" si="219"/>
        <v>1325.2543127490039</v>
      </c>
      <c r="AE998">
        <f t="shared" si="220"/>
        <v>0.35149999999999998</v>
      </c>
      <c r="AF998">
        <f t="shared" si="221"/>
        <v>680377918.84000123</v>
      </c>
      <c r="AG998" t="str">
        <f t="shared" si="222"/>
        <v>Active</v>
      </c>
      <c r="AH998">
        <f t="shared" si="223"/>
        <v>659.28</v>
      </c>
    </row>
    <row r="999" spans="1:34" x14ac:dyDescent="0.35">
      <c r="A999" t="s">
        <v>2753</v>
      </c>
      <c r="B999" t="s">
        <v>2754</v>
      </c>
      <c r="C999">
        <v>48</v>
      </c>
      <c r="D999" t="s">
        <v>22</v>
      </c>
      <c r="E999" t="s">
        <v>23</v>
      </c>
      <c r="F999" t="s">
        <v>46</v>
      </c>
      <c r="G999">
        <v>41663</v>
      </c>
      <c r="H999">
        <v>512</v>
      </c>
      <c r="I999">
        <v>58511</v>
      </c>
      <c r="J999">
        <v>14.7</v>
      </c>
      <c r="K999">
        <v>12</v>
      </c>
      <c r="L999" t="s">
        <v>52</v>
      </c>
      <c r="M999">
        <v>19.89</v>
      </c>
      <c r="N999">
        <v>61466</v>
      </c>
      <c r="O999">
        <v>109735</v>
      </c>
      <c r="P999" t="s">
        <v>2328</v>
      </c>
      <c r="Q999" t="s">
        <v>42</v>
      </c>
      <c r="R999" t="s">
        <v>28</v>
      </c>
      <c r="S999" t="s">
        <v>29</v>
      </c>
      <c r="T999">
        <v>5592.68</v>
      </c>
      <c r="U999">
        <f t="shared" si="210"/>
        <v>1003</v>
      </c>
      <c r="V999">
        <f t="shared" si="211"/>
        <v>373</v>
      </c>
      <c r="W999">
        <f t="shared" si="212"/>
        <v>312</v>
      </c>
      <c r="X999">
        <f t="shared" si="213"/>
        <v>0.35149999999999998</v>
      </c>
      <c r="Y999" s="1">
        <f t="shared" si="214"/>
        <v>51911801</v>
      </c>
      <c r="Z999">
        <f t="shared" si="215"/>
        <v>51756.531405782654</v>
      </c>
      <c r="AA999">
        <f t="shared" si="216"/>
        <v>99996</v>
      </c>
      <c r="AB999">
        <f t="shared" si="217"/>
        <v>5091</v>
      </c>
      <c r="AC999">
        <f t="shared" si="218"/>
        <v>1330500.3899999999</v>
      </c>
      <c r="AD999">
        <f t="shared" si="219"/>
        <v>1326.5208275174475</v>
      </c>
      <c r="AE999">
        <f t="shared" si="220"/>
        <v>0.35149999999999998</v>
      </c>
      <c r="AF999">
        <f t="shared" si="221"/>
        <v>679047363.5100013</v>
      </c>
      <c r="AG999" t="str">
        <f t="shared" si="222"/>
        <v>Active</v>
      </c>
      <c r="AH999">
        <f t="shared" si="223"/>
        <v>67112.160000000003</v>
      </c>
    </row>
    <row r="1000" spans="1:34" x14ac:dyDescent="0.35">
      <c r="A1000" t="s">
        <v>2755</v>
      </c>
      <c r="B1000" t="s">
        <v>2756</v>
      </c>
      <c r="C1000">
        <v>64</v>
      </c>
      <c r="D1000" t="s">
        <v>38</v>
      </c>
      <c r="E1000" t="s">
        <v>23</v>
      </c>
      <c r="F1000" t="s">
        <v>24</v>
      </c>
      <c r="G1000">
        <v>152451</v>
      </c>
      <c r="H1000">
        <v>843</v>
      </c>
      <c r="I1000">
        <v>93223</v>
      </c>
      <c r="J1000">
        <v>20.58</v>
      </c>
      <c r="K1000">
        <v>180</v>
      </c>
      <c r="L1000" t="s">
        <v>86</v>
      </c>
      <c r="M1000">
        <v>23.73</v>
      </c>
      <c r="N1000">
        <v>45404</v>
      </c>
      <c r="O1000">
        <v>187599</v>
      </c>
      <c r="P1000" t="s">
        <v>1303</v>
      </c>
      <c r="Q1000" t="s">
        <v>61</v>
      </c>
      <c r="R1000" t="s">
        <v>28</v>
      </c>
      <c r="S1000" t="s">
        <v>29</v>
      </c>
      <c r="T1000">
        <v>624.49</v>
      </c>
      <c r="U1000">
        <f t="shared" si="210"/>
        <v>1002</v>
      </c>
      <c r="V1000">
        <f t="shared" si="211"/>
        <v>372</v>
      </c>
      <c r="W1000">
        <f t="shared" si="212"/>
        <v>312</v>
      </c>
      <c r="X1000">
        <f t="shared" si="213"/>
        <v>0.35149999999999998</v>
      </c>
      <c r="Y1000" s="1">
        <f t="shared" si="214"/>
        <v>51853290</v>
      </c>
      <c r="Z1000">
        <f t="shared" si="215"/>
        <v>51749.790419161676</v>
      </c>
      <c r="AA1000">
        <f t="shared" si="216"/>
        <v>99996</v>
      </c>
      <c r="AB1000">
        <f t="shared" si="217"/>
        <v>5091</v>
      </c>
      <c r="AC1000">
        <f t="shared" si="218"/>
        <v>1324907.7099999997</v>
      </c>
      <c r="AD1000">
        <f t="shared" si="219"/>
        <v>1322.2631836327344</v>
      </c>
      <c r="AE1000">
        <f t="shared" si="220"/>
        <v>0.35149999999999998</v>
      </c>
      <c r="AF1000">
        <f t="shared" si="221"/>
        <v>677716863.12000132</v>
      </c>
      <c r="AG1000" t="str">
        <f t="shared" si="222"/>
        <v>Over Paid</v>
      </c>
      <c r="AH1000">
        <f t="shared" si="223"/>
        <v>7493.88</v>
      </c>
    </row>
    <row r="1001" spans="1:34" x14ac:dyDescent="0.35">
      <c r="A1001" t="s">
        <v>2757</v>
      </c>
      <c r="B1001" t="s">
        <v>2758</v>
      </c>
      <c r="C1001">
        <v>31</v>
      </c>
      <c r="D1001" t="s">
        <v>38</v>
      </c>
      <c r="E1001" t="s">
        <v>39</v>
      </c>
      <c r="F1001" t="s">
        <v>59</v>
      </c>
      <c r="G1001">
        <v>58098</v>
      </c>
      <c r="H1001">
        <v>826</v>
      </c>
      <c r="I1001">
        <v>90994</v>
      </c>
      <c r="J1001">
        <v>14.88</v>
      </c>
      <c r="K1001">
        <v>24</v>
      </c>
      <c r="L1001" t="s">
        <v>40</v>
      </c>
      <c r="M1001">
        <v>18.12</v>
      </c>
      <c r="N1001">
        <v>19177</v>
      </c>
      <c r="O1001">
        <v>92645</v>
      </c>
      <c r="P1001" t="s">
        <v>2759</v>
      </c>
      <c r="Q1001" t="s">
        <v>61</v>
      </c>
      <c r="R1001" t="s">
        <v>48</v>
      </c>
      <c r="S1001" t="s">
        <v>29</v>
      </c>
      <c r="T1001">
        <v>4355.58</v>
      </c>
      <c r="U1001">
        <f t="shared" si="210"/>
        <v>1001</v>
      </c>
      <c r="V1001">
        <f t="shared" si="211"/>
        <v>372</v>
      </c>
      <c r="W1001">
        <f t="shared" si="212"/>
        <v>311</v>
      </c>
      <c r="X1001">
        <f t="shared" si="213"/>
        <v>0.35149999999999998</v>
      </c>
      <c r="Y1001" s="1">
        <f t="shared" si="214"/>
        <v>51760067</v>
      </c>
      <c r="Z1001">
        <f t="shared" si="215"/>
        <v>51708.358641358638</v>
      </c>
      <c r="AA1001">
        <f t="shared" si="216"/>
        <v>99996</v>
      </c>
      <c r="AB1001">
        <f t="shared" si="217"/>
        <v>5091</v>
      </c>
      <c r="AC1001">
        <f t="shared" si="218"/>
        <v>1324283.22</v>
      </c>
      <c r="AD1001">
        <f t="shared" si="219"/>
        <v>1322.9602597402597</v>
      </c>
      <c r="AE1001">
        <f t="shared" si="220"/>
        <v>0.35149999999999998</v>
      </c>
      <c r="AF1001">
        <f t="shared" si="221"/>
        <v>676391955.41000128</v>
      </c>
      <c r="AG1001" t="str">
        <f t="shared" si="222"/>
        <v>Active</v>
      </c>
      <c r="AH1001">
        <f t="shared" si="223"/>
        <v>52266.96</v>
      </c>
    </row>
    <row r="1002" spans="1:34" x14ac:dyDescent="0.35">
      <c r="A1002" t="s">
        <v>2760</v>
      </c>
      <c r="B1002" t="s">
        <v>2761</v>
      </c>
      <c r="C1002">
        <v>24</v>
      </c>
      <c r="D1002" t="s">
        <v>38</v>
      </c>
      <c r="E1002" t="s">
        <v>32</v>
      </c>
      <c r="F1002" t="s">
        <v>46</v>
      </c>
      <c r="G1002">
        <v>56666</v>
      </c>
      <c r="H1002">
        <v>770</v>
      </c>
      <c r="I1002">
        <v>30524</v>
      </c>
      <c r="J1002">
        <v>12.83</v>
      </c>
      <c r="K1002">
        <v>36</v>
      </c>
      <c r="L1002" t="s">
        <v>86</v>
      </c>
      <c r="M1002">
        <v>12.95</v>
      </c>
      <c r="N1002">
        <v>42664</v>
      </c>
      <c r="O1002">
        <v>21165</v>
      </c>
      <c r="P1002" t="s">
        <v>2762</v>
      </c>
      <c r="Q1002" t="s">
        <v>27</v>
      </c>
      <c r="R1002" t="s">
        <v>48</v>
      </c>
      <c r="S1002" t="s">
        <v>68</v>
      </c>
      <c r="T1002">
        <v>956.67</v>
      </c>
      <c r="U1002">
        <f t="shared" si="210"/>
        <v>1000</v>
      </c>
      <c r="V1002">
        <f t="shared" si="211"/>
        <v>372</v>
      </c>
      <c r="W1002">
        <f t="shared" si="212"/>
        <v>310</v>
      </c>
      <c r="X1002">
        <f t="shared" si="213"/>
        <v>0.35149999999999998</v>
      </c>
      <c r="Y1002" s="1">
        <f t="shared" si="214"/>
        <v>51669073</v>
      </c>
      <c r="Z1002">
        <f t="shared" si="215"/>
        <v>51669.072999999997</v>
      </c>
      <c r="AA1002">
        <f t="shared" si="216"/>
        <v>99996</v>
      </c>
      <c r="AB1002">
        <f t="shared" si="217"/>
        <v>5091</v>
      </c>
      <c r="AC1002">
        <f t="shared" si="218"/>
        <v>1319927.6400000001</v>
      </c>
      <c r="AD1002">
        <f t="shared" si="219"/>
        <v>1319.9276400000001</v>
      </c>
      <c r="AE1002">
        <f t="shared" si="220"/>
        <v>0.35149999999999998</v>
      </c>
      <c r="AF1002">
        <f t="shared" si="221"/>
        <v>675067672.19000125</v>
      </c>
      <c r="AG1002" t="str">
        <f t="shared" si="222"/>
        <v>Active</v>
      </c>
      <c r="AH1002">
        <f t="shared" si="223"/>
        <v>11480.039999999999</v>
      </c>
    </row>
    <row r="1003" spans="1:34" x14ac:dyDescent="0.35">
      <c r="A1003" t="s">
        <v>2763</v>
      </c>
      <c r="B1003" t="s">
        <v>2764</v>
      </c>
      <c r="C1003">
        <v>33</v>
      </c>
      <c r="D1003" t="s">
        <v>38</v>
      </c>
      <c r="E1003" t="s">
        <v>23</v>
      </c>
      <c r="F1003" t="s">
        <v>24</v>
      </c>
      <c r="G1003">
        <v>67797</v>
      </c>
      <c r="H1003">
        <v>437</v>
      </c>
      <c r="I1003">
        <v>33139</v>
      </c>
      <c r="J1003">
        <v>13.35</v>
      </c>
      <c r="K1003">
        <v>360</v>
      </c>
      <c r="L1003" t="s">
        <v>86</v>
      </c>
      <c r="M1003">
        <v>19.79</v>
      </c>
      <c r="N1003">
        <v>21196</v>
      </c>
      <c r="O1003">
        <v>246171</v>
      </c>
      <c r="P1003" t="s">
        <v>465</v>
      </c>
      <c r="Q1003" t="s">
        <v>27</v>
      </c>
      <c r="R1003" t="s">
        <v>28</v>
      </c>
      <c r="S1003" t="s">
        <v>43</v>
      </c>
      <c r="T1003">
        <v>104.34</v>
      </c>
      <c r="U1003">
        <f t="shared" si="210"/>
        <v>999</v>
      </c>
      <c r="V1003">
        <f t="shared" si="211"/>
        <v>372</v>
      </c>
      <c r="W1003">
        <f t="shared" si="212"/>
        <v>310</v>
      </c>
      <c r="X1003">
        <f t="shared" si="213"/>
        <v>0.35149999999999998</v>
      </c>
      <c r="Y1003" s="1">
        <f t="shared" si="214"/>
        <v>51638549</v>
      </c>
      <c r="Z1003">
        <f t="shared" si="215"/>
        <v>51690.239239239236</v>
      </c>
      <c r="AA1003">
        <f t="shared" si="216"/>
        <v>99996</v>
      </c>
      <c r="AB1003">
        <f t="shared" si="217"/>
        <v>5091</v>
      </c>
      <c r="AC1003">
        <f t="shared" si="218"/>
        <v>1318970.9700000002</v>
      </c>
      <c r="AD1003">
        <f t="shared" si="219"/>
        <v>1320.2912612612615</v>
      </c>
      <c r="AE1003">
        <f t="shared" si="220"/>
        <v>0.35149999999999998</v>
      </c>
      <c r="AF1003">
        <f t="shared" si="221"/>
        <v>673747744.55000126</v>
      </c>
      <c r="AG1003" t="str">
        <f t="shared" si="222"/>
        <v>Active</v>
      </c>
      <c r="AH1003">
        <f t="shared" si="223"/>
        <v>1252.08</v>
      </c>
    </row>
    <row r="1004" spans="1:34" x14ac:dyDescent="0.35">
      <c r="A1004" t="s">
        <v>2765</v>
      </c>
      <c r="B1004" t="s">
        <v>2766</v>
      </c>
      <c r="C1004">
        <v>60</v>
      </c>
      <c r="D1004" t="s">
        <v>22</v>
      </c>
      <c r="E1004" t="s">
        <v>32</v>
      </c>
      <c r="F1004" t="s">
        <v>59</v>
      </c>
      <c r="G1004">
        <v>84944</v>
      </c>
      <c r="H1004">
        <v>809</v>
      </c>
      <c r="I1004">
        <v>99260</v>
      </c>
      <c r="J1004">
        <v>8.44</v>
      </c>
      <c r="K1004">
        <v>36</v>
      </c>
      <c r="L1004" t="s">
        <v>86</v>
      </c>
      <c r="M1004">
        <v>21.5</v>
      </c>
      <c r="N1004">
        <v>44801</v>
      </c>
      <c r="O1004">
        <v>149153</v>
      </c>
      <c r="P1004" t="s">
        <v>1896</v>
      </c>
      <c r="Q1004" t="s">
        <v>42</v>
      </c>
      <c r="R1004" t="s">
        <v>48</v>
      </c>
      <c r="S1004" t="s">
        <v>49</v>
      </c>
      <c r="T1004">
        <v>2989.93</v>
      </c>
      <c r="U1004">
        <f t="shared" si="210"/>
        <v>998</v>
      </c>
      <c r="V1004">
        <f t="shared" si="211"/>
        <v>372</v>
      </c>
      <c r="W1004">
        <f t="shared" si="212"/>
        <v>310</v>
      </c>
      <c r="X1004">
        <f t="shared" si="213"/>
        <v>0.35149999999999998</v>
      </c>
      <c r="Y1004" s="1">
        <f t="shared" si="214"/>
        <v>51605410</v>
      </c>
      <c r="Z1004">
        <f t="shared" si="215"/>
        <v>51708.827655310619</v>
      </c>
      <c r="AA1004">
        <f t="shared" si="216"/>
        <v>99996</v>
      </c>
      <c r="AB1004">
        <f t="shared" si="217"/>
        <v>5091</v>
      </c>
      <c r="AC1004">
        <f t="shared" si="218"/>
        <v>1318866.6300000001</v>
      </c>
      <c r="AD1004">
        <f t="shared" si="219"/>
        <v>1321.5096492985974</v>
      </c>
      <c r="AE1004">
        <f t="shared" si="220"/>
        <v>0.35149999999999998</v>
      </c>
      <c r="AF1004">
        <f t="shared" si="221"/>
        <v>672428773.58000135</v>
      </c>
      <c r="AG1004" t="str">
        <f t="shared" si="222"/>
        <v>Active</v>
      </c>
      <c r="AH1004">
        <f t="shared" si="223"/>
        <v>35879.159999999996</v>
      </c>
    </row>
    <row r="1005" spans="1:34" x14ac:dyDescent="0.35">
      <c r="A1005" t="s">
        <v>2767</v>
      </c>
      <c r="B1005" t="s">
        <v>2768</v>
      </c>
      <c r="C1005">
        <v>32</v>
      </c>
      <c r="D1005" t="s">
        <v>38</v>
      </c>
      <c r="E1005" t="s">
        <v>23</v>
      </c>
      <c r="F1005" t="s">
        <v>46</v>
      </c>
      <c r="G1005">
        <v>175414</v>
      </c>
      <c r="H1005">
        <v>646</v>
      </c>
      <c r="I1005">
        <v>60958</v>
      </c>
      <c r="J1005">
        <v>11.17</v>
      </c>
      <c r="K1005">
        <v>240</v>
      </c>
      <c r="L1005" t="s">
        <v>25</v>
      </c>
      <c r="M1005">
        <v>21.87</v>
      </c>
      <c r="N1005">
        <v>52921</v>
      </c>
      <c r="O1005">
        <v>178275</v>
      </c>
      <c r="P1005" t="s">
        <v>2769</v>
      </c>
      <c r="Q1005" t="s">
        <v>42</v>
      </c>
      <c r="R1005" t="s">
        <v>48</v>
      </c>
      <c r="S1005" t="s">
        <v>35</v>
      </c>
      <c r="T1005">
        <v>282.36</v>
      </c>
      <c r="U1005">
        <f t="shared" si="210"/>
        <v>997</v>
      </c>
      <c r="V1005">
        <f t="shared" si="211"/>
        <v>371</v>
      </c>
      <c r="W1005">
        <f t="shared" si="212"/>
        <v>310</v>
      </c>
      <c r="X1005">
        <f t="shared" si="213"/>
        <v>0.35149999999999998</v>
      </c>
      <c r="Y1005" s="1">
        <f t="shared" si="214"/>
        <v>51506150</v>
      </c>
      <c r="Z1005">
        <f t="shared" si="215"/>
        <v>51661.133400200604</v>
      </c>
      <c r="AA1005">
        <f t="shared" si="216"/>
        <v>99996</v>
      </c>
      <c r="AB1005">
        <f t="shared" si="217"/>
        <v>5091</v>
      </c>
      <c r="AC1005">
        <f t="shared" si="218"/>
        <v>1315876.7000000004</v>
      </c>
      <c r="AD1005">
        <f t="shared" si="219"/>
        <v>1319.836208625878</v>
      </c>
      <c r="AE1005">
        <f t="shared" si="220"/>
        <v>0.35149999999999998</v>
      </c>
      <c r="AF1005">
        <f t="shared" si="221"/>
        <v>671109906.95000136</v>
      </c>
      <c r="AG1005" t="str">
        <f t="shared" si="222"/>
        <v>Active</v>
      </c>
      <c r="AH1005">
        <f t="shared" si="223"/>
        <v>3388.32</v>
      </c>
    </row>
    <row r="1006" spans="1:34" x14ac:dyDescent="0.35">
      <c r="A1006" t="s">
        <v>2770</v>
      </c>
      <c r="B1006" t="s">
        <v>2771</v>
      </c>
      <c r="C1006">
        <v>24</v>
      </c>
      <c r="D1006" t="s">
        <v>22</v>
      </c>
      <c r="E1006" t="s">
        <v>23</v>
      </c>
      <c r="F1006" t="s">
        <v>24</v>
      </c>
      <c r="G1006">
        <v>67810</v>
      </c>
      <c r="H1006">
        <v>849</v>
      </c>
      <c r="I1006">
        <v>21656</v>
      </c>
      <c r="J1006">
        <v>10.69</v>
      </c>
      <c r="K1006">
        <v>180</v>
      </c>
      <c r="L1006" t="s">
        <v>52</v>
      </c>
      <c r="M1006">
        <v>15.63</v>
      </c>
      <c r="N1006">
        <v>12401</v>
      </c>
      <c r="O1006">
        <v>38686</v>
      </c>
      <c r="P1006" t="s">
        <v>1135</v>
      </c>
      <c r="Q1006" t="s">
        <v>27</v>
      </c>
      <c r="R1006" t="s">
        <v>28</v>
      </c>
      <c r="S1006" t="s">
        <v>49</v>
      </c>
      <c r="T1006">
        <v>133.16999999999999</v>
      </c>
      <c r="U1006">
        <f t="shared" si="210"/>
        <v>996</v>
      </c>
      <c r="V1006">
        <f t="shared" si="211"/>
        <v>370</v>
      </c>
      <c r="W1006">
        <f t="shared" si="212"/>
        <v>310</v>
      </c>
      <c r="X1006">
        <f t="shared" si="213"/>
        <v>0.35149999999999998</v>
      </c>
      <c r="Y1006" s="1">
        <f t="shared" si="214"/>
        <v>51445192</v>
      </c>
      <c r="Z1006">
        <f t="shared" si="215"/>
        <v>51651.799196787149</v>
      </c>
      <c r="AA1006">
        <f t="shared" si="216"/>
        <v>99996</v>
      </c>
      <c r="AB1006">
        <f t="shared" si="217"/>
        <v>5091</v>
      </c>
      <c r="AC1006">
        <f t="shared" si="218"/>
        <v>1315594.3400000003</v>
      </c>
      <c r="AD1006">
        <f t="shared" si="219"/>
        <v>1320.8778514056228</v>
      </c>
      <c r="AE1006">
        <f t="shared" si="220"/>
        <v>0.35149999999999998</v>
      </c>
      <c r="AF1006">
        <f t="shared" si="221"/>
        <v>669794030.25000131</v>
      </c>
      <c r="AG1006" t="str">
        <f t="shared" si="222"/>
        <v>Active</v>
      </c>
      <c r="AH1006">
        <f t="shared" si="223"/>
        <v>1598.04</v>
      </c>
    </row>
    <row r="1007" spans="1:34" x14ac:dyDescent="0.35">
      <c r="A1007" t="s">
        <v>2772</v>
      </c>
      <c r="B1007" t="s">
        <v>2773</v>
      </c>
      <c r="C1007">
        <v>21</v>
      </c>
      <c r="D1007" t="s">
        <v>22</v>
      </c>
      <c r="E1007" t="s">
        <v>32</v>
      </c>
      <c r="F1007" t="s">
        <v>24</v>
      </c>
      <c r="G1007">
        <v>90834</v>
      </c>
      <c r="H1007">
        <v>474</v>
      </c>
      <c r="I1007">
        <v>78371</v>
      </c>
      <c r="J1007">
        <v>23.08</v>
      </c>
      <c r="K1007">
        <v>36</v>
      </c>
      <c r="L1007" t="s">
        <v>33</v>
      </c>
      <c r="M1007">
        <v>44.12</v>
      </c>
      <c r="N1007">
        <v>70577</v>
      </c>
      <c r="O1007">
        <v>137677</v>
      </c>
      <c r="P1007" t="s">
        <v>2774</v>
      </c>
      <c r="Q1007" t="s">
        <v>61</v>
      </c>
      <c r="R1007" t="s">
        <v>48</v>
      </c>
      <c r="S1007" t="s">
        <v>49</v>
      </c>
      <c r="T1007">
        <v>2679.42</v>
      </c>
      <c r="U1007">
        <f t="shared" si="210"/>
        <v>995</v>
      </c>
      <c r="V1007">
        <f t="shared" si="211"/>
        <v>370</v>
      </c>
      <c r="W1007">
        <f t="shared" si="212"/>
        <v>310</v>
      </c>
      <c r="X1007">
        <f t="shared" si="213"/>
        <v>0.35149999999999998</v>
      </c>
      <c r="Y1007" s="1">
        <f t="shared" si="214"/>
        <v>51423536</v>
      </c>
      <c r="Z1007">
        <f t="shared" si="215"/>
        <v>51681.945728643215</v>
      </c>
      <c r="AA1007">
        <f t="shared" si="216"/>
        <v>99996</v>
      </c>
      <c r="AB1007">
        <f t="shared" si="217"/>
        <v>5091</v>
      </c>
      <c r="AC1007">
        <f t="shared" si="218"/>
        <v>1315461.1700000004</v>
      </c>
      <c r="AD1007">
        <f t="shared" si="219"/>
        <v>1322.0715276381914</v>
      </c>
      <c r="AE1007">
        <f t="shared" si="220"/>
        <v>0.35149999999999998</v>
      </c>
      <c r="AF1007">
        <f t="shared" si="221"/>
        <v>668478435.9100014</v>
      </c>
      <c r="AG1007" t="str">
        <f t="shared" si="222"/>
        <v>Active</v>
      </c>
      <c r="AH1007">
        <f t="shared" si="223"/>
        <v>32153.040000000001</v>
      </c>
    </row>
    <row r="1008" spans="1:34" x14ac:dyDescent="0.35">
      <c r="A1008" t="s">
        <v>2775</v>
      </c>
      <c r="B1008" t="s">
        <v>2776</v>
      </c>
      <c r="C1008">
        <v>38</v>
      </c>
      <c r="D1008" t="s">
        <v>22</v>
      </c>
      <c r="E1008" t="s">
        <v>23</v>
      </c>
      <c r="F1008" t="s">
        <v>59</v>
      </c>
      <c r="G1008">
        <v>101317</v>
      </c>
      <c r="H1008">
        <v>409</v>
      </c>
      <c r="I1008">
        <v>68521</v>
      </c>
      <c r="J1008">
        <v>20.9</v>
      </c>
      <c r="K1008">
        <v>48</v>
      </c>
      <c r="L1008" t="s">
        <v>25</v>
      </c>
      <c r="M1008">
        <v>38.630000000000003</v>
      </c>
      <c r="N1008">
        <v>43415</v>
      </c>
      <c r="O1008">
        <v>165124</v>
      </c>
      <c r="P1008" t="s">
        <v>782</v>
      </c>
      <c r="Q1008" t="s">
        <v>61</v>
      </c>
      <c r="R1008" t="s">
        <v>48</v>
      </c>
      <c r="S1008" t="s">
        <v>29</v>
      </c>
      <c r="T1008">
        <v>1725.87</v>
      </c>
      <c r="U1008">
        <f t="shared" si="210"/>
        <v>994</v>
      </c>
      <c r="V1008">
        <f t="shared" si="211"/>
        <v>370</v>
      </c>
      <c r="W1008">
        <f t="shared" si="212"/>
        <v>309</v>
      </c>
      <c r="X1008">
        <f t="shared" si="213"/>
        <v>0.35149999999999998</v>
      </c>
      <c r="Y1008" s="1">
        <f t="shared" si="214"/>
        <v>51345165</v>
      </c>
      <c r="Z1008">
        <f t="shared" si="215"/>
        <v>51655.095573440645</v>
      </c>
      <c r="AA1008">
        <f t="shared" si="216"/>
        <v>99996</v>
      </c>
      <c r="AB1008">
        <f t="shared" si="217"/>
        <v>5091</v>
      </c>
      <c r="AC1008">
        <f t="shared" si="218"/>
        <v>1312781.7500000002</v>
      </c>
      <c r="AD1008">
        <f t="shared" si="219"/>
        <v>1320.7059859154931</v>
      </c>
      <c r="AE1008">
        <f t="shared" si="220"/>
        <v>0.35149999999999998</v>
      </c>
      <c r="AF1008">
        <f t="shared" si="221"/>
        <v>667162974.74000132</v>
      </c>
      <c r="AG1008" t="str">
        <f t="shared" si="222"/>
        <v>Active</v>
      </c>
      <c r="AH1008">
        <f t="shared" si="223"/>
        <v>20710.439999999999</v>
      </c>
    </row>
    <row r="1009" spans="1:34" x14ac:dyDescent="0.35">
      <c r="A1009" t="s">
        <v>2777</v>
      </c>
      <c r="B1009" t="s">
        <v>2778</v>
      </c>
      <c r="C1009">
        <v>49</v>
      </c>
      <c r="D1009" t="s">
        <v>38</v>
      </c>
      <c r="E1009" t="s">
        <v>39</v>
      </c>
      <c r="F1009" t="s">
        <v>24</v>
      </c>
      <c r="G1009">
        <v>28779</v>
      </c>
      <c r="H1009">
        <v>846</v>
      </c>
      <c r="I1009">
        <v>66508</v>
      </c>
      <c r="J1009">
        <v>4.3600000000000003</v>
      </c>
      <c r="K1009">
        <v>180</v>
      </c>
      <c r="L1009" t="s">
        <v>52</v>
      </c>
      <c r="M1009">
        <v>42.22</v>
      </c>
      <c r="N1009">
        <v>78349</v>
      </c>
      <c r="O1009">
        <v>184600</v>
      </c>
      <c r="P1009" t="s">
        <v>797</v>
      </c>
      <c r="Q1009" t="s">
        <v>27</v>
      </c>
      <c r="R1009" t="s">
        <v>28</v>
      </c>
      <c r="S1009" t="s">
        <v>49</v>
      </c>
      <c r="T1009">
        <v>385.6</v>
      </c>
      <c r="U1009">
        <f t="shared" si="210"/>
        <v>993</v>
      </c>
      <c r="V1009">
        <f t="shared" si="211"/>
        <v>370</v>
      </c>
      <c r="W1009">
        <f t="shared" si="212"/>
        <v>308</v>
      </c>
      <c r="X1009">
        <f t="shared" si="213"/>
        <v>0.35149999999999998</v>
      </c>
      <c r="Y1009" s="1">
        <f t="shared" si="214"/>
        <v>51276644</v>
      </c>
      <c r="Z1009">
        <f t="shared" si="215"/>
        <v>51638.110775427995</v>
      </c>
      <c r="AA1009">
        <f t="shared" si="216"/>
        <v>99996</v>
      </c>
      <c r="AB1009">
        <f t="shared" si="217"/>
        <v>5091</v>
      </c>
      <c r="AC1009">
        <f t="shared" si="218"/>
        <v>1311055.8800000006</v>
      </c>
      <c r="AD1009">
        <f t="shared" si="219"/>
        <v>1320.2979657603228</v>
      </c>
      <c r="AE1009">
        <f t="shared" si="220"/>
        <v>0.35149999999999998</v>
      </c>
      <c r="AF1009">
        <f t="shared" si="221"/>
        <v>665850192.99000132</v>
      </c>
      <c r="AG1009" t="str">
        <f t="shared" si="222"/>
        <v>Active</v>
      </c>
      <c r="AH1009">
        <f t="shared" si="223"/>
        <v>4627.2000000000007</v>
      </c>
    </row>
    <row r="1010" spans="1:34" x14ac:dyDescent="0.35">
      <c r="A1010" t="s">
        <v>2779</v>
      </c>
      <c r="B1010" t="s">
        <v>2780</v>
      </c>
      <c r="C1010">
        <v>34</v>
      </c>
      <c r="D1010" t="s">
        <v>38</v>
      </c>
      <c r="E1010" t="s">
        <v>39</v>
      </c>
      <c r="F1010" t="s">
        <v>59</v>
      </c>
      <c r="G1010">
        <v>119311</v>
      </c>
      <c r="H1010">
        <v>588</v>
      </c>
      <c r="I1010">
        <v>94747</v>
      </c>
      <c r="J1010">
        <v>21.06</v>
      </c>
      <c r="K1010">
        <v>180</v>
      </c>
      <c r="L1010" t="s">
        <v>40</v>
      </c>
      <c r="M1010">
        <v>21.96</v>
      </c>
      <c r="N1010">
        <v>50630</v>
      </c>
      <c r="O1010">
        <v>54560</v>
      </c>
      <c r="P1010" t="s">
        <v>2781</v>
      </c>
      <c r="Q1010" t="s">
        <v>61</v>
      </c>
      <c r="R1010" t="s">
        <v>48</v>
      </c>
      <c r="S1010" t="s">
        <v>68</v>
      </c>
      <c r="T1010">
        <v>637.23</v>
      </c>
      <c r="U1010">
        <f t="shared" si="210"/>
        <v>992</v>
      </c>
      <c r="V1010">
        <f t="shared" si="211"/>
        <v>370</v>
      </c>
      <c r="W1010">
        <f t="shared" si="212"/>
        <v>308</v>
      </c>
      <c r="X1010">
        <f t="shared" si="213"/>
        <v>0.35149999999999998</v>
      </c>
      <c r="Y1010" s="1">
        <f t="shared" si="214"/>
        <v>51210136</v>
      </c>
      <c r="Z1010">
        <f t="shared" si="215"/>
        <v>51623.120967741932</v>
      </c>
      <c r="AA1010">
        <f t="shared" si="216"/>
        <v>99996</v>
      </c>
      <c r="AB1010">
        <f t="shared" si="217"/>
        <v>5091</v>
      </c>
      <c r="AC1010">
        <f t="shared" si="218"/>
        <v>1310670.2800000005</v>
      </c>
      <c r="AD1010">
        <f t="shared" si="219"/>
        <v>1321.2402016129038</v>
      </c>
      <c r="AE1010">
        <f t="shared" si="220"/>
        <v>0.35149999999999998</v>
      </c>
      <c r="AF1010">
        <f t="shared" si="221"/>
        <v>664539137.11000133</v>
      </c>
      <c r="AG1010" t="str">
        <f t="shared" si="222"/>
        <v>Active</v>
      </c>
      <c r="AH1010">
        <f t="shared" si="223"/>
        <v>7646.76</v>
      </c>
    </row>
    <row r="1011" spans="1:34" x14ac:dyDescent="0.35">
      <c r="A1011" t="s">
        <v>2782</v>
      </c>
      <c r="B1011" t="s">
        <v>2783</v>
      </c>
      <c r="C1011">
        <v>21</v>
      </c>
      <c r="D1011" t="s">
        <v>38</v>
      </c>
      <c r="E1011" t="s">
        <v>39</v>
      </c>
      <c r="F1011" t="s">
        <v>59</v>
      </c>
      <c r="G1011">
        <v>185796</v>
      </c>
      <c r="H1011">
        <v>661</v>
      </c>
      <c r="I1011">
        <v>93367</v>
      </c>
      <c r="J1011">
        <v>10.17</v>
      </c>
      <c r="K1011">
        <v>120</v>
      </c>
      <c r="L1011" t="s">
        <v>25</v>
      </c>
      <c r="M1011">
        <v>52.57</v>
      </c>
      <c r="N1011">
        <v>43197</v>
      </c>
      <c r="O1011">
        <v>197763</v>
      </c>
      <c r="P1011" t="s">
        <v>2784</v>
      </c>
      <c r="Q1011" t="s">
        <v>61</v>
      </c>
      <c r="R1011" t="s">
        <v>48</v>
      </c>
      <c r="S1011" t="s">
        <v>29</v>
      </c>
      <c r="T1011">
        <v>857.19</v>
      </c>
      <c r="U1011">
        <f t="shared" si="210"/>
        <v>991</v>
      </c>
      <c r="V1011">
        <f t="shared" si="211"/>
        <v>370</v>
      </c>
      <c r="W1011">
        <f t="shared" si="212"/>
        <v>307</v>
      </c>
      <c r="X1011">
        <f t="shared" si="213"/>
        <v>0.35149999999999998</v>
      </c>
      <c r="Y1011" s="1">
        <f t="shared" si="214"/>
        <v>51115389</v>
      </c>
      <c r="Z1011">
        <f t="shared" si="215"/>
        <v>51579.605449041374</v>
      </c>
      <c r="AA1011">
        <f t="shared" si="216"/>
        <v>99996</v>
      </c>
      <c r="AB1011">
        <f t="shared" si="217"/>
        <v>5091</v>
      </c>
      <c r="AC1011">
        <f t="shared" si="218"/>
        <v>1310033.0500000005</v>
      </c>
      <c r="AD1011">
        <f t="shared" si="219"/>
        <v>1321.9304238143295</v>
      </c>
      <c r="AE1011">
        <f t="shared" si="220"/>
        <v>0.35149999999999998</v>
      </c>
      <c r="AF1011">
        <f t="shared" si="221"/>
        <v>663228466.83000124</v>
      </c>
      <c r="AG1011" t="str">
        <f t="shared" si="222"/>
        <v>Active</v>
      </c>
      <c r="AH1011">
        <f t="shared" si="223"/>
        <v>10286.280000000001</v>
      </c>
    </row>
    <row r="1012" spans="1:34" x14ac:dyDescent="0.35">
      <c r="A1012" t="s">
        <v>2785</v>
      </c>
      <c r="B1012" t="s">
        <v>2786</v>
      </c>
      <c r="C1012">
        <v>60</v>
      </c>
      <c r="D1012" t="s">
        <v>22</v>
      </c>
      <c r="E1012" t="s">
        <v>39</v>
      </c>
      <c r="F1012" t="s">
        <v>24</v>
      </c>
      <c r="G1012">
        <v>64898</v>
      </c>
      <c r="H1012">
        <v>757</v>
      </c>
      <c r="I1012">
        <v>31059</v>
      </c>
      <c r="J1012">
        <v>3.74</v>
      </c>
      <c r="K1012">
        <v>24</v>
      </c>
      <c r="L1012" t="s">
        <v>86</v>
      </c>
      <c r="M1012">
        <v>48.04</v>
      </c>
      <c r="N1012">
        <v>41332</v>
      </c>
      <c r="O1012">
        <v>119599</v>
      </c>
      <c r="P1012" t="s">
        <v>936</v>
      </c>
      <c r="Q1012" t="s">
        <v>27</v>
      </c>
      <c r="R1012" t="s">
        <v>48</v>
      </c>
      <c r="S1012" t="s">
        <v>49</v>
      </c>
      <c r="T1012">
        <v>1342.53</v>
      </c>
      <c r="U1012">
        <f t="shared" si="210"/>
        <v>990</v>
      </c>
      <c r="V1012">
        <f t="shared" si="211"/>
        <v>370</v>
      </c>
      <c r="W1012">
        <f t="shared" si="212"/>
        <v>306</v>
      </c>
      <c r="X1012">
        <f t="shared" si="213"/>
        <v>0.35149999999999998</v>
      </c>
      <c r="Y1012" s="1">
        <f t="shared" si="214"/>
        <v>51022022</v>
      </c>
      <c r="Z1012">
        <f t="shared" si="215"/>
        <v>51537.39595959596</v>
      </c>
      <c r="AA1012">
        <f t="shared" si="216"/>
        <v>99996</v>
      </c>
      <c r="AB1012">
        <f t="shared" si="217"/>
        <v>5091</v>
      </c>
      <c r="AC1012">
        <f t="shared" si="218"/>
        <v>1309175.8600000006</v>
      </c>
      <c r="AD1012">
        <f t="shared" si="219"/>
        <v>1322.3998585858592</v>
      </c>
      <c r="AE1012">
        <f t="shared" si="220"/>
        <v>0.35149999999999998</v>
      </c>
      <c r="AF1012">
        <f t="shared" si="221"/>
        <v>661918433.78000116</v>
      </c>
      <c r="AG1012" t="str">
        <f t="shared" si="222"/>
        <v>Active</v>
      </c>
      <c r="AH1012">
        <f t="shared" si="223"/>
        <v>16110.36</v>
      </c>
    </row>
    <row r="1013" spans="1:34" x14ac:dyDescent="0.35">
      <c r="A1013" t="s">
        <v>2787</v>
      </c>
      <c r="B1013" t="s">
        <v>2788</v>
      </c>
      <c r="C1013">
        <v>51</v>
      </c>
      <c r="D1013" t="s">
        <v>38</v>
      </c>
      <c r="E1013" t="s">
        <v>39</v>
      </c>
      <c r="F1013" t="s">
        <v>24</v>
      </c>
      <c r="G1013">
        <v>44179</v>
      </c>
      <c r="H1013">
        <v>480</v>
      </c>
      <c r="I1013">
        <v>71340</v>
      </c>
      <c r="J1013">
        <v>5.25</v>
      </c>
      <c r="K1013">
        <v>60</v>
      </c>
      <c r="L1013" t="s">
        <v>52</v>
      </c>
      <c r="M1013">
        <v>6.37</v>
      </c>
      <c r="N1013">
        <v>5441</v>
      </c>
      <c r="O1013">
        <v>219208</v>
      </c>
      <c r="P1013" t="s">
        <v>2789</v>
      </c>
      <c r="Q1013" t="s">
        <v>42</v>
      </c>
      <c r="R1013" t="s">
        <v>28</v>
      </c>
      <c r="S1013" t="s">
        <v>29</v>
      </c>
      <c r="T1013">
        <v>1251.42</v>
      </c>
      <c r="U1013">
        <f t="shared" si="210"/>
        <v>989</v>
      </c>
      <c r="V1013">
        <f t="shared" si="211"/>
        <v>370</v>
      </c>
      <c r="W1013">
        <f t="shared" si="212"/>
        <v>306</v>
      </c>
      <c r="X1013">
        <f t="shared" si="213"/>
        <v>0.35149999999999998</v>
      </c>
      <c r="Y1013" s="1">
        <f t="shared" si="214"/>
        <v>50990963</v>
      </c>
      <c r="Z1013">
        <f t="shared" si="215"/>
        <v>51558.102123356926</v>
      </c>
      <c r="AA1013">
        <f t="shared" si="216"/>
        <v>99996</v>
      </c>
      <c r="AB1013">
        <f t="shared" si="217"/>
        <v>5091</v>
      </c>
      <c r="AC1013">
        <f t="shared" si="218"/>
        <v>1307833.3300000005</v>
      </c>
      <c r="AD1013">
        <f t="shared" si="219"/>
        <v>1322.379504550051</v>
      </c>
      <c r="AE1013">
        <f t="shared" si="220"/>
        <v>0.35149999999999998</v>
      </c>
      <c r="AF1013">
        <f t="shared" si="221"/>
        <v>660609257.92000103</v>
      </c>
      <c r="AG1013" t="str">
        <f t="shared" si="222"/>
        <v>Active</v>
      </c>
      <c r="AH1013">
        <f t="shared" si="223"/>
        <v>15017.04</v>
      </c>
    </row>
    <row r="1014" spans="1:34" x14ac:dyDescent="0.35">
      <c r="A1014" t="s">
        <v>2790</v>
      </c>
      <c r="B1014" t="s">
        <v>2791</v>
      </c>
      <c r="C1014">
        <v>47</v>
      </c>
      <c r="D1014" t="s">
        <v>38</v>
      </c>
      <c r="E1014" t="s">
        <v>32</v>
      </c>
      <c r="F1014" t="s">
        <v>46</v>
      </c>
      <c r="G1014">
        <v>128218</v>
      </c>
      <c r="H1014">
        <v>840</v>
      </c>
      <c r="I1014">
        <v>77001</v>
      </c>
      <c r="J1014">
        <v>19.13</v>
      </c>
      <c r="K1014">
        <v>36</v>
      </c>
      <c r="L1014" t="s">
        <v>25</v>
      </c>
      <c r="M1014">
        <v>42.71</v>
      </c>
      <c r="N1014">
        <v>7485</v>
      </c>
      <c r="O1014">
        <v>101253</v>
      </c>
      <c r="P1014" t="s">
        <v>2792</v>
      </c>
      <c r="Q1014" t="s">
        <v>42</v>
      </c>
      <c r="R1014" t="s">
        <v>28</v>
      </c>
      <c r="S1014" t="s">
        <v>43</v>
      </c>
      <c r="T1014">
        <v>2548.09</v>
      </c>
      <c r="U1014">
        <f t="shared" si="210"/>
        <v>988</v>
      </c>
      <c r="V1014">
        <f t="shared" si="211"/>
        <v>369</v>
      </c>
      <c r="W1014">
        <f t="shared" si="212"/>
        <v>306</v>
      </c>
      <c r="X1014">
        <f t="shared" si="213"/>
        <v>0.35149999999999998</v>
      </c>
      <c r="Y1014" s="1">
        <f t="shared" si="214"/>
        <v>50919623</v>
      </c>
      <c r="Z1014">
        <f t="shared" si="215"/>
        <v>51538.079959514173</v>
      </c>
      <c r="AA1014">
        <f t="shared" si="216"/>
        <v>99996</v>
      </c>
      <c r="AB1014">
        <f t="shared" si="217"/>
        <v>5091</v>
      </c>
      <c r="AC1014">
        <f t="shared" si="218"/>
        <v>1306581.9100000004</v>
      </c>
      <c r="AD1014">
        <f t="shared" si="219"/>
        <v>1322.4513259109315</v>
      </c>
      <c r="AE1014">
        <f t="shared" si="220"/>
        <v>0.35149999999999998</v>
      </c>
      <c r="AF1014">
        <f t="shared" si="221"/>
        <v>659301424.59000111</v>
      </c>
      <c r="AG1014" t="str">
        <f t="shared" si="222"/>
        <v>Active</v>
      </c>
      <c r="AH1014">
        <f t="shared" si="223"/>
        <v>30577.08</v>
      </c>
    </row>
    <row r="1015" spans="1:34" x14ac:dyDescent="0.35">
      <c r="A1015" t="s">
        <v>2793</v>
      </c>
      <c r="B1015" t="s">
        <v>2794</v>
      </c>
      <c r="C1015">
        <v>36</v>
      </c>
      <c r="D1015" t="s">
        <v>38</v>
      </c>
      <c r="E1015" t="s">
        <v>39</v>
      </c>
      <c r="F1015" t="s">
        <v>59</v>
      </c>
      <c r="G1015">
        <v>42333</v>
      </c>
      <c r="H1015">
        <v>651</v>
      </c>
      <c r="I1015">
        <v>67981</v>
      </c>
      <c r="J1015">
        <v>20.14</v>
      </c>
      <c r="K1015">
        <v>120</v>
      </c>
      <c r="L1015" t="s">
        <v>40</v>
      </c>
      <c r="M1015">
        <v>17.559999999999999</v>
      </c>
      <c r="N1015">
        <v>37666</v>
      </c>
      <c r="O1015">
        <v>69774</v>
      </c>
      <c r="P1015" t="s">
        <v>516</v>
      </c>
      <c r="Q1015" t="s">
        <v>42</v>
      </c>
      <c r="R1015" t="s">
        <v>28</v>
      </c>
      <c r="S1015" t="s">
        <v>49</v>
      </c>
      <c r="T1015">
        <v>680.6</v>
      </c>
      <c r="U1015">
        <f t="shared" si="210"/>
        <v>987</v>
      </c>
      <c r="V1015">
        <f t="shared" si="211"/>
        <v>368</v>
      </c>
      <c r="W1015">
        <f t="shared" si="212"/>
        <v>306</v>
      </c>
      <c r="X1015">
        <f t="shared" si="213"/>
        <v>0.35149999999999998</v>
      </c>
      <c r="Y1015" s="1">
        <f t="shared" si="214"/>
        <v>50842622</v>
      </c>
      <c r="Z1015">
        <f t="shared" si="215"/>
        <v>51512.281661600813</v>
      </c>
      <c r="AA1015">
        <f t="shared" si="216"/>
        <v>99996</v>
      </c>
      <c r="AB1015">
        <f t="shared" si="217"/>
        <v>5091</v>
      </c>
      <c r="AC1015">
        <f t="shared" si="218"/>
        <v>1304033.8200000005</v>
      </c>
      <c r="AD1015">
        <f t="shared" si="219"/>
        <v>1321.2095440729488</v>
      </c>
      <c r="AE1015">
        <f t="shared" si="220"/>
        <v>0.35149999999999998</v>
      </c>
      <c r="AF1015">
        <f t="shared" si="221"/>
        <v>657994842.68000102</v>
      </c>
      <c r="AG1015" t="str">
        <f t="shared" si="222"/>
        <v>Active</v>
      </c>
      <c r="AH1015">
        <f t="shared" si="223"/>
        <v>8167.2000000000007</v>
      </c>
    </row>
    <row r="1016" spans="1:34" x14ac:dyDescent="0.35">
      <c r="A1016" t="s">
        <v>2795</v>
      </c>
      <c r="B1016" t="s">
        <v>2796</v>
      </c>
      <c r="C1016">
        <v>44</v>
      </c>
      <c r="D1016" t="s">
        <v>22</v>
      </c>
      <c r="E1016" t="s">
        <v>39</v>
      </c>
      <c r="F1016" t="s">
        <v>46</v>
      </c>
      <c r="G1016">
        <v>52606</v>
      </c>
      <c r="H1016">
        <v>827</v>
      </c>
      <c r="I1016">
        <v>16743</v>
      </c>
      <c r="J1016">
        <v>22.5</v>
      </c>
      <c r="K1016">
        <v>240</v>
      </c>
      <c r="L1016" t="s">
        <v>40</v>
      </c>
      <c r="M1016">
        <v>42.4</v>
      </c>
      <c r="N1016">
        <v>50336</v>
      </c>
      <c r="O1016">
        <v>168126</v>
      </c>
      <c r="P1016" t="s">
        <v>1051</v>
      </c>
      <c r="Q1016" t="s">
        <v>27</v>
      </c>
      <c r="R1016" t="s">
        <v>48</v>
      </c>
      <c r="S1016" t="s">
        <v>29</v>
      </c>
      <c r="T1016">
        <v>85.46</v>
      </c>
      <c r="U1016">
        <f t="shared" si="210"/>
        <v>986</v>
      </c>
      <c r="V1016">
        <f t="shared" si="211"/>
        <v>367</v>
      </c>
      <c r="W1016">
        <f t="shared" si="212"/>
        <v>306</v>
      </c>
      <c r="X1016">
        <f t="shared" si="213"/>
        <v>0.35149999999999998</v>
      </c>
      <c r="Y1016" s="1">
        <f t="shared" si="214"/>
        <v>50774641</v>
      </c>
      <c r="Z1016">
        <f t="shared" si="215"/>
        <v>51495.579107505073</v>
      </c>
      <c r="AA1016">
        <f t="shared" si="216"/>
        <v>99996</v>
      </c>
      <c r="AB1016">
        <f t="shared" si="217"/>
        <v>5091</v>
      </c>
      <c r="AC1016">
        <f t="shared" si="218"/>
        <v>1303353.2200000004</v>
      </c>
      <c r="AD1016">
        <f t="shared" si="219"/>
        <v>1321.859249492901</v>
      </c>
      <c r="AE1016">
        <f t="shared" si="220"/>
        <v>0.35149999999999998</v>
      </c>
      <c r="AF1016">
        <f t="shared" si="221"/>
        <v>656690808.86000085</v>
      </c>
      <c r="AG1016" t="str">
        <f t="shared" si="222"/>
        <v>Active</v>
      </c>
      <c r="AH1016">
        <f t="shared" si="223"/>
        <v>1025.52</v>
      </c>
    </row>
    <row r="1017" spans="1:34" x14ac:dyDescent="0.35">
      <c r="A1017" t="s">
        <v>2797</v>
      </c>
      <c r="B1017" t="s">
        <v>2798</v>
      </c>
      <c r="C1017">
        <v>43</v>
      </c>
      <c r="D1017" t="s">
        <v>22</v>
      </c>
      <c r="E1017" t="s">
        <v>32</v>
      </c>
      <c r="F1017" t="s">
        <v>24</v>
      </c>
      <c r="G1017">
        <v>116740</v>
      </c>
      <c r="H1017">
        <v>743</v>
      </c>
      <c r="I1017">
        <v>93745</v>
      </c>
      <c r="J1017">
        <v>5.98</v>
      </c>
      <c r="K1017">
        <v>360</v>
      </c>
      <c r="L1017" t="s">
        <v>86</v>
      </c>
      <c r="M1017">
        <v>11.33</v>
      </c>
      <c r="N1017">
        <v>4934</v>
      </c>
      <c r="O1017">
        <v>227383</v>
      </c>
      <c r="P1017" t="s">
        <v>2799</v>
      </c>
      <c r="Q1017" t="s">
        <v>42</v>
      </c>
      <c r="R1017" t="s">
        <v>48</v>
      </c>
      <c r="S1017" t="s">
        <v>35</v>
      </c>
      <c r="T1017">
        <v>275.97000000000003</v>
      </c>
      <c r="U1017">
        <f t="shared" si="210"/>
        <v>985</v>
      </c>
      <c r="V1017">
        <f t="shared" si="211"/>
        <v>367</v>
      </c>
      <c r="W1017">
        <f t="shared" si="212"/>
        <v>306</v>
      </c>
      <c r="X1017">
        <f t="shared" si="213"/>
        <v>0.35149999999999998</v>
      </c>
      <c r="Y1017" s="1">
        <f t="shared" si="214"/>
        <v>50757898</v>
      </c>
      <c r="Z1017">
        <f t="shared" si="215"/>
        <v>51530.860913705583</v>
      </c>
      <c r="AA1017">
        <f t="shared" si="216"/>
        <v>99996</v>
      </c>
      <c r="AB1017">
        <f t="shared" si="217"/>
        <v>5091</v>
      </c>
      <c r="AC1017">
        <f t="shared" si="218"/>
        <v>1303267.7600000005</v>
      </c>
      <c r="AD1017">
        <f t="shared" si="219"/>
        <v>1323.1144771573609</v>
      </c>
      <c r="AE1017">
        <f t="shared" si="220"/>
        <v>0.35149999999999998</v>
      </c>
      <c r="AF1017">
        <f t="shared" si="221"/>
        <v>655387455.6400007</v>
      </c>
      <c r="AG1017" t="str">
        <f t="shared" si="222"/>
        <v>Active</v>
      </c>
      <c r="AH1017">
        <f t="shared" si="223"/>
        <v>3311.6400000000003</v>
      </c>
    </row>
    <row r="1018" spans="1:34" x14ac:dyDescent="0.35">
      <c r="A1018" t="s">
        <v>2800</v>
      </c>
      <c r="B1018" t="s">
        <v>2801</v>
      </c>
      <c r="C1018">
        <v>23</v>
      </c>
      <c r="D1018" t="s">
        <v>38</v>
      </c>
      <c r="E1018" t="s">
        <v>32</v>
      </c>
      <c r="F1018" t="s">
        <v>24</v>
      </c>
      <c r="G1018">
        <v>122087</v>
      </c>
      <c r="H1018">
        <v>846</v>
      </c>
      <c r="I1018">
        <v>79770</v>
      </c>
      <c r="J1018">
        <v>12.31</v>
      </c>
      <c r="K1018">
        <v>24</v>
      </c>
      <c r="L1018" t="s">
        <v>33</v>
      </c>
      <c r="M1018">
        <v>15.63</v>
      </c>
      <c r="N1018">
        <v>1034</v>
      </c>
      <c r="O1018">
        <v>204698</v>
      </c>
      <c r="P1018" t="s">
        <v>1239</v>
      </c>
      <c r="Q1018" t="s">
        <v>42</v>
      </c>
      <c r="R1018" t="s">
        <v>48</v>
      </c>
      <c r="S1018" t="s">
        <v>68</v>
      </c>
      <c r="T1018">
        <v>3732.9</v>
      </c>
      <c r="U1018">
        <f t="shared" si="210"/>
        <v>984</v>
      </c>
      <c r="V1018">
        <f t="shared" si="211"/>
        <v>366</v>
      </c>
      <c r="W1018">
        <f t="shared" si="212"/>
        <v>306</v>
      </c>
      <c r="X1018">
        <f t="shared" si="213"/>
        <v>0.35149999999999998</v>
      </c>
      <c r="Y1018" s="1">
        <f t="shared" si="214"/>
        <v>50664153</v>
      </c>
      <c r="Z1018">
        <f t="shared" si="215"/>
        <v>51487.960365853658</v>
      </c>
      <c r="AA1018">
        <f t="shared" si="216"/>
        <v>99996</v>
      </c>
      <c r="AB1018">
        <f t="shared" si="217"/>
        <v>5091</v>
      </c>
      <c r="AC1018">
        <f t="shared" si="218"/>
        <v>1302991.7900000005</v>
      </c>
      <c r="AD1018">
        <f t="shared" si="219"/>
        <v>1324.1786483739843</v>
      </c>
      <c r="AE1018">
        <f t="shared" si="220"/>
        <v>0.35149999999999998</v>
      </c>
      <c r="AF1018">
        <f t="shared" si="221"/>
        <v>654084187.88000071</v>
      </c>
      <c r="AG1018" t="str">
        <f t="shared" si="222"/>
        <v>Active</v>
      </c>
      <c r="AH1018">
        <f t="shared" si="223"/>
        <v>44794.8</v>
      </c>
    </row>
    <row r="1019" spans="1:34" x14ac:dyDescent="0.35">
      <c r="A1019" t="s">
        <v>2802</v>
      </c>
      <c r="B1019" t="s">
        <v>2803</v>
      </c>
      <c r="C1019">
        <v>52</v>
      </c>
      <c r="D1019" t="s">
        <v>22</v>
      </c>
      <c r="E1019" t="s">
        <v>23</v>
      </c>
      <c r="F1019" t="s">
        <v>24</v>
      </c>
      <c r="G1019">
        <v>199569</v>
      </c>
      <c r="H1019">
        <v>513</v>
      </c>
      <c r="I1019">
        <v>78622</v>
      </c>
      <c r="J1019">
        <v>9.01</v>
      </c>
      <c r="K1019">
        <v>60</v>
      </c>
      <c r="L1019" t="s">
        <v>86</v>
      </c>
      <c r="M1019">
        <v>26.34</v>
      </c>
      <c r="N1019">
        <v>33851</v>
      </c>
      <c r="O1019">
        <v>92218</v>
      </c>
      <c r="P1019" t="s">
        <v>1135</v>
      </c>
      <c r="Q1019" t="s">
        <v>61</v>
      </c>
      <c r="R1019" t="s">
        <v>48</v>
      </c>
      <c r="S1019" t="s">
        <v>29</v>
      </c>
      <c r="T1019">
        <v>1428.43</v>
      </c>
      <c r="U1019">
        <f t="shared" si="210"/>
        <v>983</v>
      </c>
      <c r="V1019">
        <f t="shared" si="211"/>
        <v>365</v>
      </c>
      <c r="W1019">
        <f t="shared" si="212"/>
        <v>306</v>
      </c>
      <c r="X1019">
        <f t="shared" si="213"/>
        <v>0.35149999999999998</v>
      </c>
      <c r="Y1019" s="1">
        <f t="shared" si="214"/>
        <v>50584383</v>
      </c>
      <c r="Z1019">
        <f t="shared" si="215"/>
        <v>51459.189216683619</v>
      </c>
      <c r="AA1019">
        <f t="shared" si="216"/>
        <v>99996</v>
      </c>
      <c r="AB1019">
        <f t="shared" si="217"/>
        <v>5091</v>
      </c>
      <c r="AC1019">
        <f t="shared" si="218"/>
        <v>1299258.8900000004</v>
      </c>
      <c r="AD1019">
        <f t="shared" si="219"/>
        <v>1321.7282706002038</v>
      </c>
      <c r="AE1019">
        <f t="shared" si="220"/>
        <v>0.35149999999999998</v>
      </c>
      <c r="AF1019">
        <f t="shared" si="221"/>
        <v>652781196.09000075</v>
      </c>
      <c r="AG1019" t="str">
        <f t="shared" si="222"/>
        <v>Active</v>
      </c>
      <c r="AH1019">
        <f t="shared" si="223"/>
        <v>17141.16</v>
      </c>
    </row>
    <row r="1020" spans="1:34" x14ac:dyDescent="0.35">
      <c r="A1020" t="s">
        <v>2804</v>
      </c>
      <c r="B1020" t="s">
        <v>2805</v>
      </c>
      <c r="C1020">
        <v>23</v>
      </c>
      <c r="D1020" t="s">
        <v>38</v>
      </c>
      <c r="E1020" t="s">
        <v>23</v>
      </c>
      <c r="F1020" t="s">
        <v>24</v>
      </c>
      <c r="G1020">
        <v>98656</v>
      </c>
      <c r="H1020">
        <v>695</v>
      </c>
      <c r="I1020">
        <v>51651</v>
      </c>
      <c r="J1020">
        <v>22.06</v>
      </c>
      <c r="K1020">
        <v>180</v>
      </c>
      <c r="L1020" t="s">
        <v>25</v>
      </c>
      <c r="M1020">
        <v>11.47</v>
      </c>
      <c r="N1020">
        <v>71214</v>
      </c>
      <c r="O1020">
        <v>125294</v>
      </c>
      <c r="P1020" t="s">
        <v>2491</v>
      </c>
      <c r="Q1020" t="s">
        <v>61</v>
      </c>
      <c r="R1020" t="s">
        <v>48</v>
      </c>
      <c r="S1020" t="s">
        <v>49</v>
      </c>
      <c r="T1020">
        <v>350.25</v>
      </c>
      <c r="U1020">
        <f t="shared" si="210"/>
        <v>982</v>
      </c>
      <c r="V1020">
        <f t="shared" si="211"/>
        <v>365</v>
      </c>
      <c r="W1020">
        <f t="shared" si="212"/>
        <v>305</v>
      </c>
      <c r="X1020">
        <f t="shared" si="213"/>
        <v>0.35149999999999998</v>
      </c>
      <c r="Y1020" s="1">
        <f t="shared" si="214"/>
        <v>50505761</v>
      </c>
      <c r="Z1020">
        <f t="shared" si="215"/>
        <v>51431.528513238292</v>
      </c>
      <c r="AA1020">
        <f t="shared" si="216"/>
        <v>99996</v>
      </c>
      <c r="AB1020">
        <f t="shared" si="217"/>
        <v>5091</v>
      </c>
      <c r="AC1020">
        <f t="shared" si="218"/>
        <v>1297830.4600000007</v>
      </c>
      <c r="AD1020">
        <f t="shared" si="219"/>
        <v>1321.6196130346239</v>
      </c>
      <c r="AE1020">
        <f t="shared" si="220"/>
        <v>0.35149999999999998</v>
      </c>
      <c r="AF1020">
        <f t="shared" si="221"/>
        <v>651481937.20000076</v>
      </c>
      <c r="AG1020" t="str">
        <f t="shared" si="222"/>
        <v>Active</v>
      </c>
      <c r="AH1020">
        <f t="shared" si="223"/>
        <v>4203</v>
      </c>
    </row>
    <row r="1021" spans="1:34" x14ac:dyDescent="0.35">
      <c r="A1021" t="s">
        <v>2806</v>
      </c>
      <c r="B1021" t="s">
        <v>2807</v>
      </c>
      <c r="C1021">
        <v>62</v>
      </c>
      <c r="D1021" t="s">
        <v>22</v>
      </c>
      <c r="E1021" t="s">
        <v>32</v>
      </c>
      <c r="F1021" t="s">
        <v>46</v>
      </c>
      <c r="G1021">
        <v>71200</v>
      </c>
      <c r="H1021">
        <v>621</v>
      </c>
      <c r="I1021">
        <v>95199</v>
      </c>
      <c r="J1021">
        <v>22.53</v>
      </c>
      <c r="K1021">
        <v>24</v>
      </c>
      <c r="L1021" t="s">
        <v>33</v>
      </c>
      <c r="M1021">
        <v>51.07</v>
      </c>
      <c r="N1021">
        <v>51685</v>
      </c>
      <c r="O1021">
        <v>150187</v>
      </c>
      <c r="P1021" t="s">
        <v>409</v>
      </c>
      <c r="Q1021" t="s">
        <v>61</v>
      </c>
      <c r="R1021" t="s">
        <v>28</v>
      </c>
      <c r="S1021" t="s">
        <v>68</v>
      </c>
      <c r="T1021">
        <v>4860.3100000000004</v>
      </c>
      <c r="U1021">
        <f t="shared" si="210"/>
        <v>981</v>
      </c>
      <c r="V1021">
        <f t="shared" si="211"/>
        <v>365</v>
      </c>
      <c r="W1021">
        <f t="shared" si="212"/>
        <v>304</v>
      </c>
      <c r="X1021">
        <f t="shared" si="213"/>
        <v>0.35149999999999998</v>
      </c>
      <c r="Y1021" s="1">
        <f t="shared" si="214"/>
        <v>50454110</v>
      </c>
      <c r="Z1021">
        <f t="shared" si="215"/>
        <v>51431.304791029565</v>
      </c>
      <c r="AA1021">
        <f t="shared" si="216"/>
        <v>99996</v>
      </c>
      <c r="AB1021">
        <f t="shared" si="217"/>
        <v>5091</v>
      </c>
      <c r="AC1021">
        <f t="shared" si="218"/>
        <v>1297480.2100000007</v>
      </c>
      <c r="AD1021">
        <f t="shared" si="219"/>
        <v>1322.6097961264022</v>
      </c>
      <c r="AE1021">
        <f t="shared" si="220"/>
        <v>0.35149999999999998</v>
      </c>
      <c r="AF1021">
        <f t="shared" si="221"/>
        <v>650184106.74000072</v>
      </c>
      <c r="AG1021" t="str">
        <f t="shared" si="222"/>
        <v>Active</v>
      </c>
      <c r="AH1021">
        <f t="shared" si="223"/>
        <v>58323.72</v>
      </c>
    </row>
    <row r="1022" spans="1:34" x14ac:dyDescent="0.35">
      <c r="A1022" t="s">
        <v>2808</v>
      </c>
      <c r="B1022" t="s">
        <v>2809</v>
      </c>
      <c r="C1022">
        <v>58</v>
      </c>
      <c r="D1022" t="s">
        <v>38</v>
      </c>
      <c r="E1022" t="s">
        <v>39</v>
      </c>
      <c r="F1022" t="s">
        <v>59</v>
      </c>
      <c r="G1022">
        <v>44146</v>
      </c>
      <c r="H1022">
        <v>689</v>
      </c>
      <c r="I1022">
        <v>17741</v>
      </c>
      <c r="J1022">
        <v>11.63</v>
      </c>
      <c r="K1022">
        <v>360</v>
      </c>
      <c r="L1022" t="s">
        <v>52</v>
      </c>
      <c r="M1022">
        <v>54.03</v>
      </c>
      <c r="N1022">
        <v>38399</v>
      </c>
      <c r="O1022">
        <v>127661</v>
      </c>
      <c r="P1022" t="s">
        <v>2810</v>
      </c>
      <c r="Q1022" t="s">
        <v>42</v>
      </c>
      <c r="R1022" t="s">
        <v>48</v>
      </c>
      <c r="S1022" t="s">
        <v>29</v>
      </c>
      <c r="T1022">
        <v>55.01</v>
      </c>
      <c r="U1022">
        <f t="shared" si="210"/>
        <v>980</v>
      </c>
      <c r="V1022">
        <f t="shared" si="211"/>
        <v>365</v>
      </c>
      <c r="W1022">
        <f t="shared" si="212"/>
        <v>303</v>
      </c>
      <c r="X1022">
        <f t="shared" si="213"/>
        <v>0.35149999999999998</v>
      </c>
      <c r="Y1022" s="1">
        <f t="shared" si="214"/>
        <v>50358911</v>
      </c>
      <c r="Z1022">
        <f t="shared" si="215"/>
        <v>51386.643877551018</v>
      </c>
      <c r="AA1022">
        <f t="shared" si="216"/>
        <v>99996</v>
      </c>
      <c r="AB1022">
        <f t="shared" si="217"/>
        <v>5091</v>
      </c>
      <c r="AC1022">
        <f t="shared" si="218"/>
        <v>1292619.9000000006</v>
      </c>
      <c r="AD1022">
        <f t="shared" si="219"/>
        <v>1318.9998979591842</v>
      </c>
      <c r="AE1022">
        <f t="shared" si="220"/>
        <v>0.35149999999999998</v>
      </c>
      <c r="AF1022">
        <f t="shared" si="221"/>
        <v>648886626.53000069</v>
      </c>
      <c r="AG1022" t="str">
        <f t="shared" si="222"/>
        <v>Active</v>
      </c>
      <c r="AH1022">
        <f t="shared" si="223"/>
        <v>660.12</v>
      </c>
    </row>
    <row r="1023" spans="1:34" x14ac:dyDescent="0.35">
      <c r="A1023" t="s">
        <v>2811</v>
      </c>
      <c r="B1023" t="s">
        <v>2812</v>
      </c>
      <c r="C1023">
        <v>28</v>
      </c>
      <c r="D1023" t="s">
        <v>38</v>
      </c>
      <c r="E1023" t="s">
        <v>39</v>
      </c>
      <c r="F1023" t="s">
        <v>46</v>
      </c>
      <c r="G1023">
        <v>57333</v>
      </c>
      <c r="H1023">
        <v>636</v>
      </c>
      <c r="I1023">
        <v>25647</v>
      </c>
      <c r="J1023">
        <v>5.19</v>
      </c>
      <c r="K1023">
        <v>120</v>
      </c>
      <c r="L1023" t="s">
        <v>52</v>
      </c>
      <c r="M1023">
        <v>51.23</v>
      </c>
      <c r="N1023">
        <v>67192</v>
      </c>
      <c r="O1023">
        <v>143078</v>
      </c>
      <c r="P1023" t="s">
        <v>2249</v>
      </c>
      <c r="Q1023" t="s">
        <v>27</v>
      </c>
      <c r="R1023" t="s">
        <v>48</v>
      </c>
      <c r="S1023" t="s">
        <v>29</v>
      </c>
      <c r="T1023">
        <v>224.82</v>
      </c>
      <c r="U1023">
        <f t="shared" si="210"/>
        <v>979</v>
      </c>
      <c r="V1023">
        <f t="shared" si="211"/>
        <v>364</v>
      </c>
      <c r="W1023">
        <f t="shared" si="212"/>
        <v>303</v>
      </c>
      <c r="X1023">
        <f t="shared" si="213"/>
        <v>0.35149999999999998</v>
      </c>
      <c r="Y1023" s="1">
        <f t="shared" si="214"/>
        <v>50341170</v>
      </c>
      <c r="Z1023">
        <f t="shared" si="215"/>
        <v>51421.011235955055</v>
      </c>
      <c r="AA1023">
        <f t="shared" si="216"/>
        <v>99996</v>
      </c>
      <c r="AB1023">
        <f t="shared" si="217"/>
        <v>5091</v>
      </c>
      <c r="AC1023">
        <f t="shared" si="218"/>
        <v>1292564.8900000006</v>
      </c>
      <c r="AD1023">
        <f t="shared" si="219"/>
        <v>1320.2910010214512</v>
      </c>
      <c r="AE1023">
        <f t="shared" si="220"/>
        <v>0.35149999999999998</v>
      </c>
      <c r="AF1023">
        <f t="shared" si="221"/>
        <v>647594006.63000059</v>
      </c>
      <c r="AG1023" t="str">
        <f t="shared" si="222"/>
        <v>Active</v>
      </c>
      <c r="AH1023">
        <f t="shared" si="223"/>
        <v>2697.84</v>
      </c>
    </row>
    <row r="1024" spans="1:34" x14ac:dyDescent="0.35">
      <c r="A1024" t="s">
        <v>2813</v>
      </c>
      <c r="B1024" t="s">
        <v>2814</v>
      </c>
      <c r="C1024">
        <v>60</v>
      </c>
      <c r="D1024" t="s">
        <v>38</v>
      </c>
      <c r="E1024" t="s">
        <v>32</v>
      </c>
      <c r="F1024" t="s">
        <v>24</v>
      </c>
      <c r="G1024">
        <v>125164</v>
      </c>
      <c r="H1024">
        <v>552</v>
      </c>
      <c r="I1024">
        <v>85296</v>
      </c>
      <c r="J1024">
        <v>4.47</v>
      </c>
      <c r="K1024">
        <v>24</v>
      </c>
      <c r="L1024" t="s">
        <v>33</v>
      </c>
      <c r="M1024">
        <v>48.91</v>
      </c>
      <c r="N1024">
        <v>6003</v>
      </c>
      <c r="O1024">
        <v>19548</v>
      </c>
      <c r="P1024" t="s">
        <v>1006</v>
      </c>
      <c r="Q1024" t="s">
        <v>27</v>
      </c>
      <c r="R1024" t="s">
        <v>28</v>
      </c>
      <c r="S1024" t="s">
        <v>68</v>
      </c>
      <c r="T1024">
        <v>3712.86</v>
      </c>
      <c r="U1024">
        <f t="shared" si="210"/>
        <v>978</v>
      </c>
      <c r="V1024">
        <f t="shared" si="211"/>
        <v>364</v>
      </c>
      <c r="W1024">
        <f t="shared" si="212"/>
        <v>303</v>
      </c>
      <c r="X1024">
        <f t="shared" si="213"/>
        <v>0.35149999999999998</v>
      </c>
      <c r="Y1024" s="1">
        <f t="shared" si="214"/>
        <v>50315523</v>
      </c>
      <c r="Z1024">
        <f t="shared" si="215"/>
        <v>51447.365030674846</v>
      </c>
      <c r="AA1024">
        <f t="shared" si="216"/>
        <v>99996</v>
      </c>
      <c r="AB1024">
        <f t="shared" si="217"/>
        <v>5091</v>
      </c>
      <c r="AC1024">
        <f t="shared" si="218"/>
        <v>1292340.0700000008</v>
      </c>
      <c r="AD1024">
        <f t="shared" si="219"/>
        <v>1321.4111145194281</v>
      </c>
      <c r="AE1024">
        <f t="shared" si="220"/>
        <v>0.35149999999999998</v>
      </c>
      <c r="AF1024">
        <f t="shared" si="221"/>
        <v>646301441.74000061</v>
      </c>
      <c r="AG1024" t="str">
        <f t="shared" si="222"/>
        <v>Active</v>
      </c>
      <c r="AH1024">
        <f t="shared" si="223"/>
        <v>44554.32</v>
      </c>
    </row>
    <row r="1025" spans="1:34" x14ac:dyDescent="0.35">
      <c r="A1025" t="s">
        <v>2815</v>
      </c>
      <c r="B1025" t="s">
        <v>2816</v>
      </c>
      <c r="C1025">
        <v>46</v>
      </c>
      <c r="D1025" t="s">
        <v>22</v>
      </c>
      <c r="E1025" t="s">
        <v>39</v>
      </c>
      <c r="F1025" t="s">
        <v>59</v>
      </c>
      <c r="G1025">
        <v>160345</v>
      </c>
      <c r="H1025">
        <v>350</v>
      </c>
      <c r="I1025">
        <v>99548</v>
      </c>
      <c r="J1025">
        <v>5.1100000000000003</v>
      </c>
      <c r="K1025">
        <v>24</v>
      </c>
      <c r="L1025" t="s">
        <v>86</v>
      </c>
      <c r="M1025">
        <v>48.49</v>
      </c>
      <c r="N1025">
        <v>49313</v>
      </c>
      <c r="O1025">
        <v>74562</v>
      </c>
      <c r="P1025" t="s">
        <v>1666</v>
      </c>
      <c r="Q1025" t="s">
        <v>61</v>
      </c>
      <c r="R1025" t="s">
        <v>48</v>
      </c>
      <c r="S1025" t="s">
        <v>49</v>
      </c>
      <c r="T1025">
        <v>4359.79</v>
      </c>
      <c r="U1025">
        <f t="shared" si="210"/>
        <v>977</v>
      </c>
      <c r="V1025">
        <f t="shared" si="211"/>
        <v>364</v>
      </c>
      <c r="W1025">
        <f t="shared" si="212"/>
        <v>303</v>
      </c>
      <c r="X1025">
        <f t="shared" si="213"/>
        <v>0.35149999999999998</v>
      </c>
      <c r="Y1025" s="1">
        <f t="shared" si="214"/>
        <v>50230227</v>
      </c>
      <c r="Z1025">
        <f t="shared" si="215"/>
        <v>51412.719549641763</v>
      </c>
      <c r="AA1025">
        <f t="shared" si="216"/>
        <v>99996</v>
      </c>
      <c r="AB1025">
        <f t="shared" si="217"/>
        <v>5091</v>
      </c>
      <c r="AC1025">
        <f t="shared" si="218"/>
        <v>1288627.2100000007</v>
      </c>
      <c r="AD1025">
        <f t="shared" si="219"/>
        <v>1318.9633674513825</v>
      </c>
      <c r="AE1025">
        <f t="shared" si="220"/>
        <v>0.35149999999999998</v>
      </c>
      <c r="AF1025">
        <f t="shared" si="221"/>
        <v>645009101.67000055</v>
      </c>
      <c r="AG1025" t="str">
        <f t="shared" si="222"/>
        <v>Active</v>
      </c>
      <c r="AH1025">
        <f t="shared" si="223"/>
        <v>52317.479999999996</v>
      </c>
    </row>
    <row r="1026" spans="1:34" x14ac:dyDescent="0.35">
      <c r="A1026" t="s">
        <v>2817</v>
      </c>
      <c r="B1026" t="s">
        <v>2818</v>
      </c>
      <c r="C1026">
        <v>38</v>
      </c>
      <c r="D1026" t="s">
        <v>22</v>
      </c>
      <c r="E1026" t="s">
        <v>23</v>
      </c>
      <c r="F1026" t="s">
        <v>24</v>
      </c>
      <c r="G1026">
        <v>151092</v>
      </c>
      <c r="H1026">
        <v>667</v>
      </c>
      <c r="I1026">
        <v>98666</v>
      </c>
      <c r="J1026">
        <v>19.989999999999998</v>
      </c>
      <c r="K1026">
        <v>180</v>
      </c>
      <c r="L1026" t="s">
        <v>52</v>
      </c>
      <c r="M1026">
        <v>15.06</v>
      </c>
      <c r="N1026">
        <v>21390</v>
      </c>
      <c r="O1026">
        <v>220727</v>
      </c>
      <c r="P1026" t="s">
        <v>2819</v>
      </c>
      <c r="Q1026" t="s">
        <v>42</v>
      </c>
      <c r="R1026" t="s">
        <v>48</v>
      </c>
      <c r="S1026" t="s">
        <v>68</v>
      </c>
      <c r="T1026">
        <v>657.72</v>
      </c>
      <c r="U1026">
        <f t="shared" ref="U1026:U1089" si="224">COUNTA(A1026:A3025)</f>
        <v>976</v>
      </c>
      <c r="V1026">
        <f t="shared" ref="V1026:V1089" si="225">COUNTIF(Q1026:Q3025,"APPROVED")</f>
        <v>364</v>
      </c>
      <c r="W1026">
        <f t="shared" ref="W1026:W1089" si="226">COUNTIF(Q1026:Q3026,"Rejected")</f>
        <v>302</v>
      </c>
      <c r="X1026">
        <f t="shared" ref="X1026:X1089" si="227">703/2000</f>
        <v>0.35149999999999998</v>
      </c>
      <c r="Y1026" s="1">
        <f t="shared" ref="Y1026:Y1089" si="228">SUM(I1026:I3025)</f>
        <v>50130679</v>
      </c>
      <c r="Z1026">
        <f t="shared" ref="Z1026:Z1089" si="229">AVERAGE(I1026:I21025)</f>
        <v>51363.4006147541</v>
      </c>
      <c r="AA1026">
        <f t="shared" ref="AA1026:AA1089" si="230">MAX(I1026:I3025)</f>
        <v>99996</v>
      </c>
      <c r="AB1026">
        <f t="shared" ref="AB1026:AB1089" si="231">MIN(I1026:I3025)</f>
        <v>5091</v>
      </c>
      <c r="AC1026">
        <f t="shared" ref="AC1026:AC1089" si="232">SUM(T1026:T3025)</f>
        <v>1284267.4200000004</v>
      </c>
      <c r="AD1026">
        <f t="shared" ref="AD1026:AD1089" si="233">AVERAGE(T1026:T3025)</f>
        <v>1315.847766393443</v>
      </c>
      <c r="AE1026">
        <f t="shared" ref="AE1026:AE1089" si="234">703/2000</f>
        <v>0.35149999999999998</v>
      </c>
      <c r="AF1026">
        <f t="shared" ref="AF1026:AF1089" si="235">SUM(AC1026:AC3025)</f>
        <v>643720474.46000051</v>
      </c>
      <c r="AG1026" t="str">
        <f t="shared" ref="AG1026:AG1089" si="236">IF(AH1026=0,"Bad", IF(AH1025&lt;I1025, "Active", IF(AH1025=I1025, "Good", "Over Paid")))</f>
        <v>Active</v>
      </c>
      <c r="AH1026">
        <f t="shared" ref="AH1026:AH1089" si="237">T1026*12</f>
        <v>7892.64</v>
      </c>
    </row>
    <row r="1027" spans="1:34" x14ac:dyDescent="0.35">
      <c r="A1027" t="s">
        <v>2820</v>
      </c>
      <c r="B1027" t="s">
        <v>2821</v>
      </c>
      <c r="C1027">
        <v>46</v>
      </c>
      <c r="D1027" t="s">
        <v>22</v>
      </c>
      <c r="E1027" t="s">
        <v>23</v>
      </c>
      <c r="F1027" t="s">
        <v>24</v>
      </c>
      <c r="G1027">
        <v>55091</v>
      </c>
      <c r="H1027">
        <v>578</v>
      </c>
      <c r="I1027">
        <v>37960</v>
      </c>
      <c r="J1027">
        <v>23.83</v>
      </c>
      <c r="K1027">
        <v>12</v>
      </c>
      <c r="L1027" t="s">
        <v>40</v>
      </c>
      <c r="M1027">
        <v>55.59</v>
      </c>
      <c r="N1027">
        <v>13336</v>
      </c>
      <c r="O1027">
        <v>25862</v>
      </c>
      <c r="P1027" t="s">
        <v>808</v>
      </c>
      <c r="Q1027" t="s">
        <v>61</v>
      </c>
      <c r="R1027" t="s">
        <v>28</v>
      </c>
      <c r="S1027" t="s">
        <v>35</v>
      </c>
      <c r="T1027">
        <v>3917.16</v>
      </c>
      <c r="U1027">
        <f t="shared" si="224"/>
        <v>975</v>
      </c>
      <c r="V1027">
        <f t="shared" si="225"/>
        <v>363</v>
      </c>
      <c r="W1027">
        <f t="shared" si="226"/>
        <v>302</v>
      </c>
      <c r="X1027">
        <f t="shared" si="227"/>
        <v>0.35149999999999998</v>
      </c>
      <c r="Y1027" s="1">
        <f t="shared" si="228"/>
        <v>50032013</v>
      </c>
      <c r="Z1027">
        <f t="shared" si="229"/>
        <v>51314.885128205126</v>
      </c>
      <c r="AA1027">
        <f t="shared" si="230"/>
        <v>99996</v>
      </c>
      <c r="AB1027">
        <f t="shared" si="231"/>
        <v>5091</v>
      </c>
      <c r="AC1027">
        <f t="shared" si="232"/>
        <v>1283609.7000000004</v>
      </c>
      <c r="AD1027">
        <f t="shared" si="233"/>
        <v>1316.5227692307697</v>
      </c>
      <c r="AE1027">
        <f t="shared" si="234"/>
        <v>0.35149999999999998</v>
      </c>
      <c r="AF1027">
        <f t="shared" si="235"/>
        <v>642436207.04000044</v>
      </c>
      <c r="AG1027" t="str">
        <f t="shared" si="236"/>
        <v>Active</v>
      </c>
      <c r="AH1027">
        <f t="shared" si="237"/>
        <v>47005.919999999998</v>
      </c>
    </row>
    <row r="1028" spans="1:34" x14ac:dyDescent="0.35">
      <c r="A1028" t="s">
        <v>2822</v>
      </c>
      <c r="B1028" t="s">
        <v>2823</v>
      </c>
      <c r="C1028">
        <v>21</v>
      </c>
      <c r="D1028" t="s">
        <v>22</v>
      </c>
      <c r="E1028" t="s">
        <v>39</v>
      </c>
      <c r="F1028" t="s">
        <v>59</v>
      </c>
      <c r="G1028">
        <v>99875</v>
      </c>
      <c r="H1028">
        <v>499</v>
      </c>
      <c r="I1028">
        <v>20707</v>
      </c>
      <c r="J1028">
        <v>6.6</v>
      </c>
      <c r="K1028">
        <v>120</v>
      </c>
      <c r="L1028" t="s">
        <v>25</v>
      </c>
      <c r="M1028">
        <v>12.49</v>
      </c>
      <c r="N1028">
        <v>61429</v>
      </c>
      <c r="O1028">
        <v>216070</v>
      </c>
      <c r="P1028" t="s">
        <v>963</v>
      </c>
      <c r="Q1028" t="s">
        <v>42</v>
      </c>
      <c r="R1028" t="s">
        <v>48</v>
      </c>
      <c r="S1028" t="s">
        <v>43</v>
      </c>
      <c r="T1028">
        <v>183.95</v>
      </c>
      <c r="U1028">
        <f t="shared" si="224"/>
        <v>974</v>
      </c>
      <c r="V1028">
        <f t="shared" si="225"/>
        <v>363</v>
      </c>
      <c r="W1028">
        <f t="shared" si="226"/>
        <v>301</v>
      </c>
      <c r="X1028">
        <f t="shared" si="227"/>
        <v>0.35149999999999998</v>
      </c>
      <c r="Y1028" s="1">
        <f t="shared" si="228"/>
        <v>49994053</v>
      </c>
      <c r="Z1028">
        <f t="shared" si="229"/>
        <v>51328.596509240248</v>
      </c>
      <c r="AA1028">
        <f t="shared" si="230"/>
        <v>99996</v>
      </c>
      <c r="AB1028">
        <f t="shared" si="231"/>
        <v>5091</v>
      </c>
      <c r="AC1028">
        <f t="shared" si="232"/>
        <v>1279692.5400000003</v>
      </c>
      <c r="AD1028">
        <f t="shared" si="233"/>
        <v>1313.8527104722796</v>
      </c>
      <c r="AE1028">
        <f t="shared" si="234"/>
        <v>0.35149999999999998</v>
      </c>
      <c r="AF1028">
        <f t="shared" si="235"/>
        <v>641152597.34000039</v>
      </c>
      <c r="AG1028" t="str">
        <f t="shared" si="236"/>
        <v>Over Paid</v>
      </c>
      <c r="AH1028">
        <f t="shared" si="237"/>
        <v>2207.3999999999996</v>
      </c>
    </row>
    <row r="1029" spans="1:34" x14ac:dyDescent="0.35">
      <c r="A1029" t="s">
        <v>2824</v>
      </c>
      <c r="B1029" t="s">
        <v>2825</v>
      </c>
      <c r="C1029">
        <v>62</v>
      </c>
      <c r="D1029" t="s">
        <v>22</v>
      </c>
      <c r="E1029" t="s">
        <v>39</v>
      </c>
      <c r="F1029" t="s">
        <v>59</v>
      </c>
      <c r="G1029">
        <v>26709</v>
      </c>
      <c r="H1029">
        <v>659</v>
      </c>
      <c r="I1029">
        <v>82340</v>
      </c>
      <c r="J1029">
        <v>15.56</v>
      </c>
      <c r="K1029">
        <v>120</v>
      </c>
      <c r="L1029" t="s">
        <v>33</v>
      </c>
      <c r="M1029">
        <v>24.68</v>
      </c>
      <c r="N1029">
        <v>46503</v>
      </c>
      <c r="O1029">
        <v>137153</v>
      </c>
      <c r="P1029" t="s">
        <v>144</v>
      </c>
      <c r="Q1029" t="s">
        <v>42</v>
      </c>
      <c r="R1029" t="s">
        <v>48</v>
      </c>
      <c r="S1029" t="s">
        <v>68</v>
      </c>
      <c r="T1029">
        <v>792.93</v>
      </c>
      <c r="U1029">
        <f t="shared" si="224"/>
        <v>973</v>
      </c>
      <c r="V1029">
        <f t="shared" si="225"/>
        <v>362</v>
      </c>
      <c r="W1029">
        <f t="shared" si="226"/>
        <v>301</v>
      </c>
      <c r="X1029">
        <f t="shared" si="227"/>
        <v>0.35149999999999998</v>
      </c>
      <c r="Y1029" s="1">
        <f t="shared" si="228"/>
        <v>49973346</v>
      </c>
      <c r="Z1029">
        <f t="shared" si="229"/>
        <v>51360.067831449123</v>
      </c>
      <c r="AA1029">
        <f t="shared" si="230"/>
        <v>99996</v>
      </c>
      <c r="AB1029">
        <f t="shared" si="231"/>
        <v>5091</v>
      </c>
      <c r="AC1029">
        <f t="shared" si="232"/>
        <v>1279508.5900000003</v>
      </c>
      <c r="AD1029">
        <f t="shared" si="233"/>
        <v>1315.0139671120251</v>
      </c>
      <c r="AE1029">
        <f t="shared" si="234"/>
        <v>0.35149999999999998</v>
      </c>
      <c r="AF1029">
        <f t="shared" si="235"/>
        <v>639872904.80000055</v>
      </c>
      <c r="AG1029" t="str">
        <f t="shared" si="236"/>
        <v>Active</v>
      </c>
      <c r="AH1029">
        <f t="shared" si="237"/>
        <v>9515.16</v>
      </c>
    </row>
    <row r="1030" spans="1:34" x14ac:dyDescent="0.35">
      <c r="A1030" t="s">
        <v>2826</v>
      </c>
      <c r="B1030" t="s">
        <v>2827</v>
      </c>
      <c r="C1030">
        <v>56</v>
      </c>
      <c r="D1030" t="s">
        <v>38</v>
      </c>
      <c r="E1030" t="s">
        <v>23</v>
      </c>
      <c r="F1030" t="s">
        <v>24</v>
      </c>
      <c r="G1030">
        <v>148036</v>
      </c>
      <c r="H1030">
        <v>353</v>
      </c>
      <c r="I1030">
        <v>25443</v>
      </c>
      <c r="J1030">
        <v>4.43</v>
      </c>
      <c r="K1030">
        <v>12</v>
      </c>
      <c r="L1030" t="s">
        <v>52</v>
      </c>
      <c r="M1030">
        <v>16.54</v>
      </c>
      <c r="N1030">
        <v>76668</v>
      </c>
      <c r="O1030">
        <v>117095</v>
      </c>
      <c r="P1030" t="s">
        <v>2828</v>
      </c>
      <c r="Q1030" t="s">
        <v>42</v>
      </c>
      <c r="R1030" t="s">
        <v>48</v>
      </c>
      <c r="S1030" t="s">
        <v>49</v>
      </c>
      <c r="T1030">
        <v>2214.1799999999998</v>
      </c>
      <c r="U1030">
        <f t="shared" si="224"/>
        <v>972</v>
      </c>
      <c r="V1030">
        <f t="shared" si="225"/>
        <v>361</v>
      </c>
      <c r="W1030">
        <f t="shared" si="226"/>
        <v>301</v>
      </c>
      <c r="X1030">
        <f t="shared" si="227"/>
        <v>0.35149999999999998</v>
      </c>
      <c r="Y1030" s="1">
        <f t="shared" si="228"/>
        <v>49891006</v>
      </c>
      <c r="Z1030">
        <f t="shared" si="229"/>
        <v>51328.195473251028</v>
      </c>
      <c r="AA1030">
        <f t="shared" si="230"/>
        <v>99996</v>
      </c>
      <c r="AB1030">
        <f t="shared" si="231"/>
        <v>5091</v>
      </c>
      <c r="AC1030">
        <f t="shared" si="232"/>
        <v>1278715.6600000001</v>
      </c>
      <c r="AD1030">
        <f t="shared" si="233"/>
        <v>1315.5510905349795</v>
      </c>
      <c r="AE1030">
        <f t="shared" si="234"/>
        <v>0.35149999999999998</v>
      </c>
      <c r="AF1030">
        <f t="shared" si="235"/>
        <v>638593396.2100004</v>
      </c>
      <c r="AG1030" t="str">
        <f t="shared" si="236"/>
        <v>Active</v>
      </c>
      <c r="AH1030">
        <f t="shared" si="237"/>
        <v>26570.159999999996</v>
      </c>
    </row>
    <row r="1031" spans="1:34" x14ac:dyDescent="0.35">
      <c r="A1031" t="s">
        <v>2829</v>
      </c>
      <c r="B1031" t="s">
        <v>2830</v>
      </c>
      <c r="C1031">
        <v>27</v>
      </c>
      <c r="D1031" t="s">
        <v>38</v>
      </c>
      <c r="E1031" t="s">
        <v>32</v>
      </c>
      <c r="F1031" t="s">
        <v>46</v>
      </c>
      <c r="G1031">
        <v>135189</v>
      </c>
      <c r="H1031">
        <v>597</v>
      </c>
      <c r="I1031">
        <v>75659</v>
      </c>
      <c r="J1031">
        <v>13.03</v>
      </c>
      <c r="K1031">
        <v>48</v>
      </c>
      <c r="L1031" t="s">
        <v>86</v>
      </c>
      <c r="M1031">
        <v>57.01</v>
      </c>
      <c r="N1031">
        <v>9140</v>
      </c>
      <c r="O1031">
        <v>142001</v>
      </c>
      <c r="P1031" t="s">
        <v>2784</v>
      </c>
      <c r="Q1031" t="s">
        <v>61</v>
      </c>
      <c r="R1031" t="s">
        <v>28</v>
      </c>
      <c r="S1031" t="s">
        <v>43</v>
      </c>
      <c r="T1031">
        <v>1781.61</v>
      </c>
      <c r="U1031">
        <f t="shared" si="224"/>
        <v>971</v>
      </c>
      <c r="V1031">
        <f t="shared" si="225"/>
        <v>360</v>
      </c>
      <c r="W1031">
        <f t="shared" si="226"/>
        <v>301</v>
      </c>
      <c r="X1031">
        <f t="shared" si="227"/>
        <v>0.35149999999999998</v>
      </c>
      <c r="Y1031" s="1">
        <f t="shared" si="228"/>
        <v>49865563</v>
      </c>
      <c r="Z1031">
        <f t="shared" si="229"/>
        <v>51354.853759011326</v>
      </c>
      <c r="AA1031">
        <f t="shared" si="230"/>
        <v>99996</v>
      </c>
      <c r="AB1031">
        <f t="shared" si="231"/>
        <v>5091</v>
      </c>
      <c r="AC1031">
        <f t="shared" si="232"/>
        <v>1276501.4800000002</v>
      </c>
      <c r="AD1031">
        <f t="shared" si="233"/>
        <v>1314.6256230690012</v>
      </c>
      <c r="AE1031">
        <f t="shared" si="234"/>
        <v>0.35149999999999998</v>
      </c>
      <c r="AF1031">
        <f t="shared" si="235"/>
        <v>637314680.55000031</v>
      </c>
      <c r="AG1031" t="str">
        <f t="shared" si="236"/>
        <v>Over Paid</v>
      </c>
      <c r="AH1031">
        <f t="shared" si="237"/>
        <v>21379.32</v>
      </c>
    </row>
    <row r="1032" spans="1:34" x14ac:dyDescent="0.35">
      <c r="A1032" t="s">
        <v>2831</v>
      </c>
      <c r="B1032" t="s">
        <v>2832</v>
      </c>
      <c r="C1032">
        <v>39</v>
      </c>
      <c r="D1032" t="s">
        <v>22</v>
      </c>
      <c r="E1032" t="s">
        <v>32</v>
      </c>
      <c r="F1032" t="s">
        <v>59</v>
      </c>
      <c r="G1032">
        <v>118761</v>
      </c>
      <c r="H1032">
        <v>402</v>
      </c>
      <c r="I1032">
        <v>33975</v>
      </c>
      <c r="J1032">
        <v>14.25</v>
      </c>
      <c r="K1032">
        <v>240</v>
      </c>
      <c r="L1032" t="s">
        <v>52</v>
      </c>
      <c r="M1032">
        <v>37.08</v>
      </c>
      <c r="N1032">
        <v>39168</v>
      </c>
      <c r="O1032">
        <v>212351</v>
      </c>
      <c r="P1032" t="s">
        <v>1046</v>
      </c>
      <c r="Q1032" t="s">
        <v>61</v>
      </c>
      <c r="R1032" t="s">
        <v>48</v>
      </c>
      <c r="S1032" t="s">
        <v>35</v>
      </c>
      <c r="T1032">
        <v>161.74</v>
      </c>
      <c r="U1032">
        <f t="shared" si="224"/>
        <v>970</v>
      </c>
      <c r="V1032">
        <f t="shared" si="225"/>
        <v>360</v>
      </c>
      <c r="W1032">
        <f t="shared" si="226"/>
        <v>300</v>
      </c>
      <c r="X1032">
        <f t="shared" si="227"/>
        <v>0.35149999999999998</v>
      </c>
      <c r="Y1032" s="1">
        <f t="shared" si="228"/>
        <v>49789904</v>
      </c>
      <c r="Z1032">
        <f t="shared" si="229"/>
        <v>51329.797938144329</v>
      </c>
      <c r="AA1032">
        <f t="shared" si="230"/>
        <v>99996</v>
      </c>
      <c r="AB1032">
        <f t="shared" si="231"/>
        <v>5091</v>
      </c>
      <c r="AC1032">
        <f t="shared" si="232"/>
        <v>1274719.8700000001</v>
      </c>
      <c r="AD1032">
        <f t="shared" si="233"/>
        <v>1314.1441958762887</v>
      </c>
      <c r="AE1032">
        <f t="shared" si="234"/>
        <v>0.35149999999999998</v>
      </c>
      <c r="AF1032">
        <f t="shared" si="235"/>
        <v>636038179.07000041</v>
      </c>
      <c r="AG1032" t="str">
        <f t="shared" si="236"/>
        <v>Active</v>
      </c>
      <c r="AH1032">
        <f t="shared" si="237"/>
        <v>1940.88</v>
      </c>
    </row>
    <row r="1033" spans="1:34" x14ac:dyDescent="0.35">
      <c r="A1033" t="s">
        <v>2833</v>
      </c>
      <c r="B1033" t="s">
        <v>2834</v>
      </c>
      <c r="C1033">
        <v>35</v>
      </c>
      <c r="D1033" t="s">
        <v>38</v>
      </c>
      <c r="E1033" t="s">
        <v>39</v>
      </c>
      <c r="F1033" t="s">
        <v>24</v>
      </c>
      <c r="G1033">
        <v>95232</v>
      </c>
      <c r="H1033">
        <v>604</v>
      </c>
      <c r="I1033">
        <v>7831</v>
      </c>
      <c r="J1033">
        <v>16.25</v>
      </c>
      <c r="K1033">
        <v>60</v>
      </c>
      <c r="L1033" t="s">
        <v>52</v>
      </c>
      <c r="M1033">
        <v>15.29</v>
      </c>
      <c r="N1033">
        <v>49673</v>
      </c>
      <c r="O1033">
        <v>194784</v>
      </c>
      <c r="P1033" t="s">
        <v>693</v>
      </c>
      <c r="Q1033" t="s">
        <v>42</v>
      </c>
      <c r="R1033" t="s">
        <v>28</v>
      </c>
      <c r="S1033" t="s">
        <v>68</v>
      </c>
      <c r="T1033">
        <v>151.72999999999999</v>
      </c>
      <c r="U1033">
        <f t="shared" si="224"/>
        <v>969</v>
      </c>
      <c r="V1033">
        <f t="shared" si="225"/>
        <v>360</v>
      </c>
      <c r="W1033">
        <f t="shared" si="226"/>
        <v>299</v>
      </c>
      <c r="X1033">
        <f t="shared" si="227"/>
        <v>0.35149999999999998</v>
      </c>
      <c r="Y1033" s="1">
        <f t="shared" si="228"/>
        <v>49755929</v>
      </c>
      <c r="Z1033">
        <f t="shared" si="229"/>
        <v>51347.707946336428</v>
      </c>
      <c r="AA1033">
        <f t="shared" si="230"/>
        <v>99996</v>
      </c>
      <c r="AB1033">
        <f t="shared" si="231"/>
        <v>5091</v>
      </c>
      <c r="AC1033">
        <f t="shared" si="232"/>
        <v>1274558.1300000001</v>
      </c>
      <c r="AD1033">
        <f t="shared" si="233"/>
        <v>1315.3334674922603</v>
      </c>
      <c r="AE1033">
        <f t="shared" si="234"/>
        <v>0.35149999999999998</v>
      </c>
      <c r="AF1033">
        <f t="shared" si="235"/>
        <v>634763459.20000041</v>
      </c>
      <c r="AG1033" t="str">
        <f t="shared" si="236"/>
        <v>Active</v>
      </c>
      <c r="AH1033">
        <f t="shared" si="237"/>
        <v>1820.7599999999998</v>
      </c>
    </row>
    <row r="1034" spans="1:34" x14ac:dyDescent="0.35">
      <c r="A1034" t="s">
        <v>2835</v>
      </c>
      <c r="B1034" t="s">
        <v>2836</v>
      </c>
      <c r="C1034">
        <v>33</v>
      </c>
      <c r="D1034" t="s">
        <v>22</v>
      </c>
      <c r="E1034" t="s">
        <v>23</v>
      </c>
      <c r="F1034" t="s">
        <v>24</v>
      </c>
      <c r="G1034">
        <v>166903</v>
      </c>
      <c r="H1034">
        <v>541</v>
      </c>
      <c r="I1034">
        <v>50070</v>
      </c>
      <c r="J1034">
        <v>18.38</v>
      </c>
      <c r="K1034">
        <v>48</v>
      </c>
      <c r="L1034" t="s">
        <v>52</v>
      </c>
      <c r="M1034">
        <v>6.45</v>
      </c>
      <c r="N1034">
        <v>70625</v>
      </c>
      <c r="O1034">
        <v>105362</v>
      </c>
      <c r="P1034" t="s">
        <v>2837</v>
      </c>
      <c r="Q1034" t="s">
        <v>27</v>
      </c>
      <c r="R1034" t="s">
        <v>48</v>
      </c>
      <c r="S1034" t="s">
        <v>49</v>
      </c>
      <c r="T1034">
        <v>1234.8499999999999</v>
      </c>
      <c r="U1034">
        <f t="shared" si="224"/>
        <v>968</v>
      </c>
      <c r="V1034">
        <f t="shared" si="225"/>
        <v>359</v>
      </c>
      <c r="W1034">
        <f t="shared" si="226"/>
        <v>299</v>
      </c>
      <c r="X1034">
        <f t="shared" si="227"/>
        <v>0.35149999999999998</v>
      </c>
      <c r="Y1034" s="1">
        <f t="shared" si="228"/>
        <v>49748098</v>
      </c>
      <c r="Z1034">
        <f t="shared" si="229"/>
        <v>51392.663223140495</v>
      </c>
      <c r="AA1034">
        <f t="shared" si="230"/>
        <v>99996</v>
      </c>
      <c r="AB1034">
        <f t="shared" si="231"/>
        <v>5091</v>
      </c>
      <c r="AC1034">
        <f t="shared" si="232"/>
        <v>1274406.4000000001</v>
      </c>
      <c r="AD1034">
        <f t="shared" si="233"/>
        <v>1316.5355371900828</v>
      </c>
      <c r="AE1034">
        <f t="shared" si="234"/>
        <v>0.35149999999999998</v>
      </c>
      <c r="AF1034">
        <f t="shared" si="235"/>
        <v>633488901.07000029</v>
      </c>
      <c r="AG1034" t="str">
        <f t="shared" si="236"/>
        <v>Active</v>
      </c>
      <c r="AH1034">
        <f t="shared" si="237"/>
        <v>14818.199999999999</v>
      </c>
    </row>
    <row r="1035" spans="1:34" x14ac:dyDescent="0.35">
      <c r="A1035" t="s">
        <v>2838</v>
      </c>
      <c r="B1035" t="s">
        <v>2839</v>
      </c>
      <c r="C1035">
        <v>36</v>
      </c>
      <c r="D1035" t="s">
        <v>38</v>
      </c>
      <c r="E1035" t="s">
        <v>39</v>
      </c>
      <c r="F1035" t="s">
        <v>59</v>
      </c>
      <c r="G1035">
        <v>37832</v>
      </c>
      <c r="H1035">
        <v>631</v>
      </c>
      <c r="I1035">
        <v>8547</v>
      </c>
      <c r="J1035">
        <v>22.24</v>
      </c>
      <c r="K1035">
        <v>240</v>
      </c>
      <c r="L1035" t="s">
        <v>25</v>
      </c>
      <c r="M1035">
        <v>33.14</v>
      </c>
      <c r="N1035">
        <v>54511</v>
      </c>
      <c r="O1035">
        <v>124307</v>
      </c>
      <c r="P1035" t="s">
        <v>2840</v>
      </c>
      <c r="Q1035" t="s">
        <v>42</v>
      </c>
      <c r="R1035" t="s">
        <v>48</v>
      </c>
      <c r="S1035" t="s">
        <v>49</v>
      </c>
      <c r="T1035">
        <v>43.53</v>
      </c>
      <c r="U1035">
        <f t="shared" si="224"/>
        <v>967</v>
      </c>
      <c r="V1035">
        <f t="shared" si="225"/>
        <v>359</v>
      </c>
      <c r="W1035">
        <f t="shared" si="226"/>
        <v>299</v>
      </c>
      <c r="X1035">
        <f t="shared" si="227"/>
        <v>0.35149999999999998</v>
      </c>
      <c r="Y1035" s="1">
        <f t="shared" si="228"/>
        <v>49698028</v>
      </c>
      <c r="Z1035">
        <f t="shared" si="229"/>
        <v>51394.031023784904</v>
      </c>
      <c r="AA1035">
        <f t="shared" si="230"/>
        <v>99996</v>
      </c>
      <c r="AB1035">
        <f t="shared" si="231"/>
        <v>5091</v>
      </c>
      <c r="AC1035">
        <f t="shared" si="232"/>
        <v>1273171.5500000003</v>
      </c>
      <c r="AD1035">
        <f t="shared" si="233"/>
        <v>1316.6200103412618</v>
      </c>
      <c r="AE1035">
        <f t="shared" si="234"/>
        <v>0.35149999999999998</v>
      </c>
      <c r="AF1035">
        <f t="shared" si="235"/>
        <v>632214494.6700002</v>
      </c>
      <c r="AG1035" t="str">
        <f t="shared" si="236"/>
        <v>Active</v>
      </c>
      <c r="AH1035">
        <f t="shared" si="237"/>
        <v>522.36</v>
      </c>
    </row>
    <row r="1036" spans="1:34" x14ac:dyDescent="0.35">
      <c r="A1036" t="s">
        <v>2841</v>
      </c>
      <c r="B1036" t="s">
        <v>2842</v>
      </c>
      <c r="C1036">
        <v>54</v>
      </c>
      <c r="D1036" t="s">
        <v>38</v>
      </c>
      <c r="E1036" t="s">
        <v>23</v>
      </c>
      <c r="F1036" t="s">
        <v>46</v>
      </c>
      <c r="G1036">
        <v>189272</v>
      </c>
      <c r="H1036">
        <v>466</v>
      </c>
      <c r="I1036">
        <v>78154</v>
      </c>
      <c r="J1036">
        <v>15.65</v>
      </c>
      <c r="K1036">
        <v>120</v>
      </c>
      <c r="L1036" t="s">
        <v>40</v>
      </c>
      <c r="M1036">
        <v>37.729999999999997</v>
      </c>
      <c r="N1036">
        <v>74290</v>
      </c>
      <c r="O1036">
        <v>143826</v>
      </c>
      <c r="P1036" t="s">
        <v>2843</v>
      </c>
      <c r="Q1036" t="s">
        <v>42</v>
      </c>
      <c r="R1036" t="s">
        <v>48</v>
      </c>
      <c r="S1036" t="s">
        <v>29</v>
      </c>
      <c r="T1036">
        <v>753.21</v>
      </c>
      <c r="U1036">
        <f t="shared" si="224"/>
        <v>966</v>
      </c>
      <c r="V1036">
        <f t="shared" si="225"/>
        <v>358</v>
      </c>
      <c r="W1036">
        <f t="shared" si="226"/>
        <v>299</v>
      </c>
      <c r="X1036">
        <f t="shared" si="227"/>
        <v>0.35149999999999998</v>
      </c>
      <c r="Y1036" s="1">
        <f t="shared" si="228"/>
        <v>49689481</v>
      </c>
      <c r="Z1036">
        <f t="shared" si="229"/>
        <v>51438.386128364393</v>
      </c>
      <c r="AA1036">
        <f t="shared" si="230"/>
        <v>99996</v>
      </c>
      <c r="AB1036">
        <f t="shared" si="231"/>
        <v>5091</v>
      </c>
      <c r="AC1036">
        <f t="shared" si="232"/>
        <v>1273128.0200000003</v>
      </c>
      <c r="AD1036">
        <f t="shared" si="233"/>
        <v>1317.9379089026918</v>
      </c>
      <c r="AE1036">
        <f t="shared" si="234"/>
        <v>0.35149999999999998</v>
      </c>
      <c r="AF1036">
        <f t="shared" si="235"/>
        <v>630941323.12000012</v>
      </c>
      <c r="AG1036" t="str">
        <f t="shared" si="236"/>
        <v>Active</v>
      </c>
      <c r="AH1036">
        <f t="shared" si="237"/>
        <v>9038.52</v>
      </c>
    </row>
    <row r="1037" spans="1:34" x14ac:dyDescent="0.35">
      <c r="A1037" t="s">
        <v>2844</v>
      </c>
      <c r="B1037" t="s">
        <v>2845</v>
      </c>
      <c r="C1037">
        <v>58</v>
      </c>
      <c r="D1037" t="s">
        <v>38</v>
      </c>
      <c r="E1037" t="s">
        <v>39</v>
      </c>
      <c r="F1037" t="s">
        <v>59</v>
      </c>
      <c r="G1037">
        <v>35826</v>
      </c>
      <c r="H1037">
        <v>335</v>
      </c>
      <c r="I1037">
        <v>59493</v>
      </c>
      <c r="J1037">
        <v>12.6</v>
      </c>
      <c r="K1037">
        <v>36</v>
      </c>
      <c r="L1037" t="s">
        <v>40</v>
      </c>
      <c r="M1037">
        <v>51.66</v>
      </c>
      <c r="N1037">
        <v>33381</v>
      </c>
      <c r="O1037">
        <v>20709</v>
      </c>
      <c r="P1037" t="s">
        <v>1945</v>
      </c>
      <c r="Q1037" t="s">
        <v>27</v>
      </c>
      <c r="R1037" t="s">
        <v>48</v>
      </c>
      <c r="S1037" t="s">
        <v>49</v>
      </c>
      <c r="T1037">
        <v>1860.81</v>
      </c>
      <c r="U1037">
        <f t="shared" si="224"/>
        <v>965</v>
      </c>
      <c r="V1037">
        <f t="shared" si="225"/>
        <v>357</v>
      </c>
      <c r="W1037">
        <f t="shared" si="226"/>
        <v>299</v>
      </c>
      <c r="X1037">
        <f t="shared" si="227"/>
        <v>0.35149999999999998</v>
      </c>
      <c r="Y1037" s="1">
        <f t="shared" si="228"/>
        <v>49611327</v>
      </c>
      <c r="Z1037">
        <f t="shared" si="229"/>
        <v>51410.701554404142</v>
      </c>
      <c r="AA1037">
        <f t="shared" si="230"/>
        <v>99996</v>
      </c>
      <c r="AB1037">
        <f t="shared" si="231"/>
        <v>5091</v>
      </c>
      <c r="AC1037">
        <f t="shared" si="232"/>
        <v>1272374.8100000003</v>
      </c>
      <c r="AD1037">
        <f t="shared" si="233"/>
        <v>1318.5231191709847</v>
      </c>
      <c r="AE1037">
        <f t="shared" si="234"/>
        <v>0.35149999999999998</v>
      </c>
      <c r="AF1037">
        <f t="shared" si="235"/>
        <v>629668195.10000026</v>
      </c>
      <c r="AG1037" t="str">
        <f t="shared" si="236"/>
        <v>Active</v>
      </c>
      <c r="AH1037">
        <f t="shared" si="237"/>
        <v>22329.72</v>
      </c>
    </row>
    <row r="1038" spans="1:34" x14ac:dyDescent="0.35">
      <c r="A1038" t="s">
        <v>2846</v>
      </c>
      <c r="B1038" t="s">
        <v>2847</v>
      </c>
      <c r="C1038">
        <v>62</v>
      </c>
      <c r="D1038" t="s">
        <v>38</v>
      </c>
      <c r="E1038" t="s">
        <v>23</v>
      </c>
      <c r="F1038" t="s">
        <v>59</v>
      </c>
      <c r="G1038">
        <v>179612</v>
      </c>
      <c r="H1038">
        <v>690</v>
      </c>
      <c r="I1038">
        <v>89746</v>
      </c>
      <c r="J1038">
        <v>16.190000000000001</v>
      </c>
      <c r="K1038">
        <v>24</v>
      </c>
      <c r="L1038" t="s">
        <v>86</v>
      </c>
      <c r="M1038">
        <v>54.42</v>
      </c>
      <c r="N1038">
        <v>57229</v>
      </c>
      <c r="O1038">
        <v>1934</v>
      </c>
      <c r="P1038" t="s">
        <v>1051</v>
      </c>
      <c r="Q1038" t="s">
        <v>61</v>
      </c>
      <c r="R1038" t="s">
        <v>48</v>
      </c>
      <c r="S1038" t="s">
        <v>35</v>
      </c>
      <c r="T1038">
        <v>4344.83</v>
      </c>
      <c r="U1038">
        <f t="shared" si="224"/>
        <v>964</v>
      </c>
      <c r="V1038">
        <f t="shared" si="225"/>
        <v>357</v>
      </c>
      <c r="W1038">
        <f t="shared" si="226"/>
        <v>299</v>
      </c>
      <c r="X1038">
        <f t="shared" si="227"/>
        <v>0.35149999999999998</v>
      </c>
      <c r="Y1038" s="1">
        <f t="shared" si="228"/>
        <v>49551834</v>
      </c>
      <c r="Z1038">
        <f t="shared" si="229"/>
        <v>51402.317427385889</v>
      </c>
      <c r="AA1038">
        <f t="shared" si="230"/>
        <v>99996</v>
      </c>
      <c r="AB1038">
        <f t="shared" si="231"/>
        <v>5091</v>
      </c>
      <c r="AC1038">
        <f t="shared" si="232"/>
        <v>1270514.0000000002</v>
      </c>
      <c r="AD1038">
        <f t="shared" si="233"/>
        <v>1317.9605809128634</v>
      </c>
      <c r="AE1038">
        <f t="shared" si="234"/>
        <v>0.35149999999999998</v>
      </c>
      <c r="AF1038">
        <f t="shared" si="235"/>
        <v>628395820.29000032</v>
      </c>
      <c r="AG1038" t="str">
        <f t="shared" si="236"/>
        <v>Active</v>
      </c>
      <c r="AH1038">
        <f t="shared" si="237"/>
        <v>52137.96</v>
      </c>
    </row>
    <row r="1039" spans="1:34" x14ac:dyDescent="0.35">
      <c r="A1039" t="s">
        <v>2848</v>
      </c>
      <c r="B1039" t="s">
        <v>2849</v>
      </c>
      <c r="C1039">
        <v>26</v>
      </c>
      <c r="D1039" t="s">
        <v>38</v>
      </c>
      <c r="E1039" t="s">
        <v>39</v>
      </c>
      <c r="F1039" t="s">
        <v>24</v>
      </c>
      <c r="G1039">
        <v>112341</v>
      </c>
      <c r="H1039">
        <v>686</v>
      </c>
      <c r="I1039">
        <v>86527</v>
      </c>
      <c r="J1039">
        <v>11.9</v>
      </c>
      <c r="K1039">
        <v>36</v>
      </c>
      <c r="L1039" t="s">
        <v>52</v>
      </c>
      <c r="M1039">
        <v>50.03</v>
      </c>
      <c r="N1039">
        <v>23686</v>
      </c>
      <c r="O1039">
        <v>76720</v>
      </c>
      <c r="P1039" t="s">
        <v>2220</v>
      </c>
      <c r="Q1039" t="s">
        <v>42</v>
      </c>
      <c r="R1039" t="s">
        <v>28</v>
      </c>
      <c r="S1039" t="s">
        <v>43</v>
      </c>
      <c r="T1039">
        <v>2689.55</v>
      </c>
      <c r="U1039">
        <f t="shared" si="224"/>
        <v>963</v>
      </c>
      <c r="V1039">
        <f t="shared" si="225"/>
        <v>357</v>
      </c>
      <c r="W1039">
        <f t="shared" si="226"/>
        <v>298</v>
      </c>
      <c r="X1039">
        <f t="shared" si="227"/>
        <v>0.35149999999999998</v>
      </c>
      <c r="Y1039" s="1">
        <f t="shared" si="228"/>
        <v>49462088</v>
      </c>
      <c r="Z1039">
        <f t="shared" si="229"/>
        <v>51362.5005192108</v>
      </c>
      <c r="AA1039">
        <f t="shared" si="230"/>
        <v>99996</v>
      </c>
      <c r="AB1039">
        <f t="shared" si="231"/>
        <v>5091</v>
      </c>
      <c r="AC1039">
        <f t="shared" si="232"/>
        <v>1266169.1700000004</v>
      </c>
      <c r="AD1039">
        <f t="shared" si="233"/>
        <v>1314.8174143302185</v>
      </c>
      <c r="AE1039">
        <f t="shared" si="234"/>
        <v>0.35149999999999998</v>
      </c>
      <c r="AF1039">
        <f t="shared" si="235"/>
        <v>627125306.29000008</v>
      </c>
      <c r="AG1039" t="str">
        <f t="shared" si="236"/>
        <v>Active</v>
      </c>
      <c r="AH1039">
        <f t="shared" si="237"/>
        <v>32274.600000000002</v>
      </c>
    </row>
    <row r="1040" spans="1:34" x14ac:dyDescent="0.35">
      <c r="A1040" t="s">
        <v>2850</v>
      </c>
      <c r="B1040" t="s">
        <v>2851</v>
      </c>
      <c r="C1040">
        <v>22</v>
      </c>
      <c r="D1040" t="s">
        <v>22</v>
      </c>
      <c r="E1040" t="s">
        <v>23</v>
      </c>
      <c r="F1040" t="s">
        <v>46</v>
      </c>
      <c r="G1040">
        <v>54975</v>
      </c>
      <c r="H1040">
        <v>316</v>
      </c>
      <c r="I1040">
        <v>91076</v>
      </c>
      <c r="J1040">
        <v>11.75</v>
      </c>
      <c r="K1040">
        <v>36</v>
      </c>
      <c r="L1040" t="s">
        <v>86</v>
      </c>
      <c r="M1040">
        <v>17.91</v>
      </c>
      <c r="N1040">
        <v>48226</v>
      </c>
      <c r="O1040">
        <v>87218</v>
      </c>
      <c r="P1040" t="s">
        <v>2710</v>
      </c>
      <c r="Q1040" t="s">
        <v>42</v>
      </c>
      <c r="R1040" t="s">
        <v>48</v>
      </c>
      <c r="S1040" t="s">
        <v>29</v>
      </c>
      <c r="T1040">
        <v>2827.15</v>
      </c>
      <c r="U1040">
        <f t="shared" si="224"/>
        <v>962</v>
      </c>
      <c r="V1040">
        <f t="shared" si="225"/>
        <v>356</v>
      </c>
      <c r="W1040">
        <f t="shared" si="226"/>
        <v>298</v>
      </c>
      <c r="X1040">
        <f t="shared" si="227"/>
        <v>0.35149999999999998</v>
      </c>
      <c r="Y1040" s="1">
        <f t="shared" si="228"/>
        <v>49375561</v>
      </c>
      <c r="Z1040">
        <f t="shared" si="229"/>
        <v>51325.946985446986</v>
      </c>
      <c r="AA1040">
        <f t="shared" si="230"/>
        <v>99996</v>
      </c>
      <c r="AB1040">
        <f t="shared" si="231"/>
        <v>5091</v>
      </c>
      <c r="AC1040">
        <f t="shared" si="232"/>
        <v>1263479.6200000003</v>
      </c>
      <c r="AD1040">
        <f t="shared" si="233"/>
        <v>1313.3883783783788</v>
      </c>
      <c r="AE1040">
        <f t="shared" si="234"/>
        <v>0.35149999999999998</v>
      </c>
      <c r="AF1040">
        <f t="shared" si="235"/>
        <v>625859137.12000012</v>
      </c>
      <c r="AG1040" t="str">
        <f t="shared" si="236"/>
        <v>Active</v>
      </c>
      <c r="AH1040">
        <f t="shared" si="237"/>
        <v>33925.800000000003</v>
      </c>
    </row>
    <row r="1041" spans="1:34" x14ac:dyDescent="0.35">
      <c r="A1041" t="s">
        <v>2852</v>
      </c>
      <c r="B1041" t="s">
        <v>2853</v>
      </c>
      <c r="C1041">
        <v>44</v>
      </c>
      <c r="D1041" t="s">
        <v>22</v>
      </c>
      <c r="E1041" t="s">
        <v>39</v>
      </c>
      <c r="F1041" t="s">
        <v>24</v>
      </c>
      <c r="G1041">
        <v>87833</v>
      </c>
      <c r="H1041">
        <v>598</v>
      </c>
      <c r="I1041">
        <v>33842</v>
      </c>
      <c r="J1041">
        <v>5.5</v>
      </c>
      <c r="K1041">
        <v>48</v>
      </c>
      <c r="L1041" t="s">
        <v>86</v>
      </c>
      <c r="M1041">
        <v>42.98</v>
      </c>
      <c r="N1041">
        <v>27387</v>
      </c>
      <c r="O1041">
        <v>133451</v>
      </c>
      <c r="P1041" t="s">
        <v>699</v>
      </c>
      <c r="Q1041" t="s">
        <v>42</v>
      </c>
      <c r="R1041" t="s">
        <v>28</v>
      </c>
      <c r="S1041" t="s">
        <v>49</v>
      </c>
      <c r="T1041">
        <v>743.82</v>
      </c>
      <c r="U1041">
        <f t="shared" si="224"/>
        <v>961</v>
      </c>
      <c r="V1041">
        <f t="shared" si="225"/>
        <v>355</v>
      </c>
      <c r="W1041">
        <f t="shared" si="226"/>
        <v>298</v>
      </c>
      <c r="X1041">
        <f t="shared" si="227"/>
        <v>0.35149999999999998</v>
      </c>
      <c r="Y1041" s="1">
        <f t="shared" si="228"/>
        <v>49284485</v>
      </c>
      <c r="Z1041">
        <f t="shared" si="229"/>
        <v>51284.583766909469</v>
      </c>
      <c r="AA1041">
        <f t="shared" si="230"/>
        <v>99996</v>
      </c>
      <c r="AB1041">
        <f t="shared" si="231"/>
        <v>5091</v>
      </c>
      <c r="AC1041">
        <f t="shared" si="232"/>
        <v>1260652.4700000007</v>
      </c>
      <c r="AD1041">
        <f t="shared" si="233"/>
        <v>1311.8131841831432</v>
      </c>
      <c r="AE1041">
        <f t="shared" si="234"/>
        <v>0.35149999999999998</v>
      </c>
      <c r="AF1041">
        <f t="shared" si="235"/>
        <v>624595657.50000012</v>
      </c>
      <c r="AG1041" t="str">
        <f t="shared" si="236"/>
        <v>Active</v>
      </c>
      <c r="AH1041">
        <f t="shared" si="237"/>
        <v>8925.84</v>
      </c>
    </row>
    <row r="1042" spans="1:34" x14ac:dyDescent="0.35">
      <c r="A1042" t="s">
        <v>2854</v>
      </c>
      <c r="B1042" t="s">
        <v>2855</v>
      </c>
      <c r="C1042">
        <v>27</v>
      </c>
      <c r="D1042" t="s">
        <v>38</v>
      </c>
      <c r="E1042" t="s">
        <v>23</v>
      </c>
      <c r="F1042" t="s">
        <v>59</v>
      </c>
      <c r="G1042">
        <v>188226</v>
      </c>
      <c r="H1042">
        <v>577</v>
      </c>
      <c r="I1042">
        <v>76924</v>
      </c>
      <c r="J1042">
        <v>17.489999999999998</v>
      </c>
      <c r="K1042">
        <v>360</v>
      </c>
      <c r="L1042" t="s">
        <v>52</v>
      </c>
      <c r="M1042">
        <v>49.51</v>
      </c>
      <c r="N1042">
        <v>66782</v>
      </c>
      <c r="O1042">
        <v>49437</v>
      </c>
      <c r="P1042" t="s">
        <v>343</v>
      </c>
      <c r="Q1042" t="s">
        <v>27</v>
      </c>
      <c r="R1042" t="s">
        <v>48</v>
      </c>
      <c r="S1042" t="s">
        <v>29</v>
      </c>
      <c r="T1042">
        <v>251.05</v>
      </c>
      <c r="U1042">
        <f t="shared" si="224"/>
        <v>960</v>
      </c>
      <c r="V1042">
        <f t="shared" si="225"/>
        <v>354</v>
      </c>
      <c r="W1042">
        <f t="shared" si="226"/>
        <v>298</v>
      </c>
      <c r="X1042">
        <f t="shared" si="227"/>
        <v>0.35149999999999998</v>
      </c>
      <c r="Y1042" s="1">
        <f t="shared" si="228"/>
        <v>49250643</v>
      </c>
      <c r="Z1042">
        <f t="shared" si="229"/>
        <v>51302.753125000003</v>
      </c>
      <c r="AA1042">
        <f t="shared" si="230"/>
        <v>99996</v>
      </c>
      <c r="AB1042">
        <f t="shared" si="231"/>
        <v>5091</v>
      </c>
      <c r="AC1042">
        <f t="shared" si="232"/>
        <v>1259908.6500000006</v>
      </c>
      <c r="AD1042">
        <f t="shared" si="233"/>
        <v>1312.4048437500007</v>
      </c>
      <c r="AE1042">
        <f t="shared" si="234"/>
        <v>0.35149999999999998</v>
      </c>
      <c r="AF1042">
        <f t="shared" si="235"/>
        <v>623335005.03000009</v>
      </c>
      <c r="AG1042" t="str">
        <f t="shared" si="236"/>
        <v>Active</v>
      </c>
      <c r="AH1042">
        <f t="shared" si="237"/>
        <v>3012.6000000000004</v>
      </c>
    </row>
    <row r="1043" spans="1:34" x14ac:dyDescent="0.35">
      <c r="A1043" t="s">
        <v>2856</v>
      </c>
      <c r="B1043" t="s">
        <v>2857</v>
      </c>
      <c r="C1043">
        <v>29</v>
      </c>
      <c r="D1043" t="s">
        <v>22</v>
      </c>
      <c r="E1043" t="s">
        <v>23</v>
      </c>
      <c r="F1043" t="s">
        <v>59</v>
      </c>
      <c r="G1043">
        <v>170796</v>
      </c>
      <c r="H1043">
        <v>414</v>
      </c>
      <c r="I1043">
        <v>87517</v>
      </c>
      <c r="J1043">
        <v>9.83</v>
      </c>
      <c r="K1043">
        <v>48</v>
      </c>
      <c r="L1043" t="s">
        <v>40</v>
      </c>
      <c r="M1043">
        <v>36.229999999999997</v>
      </c>
      <c r="N1043">
        <v>718</v>
      </c>
      <c r="O1043">
        <v>142505</v>
      </c>
      <c r="P1043" t="s">
        <v>367</v>
      </c>
      <c r="Q1043" t="s">
        <v>27</v>
      </c>
      <c r="R1043" t="s">
        <v>48</v>
      </c>
      <c r="S1043" t="s">
        <v>49</v>
      </c>
      <c r="T1043">
        <v>2002.5</v>
      </c>
      <c r="U1043">
        <f t="shared" si="224"/>
        <v>959</v>
      </c>
      <c r="V1043">
        <f t="shared" si="225"/>
        <v>354</v>
      </c>
      <c r="W1043">
        <f t="shared" si="226"/>
        <v>298</v>
      </c>
      <c r="X1043">
        <f t="shared" si="227"/>
        <v>0.35149999999999998</v>
      </c>
      <c r="Y1043" s="1">
        <f t="shared" si="228"/>
        <v>49173719</v>
      </c>
      <c r="Z1043">
        <f t="shared" si="229"/>
        <v>51276.036496350367</v>
      </c>
      <c r="AA1043">
        <f t="shared" si="230"/>
        <v>99996</v>
      </c>
      <c r="AB1043">
        <f t="shared" si="231"/>
        <v>5091</v>
      </c>
      <c r="AC1043">
        <f t="shared" si="232"/>
        <v>1259657.6000000006</v>
      </c>
      <c r="AD1043">
        <f t="shared" si="233"/>
        <v>1313.5115745568305</v>
      </c>
      <c r="AE1043">
        <f t="shared" si="234"/>
        <v>0.35149999999999998</v>
      </c>
      <c r="AF1043">
        <f t="shared" si="235"/>
        <v>622075096.38</v>
      </c>
      <c r="AG1043" t="str">
        <f t="shared" si="236"/>
        <v>Active</v>
      </c>
      <c r="AH1043">
        <f t="shared" si="237"/>
        <v>24030</v>
      </c>
    </row>
    <row r="1044" spans="1:34" x14ac:dyDescent="0.35">
      <c r="A1044" t="s">
        <v>2858</v>
      </c>
      <c r="B1044" t="s">
        <v>2859</v>
      </c>
      <c r="C1044">
        <v>50</v>
      </c>
      <c r="D1044" t="s">
        <v>38</v>
      </c>
      <c r="E1044" t="s">
        <v>23</v>
      </c>
      <c r="F1044" t="s">
        <v>24</v>
      </c>
      <c r="G1044">
        <v>57910</v>
      </c>
      <c r="H1044">
        <v>412</v>
      </c>
      <c r="I1044">
        <v>21046</v>
      </c>
      <c r="J1044">
        <v>7.52</v>
      </c>
      <c r="K1044">
        <v>240</v>
      </c>
      <c r="L1044" t="s">
        <v>86</v>
      </c>
      <c r="M1044">
        <v>9.1999999999999993</v>
      </c>
      <c r="N1044">
        <v>75826</v>
      </c>
      <c r="O1044">
        <v>15067</v>
      </c>
      <c r="P1044" t="s">
        <v>2860</v>
      </c>
      <c r="Q1044" t="s">
        <v>27</v>
      </c>
      <c r="R1044" t="s">
        <v>28</v>
      </c>
      <c r="S1044" t="s">
        <v>29</v>
      </c>
      <c r="T1044">
        <v>94.29</v>
      </c>
      <c r="U1044">
        <f t="shared" si="224"/>
        <v>958</v>
      </c>
      <c r="V1044">
        <f t="shared" si="225"/>
        <v>354</v>
      </c>
      <c r="W1044">
        <f t="shared" si="226"/>
        <v>298</v>
      </c>
      <c r="X1044">
        <f t="shared" si="227"/>
        <v>0.35149999999999998</v>
      </c>
      <c r="Y1044" s="1">
        <f t="shared" si="228"/>
        <v>49086202</v>
      </c>
      <c r="Z1044">
        <f t="shared" si="229"/>
        <v>51238.206680584553</v>
      </c>
      <c r="AA1044">
        <f t="shared" si="230"/>
        <v>99996</v>
      </c>
      <c r="AB1044">
        <f t="shared" si="231"/>
        <v>5091</v>
      </c>
      <c r="AC1044">
        <f t="shared" si="232"/>
        <v>1257655.1000000006</v>
      </c>
      <c r="AD1044">
        <f t="shared" si="233"/>
        <v>1312.792379958247</v>
      </c>
      <c r="AE1044">
        <f t="shared" si="234"/>
        <v>0.35149999999999998</v>
      </c>
      <c r="AF1044">
        <f t="shared" si="235"/>
        <v>620815438.78000009</v>
      </c>
      <c r="AG1044" t="str">
        <f t="shared" si="236"/>
        <v>Active</v>
      </c>
      <c r="AH1044">
        <f t="shared" si="237"/>
        <v>1131.48</v>
      </c>
    </row>
    <row r="1045" spans="1:34" x14ac:dyDescent="0.35">
      <c r="A1045" t="s">
        <v>2861</v>
      </c>
      <c r="B1045" t="s">
        <v>2862</v>
      </c>
      <c r="C1045">
        <v>46</v>
      </c>
      <c r="D1045" t="s">
        <v>22</v>
      </c>
      <c r="E1045" t="s">
        <v>32</v>
      </c>
      <c r="F1045" t="s">
        <v>59</v>
      </c>
      <c r="G1045">
        <v>153860</v>
      </c>
      <c r="H1045">
        <v>333</v>
      </c>
      <c r="I1045">
        <v>58390</v>
      </c>
      <c r="J1045">
        <v>21.94</v>
      </c>
      <c r="K1045">
        <v>360</v>
      </c>
      <c r="L1045" t="s">
        <v>40</v>
      </c>
      <c r="M1045">
        <v>27.43</v>
      </c>
      <c r="N1045">
        <v>58357</v>
      </c>
      <c r="O1045">
        <v>203234</v>
      </c>
      <c r="P1045" t="s">
        <v>2360</v>
      </c>
      <c r="Q1045" t="s">
        <v>42</v>
      </c>
      <c r="R1045" t="s">
        <v>48</v>
      </c>
      <c r="S1045" t="s">
        <v>35</v>
      </c>
      <c r="T1045">
        <v>197.78</v>
      </c>
      <c r="U1045">
        <f t="shared" si="224"/>
        <v>957</v>
      </c>
      <c r="V1045">
        <f t="shared" si="225"/>
        <v>354</v>
      </c>
      <c r="W1045">
        <f t="shared" si="226"/>
        <v>298</v>
      </c>
      <c r="X1045">
        <f t="shared" si="227"/>
        <v>0.35149999999999998</v>
      </c>
      <c r="Y1045" s="1">
        <f t="shared" si="228"/>
        <v>49065156</v>
      </c>
      <c r="Z1045">
        <f t="shared" si="229"/>
        <v>51269.755485893416</v>
      </c>
      <c r="AA1045">
        <f t="shared" si="230"/>
        <v>99996</v>
      </c>
      <c r="AB1045">
        <f t="shared" si="231"/>
        <v>5091</v>
      </c>
      <c r="AC1045">
        <f t="shared" si="232"/>
        <v>1257560.8100000005</v>
      </c>
      <c r="AD1045">
        <f t="shared" si="233"/>
        <v>1314.0656321839085</v>
      </c>
      <c r="AE1045">
        <f t="shared" si="234"/>
        <v>0.35149999999999998</v>
      </c>
      <c r="AF1045">
        <f t="shared" si="235"/>
        <v>619557783.68000019</v>
      </c>
      <c r="AG1045" t="str">
        <f t="shared" si="236"/>
        <v>Active</v>
      </c>
      <c r="AH1045">
        <f t="shared" si="237"/>
        <v>2373.36</v>
      </c>
    </row>
    <row r="1046" spans="1:34" x14ac:dyDescent="0.35">
      <c r="A1046" t="s">
        <v>2863</v>
      </c>
      <c r="B1046" t="s">
        <v>2864</v>
      </c>
      <c r="C1046">
        <v>53</v>
      </c>
      <c r="D1046" t="s">
        <v>22</v>
      </c>
      <c r="E1046" t="s">
        <v>32</v>
      </c>
      <c r="F1046" t="s">
        <v>46</v>
      </c>
      <c r="G1046">
        <v>65946</v>
      </c>
      <c r="H1046">
        <v>704</v>
      </c>
      <c r="I1046">
        <v>13424</v>
      </c>
      <c r="J1046">
        <v>9.52</v>
      </c>
      <c r="K1046">
        <v>240</v>
      </c>
      <c r="L1046" t="s">
        <v>25</v>
      </c>
      <c r="M1046">
        <v>19.489999999999998</v>
      </c>
      <c r="N1046">
        <v>53187</v>
      </c>
      <c r="O1046">
        <v>198159</v>
      </c>
      <c r="P1046" t="s">
        <v>2865</v>
      </c>
      <c r="Q1046" t="s">
        <v>61</v>
      </c>
      <c r="R1046" t="s">
        <v>48</v>
      </c>
      <c r="S1046" t="s">
        <v>35</v>
      </c>
      <c r="T1046">
        <v>61.26</v>
      </c>
      <c r="U1046">
        <f t="shared" si="224"/>
        <v>956</v>
      </c>
      <c r="V1046">
        <f t="shared" si="225"/>
        <v>353</v>
      </c>
      <c r="W1046">
        <f t="shared" si="226"/>
        <v>298</v>
      </c>
      <c r="X1046">
        <f t="shared" si="227"/>
        <v>0.35149999999999998</v>
      </c>
      <c r="Y1046" s="1">
        <f t="shared" si="228"/>
        <v>49006766</v>
      </c>
      <c r="Z1046">
        <f t="shared" si="229"/>
        <v>51262.307531380757</v>
      </c>
      <c r="AA1046">
        <f t="shared" si="230"/>
        <v>99996</v>
      </c>
      <c r="AB1046">
        <f t="shared" si="231"/>
        <v>5091</v>
      </c>
      <c r="AC1046">
        <f t="shared" si="232"/>
        <v>1257363.0300000007</v>
      </c>
      <c r="AD1046">
        <f t="shared" si="233"/>
        <v>1315.2332949790803</v>
      </c>
      <c r="AE1046">
        <f t="shared" si="234"/>
        <v>0.35149999999999998</v>
      </c>
      <c r="AF1046">
        <f t="shared" si="235"/>
        <v>618300222.87000012</v>
      </c>
      <c r="AG1046" t="str">
        <f t="shared" si="236"/>
        <v>Active</v>
      </c>
      <c r="AH1046">
        <f t="shared" si="237"/>
        <v>735.12</v>
      </c>
    </row>
    <row r="1047" spans="1:34" x14ac:dyDescent="0.35">
      <c r="A1047" t="s">
        <v>2866</v>
      </c>
      <c r="B1047" t="s">
        <v>2867</v>
      </c>
      <c r="C1047">
        <v>28</v>
      </c>
      <c r="D1047" t="s">
        <v>38</v>
      </c>
      <c r="E1047" t="s">
        <v>39</v>
      </c>
      <c r="F1047" t="s">
        <v>59</v>
      </c>
      <c r="G1047">
        <v>22673</v>
      </c>
      <c r="H1047">
        <v>609</v>
      </c>
      <c r="I1047">
        <v>23711</v>
      </c>
      <c r="J1047">
        <v>5.1100000000000003</v>
      </c>
      <c r="K1047">
        <v>60</v>
      </c>
      <c r="L1047" t="s">
        <v>33</v>
      </c>
      <c r="M1047">
        <v>29.25</v>
      </c>
      <c r="N1047">
        <v>61623</v>
      </c>
      <c r="O1047">
        <v>119812</v>
      </c>
      <c r="P1047" t="s">
        <v>2868</v>
      </c>
      <c r="Q1047" t="s">
        <v>27</v>
      </c>
      <c r="R1047" t="s">
        <v>48</v>
      </c>
      <c r="S1047" t="s">
        <v>49</v>
      </c>
      <c r="T1047">
        <v>415.38</v>
      </c>
      <c r="U1047">
        <f t="shared" si="224"/>
        <v>955</v>
      </c>
      <c r="V1047">
        <f t="shared" si="225"/>
        <v>353</v>
      </c>
      <c r="W1047">
        <f t="shared" si="226"/>
        <v>297</v>
      </c>
      <c r="X1047">
        <f t="shared" si="227"/>
        <v>0.35149999999999998</v>
      </c>
      <c r="Y1047" s="1">
        <f t="shared" si="228"/>
        <v>48993342</v>
      </c>
      <c r="Z1047">
        <f t="shared" si="229"/>
        <v>51301.928795811516</v>
      </c>
      <c r="AA1047">
        <f t="shared" si="230"/>
        <v>99996</v>
      </c>
      <c r="AB1047">
        <f t="shared" si="231"/>
        <v>5091</v>
      </c>
      <c r="AC1047">
        <f t="shared" si="232"/>
        <v>1257301.7700000007</v>
      </c>
      <c r="AD1047">
        <f t="shared" si="233"/>
        <v>1316.5463560209432</v>
      </c>
      <c r="AE1047">
        <f t="shared" si="234"/>
        <v>0.35149999999999998</v>
      </c>
      <c r="AF1047">
        <f t="shared" si="235"/>
        <v>617042859.84000003</v>
      </c>
      <c r="AG1047" t="str">
        <f t="shared" si="236"/>
        <v>Active</v>
      </c>
      <c r="AH1047">
        <f t="shared" si="237"/>
        <v>4984.5599999999995</v>
      </c>
    </row>
    <row r="1048" spans="1:34" x14ac:dyDescent="0.35">
      <c r="A1048" t="s">
        <v>2869</v>
      </c>
      <c r="B1048" t="s">
        <v>2870</v>
      </c>
      <c r="C1048">
        <v>48</v>
      </c>
      <c r="D1048" t="s">
        <v>22</v>
      </c>
      <c r="E1048" t="s">
        <v>39</v>
      </c>
      <c r="F1048" t="s">
        <v>59</v>
      </c>
      <c r="G1048">
        <v>142562</v>
      </c>
      <c r="H1048">
        <v>809</v>
      </c>
      <c r="I1048">
        <v>73217</v>
      </c>
      <c r="J1048">
        <v>21.27</v>
      </c>
      <c r="K1048">
        <v>12</v>
      </c>
      <c r="L1048" t="s">
        <v>86</v>
      </c>
      <c r="M1048">
        <v>54.84</v>
      </c>
      <c r="N1048">
        <v>21632</v>
      </c>
      <c r="O1048">
        <v>181437</v>
      </c>
      <c r="P1048" t="s">
        <v>2871</v>
      </c>
      <c r="Q1048" t="s">
        <v>42</v>
      </c>
      <c r="R1048" t="s">
        <v>48</v>
      </c>
      <c r="S1048" t="s">
        <v>35</v>
      </c>
      <c r="T1048">
        <v>7399.19</v>
      </c>
      <c r="U1048">
        <f t="shared" si="224"/>
        <v>954</v>
      </c>
      <c r="V1048">
        <f t="shared" si="225"/>
        <v>353</v>
      </c>
      <c r="W1048">
        <f t="shared" si="226"/>
        <v>297</v>
      </c>
      <c r="X1048">
        <f t="shared" si="227"/>
        <v>0.35149999999999998</v>
      </c>
      <c r="Y1048" s="1">
        <f t="shared" si="228"/>
        <v>48969631</v>
      </c>
      <c r="Z1048">
        <f t="shared" si="229"/>
        <v>51330.850104821802</v>
      </c>
      <c r="AA1048">
        <f t="shared" si="230"/>
        <v>99996</v>
      </c>
      <c r="AB1048">
        <f t="shared" si="231"/>
        <v>5091</v>
      </c>
      <c r="AC1048">
        <f t="shared" si="232"/>
        <v>1256886.3900000006</v>
      </c>
      <c r="AD1048">
        <f t="shared" si="233"/>
        <v>1317.4909748427679</v>
      </c>
      <c r="AE1048">
        <f t="shared" si="234"/>
        <v>0.35149999999999998</v>
      </c>
      <c r="AF1048">
        <f t="shared" si="235"/>
        <v>615785558.07000005</v>
      </c>
      <c r="AG1048" t="str">
        <f t="shared" si="236"/>
        <v>Active</v>
      </c>
      <c r="AH1048">
        <f t="shared" si="237"/>
        <v>88790.28</v>
      </c>
    </row>
    <row r="1049" spans="1:34" x14ac:dyDescent="0.35">
      <c r="A1049" t="s">
        <v>2872</v>
      </c>
      <c r="B1049" t="s">
        <v>2873</v>
      </c>
      <c r="C1049">
        <v>22</v>
      </c>
      <c r="D1049" t="s">
        <v>38</v>
      </c>
      <c r="E1049" t="s">
        <v>39</v>
      </c>
      <c r="F1049" t="s">
        <v>46</v>
      </c>
      <c r="G1049">
        <v>77703</v>
      </c>
      <c r="H1049">
        <v>528</v>
      </c>
      <c r="I1049">
        <v>82163</v>
      </c>
      <c r="J1049">
        <v>10.95</v>
      </c>
      <c r="K1049">
        <v>180</v>
      </c>
      <c r="L1049" t="s">
        <v>52</v>
      </c>
      <c r="M1049">
        <v>26.91</v>
      </c>
      <c r="N1049">
        <v>17524</v>
      </c>
      <c r="O1049">
        <v>137742</v>
      </c>
      <c r="P1049" t="s">
        <v>901</v>
      </c>
      <c r="Q1049" t="s">
        <v>27</v>
      </c>
      <c r="R1049" t="s">
        <v>48</v>
      </c>
      <c r="S1049" t="s">
        <v>29</v>
      </c>
      <c r="T1049">
        <v>506.44</v>
      </c>
      <c r="U1049">
        <f t="shared" si="224"/>
        <v>953</v>
      </c>
      <c r="V1049">
        <f t="shared" si="225"/>
        <v>352</v>
      </c>
      <c r="W1049">
        <f t="shared" si="226"/>
        <v>297</v>
      </c>
      <c r="X1049">
        <f t="shared" si="227"/>
        <v>0.35149999999999998</v>
      </c>
      <c r="Y1049" s="1">
        <f t="shared" si="228"/>
        <v>48896414</v>
      </c>
      <c r="Z1049">
        <f t="shared" si="229"/>
        <v>51307.884575026234</v>
      </c>
      <c r="AA1049">
        <f t="shared" si="230"/>
        <v>99996</v>
      </c>
      <c r="AB1049">
        <f t="shared" si="231"/>
        <v>5091</v>
      </c>
      <c r="AC1049">
        <f t="shared" si="232"/>
        <v>1249487.2000000007</v>
      </c>
      <c r="AD1049">
        <f t="shared" si="233"/>
        <v>1311.1093389296964</v>
      </c>
      <c r="AE1049">
        <f t="shared" si="234"/>
        <v>0.35149999999999998</v>
      </c>
      <c r="AF1049">
        <f t="shared" si="235"/>
        <v>614528671.68000019</v>
      </c>
      <c r="AG1049" t="str">
        <f t="shared" si="236"/>
        <v>Over Paid</v>
      </c>
      <c r="AH1049">
        <f t="shared" si="237"/>
        <v>6077.28</v>
      </c>
    </row>
    <row r="1050" spans="1:34" x14ac:dyDescent="0.35">
      <c r="A1050" t="s">
        <v>2874</v>
      </c>
      <c r="B1050" t="s">
        <v>2875</v>
      </c>
      <c r="C1050">
        <v>47</v>
      </c>
      <c r="D1050" t="s">
        <v>38</v>
      </c>
      <c r="E1050" t="s">
        <v>32</v>
      </c>
      <c r="F1050" t="s">
        <v>24</v>
      </c>
      <c r="G1050">
        <v>53612</v>
      </c>
      <c r="H1050">
        <v>589</v>
      </c>
      <c r="I1050">
        <v>75281</v>
      </c>
      <c r="J1050">
        <v>4.59</v>
      </c>
      <c r="K1050">
        <v>48</v>
      </c>
      <c r="L1050" t="s">
        <v>40</v>
      </c>
      <c r="M1050">
        <v>31.34</v>
      </c>
      <c r="N1050">
        <v>25169</v>
      </c>
      <c r="O1050">
        <v>203371</v>
      </c>
      <c r="P1050" t="s">
        <v>2876</v>
      </c>
      <c r="Q1050" t="s">
        <v>61</v>
      </c>
      <c r="R1050" t="s">
        <v>48</v>
      </c>
      <c r="S1050" t="s">
        <v>49</v>
      </c>
      <c r="T1050">
        <v>1640.34</v>
      </c>
      <c r="U1050">
        <f t="shared" si="224"/>
        <v>952</v>
      </c>
      <c r="V1050">
        <f t="shared" si="225"/>
        <v>352</v>
      </c>
      <c r="W1050">
        <f t="shared" si="226"/>
        <v>297</v>
      </c>
      <c r="X1050">
        <f t="shared" si="227"/>
        <v>0.35149999999999998</v>
      </c>
      <c r="Y1050" s="1">
        <f t="shared" si="228"/>
        <v>48814251</v>
      </c>
      <c r="Z1050">
        <f t="shared" si="229"/>
        <v>51275.473739495799</v>
      </c>
      <c r="AA1050">
        <f t="shared" si="230"/>
        <v>99996</v>
      </c>
      <c r="AB1050">
        <f t="shared" si="231"/>
        <v>5091</v>
      </c>
      <c r="AC1050">
        <f t="shared" si="232"/>
        <v>1248980.7600000005</v>
      </c>
      <c r="AD1050">
        <f t="shared" si="233"/>
        <v>1311.9545798319332</v>
      </c>
      <c r="AE1050">
        <f t="shared" si="234"/>
        <v>0.35149999999999998</v>
      </c>
      <c r="AF1050">
        <f t="shared" si="235"/>
        <v>613279184.48000014</v>
      </c>
      <c r="AG1050" t="str">
        <f t="shared" si="236"/>
        <v>Active</v>
      </c>
      <c r="AH1050">
        <f t="shared" si="237"/>
        <v>19684.079999999998</v>
      </c>
    </row>
    <row r="1051" spans="1:34" x14ac:dyDescent="0.35">
      <c r="A1051" t="s">
        <v>2877</v>
      </c>
      <c r="B1051" t="s">
        <v>2878</v>
      </c>
      <c r="C1051">
        <v>59</v>
      </c>
      <c r="D1051" t="s">
        <v>38</v>
      </c>
      <c r="E1051" t="s">
        <v>39</v>
      </c>
      <c r="F1051" t="s">
        <v>24</v>
      </c>
      <c r="G1051">
        <v>154464</v>
      </c>
      <c r="H1051">
        <v>591</v>
      </c>
      <c r="I1051">
        <v>12031</v>
      </c>
      <c r="J1051">
        <v>19.14</v>
      </c>
      <c r="K1051">
        <v>120</v>
      </c>
      <c r="L1051" t="s">
        <v>33</v>
      </c>
      <c r="M1051">
        <v>53.75</v>
      </c>
      <c r="N1051">
        <v>70445</v>
      </c>
      <c r="O1051">
        <v>82826</v>
      </c>
      <c r="P1051" t="s">
        <v>513</v>
      </c>
      <c r="Q1051" t="s">
        <v>42</v>
      </c>
      <c r="R1051" t="s">
        <v>48</v>
      </c>
      <c r="S1051" t="s">
        <v>49</v>
      </c>
      <c r="T1051">
        <v>119.45</v>
      </c>
      <c r="U1051">
        <f t="shared" si="224"/>
        <v>951</v>
      </c>
      <c r="V1051">
        <f t="shared" si="225"/>
        <v>352</v>
      </c>
      <c r="W1051">
        <f t="shared" si="226"/>
        <v>296</v>
      </c>
      <c r="X1051">
        <f t="shared" si="227"/>
        <v>0.35149999999999998</v>
      </c>
      <c r="Y1051" s="1">
        <f t="shared" si="228"/>
        <v>48738970</v>
      </c>
      <c r="Z1051">
        <f t="shared" si="229"/>
        <v>51250.23133543638</v>
      </c>
      <c r="AA1051">
        <f t="shared" si="230"/>
        <v>99996</v>
      </c>
      <c r="AB1051">
        <f t="shared" si="231"/>
        <v>5091</v>
      </c>
      <c r="AC1051">
        <f t="shared" si="232"/>
        <v>1247340.4200000006</v>
      </c>
      <c r="AD1051">
        <f t="shared" si="233"/>
        <v>1311.6092744479502</v>
      </c>
      <c r="AE1051">
        <f t="shared" si="234"/>
        <v>0.35149999999999998</v>
      </c>
      <c r="AF1051">
        <f t="shared" si="235"/>
        <v>612030203.72000015</v>
      </c>
      <c r="AG1051" t="str">
        <f t="shared" si="236"/>
        <v>Active</v>
      </c>
      <c r="AH1051">
        <f t="shared" si="237"/>
        <v>1433.4</v>
      </c>
    </row>
    <row r="1052" spans="1:34" x14ac:dyDescent="0.35">
      <c r="A1052" t="s">
        <v>2879</v>
      </c>
      <c r="B1052" t="s">
        <v>2880</v>
      </c>
      <c r="C1052">
        <v>65</v>
      </c>
      <c r="D1052" t="s">
        <v>38</v>
      </c>
      <c r="E1052" t="s">
        <v>32</v>
      </c>
      <c r="F1052" t="s">
        <v>46</v>
      </c>
      <c r="G1052">
        <v>192536</v>
      </c>
      <c r="H1052">
        <v>576</v>
      </c>
      <c r="I1052">
        <v>63799</v>
      </c>
      <c r="J1052">
        <v>13.36</v>
      </c>
      <c r="K1052">
        <v>60</v>
      </c>
      <c r="L1052" t="s">
        <v>25</v>
      </c>
      <c r="M1052">
        <v>43.99</v>
      </c>
      <c r="N1052">
        <v>42708</v>
      </c>
      <c r="O1052">
        <v>22520</v>
      </c>
      <c r="P1052" t="s">
        <v>2881</v>
      </c>
      <c r="Q1052" t="s">
        <v>27</v>
      </c>
      <c r="R1052" t="s">
        <v>28</v>
      </c>
      <c r="S1052" t="s">
        <v>43</v>
      </c>
      <c r="T1052">
        <v>1205.3800000000001</v>
      </c>
      <c r="U1052">
        <f t="shared" si="224"/>
        <v>950</v>
      </c>
      <c r="V1052">
        <f t="shared" si="225"/>
        <v>351</v>
      </c>
      <c r="W1052">
        <f t="shared" si="226"/>
        <v>296</v>
      </c>
      <c r="X1052">
        <f t="shared" si="227"/>
        <v>0.35149999999999998</v>
      </c>
      <c r="Y1052" s="1">
        <f t="shared" si="228"/>
        <v>48726939</v>
      </c>
      <c r="Z1052">
        <f t="shared" si="229"/>
        <v>51291.514736842102</v>
      </c>
      <c r="AA1052">
        <f t="shared" si="230"/>
        <v>99996</v>
      </c>
      <c r="AB1052">
        <f t="shared" si="231"/>
        <v>5091</v>
      </c>
      <c r="AC1052">
        <f t="shared" si="232"/>
        <v>1247220.9700000007</v>
      </c>
      <c r="AD1052">
        <f t="shared" si="233"/>
        <v>1312.8641789473691</v>
      </c>
      <c r="AE1052">
        <f t="shared" si="234"/>
        <v>0.35149999999999998</v>
      </c>
      <c r="AF1052">
        <f t="shared" si="235"/>
        <v>610782863.30000031</v>
      </c>
      <c r="AG1052" t="str">
        <f t="shared" si="236"/>
        <v>Active</v>
      </c>
      <c r="AH1052">
        <f t="shared" si="237"/>
        <v>14464.560000000001</v>
      </c>
    </row>
    <row r="1053" spans="1:34" x14ac:dyDescent="0.35">
      <c r="A1053" t="s">
        <v>2882</v>
      </c>
      <c r="B1053" t="s">
        <v>2883</v>
      </c>
      <c r="C1053">
        <v>65</v>
      </c>
      <c r="D1053" t="s">
        <v>38</v>
      </c>
      <c r="E1053" t="s">
        <v>32</v>
      </c>
      <c r="F1053" t="s">
        <v>59</v>
      </c>
      <c r="G1053">
        <v>53461</v>
      </c>
      <c r="H1053">
        <v>745</v>
      </c>
      <c r="I1053">
        <v>62495</v>
      </c>
      <c r="J1053">
        <v>7.13</v>
      </c>
      <c r="K1053">
        <v>24</v>
      </c>
      <c r="L1053" t="s">
        <v>40</v>
      </c>
      <c r="M1053">
        <v>8.65</v>
      </c>
      <c r="N1053">
        <v>44392</v>
      </c>
      <c r="O1053">
        <v>135176</v>
      </c>
      <c r="P1053" t="s">
        <v>2884</v>
      </c>
      <c r="Q1053" t="s">
        <v>27</v>
      </c>
      <c r="R1053" t="s">
        <v>48</v>
      </c>
      <c r="S1053" t="s">
        <v>49</v>
      </c>
      <c r="T1053">
        <v>2789.62</v>
      </c>
      <c r="U1053">
        <f t="shared" si="224"/>
        <v>949</v>
      </c>
      <c r="V1053">
        <f t="shared" si="225"/>
        <v>351</v>
      </c>
      <c r="W1053">
        <f t="shared" si="226"/>
        <v>296</v>
      </c>
      <c r="X1053">
        <f t="shared" si="227"/>
        <v>0.35149999999999998</v>
      </c>
      <c r="Y1053" s="1">
        <f t="shared" si="228"/>
        <v>48663140</v>
      </c>
      <c r="Z1053">
        <f t="shared" si="229"/>
        <v>51278.335089567969</v>
      </c>
      <c r="AA1053">
        <f t="shared" si="230"/>
        <v>99996</v>
      </c>
      <c r="AB1053">
        <f t="shared" si="231"/>
        <v>5091</v>
      </c>
      <c r="AC1053">
        <f t="shared" si="232"/>
        <v>1246015.5900000003</v>
      </c>
      <c r="AD1053">
        <f t="shared" si="233"/>
        <v>1312.9774394099054</v>
      </c>
      <c r="AE1053">
        <f t="shared" si="234"/>
        <v>0.35149999999999998</v>
      </c>
      <c r="AF1053">
        <f t="shared" si="235"/>
        <v>609535642.33000016</v>
      </c>
      <c r="AG1053" t="str">
        <f t="shared" si="236"/>
        <v>Active</v>
      </c>
      <c r="AH1053">
        <f t="shared" si="237"/>
        <v>33475.440000000002</v>
      </c>
    </row>
    <row r="1054" spans="1:34" x14ac:dyDescent="0.35">
      <c r="A1054" t="s">
        <v>2885</v>
      </c>
      <c r="B1054" t="s">
        <v>2886</v>
      </c>
      <c r="C1054">
        <v>25</v>
      </c>
      <c r="D1054" t="s">
        <v>22</v>
      </c>
      <c r="E1054" t="s">
        <v>23</v>
      </c>
      <c r="F1054" t="s">
        <v>59</v>
      </c>
      <c r="G1054">
        <v>80886</v>
      </c>
      <c r="H1054">
        <v>361</v>
      </c>
      <c r="I1054">
        <v>29610</v>
      </c>
      <c r="J1054">
        <v>16.04</v>
      </c>
      <c r="K1054">
        <v>240</v>
      </c>
      <c r="L1054" t="s">
        <v>25</v>
      </c>
      <c r="M1054">
        <v>32.64</v>
      </c>
      <c r="N1054">
        <v>54564</v>
      </c>
      <c r="O1054">
        <v>156017</v>
      </c>
      <c r="P1054" t="s">
        <v>1838</v>
      </c>
      <c r="Q1054" t="s">
        <v>61</v>
      </c>
      <c r="R1054" t="s">
        <v>48</v>
      </c>
      <c r="S1054" t="s">
        <v>35</v>
      </c>
      <c r="T1054">
        <v>143.16</v>
      </c>
      <c r="U1054">
        <f t="shared" si="224"/>
        <v>948</v>
      </c>
      <c r="V1054">
        <f t="shared" si="225"/>
        <v>351</v>
      </c>
      <c r="W1054">
        <f t="shared" si="226"/>
        <v>296</v>
      </c>
      <c r="X1054">
        <f t="shared" si="227"/>
        <v>0.35149999999999998</v>
      </c>
      <c r="Y1054" s="1">
        <f t="shared" si="228"/>
        <v>48600645</v>
      </c>
      <c r="Z1054">
        <f t="shared" si="229"/>
        <v>51266.503164556962</v>
      </c>
      <c r="AA1054">
        <f t="shared" si="230"/>
        <v>99996</v>
      </c>
      <c r="AB1054">
        <f t="shared" si="231"/>
        <v>5091</v>
      </c>
      <c r="AC1054">
        <f t="shared" si="232"/>
        <v>1243225.9700000002</v>
      </c>
      <c r="AD1054">
        <f t="shared" si="233"/>
        <v>1311.4197995780594</v>
      </c>
      <c r="AE1054">
        <f t="shared" si="234"/>
        <v>0.35149999999999998</v>
      </c>
      <c r="AF1054">
        <f t="shared" si="235"/>
        <v>608289626.74000025</v>
      </c>
      <c r="AG1054" t="str">
        <f t="shared" si="236"/>
        <v>Active</v>
      </c>
      <c r="AH1054">
        <f t="shared" si="237"/>
        <v>1717.92</v>
      </c>
    </row>
    <row r="1055" spans="1:34" x14ac:dyDescent="0.35">
      <c r="A1055" t="s">
        <v>2887</v>
      </c>
      <c r="B1055" t="s">
        <v>2888</v>
      </c>
      <c r="C1055">
        <v>39</v>
      </c>
      <c r="D1055" t="s">
        <v>38</v>
      </c>
      <c r="E1055" t="s">
        <v>23</v>
      </c>
      <c r="F1055" t="s">
        <v>46</v>
      </c>
      <c r="G1055">
        <v>83631</v>
      </c>
      <c r="H1055">
        <v>712</v>
      </c>
      <c r="I1055">
        <v>99358</v>
      </c>
      <c r="J1055">
        <v>19.61</v>
      </c>
      <c r="K1055">
        <v>36</v>
      </c>
      <c r="L1055" t="s">
        <v>52</v>
      </c>
      <c r="M1055">
        <v>29.72</v>
      </c>
      <c r="N1055">
        <v>38777</v>
      </c>
      <c r="O1055">
        <v>245063</v>
      </c>
      <c r="P1055" t="s">
        <v>2889</v>
      </c>
      <c r="Q1055" t="s">
        <v>42</v>
      </c>
      <c r="R1055" t="s">
        <v>48</v>
      </c>
      <c r="S1055" t="s">
        <v>29</v>
      </c>
      <c r="T1055">
        <v>3301.17</v>
      </c>
      <c r="U1055">
        <f t="shared" si="224"/>
        <v>947</v>
      </c>
      <c r="V1055">
        <f t="shared" si="225"/>
        <v>351</v>
      </c>
      <c r="W1055">
        <f t="shared" si="226"/>
        <v>295</v>
      </c>
      <c r="X1055">
        <f t="shared" si="227"/>
        <v>0.35149999999999998</v>
      </c>
      <c r="Y1055" s="1">
        <f t="shared" si="228"/>
        <v>48571035</v>
      </c>
      <c r="Z1055">
        <f t="shared" si="229"/>
        <v>51289.371700105599</v>
      </c>
      <c r="AA1055">
        <f t="shared" si="230"/>
        <v>99996</v>
      </c>
      <c r="AB1055">
        <f t="shared" si="231"/>
        <v>5091</v>
      </c>
      <c r="AC1055">
        <f t="shared" si="232"/>
        <v>1243082.8100000003</v>
      </c>
      <c r="AD1055">
        <f t="shared" si="233"/>
        <v>1312.6534424498418</v>
      </c>
      <c r="AE1055">
        <f t="shared" si="234"/>
        <v>0.35149999999999998</v>
      </c>
      <c r="AF1055">
        <f t="shared" si="235"/>
        <v>607046400.77000022</v>
      </c>
      <c r="AG1055" t="str">
        <f t="shared" si="236"/>
        <v>Active</v>
      </c>
      <c r="AH1055">
        <f t="shared" si="237"/>
        <v>39614.04</v>
      </c>
    </row>
    <row r="1056" spans="1:34" x14ac:dyDescent="0.35">
      <c r="A1056" t="s">
        <v>2890</v>
      </c>
      <c r="B1056" t="s">
        <v>2891</v>
      </c>
      <c r="C1056">
        <v>37</v>
      </c>
      <c r="D1056" t="s">
        <v>38</v>
      </c>
      <c r="E1056" t="s">
        <v>32</v>
      </c>
      <c r="F1056" t="s">
        <v>46</v>
      </c>
      <c r="G1056">
        <v>110351</v>
      </c>
      <c r="H1056">
        <v>472</v>
      </c>
      <c r="I1056">
        <v>18400</v>
      </c>
      <c r="J1056">
        <v>15.16</v>
      </c>
      <c r="K1056">
        <v>12</v>
      </c>
      <c r="L1056" t="s">
        <v>33</v>
      </c>
      <c r="M1056">
        <v>22.9</v>
      </c>
      <c r="N1056">
        <v>52107</v>
      </c>
      <c r="O1056">
        <v>64402</v>
      </c>
      <c r="P1056" t="s">
        <v>2892</v>
      </c>
      <c r="Q1056" t="s">
        <v>27</v>
      </c>
      <c r="R1056" t="s">
        <v>28</v>
      </c>
      <c r="S1056" t="s">
        <v>49</v>
      </c>
      <c r="T1056">
        <v>1765.79</v>
      </c>
      <c r="U1056">
        <f t="shared" si="224"/>
        <v>946</v>
      </c>
      <c r="V1056">
        <f t="shared" si="225"/>
        <v>350</v>
      </c>
      <c r="W1056">
        <f t="shared" si="226"/>
        <v>295</v>
      </c>
      <c r="X1056">
        <f t="shared" si="227"/>
        <v>0.35149999999999998</v>
      </c>
      <c r="Y1056" s="1">
        <f t="shared" si="228"/>
        <v>48471677</v>
      </c>
      <c r="Z1056">
        <f t="shared" si="229"/>
        <v>51238.559196617338</v>
      </c>
      <c r="AA1056">
        <f t="shared" si="230"/>
        <v>99996</v>
      </c>
      <c r="AB1056">
        <f t="shared" si="231"/>
        <v>5091</v>
      </c>
      <c r="AC1056">
        <f t="shared" si="232"/>
        <v>1239781.6400000004</v>
      </c>
      <c r="AD1056">
        <f t="shared" si="233"/>
        <v>1310.5514164904866</v>
      </c>
      <c r="AE1056">
        <f t="shared" si="234"/>
        <v>0.35149999999999998</v>
      </c>
      <c r="AF1056">
        <f t="shared" si="235"/>
        <v>605803317.96000016</v>
      </c>
      <c r="AG1056" t="str">
        <f t="shared" si="236"/>
        <v>Active</v>
      </c>
      <c r="AH1056">
        <f t="shared" si="237"/>
        <v>21189.48</v>
      </c>
    </row>
    <row r="1057" spans="1:34" x14ac:dyDescent="0.35">
      <c r="A1057" t="s">
        <v>2893</v>
      </c>
      <c r="B1057" t="s">
        <v>2894</v>
      </c>
      <c r="C1057">
        <v>35</v>
      </c>
      <c r="D1057" t="s">
        <v>38</v>
      </c>
      <c r="E1057" t="s">
        <v>39</v>
      </c>
      <c r="F1057" t="s">
        <v>59</v>
      </c>
      <c r="G1057">
        <v>185660</v>
      </c>
      <c r="H1057">
        <v>832</v>
      </c>
      <c r="I1057">
        <v>76576</v>
      </c>
      <c r="J1057">
        <v>9.9499999999999993</v>
      </c>
      <c r="K1057">
        <v>36</v>
      </c>
      <c r="L1057" t="s">
        <v>33</v>
      </c>
      <c r="M1057">
        <v>29.54</v>
      </c>
      <c r="N1057">
        <v>46209</v>
      </c>
      <c r="O1057">
        <v>47624</v>
      </c>
      <c r="P1057" t="s">
        <v>881</v>
      </c>
      <c r="Q1057" t="s">
        <v>42</v>
      </c>
      <c r="R1057" t="s">
        <v>28</v>
      </c>
      <c r="S1057" t="s">
        <v>49</v>
      </c>
      <c r="T1057">
        <v>2338.7600000000002</v>
      </c>
      <c r="U1057">
        <f t="shared" si="224"/>
        <v>945</v>
      </c>
      <c r="V1057">
        <f t="shared" si="225"/>
        <v>350</v>
      </c>
      <c r="W1057">
        <f t="shared" si="226"/>
        <v>295</v>
      </c>
      <c r="X1057">
        <f t="shared" si="227"/>
        <v>0.35149999999999998</v>
      </c>
      <c r="Y1057" s="1">
        <f t="shared" si="228"/>
        <v>48453277</v>
      </c>
      <c r="Z1057">
        <f t="shared" si="229"/>
        <v>51273.308994708997</v>
      </c>
      <c r="AA1057">
        <f t="shared" si="230"/>
        <v>99996</v>
      </c>
      <c r="AB1057">
        <f t="shared" si="231"/>
        <v>5091</v>
      </c>
      <c r="AC1057">
        <f t="shared" si="232"/>
        <v>1238015.8500000003</v>
      </c>
      <c r="AD1057">
        <f t="shared" si="233"/>
        <v>1310.0696825396828</v>
      </c>
      <c r="AE1057">
        <f t="shared" si="234"/>
        <v>0.35149999999999998</v>
      </c>
      <c r="AF1057">
        <f t="shared" si="235"/>
        <v>604563536.32000017</v>
      </c>
      <c r="AG1057" t="str">
        <f t="shared" si="236"/>
        <v>Over Paid</v>
      </c>
      <c r="AH1057">
        <f t="shared" si="237"/>
        <v>28065.120000000003</v>
      </c>
    </row>
    <row r="1058" spans="1:34" x14ac:dyDescent="0.35">
      <c r="A1058" t="s">
        <v>2895</v>
      </c>
      <c r="B1058" t="s">
        <v>2896</v>
      </c>
      <c r="C1058">
        <v>26</v>
      </c>
      <c r="D1058" t="s">
        <v>38</v>
      </c>
      <c r="E1058" t="s">
        <v>32</v>
      </c>
      <c r="F1058" t="s">
        <v>46</v>
      </c>
      <c r="G1058">
        <v>98574</v>
      </c>
      <c r="H1058">
        <v>529</v>
      </c>
      <c r="I1058">
        <v>38064</v>
      </c>
      <c r="J1058">
        <v>19.190000000000001</v>
      </c>
      <c r="K1058">
        <v>60</v>
      </c>
      <c r="L1058" t="s">
        <v>52</v>
      </c>
      <c r="M1058">
        <v>13.04</v>
      </c>
      <c r="N1058">
        <v>5795</v>
      </c>
      <c r="O1058">
        <v>123022</v>
      </c>
      <c r="P1058" t="s">
        <v>2897</v>
      </c>
      <c r="Q1058" t="s">
        <v>61</v>
      </c>
      <c r="R1058" t="s">
        <v>28</v>
      </c>
      <c r="S1058" t="s">
        <v>43</v>
      </c>
      <c r="T1058">
        <v>756.14</v>
      </c>
      <c r="U1058">
        <f t="shared" si="224"/>
        <v>944</v>
      </c>
      <c r="V1058">
        <f t="shared" si="225"/>
        <v>349</v>
      </c>
      <c r="W1058">
        <f t="shared" si="226"/>
        <v>295</v>
      </c>
      <c r="X1058">
        <f t="shared" si="227"/>
        <v>0.35149999999999998</v>
      </c>
      <c r="Y1058" s="1">
        <f t="shared" si="228"/>
        <v>48376701</v>
      </c>
      <c r="Z1058">
        <f t="shared" si="229"/>
        <v>51246.505296610172</v>
      </c>
      <c r="AA1058">
        <f t="shared" si="230"/>
        <v>99996</v>
      </c>
      <c r="AB1058">
        <f t="shared" si="231"/>
        <v>5091</v>
      </c>
      <c r="AC1058">
        <f t="shared" si="232"/>
        <v>1235677.0900000005</v>
      </c>
      <c r="AD1058">
        <f t="shared" si="233"/>
        <v>1308.9799682203395</v>
      </c>
      <c r="AE1058">
        <f t="shared" si="234"/>
        <v>0.35149999999999998</v>
      </c>
      <c r="AF1058">
        <f t="shared" si="235"/>
        <v>603325520.47000027</v>
      </c>
      <c r="AG1058" t="str">
        <f t="shared" si="236"/>
        <v>Active</v>
      </c>
      <c r="AH1058">
        <f t="shared" si="237"/>
        <v>9073.68</v>
      </c>
    </row>
    <row r="1059" spans="1:34" x14ac:dyDescent="0.35">
      <c r="A1059" t="s">
        <v>2898</v>
      </c>
      <c r="B1059" t="s">
        <v>2899</v>
      </c>
      <c r="C1059">
        <v>46</v>
      </c>
      <c r="D1059" t="s">
        <v>22</v>
      </c>
      <c r="E1059" t="s">
        <v>39</v>
      </c>
      <c r="F1059" t="s">
        <v>46</v>
      </c>
      <c r="G1059">
        <v>148978</v>
      </c>
      <c r="H1059">
        <v>590</v>
      </c>
      <c r="I1059">
        <v>49947</v>
      </c>
      <c r="J1059">
        <v>14.23</v>
      </c>
      <c r="K1059">
        <v>360</v>
      </c>
      <c r="L1059" t="s">
        <v>52</v>
      </c>
      <c r="M1059">
        <v>48.54</v>
      </c>
      <c r="N1059">
        <v>4040</v>
      </c>
      <c r="O1059">
        <v>152957</v>
      </c>
      <c r="P1059" t="s">
        <v>1579</v>
      </c>
      <c r="Q1059" t="s">
        <v>27</v>
      </c>
      <c r="R1059" t="s">
        <v>48</v>
      </c>
      <c r="S1059" t="s">
        <v>43</v>
      </c>
      <c r="T1059">
        <v>158.47999999999999</v>
      </c>
      <c r="U1059">
        <f t="shared" si="224"/>
        <v>943</v>
      </c>
      <c r="V1059">
        <f t="shared" si="225"/>
        <v>349</v>
      </c>
      <c r="W1059">
        <f t="shared" si="226"/>
        <v>294</v>
      </c>
      <c r="X1059">
        <f t="shared" si="227"/>
        <v>0.35149999999999998</v>
      </c>
      <c r="Y1059" s="1">
        <f t="shared" si="228"/>
        <v>48338637</v>
      </c>
      <c r="Z1059">
        <f t="shared" si="229"/>
        <v>51260.484623541888</v>
      </c>
      <c r="AA1059">
        <f t="shared" si="230"/>
        <v>99996</v>
      </c>
      <c r="AB1059">
        <f t="shared" si="231"/>
        <v>5091</v>
      </c>
      <c r="AC1059">
        <f t="shared" si="232"/>
        <v>1234920.9500000004</v>
      </c>
      <c r="AD1059">
        <f t="shared" si="233"/>
        <v>1309.5662248144224</v>
      </c>
      <c r="AE1059">
        <f t="shared" si="234"/>
        <v>0.35149999999999998</v>
      </c>
      <c r="AF1059">
        <f t="shared" si="235"/>
        <v>602089843.38000023</v>
      </c>
      <c r="AG1059" t="str">
        <f t="shared" si="236"/>
        <v>Active</v>
      </c>
      <c r="AH1059">
        <f t="shared" si="237"/>
        <v>1901.7599999999998</v>
      </c>
    </row>
    <row r="1060" spans="1:34" x14ac:dyDescent="0.35">
      <c r="A1060" t="s">
        <v>2900</v>
      </c>
      <c r="B1060" t="s">
        <v>2901</v>
      </c>
      <c r="C1060">
        <v>37</v>
      </c>
      <c r="D1060" t="s">
        <v>22</v>
      </c>
      <c r="E1060" t="s">
        <v>39</v>
      </c>
      <c r="F1060" t="s">
        <v>46</v>
      </c>
      <c r="G1060">
        <v>73859</v>
      </c>
      <c r="H1060">
        <v>625</v>
      </c>
      <c r="I1060">
        <v>17168</v>
      </c>
      <c r="J1060">
        <v>8.09</v>
      </c>
      <c r="K1060">
        <v>360</v>
      </c>
      <c r="L1060" t="s">
        <v>40</v>
      </c>
      <c r="M1060">
        <v>33.78</v>
      </c>
      <c r="N1060">
        <v>39348</v>
      </c>
      <c r="O1060">
        <v>116366</v>
      </c>
      <c r="P1060" t="s">
        <v>1068</v>
      </c>
      <c r="Q1060" t="s">
        <v>27</v>
      </c>
      <c r="R1060" t="s">
        <v>48</v>
      </c>
      <c r="S1060" t="s">
        <v>43</v>
      </c>
      <c r="T1060">
        <v>51.55</v>
      </c>
      <c r="U1060">
        <f t="shared" si="224"/>
        <v>942</v>
      </c>
      <c r="V1060">
        <f t="shared" si="225"/>
        <v>349</v>
      </c>
      <c r="W1060">
        <f t="shared" si="226"/>
        <v>294</v>
      </c>
      <c r="X1060">
        <f t="shared" si="227"/>
        <v>0.35149999999999998</v>
      </c>
      <c r="Y1060" s="1">
        <f t="shared" si="228"/>
        <v>48288690</v>
      </c>
      <c r="Z1060">
        <f t="shared" si="229"/>
        <v>51261.878980891721</v>
      </c>
      <c r="AA1060">
        <f t="shared" si="230"/>
        <v>99996</v>
      </c>
      <c r="AB1060">
        <f t="shared" si="231"/>
        <v>5091</v>
      </c>
      <c r="AC1060">
        <f t="shared" si="232"/>
        <v>1234762.4700000004</v>
      </c>
      <c r="AD1060">
        <f t="shared" si="233"/>
        <v>1310.7881847133763</v>
      </c>
      <c r="AE1060">
        <f t="shared" si="234"/>
        <v>0.35149999999999998</v>
      </c>
      <c r="AF1060">
        <f t="shared" si="235"/>
        <v>600854922.43000019</v>
      </c>
      <c r="AG1060" t="str">
        <f t="shared" si="236"/>
        <v>Active</v>
      </c>
      <c r="AH1060">
        <f t="shared" si="237"/>
        <v>618.59999999999991</v>
      </c>
    </row>
    <row r="1061" spans="1:34" x14ac:dyDescent="0.35">
      <c r="A1061" t="s">
        <v>2902</v>
      </c>
      <c r="B1061" t="s">
        <v>2903</v>
      </c>
      <c r="C1061">
        <v>58</v>
      </c>
      <c r="D1061" t="s">
        <v>38</v>
      </c>
      <c r="E1061" t="s">
        <v>23</v>
      </c>
      <c r="F1061" t="s">
        <v>59</v>
      </c>
      <c r="G1061">
        <v>178828</v>
      </c>
      <c r="H1061">
        <v>732</v>
      </c>
      <c r="I1061">
        <v>22216</v>
      </c>
      <c r="J1061">
        <v>20.97</v>
      </c>
      <c r="K1061">
        <v>240</v>
      </c>
      <c r="L1061" t="s">
        <v>40</v>
      </c>
      <c r="M1061">
        <v>31.37</v>
      </c>
      <c r="N1061">
        <v>15949</v>
      </c>
      <c r="O1061">
        <v>240094</v>
      </c>
      <c r="P1061" t="s">
        <v>2904</v>
      </c>
      <c r="Q1061" t="s">
        <v>42</v>
      </c>
      <c r="R1061" t="s">
        <v>28</v>
      </c>
      <c r="S1061" t="s">
        <v>68</v>
      </c>
      <c r="T1061">
        <v>111.98</v>
      </c>
      <c r="U1061">
        <f t="shared" si="224"/>
        <v>941</v>
      </c>
      <c r="V1061">
        <f t="shared" si="225"/>
        <v>349</v>
      </c>
      <c r="W1061">
        <f t="shared" si="226"/>
        <v>294</v>
      </c>
      <c r="X1061">
        <f t="shared" si="227"/>
        <v>0.35149999999999998</v>
      </c>
      <c r="Y1061" s="1">
        <f t="shared" si="228"/>
        <v>48271522</v>
      </c>
      <c r="Z1061">
        <f t="shared" si="229"/>
        <v>51298.110520722636</v>
      </c>
      <c r="AA1061">
        <f t="shared" si="230"/>
        <v>99996</v>
      </c>
      <c r="AB1061">
        <f t="shared" si="231"/>
        <v>5091</v>
      </c>
      <c r="AC1061">
        <f t="shared" si="232"/>
        <v>1234710.9200000004</v>
      </c>
      <c r="AD1061">
        <f t="shared" si="233"/>
        <v>1312.126376195537</v>
      </c>
      <c r="AE1061">
        <f t="shared" si="234"/>
        <v>0.35149999999999998</v>
      </c>
      <c r="AF1061">
        <f t="shared" si="235"/>
        <v>599620159.96000028</v>
      </c>
      <c r="AG1061" t="str">
        <f t="shared" si="236"/>
        <v>Active</v>
      </c>
      <c r="AH1061">
        <f t="shared" si="237"/>
        <v>1343.76</v>
      </c>
    </row>
    <row r="1062" spans="1:34" x14ac:dyDescent="0.35">
      <c r="A1062" t="s">
        <v>2905</v>
      </c>
      <c r="B1062" t="s">
        <v>2906</v>
      </c>
      <c r="C1062">
        <v>36</v>
      </c>
      <c r="D1062" t="s">
        <v>22</v>
      </c>
      <c r="E1062" t="s">
        <v>32</v>
      </c>
      <c r="F1062" t="s">
        <v>46</v>
      </c>
      <c r="G1062">
        <v>47989</v>
      </c>
      <c r="H1062">
        <v>413</v>
      </c>
      <c r="I1062">
        <v>50727</v>
      </c>
      <c r="J1062">
        <v>22.17</v>
      </c>
      <c r="K1062">
        <v>60</v>
      </c>
      <c r="L1062" t="s">
        <v>86</v>
      </c>
      <c r="M1062">
        <v>44.78</v>
      </c>
      <c r="N1062">
        <v>24466</v>
      </c>
      <c r="O1062">
        <v>53899</v>
      </c>
      <c r="P1062" t="s">
        <v>2907</v>
      </c>
      <c r="Q1062" t="s">
        <v>27</v>
      </c>
      <c r="R1062" t="s">
        <v>48</v>
      </c>
      <c r="S1062" t="s">
        <v>49</v>
      </c>
      <c r="T1062">
        <v>1032.8900000000001</v>
      </c>
      <c r="U1062">
        <f t="shared" si="224"/>
        <v>940</v>
      </c>
      <c r="V1062">
        <f t="shared" si="225"/>
        <v>348</v>
      </c>
      <c r="W1062">
        <f t="shared" si="226"/>
        <v>294</v>
      </c>
      <c r="X1062">
        <f t="shared" si="227"/>
        <v>0.35149999999999998</v>
      </c>
      <c r="Y1062" s="1">
        <f t="shared" si="228"/>
        <v>48249306</v>
      </c>
      <c r="Z1062">
        <f t="shared" si="229"/>
        <v>51329.048936170213</v>
      </c>
      <c r="AA1062">
        <f t="shared" si="230"/>
        <v>99996</v>
      </c>
      <c r="AB1062">
        <f t="shared" si="231"/>
        <v>5091</v>
      </c>
      <c r="AC1062">
        <f t="shared" si="232"/>
        <v>1234598.9400000004</v>
      </c>
      <c r="AD1062">
        <f t="shared" si="233"/>
        <v>1313.4031276595749</v>
      </c>
      <c r="AE1062">
        <f t="shared" si="234"/>
        <v>0.35149999999999998</v>
      </c>
      <c r="AF1062">
        <f t="shared" si="235"/>
        <v>598385449.04000044</v>
      </c>
      <c r="AG1062" t="str">
        <f t="shared" si="236"/>
        <v>Active</v>
      </c>
      <c r="AH1062">
        <f t="shared" si="237"/>
        <v>12394.68</v>
      </c>
    </row>
    <row r="1063" spans="1:34" x14ac:dyDescent="0.35">
      <c r="A1063" t="s">
        <v>2908</v>
      </c>
      <c r="B1063" t="s">
        <v>2909</v>
      </c>
      <c r="C1063">
        <v>43</v>
      </c>
      <c r="D1063" t="s">
        <v>22</v>
      </c>
      <c r="E1063" t="s">
        <v>23</v>
      </c>
      <c r="F1063" t="s">
        <v>46</v>
      </c>
      <c r="G1063">
        <v>188636</v>
      </c>
      <c r="H1063">
        <v>766</v>
      </c>
      <c r="I1063">
        <v>58459</v>
      </c>
      <c r="J1063">
        <v>14.47</v>
      </c>
      <c r="K1063">
        <v>36</v>
      </c>
      <c r="L1063" t="s">
        <v>40</v>
      </c>
      <c r="M1063">
        <v>30.31</v>
      </c>
      <c r="N1063">
        <v>55215</v>
      </c>
      <c r="O1063">
        <v>232582</v>
      </c>
      <c r="P1063" t="s">
        <v>2910</v>
      </c>
      <c r="Q1063" t="s">
        <v>42</v>
      </c>
      <c r="R1063" t="s">
        <v>28</v>
      </c>
      <c r="S1063" t="s">
        <v>35</v>
      </c>
      <c r="T1063">
        <v>1858.83</v>
      </c>
      <c r="U1063">
        <f t="shared" si="224"/>
        <v>939</v>
      </c>
      <c r="V1063">
        <f t="shared" si="225"/>
        <v>348</v>
      </c>
      <c r="W1063">
        <f t="shared" si="226"/>
        <v>294</v>
      </c>
      <c r="X1063">
        <f t="shared" si="227"/>
        <v>0.35149999999999998</v>
      </c>
      <c r="Y1063" s="1">
        <f t="shared" si="228"/>
        <v>48198579</v>
      </c>
      <c r="Z1063">
        <f t="shared" si="229"/>
        <v>51329.690095846643</v>
      </c>
      <c r="AA1063">
        <f t="shared" si="230"/>
        <v>99996</v>
      </c>
      <c r="AB1063">
        <f t="shared" si="231"/>
        <v>5091</v>
      </c>
      <c r="AC1063">
        <f t="shared" si="232"/>
        <v>1233566.0500000005</v>
      </c>
      <c r="AD1063">
        <f t="shared" si="233"/>
        <v>1313.7018636847715</v>
      </c>
      <c r="AE1063">
        <f t="shared" si="234"/>
        <v>0.35149999999999998</v>
      </c>
      <c r="AF1063">
        <f t="shared" si="235"/>
        <v>597150850.10000038</v>
      </c>
      <c r="AG1063" t="str">
        <f t="shared" si="236"/>
        <v>Active</v>
      </c>
      <c r="AH1063">
        <f t="shared" si="237"/>
        <v>22305.96</v>
      </c>
    </row>
    <row r="1064" spans="1:34" x14ac:dyDescent="0.35">
      <c r="A1064" t="s">
        <v>2911</v>
      </c>
      <c r="B1064" t="s">
        <v>2912</v>
      </c>
      <c r="C1064">
        <v>40</v>
      </c>
      <c r="D1064" t="s">
        <v>22</v>
      </c>
      <c r="E1064" t="s">
        <v>39</v>
      </c>
      <c r="F1064" t="s">
        <v>59</v>
      </c>
      <c r="G1064">
        <v>87686</v>
      </c>
      <c r="H1064">
        <v>792</v>
      </c>
      <c r="I1064">
        <v>21338</v>
      </c>
      <c r="J1064">
        <v>10.039999999999999</v>
      </c>
      <c r="K1064">
        <v>12</v>
      </c>
      <c r="L1064" t="s">
        <v>86</v>
      </c>
      <c r="M1064">
        <v>45.93</v>
      </c>
      <c r="N1064">
        <v>11552</v>
      </c>
      <c r="O1064">
        <v>136542</v>
      </c>
      <c r="P1064" t="s">
        <v>2913</v>
      </c>
      <c r="Q1064" t="s">
        <v>42</v>
      </c>
      <c r="R1064" t="s">
        <v>28</v>
      </c>
      <c r="S1064" t="s">
        <v>43</v>
      </c>
      <c r="T1064">
        <v>1956.69</v>
      </c>
      <c r="U1064">
        <f t="shared" si="224"/>
        <v>938</v>
      </c>
      <c r="V1064">
        <f t="shared" si="225"/>
        <v>347</v>
      </c>
      <c r="W1064">
        <f t="shared" si="226"/>
        <v>294</v>
      </c>
      <c r="X1064">
        <f t="shared" si="227"/>
        <v>0.35149999999999998</v>
      </c>
      <c r="Y1064" s="1">
        <f t="shared" si="228"/>
        <v>48140120</v>
      </c>
      <c r="Z1064">
        <f t="shared" si="229"/>
        <v>51322.089552238809</v>
      </c>
      <c r="AA1064">
        <f t="shared" si="230"/>
        <v>99996</v>
      </c>
      <c r="AB1064">
        <f t="shared" si="231"/>
        <v>5091</v>
      </c>
      <c r="AC1064">
        <f t="shared" si="232"/>
        <v>1231707.2200000007</v>
      </c>
      <c r="AD1064">
        <f t="shared" si="233"/>
        <v>1313.1207036247342</v>
      </c>
      <c r="AE1064">
        <f t="shared" si="234"/>
        <v>0.35149999999999998</v>
      </c>
      <c r="AF1064">
        <f t="shared" si="235"/>
        <v>595917284.05000031</v>
      </c>
      <c r="AG1064" t="str">
        <f t="shared" si="236"/>
        <v>Active</v>
      </c>
      <c r="AH1064">
        <f t="shared" si="237"/>
        <v>23480.28</v>
      </c>
    </row>
    <row r="1065" spans="1:34" x14ac:dyDescent="0.35">
      <c r="A1065" t="s">
        <v>2914</v>
      </c>
      <c r="B1065" t="s">
        <v>2915</v>
      </c>
      <c r="C1065">
        <v>32</v>
      </c>
      <c r="D1065" t="s">
        <v>22</v>
      </c>
      <c r="E1065" t="s">
        <v>32</v>
      </c>
      <c r="F1065" t="s">
        <v>59</v>
      </c>
      <c r="G1065">
        <v>120713</v>
      </c>
      <c r="H1065">
        <v>359</v>
      </c>
      <c r="I1065">
        <v>63573</v>
      </c>
      <c r="J1065">
        <v>22.87</v>
      </c>
      <c r="K1065">
        <v>48</v>
      </c>
      <c r="L1065" t="s">
        <v>52</v>
      </c>
      <c r="M1065">
        <v>8.74</v>
      </c>
      <c r="N1065">
        <v>54243</v>
      </c>
      <c r="O1065">
        <v>33186</v>
      </c>
      <c r="P1065" t="s">
        <v>582</v>
      </c>
      <c r="Q1065" t="s">
        <v>27</v>
      </c>
      <c r="R1065" t="s">
        <v>48</v>
      </c>
      <c r="S1065" t="s">
        <v>68</v>
      </c>
      <c r="T1065">
        <v>1627.34</v>
      </c>
      <c r="U1065">
        <f t="shared" si="224"/>
        <v>937</v>
      </c>
      <c r="V1065">
        <f t="shared" si="225"/>
        <v>346</v>
      </c>
      <c r="W1065">
        <f t="shared" si="226"/>
        <v>294</v>
      </c>
      <c r="X1065">
        <f t="shared" si="227"/>
        <v>0.35149999999999998</v>
      </c>
      <c r="Y1065" s="1">
        <f t="shared" si="228"/>
        <v>48118782</v>
      </c>
      <c r="Z1065">
        <f t="shared" si="229"/>
        <v>51354.089647812165</v>
      </c>
      <c r="AA1065">
        <f t="shared" si="230"/>
        <v>99996</v>
      </c>
      <c r="AB1065">
        <f t="shared" si="231"/>
        <v>5091</v>
      </c>
      <c r="AC1065">
        <f t="shared" si="232"/>
        <v>1229750.5300000007</v>
      </c>
      <c r="AD1065">
        <f t="shared" si="233"/>
        <v>1312.4338633938107</v>
      </c>
      <c r="AE1065">
        <f t="shared" si="234"/>
        <v>0.35149999999999998</v>
      </c>
      <c r="AF1065">
        <f t="shared" si="235"/>
        <v>594685576.8300004</v>
      </c>
      <c r="AG1065" t="str">
        <f t="shared" si="236"/>
        <v>Over Paid</v>
      </c>
      <c r="AH1065">
        <f t="shared" si="237"/>
        <v>19528.079999999998</v>
      </c>
    </row>
    <row r="1066" spans="1:34" x14ac:dyDescent="0.35">
      <c r="A1066" t="s">
        <v>2916</v>
      </c>
      <c r="B1066" t="s">
        <v>2917</v>
      </c>
      <c r="C1066">
        <v>44</v>
      </c>
      <c r="D1066" t="s">
        <v>38</v>
      </c>
      <c r="E1066" t="s">
        <v>39</v>
      </c>
      <c r="F1066" t="s">
        <v>24</v>
      </c>
      <c r="G1066">
        <v>133327</v>
      </c>
      <c r="H1066">
        <v>543</v>
      </c>
      <c r="I1066">
        <v>82552</v>
      </c>
      <c r="J1066">
        <v>15.47</v>
      </c>
      <c r="K1066">
        <v>360</v>
      </c>
      <c r="L1066" t="s">
        <v>52</v>
      </c>
      <c r="M1066">
        <v>44.01</v>
      </c>
      <c r="N1066">
        <v>63868</v>
      </c>
      <c r="O1066">
        <v>130123</v>
      </c>
      <c r="P1066" t="s">
        <v>1725</v>
      </c>
      <c r="Q1066" t="s">
        <v>27</v>
      </c>
      <c r="R1066" t="s">
        <v>48</v>
      </c>
      <c r="S1066" t="s">
        <v>43</v>
      </c>
      <c r="T1066">
        <v>264.79000000000002</v>
      </c>
      <c r="U1066">
        <f t="shared" si="224"/>
        <v>936</v>
      </c>
      <c r="V1066">
        <f t="shared" si="225"/>
        <v>346</v>
      </c>
      <c r="W1066">
        <f t="shared" si="226"/>
        <v>294</v>
      </c>
      <c r="X1066">
        <f t="shared" si="227"/>
        <v>0.35149999999999998</v>
      </c>
      <c r="Y1066" s="1">
        <f t="shared" si="228"/>
        <v>48055209</v>
      </c>
      <c r="Z1066">
        <f t="shared" si="229"/>
        <v>51341.035256410258</v>
      </c>
      <c r="AA1066">
        <f t="shared" si="230"/>
        <v>99996</v>
      </c>
      <c r="AB1066">
        <f t="shared" si="231"/>
        <v>5091</v>
      </c>
      <c r="AC1066">
        <f t="shared" si="232"/>
        <v>1228123.1900000006</v>
      </c>
      <c r="AD1066">
        <f t="shared" si="233"/>
        <v>1312.0974252136759</v>
      </c>
      <c r="AE1066">
        <f t="shared" si="234"/>
        <v>0.35149999999999998</v>
      </c>
      <c r="AF1066">
        <f t="shared" si="235"/>
        <v>593455826.30000043</v>
      </c>
      <c r="AG1066" t="str">
        <f t="shared" si="236"/>
        <v>Active</v>
      </c>
      <c r="AH1066">
        <f t="shared" si="237"/>
        <v>3177.4800000000005</v>
      </c>
    </row>
    <row r="1067" spans="1:34" x14ac:dyDescent="0.35">
      <c r="A1067" t="s">
        <v>2918</v>
      </c>
      <c r="B1067" t="s">
        <v>2919</v>
      </c>
      <c r="C1067">
        <v>49</v>
      </c>
      <c r="D1067" t="s">
        <v>22</v>
      </c>
      <c r="E1067" t="s">
        <v>23</v>
      </c>
      <c r="F1067" t="s">
        <v>46</v>
      </c>
      <c r="G1067">
        <v>95311</v>
      </c>
      <c r="H1067">
        <v>687</v>
      </c>
      <c r="I1067">
        <v>62669</v>
      </c>
      <c r="J1067">
        <v>23.84</v>
      </c>
      <c r="K1067">
        <v>120</v>
      </c>
      <c r="L1067" t="s">
        <v>33</v>
      </c>
      <c r="M1067">
        <v>51.79</v>
      </c>
      <c r="N1067">
        <v>69609</v>
      </c>
      <c r="O1067">
        <v>144044</v>
      </c>
      <c r="P1067" t="s">
        <v>875</v>
      </c>
      <c r="Q1067" t="s">
        <v>61</v>
      </c>
      <c r="R1067" t="s">
        <v>48</v>
      </c>
      <c r="S1067" t="s">
        <v>68</v>
      </c>
      <c r="T1067">
        <v>646.74</v>
      </c>
      <c r="U1067">
        <f t="shared" si="224"/>
        <v>935</v>
      </c>
      <c r="V1067">
        <f t="shared" si="225"/>
        <v>346</v>
      </c>
      <c r="W1067">
        <f t="shared" si="226"/>
        <v>294</v>
      </c>
      <c r="X1067">
        <f t="shared" si="227"/>
        <v>0.35149999999999998</v>
      </c>
      <c r="Y1067" s="1">
        <f t="shared" si="228"/>
        <v>47972657</v>
      </c>
      <c r="Z1067">
        <f t="shared" si="229"/>
        <v>51307.654545454548</v>
      </c>
      <c r="AA1067">
        <f t="shared" si="230"/>
        <v>99996</v>
      </c>
      <c r="AB1067">
        <f t="shared" si="231"/>
        <v>5091</v>
      </c>
      <c r="AC1067">
        <f t="shared" si="232"/>
        <v>1227858.4000000006</v>
      </c>
      <c r="AD1067">
        <f t="shared" si="233"/>
        <v>1313.2175401069526</v>
      </c>
      <c r="AE1067">
        <f t="shared" si="234"/>
        <v>0.35149999999999998</v>
      </c>
      <c r="AF1067">
        <f t="shared" si="235"/>
        <v>592227703.11000025</v>
      </c>
      <c r="AG1067" t="str">
        <f t="shared" si="236"/>
        <v>Active</v>
      </c>
      <c r="AH1067">
        <f t="shared" si="237"/>
        <v>7760.88</v>
      </c>
    </row>
    <row r="1068" spans="1:34" x14ac:dyDescent="0.35">
      <c r="A1068" t="s">
        <v>2920</v>
      </c>
      <c r="B1068" t="s">
        <v>2921</v>
      </c>
      <c r="C1068">
        <v>53</v>
      </c>
      <c r="D1068" t="s">
        <v>22</v>
      </c>
      <c r="E1068" t="s">
        <v>32</v>
      </c>
      <c r="F1068" t="s">
        <v>46</v>
      </c>
      <c r="G1068">
        <v>103354</v>
      </c>
      <c r="H1068">
        <v>610</v>
      </c>
      <c r="I1068">
        <v>10823</v>
      </c>
      <c r="J1068">
        <v>9.93</v>
      </c>
      <c r="K1068">
        <v>36</v>
      </c>
      <c r="L1068" t="s">
        <v>52</v>
      </c>
      <c r="M1068">
        <v>55</v>
      </c>
      <c r="N1068">
        <v>18254</v>
      </c>
      <c r="O1068">
        <v>11038</v>
      </c>
      <c r="P1068" t="s">
        <v>316</v>
      </c>
      <c r="Q1068" t="s">
        <v>27</v>
      </c>
      <c r="R1068" t="s">
        <v>48</v>
      </c>
      <c r="S1068" t="s">
        <v>43</v>
      </c>
      <c r="T1068">
        <v>330.49</v>
      </c>
      <c r="U1068">
        <f t="shared" si="224"/>
        <v>934</v>
      </c>
      <c r="V1068">
        <f t="shared" si="225"/>
        <v>346</v>
      </c>
      <c r="W1068">
        <f t="shared" si="226"/>
        <v>293</v>
      </c>
      <c r="X1068">
        <f t="shared" si="227"/>
        <v>0.35149999999999998</v>
      </c>
      <c r="Y1068" s="1">
        <f t="shared" si="228"/>
        <v>47909988</v>
      </c>
      <c r="Z1068">
        <f t="shared" si="229"/>
        <v>51295.490364025696</v>
      </c>
      <c r="AA1068">
        <f t="shared" si="230"/>
        <v>99996</v>
      </c>
      <c r="AB1068">
        <f t="shared" si="231"/>
        <v>5091</v>
      </c>
      <c r="AC1068">
        <f t="shared" si="232"/>
        <v>1227211.6600000006</v>
      </c>
      <c r="AD1068">
        <f t="shared" si="233"/>
        <v>1313.9311134903646</v>
      </c>
      <c r="AE1068">
        <f t="shared" si="234"/>
        <v>0.35149999999999998</v>
      </c>
      <c r="AF1068">
        <f t="shared" si="235"/>
        <v>590999844.7100004</v>
      </c>
      <c r="AG1068" t="str">
        <f t="shared" si="236"/>
        <v>Active</v>
      </c>
      <c r="AH1068">
        <f t="shared" si="237"/>
        <v>3965.88</v>
      </c>
    </row>
    <row r="1069" spans="1:34" x14ac:dyDescent="0.35">
      <c r="A1069" t="s">
        <v>2922</v>
      </c>
      <c r="B1069" t="s">
        <v>2923</v>
      </c>
      <c r="C1069">
        <v>56</v>
      </c>
      <c r="D1069" t="s">
        <v>22</v>
      </c>
      <c r="E1069" t="s">
        <v>32</v>
      </c>
      <c r="F1069" t="s">
        <v>59</v>
      </c>
      <c r="G1069">
        <v>141806</v>
      </c>
      <c r="H1069">
        <v>588</v>
      </c>
      <c r="I1069">
        <v>33437</v>
      </c>
      <c r="J1069">
        <v>17.47</v>
      </c>
      <c r="K1069">
        <v>240</v>
      </c>
      <c r="L1069" t="s">
        <v>25</v>
      </c>
      <c r="M1069">
        <v>33.1</v>
      </c>
      <c r="N1069">
        <v>54870</v>
      </c>
      <c r="O1069">
        <v>49959</v>
      </c>
      <c r="P1069" t="s">
        <v>2924</v>
      </c>
      <c r="Q1069" t="s">
        <v>42</v>
      </c>
      <c r="R1069" t="s">
        <v>48</v>
      </c>
      <c r="S1069" t="s">
        <v>29</v>
      </c>
      <c r="T1069">
        <v>163.66</v>
      </c>
      <c r="U1069">
        <f t="shared" si="224"/>
        <v>933</v>
      </c>
      <c r="V1069">
        <f t="shared" si="225"/>
        <v>346</v>
      </c>
      <c r="W1069">
        <f t="shared" si="226"/>
        <v>293</v>
      </c>
      <c r="X1069">
        <f t="shared" si="227"/>
        <v>0.35149999999999998</v>
      </c>
      <c r="Y1069" s="1">
        <f t="shared" si="228"/>
        <v>47899165</v>
      </c>
      <c r="Z1069">
        <f t="shared" si="229"/>
        <v>51338.869239013933</v>
      </c>
      <c r="AA1069">
        <f t="shared" si="230"/>
        <v>99996</v>
      </c>
      <c r="AB1069">
        <f t="shared" si="231"/>
        <v>5091</v>
      </c>
      <c r="AC1069">
        <f t="shared" si="232"/>
        <v>1226881.1700000006</v>
      </c>
      <c r="AD1069">
        <f t="shared" si="233"/>
        <v>1314.9851768488752</v>
      </c>
      <c r="AE1069">
        <f t="shared" si="234"/>
        <v>0.35149999999999998</v>
      </c>
      <c r="AF1069">
        <f t="shared" si="235"/>
        <v>589772633.05000031</v>
      </c>
      <c r="AG1069" t="str">
        <f t="shared" si="236"/>
        <v>Active</v>
      </c>
      <c r="AH1069">
        <f t="shared" si="237"/>
        <v>1963.92</v>
      </c>
    </row>
    <row r="1070" spans="1:34" x14ac:dyDescent="0.35">
      <c r="A1070" t="s">
        <v>2925</v>
      </c>
      <c r="B1070" t="s">
        <v>2926</v>
      </c>
      <c r="C1070">
        <v>60</v>
      </c>
      <c r="D1070" t="s">
        <v>38</v>
      </c>
      <c r="E1070" t="s">
        <v>23</v>
      </c>
      <c r="F1070" t="s">
        <v>59</v>
      </c>
      <c r="G1070">
        <v>98783</v>
      </c>
      <c r="H1070">
        <v>538</v>
      </c>
      <c r="I1070">
        <v>64000</v>
      </c>
      <c r="J1070">
        <v>10.73</v>
      </c>
      <c r="K1070">
        <v>180</v>
      </c>
      <c r="L1070" t="s">
        <v>86</v>
      </c>
      <c r="M1070">
        <v>27.94</v>
      </c>
      <c r="N1070">
        <v>28846</v>
      </c>
      <c r="O1070">
        <v>4496</v>
      </c>
      <c r="P1070" t="s">
        <v>2927</v>
      </c>
      <c r="Q1070" t="s">
        <v>61</v>
      </c>
      <c r="R1070" t="s">
        <v>28</v>
      </c>
      <c r="S1070" t="s">
        <v>35</v>
      </c>
      <c r="T1070">
        <v>393.71</v>
      </c>
      <c r="U1070">
        <f t="shared" si="224"/>
        <v>932</v>
      </c>
      <c r="V1070">
        <f t="shared" si="225"/>
        <v>345</v>
      </c>
      <c r="W1070">
        <f t="shared" si="226"/>
        <v>293</v>
      </c>
      <c r="X1070">
        <f t="shared" si="227"/>
        <v>0.35149999999999998</v>
      </c>
      <c r="Y1070" s="1">
        <f t="shared" si="228"/>
        <v>47865728</v>
      </c>
      <c r="Z1070">
        <f t="shared" si="229"/>
        <v>51358.077253218886</v>
      </c>
      <c r="AA1070">
        <f t="shared" si="230"/>
        <v>99996</v>
      </c>
      <c r="AB1070">
        <f t="shared" si="231"/>
        <v>5091</v>
      </c>
      <c r="AC1070">
        <f t="shared" si="232"/>
        <v>1226717.5100000007</v>
      </c>
      <c r="AD1070">
        <f t="shared" si="233"/>
        <v>1316.2205042918463</v>
      </c>
      <c r="AE1070">
        <f t="shared" si="234"/>
        <v>0.35149999999999998</v>
      </c>
      <c r="AF1070">
        <f t="shared" si="235"/>
        <v>588545751.88000035</v>
      </c>
      <c r="AG1070" t="str">
        <f t="shared" si="236"/>
        <v>Active</v>
      </c>
      <c r="AH1070">
        <f t="shared" si="237"/>
        <v>4724.5199999999995</v>
      </c>
    </row>
    <row r="1071" spans="1:34" x14ac:dyDescent="0.35">
      <c r="A1071" t="s">
        <v>2928</v>
      </c>
      <c r="B1071" t="s">
        <v>2929</v>
      </c>
      <c r="C1071">
        <v>30</v>
      </c>
      <c r="D1071" t="s">
        <v>22</v>
      </c>
      <c r="E1071" t="s">
        <v>39</v>
      </c>
      <c r="F1071" t="s">
        <v>24</v>
      </c>
      <c r="G1071">
        <v>144542</v>
      </c>
      <c r="H1071">
        <v>316</v>
      </c>
      <c r="I1071">
        <v>41501</v>
      </c>
      <c r="J1071">
        <v>6.11</v>
      </c>
      <c r="K1071">
        <v>180</v>
      </c>
      <c r="L1071" t="s">
        <v>86</v>
      </c>
      <c r="M1071">
        <v>10.199999999999999</v>
      </c>
      <c r="N1071">
        <v>29747</v>
      </c>
      <c r="O1071">
        <v>217032</v>
      </c>
      <c r="P1071" t="s">
        <v>954</v>
      </c>
      <c r="Q1071" t="s">
        <v>61</v>
      </c>
      <c r="R1071" t="s">
        <v>28</v>
      </c>
      <c r="S1071" t="s">
        <v>29</v>
      </c>
      <c r="T1071">
        <v>244.65</v>
      </c>
      <c r="U1071">
        <f t="shared" si="224"/>
        <v>931</v>
      </c>
      <c r="V1071">
        <f t="shared" si="225"/>
        <v>345</v>
      </c>
      <c r="W1071">
        <f t="shared" si="226"/>
        <v>292</v>
      </c>
      <c r="X1071">
        <f t="shared" si="227"/>
        <v>0.35149999999999998</v>
      </c>
      <c r="Y1071" s="1">
        <f t="shared" si="228"/>
        <v>47801728</v>
      </c>
      <c r="Z1071">
        <f t="shared" si="229"/>
        <v>51344.498388829219</v>
      </c>
      <c r="AA1071">
        <f t="shared" si="230"/>
        <v>99996</v>
      </c>
      <c r="AB1071">
        <f t="shared" si="231"/>
        <v>5091</v>
      </c>
      <c r="AC1071">
        <f t="shared" si="232"/>
        <v>1226323.8000000005</v>
      </c>
      <c r="AD1071">
        <f t="shared" si="233"/>
        <v>1317.211385606875</v>
      </c>
      <c r="AE1071">
        <f t="shared" si="234"/>
        <v>0.35149999999999998</v>
      </c>
      <c r="AF1071">
        <f t="shared" si="235"/>
        <v>587319034.37000036</v>
      </c>
      <c r="AG1071" t="str">
        <f t="shared" si="236"/>
        <v>Active</v>
      </c>
      <c r="AH1071">
        <f t="shared" si="237"/>
        <v>2935.8</v>
      </c>
    </row>
    <row r="1072" spans="1:34" x14ac:dyDescent="0.35">
      <c r="A1072" t="s">
        <v>2930</v>
      </c>
      <c r="B1072" t="s">
        <v>2931</v>
      </c>
      <c r="C1072">
        <v>43</v>
      </c>
      <c r="D1072" t="s">
        <v>22</v>
      </c>
      <c r="E1072" t="s">
        <v>39</v>
      </c>
      <c r="F1072" t="s">
        <v>24</v>
      </c>
      <c r="G1072">
        <v>161615</v>
      </c>
      <c r="H1072">
        <v>310</v>
      </c>
      <c r="I1072">
        <v>91812</v>
      </c>
      <c r="J1072">
        <v>19.420000000000002</v>
      </c>
      <c r="K1072">
        <v>24</v>
      </c>
      <c r="L1072" t="s">
        <v>86</v>
      </c>
      <c r="M1072">
        <v>33.26</v>
      </c>
      <c r="N1072">
        <v>68481</v>
      </c>
      <c r="O1072">
        <v>125482</v>
      </c>
      <c r="P1072" t="s">
        <v>2184</v>
      </c>
      <c r="Q1072" t="s">
        <v>61</v>
      </c>
      <c r="R1072" t="s">
        <v>48</v>
      </c>
      <c r="S1072" t="s">
        <v>43</v>
      </c>
      <c r="T1072">
        <v>4568.41</v>
      </c>
      <c r="U1072">
        <f t="shared" si="224"/>
        <v>930</v>
      </c>
      <c r="V1072">
        <f t="shared" si="225"/>
        <v>345</v>
      </c>
      <c r="W1072">
        <f t="shared" si="226"/>
        <v>291</v>
      </c>
      <c r="X1072">
        <f t="shared" si="227"/>
        <v>0.35149999999999998</v>
      </c>
      <c r="Y1072" s="1">
        <f t="shared" si="228"/>
        <v>47760227</v>
      </c>
      <c r="Z1072">
        <f t="shared" si="229"/>
        <v>51355.082795698923</v>
      </c>
      <c r="AA1072">
        <f t="shared" si="230"/>
        <v>99996</v>
      </c>
      <c r="AB1072">
        <f t="shared" si="231"/>
        <v>5091</v>
      </c>
      <c r="AC1072">
        <f t="shared" si="232"/>
        <v>1226079.1500000006</v>
      </c>
      <c r="AD1072">
        <f t="shared" si="233"/>
        <v>1318.3646774193555</v>
      </c>
      <c r="AE1072">
        <f t="shared" si="234"/>
        <v>0.35149999999999998</v>
      </c>
      <c r="AF1072">
        <f t="shared" si="235"/>
        <v>586092710.57000041</v>
      </c>
      <c r="AG1072" t="str">
        <f t="shared" si="236"/>
        <v>Active</v>
      </c>
      <c r="AH1072">
        <f t="shared" si="237"/>
        <v>54820.92</v>
      </c>
    </row>
    <row r="1073" spans="1:34" x14ac:dyDescent="0.35">
      <c r="A1073" t="s">
        <v>2932</v>
      </c>
      <c r="B1073" t="s">
        <v>2933</v>
      </c>
      <c r="C1073">
        <v>46</v>
      </c>
      <c r="D1073" t="s">
        <v>38</v>
      </c>
      <c r="E1073" t="s">
        <v>39</v>
      </c>
      <c r="F1073" t="s">
        <v>24</v>
      </c>
      <c r="G1073">
        <v>175133</v>
      </c>
      <c r="H1073">
        <v>445</v>
      </c>
      <c r="I1073">
        <v>69263</v>
      </c>
      <c r="J1073">
        <v>20.43</v>
      </c>
      <c r="K1073">
        <v>36</v>
      </c>
      <c r="L1073" t="s">
        <v>25</v>
      </c>
      <c r="M1073">
        <v>27.12</v>
      </c>
      <c r="N1073">
        <v>60797</v>
      </c>
      <c r="O1073">
        <v>14774</v>
      </c>
      <c r="P1073" t="s">
        <v>2934</v>
      </c>
      <c r="Q1073" t="s">
        <v>42</v>
      </c>
      <c r="R1073" t="s">
        <v>48</v>
      </c>
      <c r="S1073" t="s">
        <v>49</v>
      </c>
      <c r="T1073">
        <v>2317.04</v>
      </c>
      <c r="U1073">
        <f t="shared" si="224"/>
        <v>929</v>
      </c>
      <c r="V1073">
        <f t="shared" si="225"/>
        <v>345</v>
      </c>
      <c r="W1073">
        <f t="shared" si="226"/>
        <v>290</v>
      </c>
      <c r="X1073">
        <f t="shared" si="227"/>
        <v>0.35149999999999998</v>
      </c>
      <c r="Y1073" s="1">
        <f t="shared" si="228"/>
        <v>47668415</v>
      </c>
      <c r="Z1073">
        <f t="shared" si="229"/>
        <v>51311.533907427343</v>
      </c>
      <c r="AA1073">
        <f t="shared" si="230"/>
        <v>99996</v>
      </c>
      <c r="AB1073">
        <f t="shared" si="231"/>
        <v>5091</v>
      </c>
      <c r="AC1073">
        <f t="shared" si="232"/>
        <v>1221510.7400000007</v>
      </c>
      <c r="AD1073">
        <f t="shared" si="233"/>
        <v>1314.8662432723365</v>
      </c>
      <c r="AE1073">
        <f t="shared" si="234"/>
        <v>0.35149999999999998</v>
      </c>
      <c r="AF1073">
        <f t="shared" si="235"/>
        <v>584866631.42000031</v>
      </c>
      <c r="AG1073" t="str">
        <f t="shared" si="236"/>
        <v>Active</v>
      </c>
      <c r="AH1073">
        <f t="shared" si="237"/>
        <v>27804.48</v>
      </c>
    </row>
    <row r="1074" spans="1:34" x14ac:dyDescent="0.35">
      <c r="A1074" t="s">
        <v>2935</v>
      </c>
      <c r="B1074" t="s">
        <v>2936</v>
      </c>
      <c r="C1074">
        <v>47</v>
      </c>
      <c r="D1074" t="s">
        <v>38</v>
      </c>
      <c r="E1074" t="s">
        <v>23</v>
      </c>
      <c r="F1074" t="s">
        <v>46</v>
      </c>
      <c r="G1074">
        <v>56536</v>
      </c>
      <c r="H1074">
        <v>558</v>
      </c>
      <c r="I1074">
        <v>54565</v>
      </c>
      <c r="J1074">
        <v>16.36</v>
      </c>
      <c r="K1074">
        <v>120</v>
      </c>
      <c r="L1074" t="s">
        <v>40</v>
      </c>
      <c r="M1074">
        <v>39.71</v>
      </c>
      <c r="N1074">
        <v>56567</v>
      </c>
      <c r="O1074">
        <v>48210</v>
      </c>
      <c r="P1074" t="s">
        <v>2937</v>
      </c>
      <c r="Q1074" t="s">
        <v>61</v>
      </c>
      <c r="R1074" t="s">
        <v>48</v>
      </c>
      <c r="S1074" t="s">
        <v>68</v>
      </c>
      <c r="T1074">
        <v>529.1</v>
      </c>
      <c r="U1074">
        <f t="shared" si="224"/>
        <v>928</v>
      </c>
      <c r="V1074">
        <f t="shared" si="225"/>
        <v>344</v>
      </c>
      <c r="W1074">
        <f t="shared" si="226"/>
        <v>290</v>
      </c>
      <c r="X1074">
        <f t="shared" si="227"/>
        <v>0.35149999999999998</v>
      </c>
      <c r="Y1074" s="1">
        <f t="shared" si="228"/>
        <v>47599152</v>
      </c>
      <c r="Z1074">
        <f t="shared" si="229"/>
        <v>51292.189655172413</v>
      </c>
      <c r="AA1074">
        <f t="shared" si="230"/>
        <v>99996</v>
      </c>
      <c r="AB1074">
        <f t="shared" si="231"/>
        <v>5091</v>
      </c>
      <c r="AC1074">
        <f t="shared" si="232"/>
        <v>1219193.7000000007</v>
      </c>
      <c r="AD1074">
        <f t="shared" si="233"/>
        <v>1313.7863146551731</v>
      </c>
      <c r="AE1074">
        <f t="shared" si="234"/>
        <v>0.35149999999999998</v>
      </c>
      <c r="AF1074">
        <f t="shared" si="235"/>
        <v>583645120.68000019</v>
      </c>
      <c r="AG1074" t="str">
        <f t="shared" si="236"/>
        <v>Active</v>
      </c>
      <c r="AH1074">
        <f t="shared" si="237"/>
        <v>6349.2000000000007</v>
      </c>
    </row>
    <row r="1075" spans="1:34" x14ac:dyDescent="0.35">
      <c r="A1075" t="s">
        <v>2938</v>
      </c>
      <c r="B1075" t="s">
        <v>2939</v>
      </c>
      <c r="C1075">
        <v>27</v>
      </c>
      <c r="D1075" t="s">
        <v>38</v>
      </c>
      <c r="E1075" t="s">
        <v>32</v>
      </c>
      <c r="F1075" t="s">
        <v>24</v>
      </c>
      <c r="G1075">
        <v>97779</v>
      </c>
      <c r="H1075">
        <v>816</v>
      </c>
      <c r="I1075">
        <v>23990</v>
      </c>
      <c r="J1075">
        <v>19.62</v>
      </c>
      <c r="K1075">
        <v>48</v>
      </c>
      <c r="L1075" t="s">
        <v>86</v>
      </c>
      <c r="M1075">
        <v>12.44</v>
      </c>
      <c r="N1075">
        <v>8429</v>
      </c>
      <c r="O1075">
        <v>228928</v>
      </c>
      <c r="P1075" t="s">
        <v>2940</v>
      </c>
      <c r="Q1075" t="s">
        <v>27</v>
      </c>
      <c r="R1075" t="s">
        <v>28</v>
      </c>
      <c r="S1075" t="s">
        <v>35</v>
      </c>
      <c r="T1075">
        <v>597.85</v>
      </c>
      <c r="U1075">
        <f t="shared" si="224"/>
        <v>927</v>
      </c>
      <c r="V1075">
        <f t="shared" si="225"/>
        <v>344</v>
      </c>
      <c r="W1075">
        <f t="shared" si="226"/>
        <v>289</v>
      </c>
      <c r="X1075">
        <f t="shared" si="227"/>
        <v>0.35149999999999998</v>
      </c>
      <c r="Y1075" s="1">
        <f t="shared" si="228"/>
        <v>47544587</v>
      </c>
      <c r="Z1075">
        <f t="shared" si="229"/>
        <v>51288.659115426104</v>
      </c>
      <c r="AA1075">
        <f t="shared" si="230"/>
        <v>99996</v>
      </c>
      <c r="AB1075">
        <f t="shared" si="231"/>
        <v>5091</v>
      </c>
      <c r="AC1075">
        <f t="shared" si="232"/>
        <v>1218664.6000000008</v>
      </c>
      <c r="AD1075">
        <f t="shared" si="233"/>
        <v>1314.6327939590085</v>
      </c>
      <c r="AE1075">
        <f t="shared" si="234"/>
        <v>0.35149999999999998</v>
      </c>
      <c r="AF1075">
        <f t="shared" si="235"/>
        <v>582425926.98000014</v>
      </c>
      <c r="AG1075" t="str">
        <f t="shared" si="236"/>
        <v>Active</v>
      </c>
      <c r="AH1075">
        <f t="shared" si="237"/>
        <v>7174.2000000000007</v>
      </c>
    </row>
    <row r="1076" spans="1:34" x14ac:dyDescent="0.35">
      <c r="A1076" t="s">
        <v>2941</v>
      </c>
      <c r="B1076" t="s">
        <v>2942</v>
      </c>
      <c r="C1076">
        <v>28</v>
      </c>
      <c r="D1076" t="s">
        <v>22</v>
      </c>
      <c r="E1076" t="s">
        <v>39</v>
      </c>
      <c r="F1076" t="s">
        <v>59</v>
      </c>
      <c r="G1076">
        <v>113783</v>
      </c>
      <c r="H1076">
        <v>345</v>
      </c>
      <c r="I1076">
        <v>74126</v>
      </c>
      <c r="J1076">
        <v>3.98</v>
      </c>
      <c r="K1076">
        <v>48</v>
      </c>
      <c r="L1076" t="s">
        <v>33</v>
      </c>
      <c r="M1076">
        <v>35.03</v>
      </c>
      <c r="N1076">
        <v>19883</v>
      </c>
      <c r="O1076">
        <v>148467</v>
      </c>
      <c r="P1076" t="s">
        <v>2837</v>
      </c>
      <c r="Q1076" t="s">
        <v>61</v>
      </c>
      <c r="R1076" t="s">
        <v>28</v>
      </c>
      <c r="S1076" t="s">
        <v>35</v>
      </c>
      <c r="T1076">
        <v>1605.75</v>
      </c>
      <c r="U1076">
        <f t="shared" si="224"/>
        <v>926</v>
      </c>
      <c r="V1076">
        <f t="shared" si="225"/>
        <v>344</v>
      </c>
      <c r="W1076">
        <f t="shared" si="226"/>
        <v>289</v>
      </c>
      <c r="X1076">
        <f t="shared" si="227"/>
        <v>0.35149999999999998</v>
      </c>
      <c r="Y1076" s="1">
        <f t="shared" si="228"/>
        <v>47520597</v>
      </c>
      <c r="Z1076">
        <f t="shared" si="229"/>
        <v>51318.139308855294</v>
      </c>
      <c r="AA1076">
        <f t="shared" si="230"/>
        <v>99996</v>
      </c>
      <c r="AB1076">
        <f t="shared" si="231"/>
        <v>5091</v>
      </c>
      <c r="AC1076">
        <f t="shared" si="232"/>
        <v>1218066.7500000007</v>
      </c>
      <c r="AD1076">
        <f t="shared" si="233"/>
        <v>1315.4068574514047</v>
      </c>
      <c r="AE1076">
        <f t="shared" si="234"/>
        <v>0.35149999999999998</v>
      </c>
      <c r="AF1076">
        <f t="shared" si="235"/>
        <v>581207262.38</v>
      </c>
      <c r="AG1076" t="str">
        <f t="shared" si="236"/>
        <v>Active</v>
      </c>
      <c r="AH1076">
        <f t="shared" si="237"/>
        <v>19269</v>
      </c>
    </row>
    <row r="1077" spans="1:34" x14ac:dyDescent="0.35">
      <c r="A1077" t="s">
        <v>2943</v>
      </c>
      <c r="B1077" t="s">
        <v>2944</v>
      </c>
      <c r="C1077">
        <v>40</v>
      </c>
      <c r="D1077" t="s">
        <v>38</v>
      </c>
      <c r="E1077" t="s">
        <v>23</v>
      </c>
      <c r="F1077" t="s">
        <v>46</v>
      </c>
      <c r="G1077">
        <v>39642</v>
      </c>
      <c r="H1077">
        <v>582</v>
      </c>
      <c r="I1077">
        <v>90573</v>
      </c>
      <c r="J1077">
        <v>13.92</v>
      </c>
      <c r="K1077">
        <v>180</v>
      </c>
      <c r="L1077" t="s">
        <v>52</v>
      </c>
      <c r="M1077">
        <v>30.99</v>
      </c>
      <c r="N1077">
        <v>14611</v>
      </c>
      <c r="O1077">
        <v>224296</v>
      </c>
      <c r="P1077" t="s">
        <v>2945</v>
      </c>
      <c r="Q1077" t="s">
        <v>42</v>
      </c>
      <c r="R1077" t="s">
        <v>48</v>
      </c>
      <c r="S1077" t="s">
        <v>68</v>
      </c>
      <c r="T1077">
        <v>573.23</v>
      </c>
      <c r="U1077">
        <f t="shared" si="224"/>
        <v>925</v>
      </c>
      <c r="V1077">
        <f t="shared" si="225"/>
        <v>344</v>
      </c>
      <c r="W1077">
        <f t="shared" si="226"/>
        <v>288</v>
      </c>
      <c r="X1077">
        <f t="shared" si="227"/>
        <v>0.35149999999999998</v>
      </c>
      <c r="Y1077" s="1">
        <f t="shared" si="228"/>
        <v>47446471</v>
      </c>
      <c r="Z1077">
        <f t="shared" si="229"/>
        <v>51293.48216216216</v>
      </c>
      <c r="AA1077">
        <f t="shared" si="230"/>
        <v>99996</v>
      </c>
      <c r="AB1077">
        <f t="shared" si="231"/>
        <v>5091</v>
      </c>
      <c r="AC1077">
        <f t="shared" si="232"/>
        <v>1216461.0000000007</v>
      </c>
      <c r="AD1077">
        <f t="shared" si="233"/>
        <v>1315.0929729729737</v>
      </c>
      <c r="AE1077">
        <f t="shared" si="234"/>
        <v>0.35149999999999998</v>
      </c>
      <c r="AF1077">
        <f t="shared" si="235"/>
        <v>579989195.63000011</v>
      </c>
      <c r="AG1077" t="str">
        <f t="shared" si="236"/>
        <v>Active</v>
      </c>
      <c r="AH1077">
        <f t="shared" si="237"/>
        <v>6878.76</v>
      </c>
    </row>
    <row r="1078" spans="1:34" x14ac:dyDescent="0.35">
      <c r="A1078" t="s">
        <v>2946</v>
      </c>
      <c r="B1078" t="s">
        <v>2947</v>
      </c>
      <c r="C1078">
        <v>33</v>
      </c>
      <c r="D1078" t="s">
        <v>38</v>
      </c>
      <c r="E1078" t="s">
        <v>39</v>
      </c>
      <c r="F1078" t="s">
        <v>46</v>
      </c>
      <c r="G1078">
        <v>24084</v>
      </c>
      <c r="H1078">
        <v>797</v>
      </c>
      <c r="I1078">
        <v>98630</v>
      </c>
      <c r="J1078">
        <v>21.52</v>
      </c>
      <c r="K1078">
        <v>36</v>
      </c>
      <c r="L1078" t="s">
        <v>40</v>
      </c>
      <c r="M1078">
        <v>40.04</v>
      </c>
      <c r="N1078">
        <v>22104</v>
      </c>
      <c r="O1078">
        <v>226938</v>
      </c>
      <c r="P1078" t="s">
        <v>2948</v>
      </c>
      <c r="Q1078" t="s">
        <v>61</v>
      </c>
      <c r="R1078" t="s">
        <v>28</v>
      </c>
      <c r="S1078" t="s">
        <v>68</v>
      </c>
      <c r="T1078">
        <v>3329.31</v>
      </c>
      <c r="U1078">
        <f t="shared" si="224"/>
        <v>924</v>
      </c>
      <c r="V1078">
        <f t="shared" si="225"/>
        <v>343</v>
      </c>
      <c r="W1078">
        <f t="shared" si="226"/>
        <v>288</v>
      </c>
      <c r="X1078">
        <f t="shared" si="227"/>
        <v>0.35149999999999998</v>
      </c>
      <c r="Y1078" s="1">
        <f t="shared" si="228"/>
        <v>47355898</v>
      </c>
      <c r="Z1078">
        <f t="shared" si="229"/>
        <v>51250.971861471859</v>
      </c>
      <c r="AA1078">
        <f t="shared" si="230"/>
        <v>99996</v>
      </c>
      <c r="AB1078">
        <f t="shared" si="231"/>
        <v>5091</v>
      </c>
      <c r="AC1078">
        <f t="shared" si="232"/>
        <v>1215887.7700000007</v>
      </c>
      <c r="AD1078">
        <f t="shared" si="233"/>
        <v>1315.8958549783558</v>
      </c>
      <c r="AE1078">
        <f t="shared" si="234"/>
        <v>0.35149999999999998</v>
      </c>
      <c r="AF1078">
        <f t="shared" si="235"/>
        <v>578772734.63000023</v>
      </c>
      <c r="AG1078" t="str">
        <f t="shared" si="236"/>
        <v>Active</v>
      </c>
      <c r="AH1078">
        <f t="shared" si="237"/>
        <v>39951.72</v>
      </c>
    </row>
    <row r="1079" spans="1:34" x14ac:dyDescent="0.35">
      <c r="A1079" t="s">
        <v>2949</v>
      </c>
      <c r="B1079" t="s">
        <v>2950</v>
      </c>
      <c r="C1079">
        <v>38</v>
      </c>
      <c r="D1079" t="s">
        <v>22</v>
      </c>
      <c r="E1079" t="s">
        <v>32</v>
      </c>
      <c r="F1079" t="s">
        <v>59</v>
      </c>
      <c r="G1079">
        <v>107554</v>
      </c>
      <c r="H1079">
        <v>682</v>
      </c>
      <c r="I1079">
        <v>40357</v>
      </c>
      <c r="J1079">
        <v>12.75</v>
      </c>
      <c r="K1079">
        <v>36</v>
      </c>
      <c r="L1079" t="s">
        <v>25</v>
      </c>
      <c r="M1079">
        <v>52.5</v>
      </c>
      <c r="N1079">
        <v>71120</v>
      </c>
      <c r="O1079">
        <v>116102</v>
      </c>
      <c r="P1079" t="s">
        <v>206</v>
      </c>
      <c r="Q1079" t="s">
        <v>61</v>
      </c>
      <c r="R1079" t="s">
        <v>48</v>
      </c>
      <c r="S1079" t="s">
        <v>68</v>
      </c>
      <c r="T1079">
        <v>1263.96</v>
      </c>
      <c r="U1079">
        <f t="shared" si="224"/>
        <v>923</v>
      </c>
      <c r="V1079">
        <f t="shared" si="225"/>
        <v>343</v>
      </c>
      <c r="W1079">
        <f t="shared" si="226"/>
        <v>287</v>
      </c>
      <c r="X1079">
        <f t="shared" si="227"/>
        <v>0.35149999999999998</v>
      </c>
      <c r="Y1079" s="1">
        <f t="shared" si="228"/>
        <v>47257268</v>
      </c>
      <c r="Z1079">
        <f t="shared" si="229"/>
        <v>51199.64030335861</v>
      </c>
      <c r="AA1079">
        <f t="shared" si="230"/>
        <v>99996</v>
      </c>
      <c r="AB1079">
        <f t="shared" si="231"/>
        <v>5091</v>
      </c>
      <c r="AC1079">
        <f t="shared" si="232"/>
        <v>1212558.4600000007</v>
      </c>
      <c r="AD1079">
        <f t="shared" si="233"/>
        <v>1313.7144745395458</v>
      </c>
      <c r="AE1079">
        <f t="shared" si="234"/>
        <v>0.35149999999999998</v>
      </c>
      <c r="AF1079">
        <f t="shared" si="235"/>
        <v>577556846.86000025</v>
      </c>
      <c r="AG1079" t="str">
        <f t="shared" si="236"/>
        <v>Active</v>
      </c>
      <c r="AH1079">
        <f t="shared" si="237"/>
        <v>15167.52</v>
      </c>
    </row>
    <row r="1080" spans="1:34" x14ac:dyDescent="0.35">
      <c r="A1080" t="s">
        <v>2951</v>
      </c>
      <c r="B1080" t="s">
        <v>2952</v>
      </c>
      <c r="C1080">
        <v>34</v>
      </c>
      <c r="D1080" t="s">
        <v>22</v>
      </c>
      <c r="E1080" t="s">
        <v>32</v>
      </c>
      <c r="F1080" t="s">
        <v>46</v>
      </c>
      <c r="G1080">
        <v>67838</v>
      </c>
      <c r="H1080">
        <v>587</v>
      </c>
      <c r="I1080">
        <v>5192</v>
      </c>
      <c r="J1080">
        <v>21.84</v>
      </c>
      <c r="K1080">
        <v>120</v>
      </c>
      <c r="L1080" t="s">
        <v>25</v>
      </c>
      <c r="M1080">
        <v>41.21</v>
      </c>
      <c r="N1080">
        <v>54610</v>
      </c>
      <c r="O1080">
        <v>145318</v>
      </c>
      <c r="P1080" t="s">
        <v>791</v>
      </c>
      <c r="Q1080" t="s">
        <v>42</v>
      </c>
      <c r="R1080" t="s">
        <v>48</v>
      </c>
      <c r="S1080" t="s">
        <v>68</v>
      </c>
      <c r="T1080">
        <v>52.72</v>
      </c>
      <c r="U1080">
        <f t="shared" si="224"/>
        <v>922</v>
      </c>
      <c r="V1080">
        <f t="shared" si="225"/>
        <v>343</v>
      </c>
      <c r="W1080">
        <f t="shared" si="226"/>
        <v>286</v>
      </c>
      <c r="X1080">
        <f t="shared" si="227"/>
        <v>0.35149999999999998</v>
      </c>
      <c r="Y1080" s="1">
        <f t="shared" si="228"/>
        <v>47216911</v>
      </c>
      <c r="Z1080">
        <f t="shared" si="229"/>
        <v>51211.400216919741</v>
      </c>
      <c r="AA1080">
        <f t="shared" si="230"/>
        <v>99996</v>
      </c>
      <c r="AB1080">
        <f t="shared" si="231"/>
        <v>5091</v>
      </c>
      <c r="AC1080">
        <f t="shared" si="232"/>
        <v>1211294.5000000007</v>
      </c>
      <c r="AD1080">
        <f t="shared" si="233"/>
        <v>1313.7684381778749</v>
      </c>
      <c r="AE1080">
        <f t="shared" si="234"/>
        <v>0.35149999999999998</v>
      </c>
      <c r="AF1080">
        <f t="shared" si="235"/>
        <v>576344288.40000021</v>
      </c>
      <c r="AG1080" t="str">
        <f t="shared" si="236"/>
        <v>Active</v>
      </c>
      <c r="AH1080">
        <f t="shared" si="237"/>
        <v>632.64</v>
      </c>
    </row>
    <row r="1081" spans="1:34" x14ac:dyDescent="0.35">
      <c r="A1081" t="s">
        <v>2953</v>
      </c>
      <c r="B1081" t="s">
        <v>2954</v>
      </c>
      <c r="C1081">
        <v>45</v>
      </c>
      <c r="D1081" t="s">
        <v>38</v>
      </c>
      <c r="E1081" t="s">
        <v>39</v>
      </c>
      <c r="F1081" t="s">
        <v>59</v>
      </c>
      <c r="G1081">
        <v>77997</v>
      </c>
      <c r="H1081">
        <v>355</v>
      </c>
      <c r="I1081">
        <v>24622</v>
      </c>
      <c r="J1081">
        <v>19.27</v>
      </c>
      <c r="K1081">
        <v>360</v>
      </c>
      <c r="L1081" t="s">
        <v>33</v>
      </c>
      <c r="M1081">
        <v>54</v>
      </c>
      <c r="N1081">
        <v>69005</v>
      </c>
      <c r="O1081">
        <v>173386</v>
      </c>
      <c r="P1081" t="s">
        <v>2955</v>
      </c>
      <c r="Q1081" t="s">
        <v>61</v>
      </c>
      <c r="R1081" t="s">
        <v>48</v>
      </c>
      <c r="S1081" t="s">
        <v>68</v>
      </c>
      <c r="T1081">
        <v>81.569999999999993</v>
      </c>
      <c r="U1081">
        <f t="shared" si="224"/>
        <v>921</v>
      </c>
      <c r="V1081">
        <f t="shared" si="225"/>
        <v>342</v>
      </c>
      <c r="W1081">
        <f t="shared" si="226"/>
        <v>286</v>
      </c>
      <c r="X1081">
        <f t="shared" si="227"/>
        <v>0.35149999999999998</v>
      </c>
      <c r="Y1081" s="1">
        <f t="shared" si="228"/>
        <v>47211719</v>
      </c>
      <c r="Z1081">
        <f t="shared" si="229"/>
        <v>51261.366992399562</v>
      </c>
      <c r="AA1081">
        <f t="shared" si="230"/>
        <v>99996</v>
      </c>
      <c r="AB1081">
        <f t="shared" si="231"/>
        <v>5091</v>
      </c>
      <c r="AC1081">
        <f t="shared" si="232"/>
        <v>1211241.7800000007</v>
      </c>
      <c r="AD1081">
        <f t="shared" si="233"/>
        <v>1315.1376547231278</v>
      </c>
      <c r="AE1081">
        <f t="shared" si="234"/>
        <v>0.35149999999999998</v>
      </c>
      <c r="AF1081">
        <f t="shared" si="235"/>
        <v>575132993.90000033</v>
      </c>
      <c r="AG1081" t="str">
        <f t="shared" si="236"/>
        <v>Active</v>
      </c>
      <c r="AH1081">
        <f t="shared" si="237"/>
        <v>978.83999999999992</v>
      </c>
    </row>
    <row r="1082" spans="1:34" x14ac:dyDescent="0.35">
      <c r="A1082" t="s">
        <v>2956</v>
      </c>
      <c r="B1082" t="s">
        <v>2957</v>
      </c>
      <c r="C1082">
        <v>44</v>
      </c>
      <c r="D1082" t="s">
        <v>38</v>
      </c>
      <c r="E1082" t="s">
        <v>32</v>
      </c>
      <c r="F1082" t="s">
        <v>46</v>
      </c>
      <c r="G1082">
        <v>170367</v>
      </c>
      <c r="H1082">
        <v>466</v>
      </c>
      <c r="I1082">
        <v>46202</v>
      </c>
      <c r="J1082">
        <v>14.5</v>
      </c>
      <c r="K1082">
        <v>180</v>
      </c>
      <c r="L1082" t="s">
        <v>25</v>
      </c>
      <c r="M1082">
        <v>22.58</v>
      </c>
      <c r="N1082">
        <v>10565</v>
      </c>
      <c r="O1082">
        <v>193501</v>
      </c>
      <c r="P1082" t="s">
        <v>2958</v>
      </c>
      <c r="Q1082" t="s">
        <v>27</v>
      </c>
      <c r="R1082" t="s">
        <v>28</v>
      </c>
      <c r="S1082" t="s">
        <v>68</v>
      </c>
      <c r="T1082">
        <v>293.89999999999998</v>
      </c>
      <c r="U1082">
        <f t="shared" si="224"/>
        <v>920</v>
      </c>
      <c r="V1082">
        <f t="shared" si="225"/>
        <v>342</v>
      </c>
      <c r="W1082">
        <f t="shared" si="226"/>
        <v>285</v>
      </c>
      <c r="X1082">
        <f t="shared" si="227"/>
        <v>0.35149999999999998</v>
      </c>
      <c r="Y1082" s="1">
        <f t="shared" si="228"/>
        <v>47187097</v>
      </c>
      <c r="Z1082">
        <f t="shared" si="229"/>
        <v>51290.322826086958</v>
      </c>
      <c r="AA1082">
        <f t="shared" si="230"/>
        <v>99996</v>
      </c>
      <c r="AB1082">
        <f t="shared" si="231"/>
        <v>5091</v>
      </c>
      <c r="AC1082">
        <f t="shared" si="232"/>
        <v>1211160.2100000007</v>
      </c>
      <c r="AD1082">
        <f t="shared" si="233"/>
        <v>1316.4784891304355</v>
      </c>
      <c r="AE1082">
        <f t="shared" si="234"/>
        <v>0.35149999999999998</v>
      </c>
      <c r="AF1082">
        <f t="shared" si="235"/>
        <v>573921752.12000036</v>
      </c>
      <c r="AG1082" t="str">
        <f t="shared" si="236"/>
        <v>Active</v>
      </c>
      <c r="AH1082">
        <f t="shared" si="237"/>
        <v>3526.7999999999997</v>
      </c>
    </row>
    <row r="1083" spans="1:34" x14ac:dyDescent="0.35">
      <c r="A1083" t="s">
        <v>2959</v>
      </c>
      <c r="B1083" t="s">
        <v>2960</v>
      </c>
      <c r="C1083">
        <v>33</v>
      </c>
      <c r="D1083" t="s">
        <v>22</v>
      </c>
      <c r="E1083" t="s">
        <v>23</v>
      </c>
      <c r="F1083" t="s">
        <v>24</v>
      </c>
      <c r="G1083">
        <v>127521</v>
      </c>
      <c r="H1083">
        <v>348</v>
      </c>
      <c r="I1083">
        <v>27779</v>
      </c>
      <c r="J1083">
        <v>4.51</v>
      </c>
      <c r="K1083">
        <v>120</v>
      </c>
      <c r="L1083" t="s">
        <v>52</v>
      </c>
      <c r="M1083">
        <v>46.29</v>
      </c>
      <c r="N1083">
        <v>29908</v>
      </c>
      <c r="O1083">
        <v>20757</v>
      </c>
      <c r="P1083" t="s">
        <v>681</v>
      </c>
      <c r="Q1083" t="s">
        <v>61</v>
      </c>
      <c r="R1083" t="s">
        <v>48</v>
      </c>
      <c r="S1083" t="s">
        <v>68</v>
      </c>
      <c r="T1083">
        <v>241.93</v>
      </c>
      <c r="U1083">
        <f t="shared" si="224"/>
        <v>919</v>
      </c>
      <c r="V1083">
        <f t="shared" si="225"/>
        <v>342</v>
      </c>
      <c r="W1083">
        <f t="shared" si="226"/>
        <v>285</v>
      </c>
      <c r="X1083">
        <f t="shared" si="227"/>
        <v>0.35149999999999998</v>
      </c>
      <c r="Y1083" s="1">
        <f t="shared" si="228"/>
        <v>47140895</v>
      </c>
      <c r="Z1083">
        <f t="shared" si="229"/>
        <v>51295.859630032646</v>
      </c>
      <c r="AA1083">
        <f t="shared" si="230"/>
        <v>99996</v>
      </c>
      <c r="AB1083">
        <f t="shared" si="231"/>
        <v>5091</v>
      </c>
      <c r="AC1083">
        <f t="shared" si="232"/>
        <v>1210866.3100000008</v>
      </c>
      <c r="AD1083">
        <f t="shared" si="233"/>
        <v>1317.5911969532108</v>
      </c>
      <c r="AE1083">
        <f t="shared" si="234"/>
        <v>0.35149999999999998</v>
      </c>
      <c r="AF1083">
        <f t="shared" si="235"/>
        <v>572710591.91000021</v>
      </c>
      <c r="AG1083" t="str">
        <f t="shared" si="236"/>
        <v>Active</v>
      </c>
      <c r="AH1083">
        <f t="shared" si="237"/>
        <v>2903.16</v>
      </c>
    </row>
    <row r="1084" spans="1:34" x14ac:dyDescent="0.35">
      <c r="A1084" t="s">
        <v>2961</v>
      </c>
      <c r="B1084" t="s">
        <v>2962</v>
      </c>
      <c r="C1084">
        <v>21</v>
      </c>
      <c r="D1084" t="s">
        <v>38</v>
      </c>
      <c r="E1084" t="s">
        <v>32</v>
      </c>
      <c r="F1084" t="s">
        <v>46</v>
      </c>
      <c r="G1084">
        <v>174965</v>
      </c>
      <c r="H1084">
        <v>646</v>
      </c>
      <c r="I1084">
        <v>94436</v>
      </c>
      <c r="J1084">
        <v>6.89</v>
      </c>
      <c r="K1084">
        <v>60</v>
      </c>
      <c r="L1084" t="s">
        <v>52</v>
      </c>
      <c r="M1084">
        <v>42.18</v>
      </c>
      <c r="N1084">
        <v>36125</v>
      </c>
      <c r="O1084">
        <v>118354</v>
      </c>
      <c r="P1084" t="s">
        <v>1722</v>
      </c>
      <c r="Q1084" t="s">
        <v>61</v>
      </c>
      <c r="R1084" t="s">
        <v>28</v>
      </c>
      <c r="S1084" t="s">
        <v>49</v>
      </c>
      <c r="T1084">
        <v>1682.38</v>
      </c>
      <c r="U1084">
        <f t="shared" si="224"/>
        <v>918</v>
      </c>
      <c r="V1084">
        <f t="shared" si="225"/>
        <v>342</v>
      </c>
      <c r="W1084">
        <f t="shared" si="226"/>
        <v>284</v>
      </c>
      <c r="X1084">
        <f t="shared" si="227"/>
        <v>0.35149999999999998</v>
      </c>
      <c r="Y1084" s="1">
        <f t="shared" si="228"/>
        <v>47113116</v>
      </c>
      <c r="Z1084">
        <f t="shared" si="229"/>
        <v>51321.477124183009</v>
      </c>
      <c r="AA1084">
        <f t="shared" si="230"/>
        <v>99996</v>
      </c>
      <c r="AB1084">
        <f t="shared" si="231"/>
        <v>5091</v>
      </c>
      <c r="AC1084">
        <f t="shared" si="232"/>
        <v>1210624.3800000006</v>
      </c>
      <c r="AD1084">
        <f t="shared" si="233"/>
        <v>1318.7629411764713</v>
      </c>
      <c r="AE1084">
        <f t="shared" si="234"/>
        <v>0.35149999999999998</v>
      </c>
      <c r="AF1084">
        <f t="shared" si="235"/>
        <v>571499725.60000026</v>
      </c>
      <c r="AG1084" t="str">
        <f t="shared" si="236"/>
        <v>Active</v>
      </c>
      <c r="AH1084">
        <f t="shared" si="237"/>
        <v>20188.560000000001</v>
      </c>
    </row>
    <row r="1085" spans="1:34" x14ac:dyDescent="0.35">
      <c r="A1085" t="s">
        <v>2963</v>
      </c>
      <c r="B1085" t="s">
        <v>2964</v>
      </c>
      <c r="C1085">
        <v>31</v>
      </c>
      <c r="D1085" t="s">
        <v>38</v>
      </c>
      <c r="E1085" t="s">
        <v>32</v>
      </c>
      <c r="F1085" t="s">
        <v>59</v>
      </c>
      <c r="G1085">
        <v>199077</v>
      </c>
      <c r="H1085">
        <v>557</v>
      </c>
      <c r="I1085">
        <v>86008</v>
      </c>
      <c r="J1085">
        <v>13.63</v>
      </c>
      <c r="K1085">
        <v>36</v>
      </c>
      <c r="L1085" t="s">
        <v>86</v>
      </c>
      <c r="M1085">
        <v>16.66</v>
      </c>
      <c r="N1085">
        <v>49497</v>
      </c>
      <c r="O1085">
        <v>236903</v>
      </c>
      <c r="P1085" t="s">
        <v>2965</v>
      </c>
      <c r="Q1085" t="s">
        <v>42</v>
      </c>
      <c r="R1085" t="s">
        <v>48</v>
      </c>
      <c r="S1085" t="s">
        <v>35</v>
      </c>
      <c r="T1085">
        <v>2714.75</v>
      </c>
      <c r="U1085">
        <f t="shared" si="224"/>
        <v>917</v>
      </c>
      <c r="V1085">
        <f t="shared" si="225"/>
        <v>342</v>
      </c>
      <c r="W1085">
        <f t="shared" si="226"/>
        <v>283</v>
      </c>
      <c r="X1085">
        <f t="shared" si="227"/>
        <v>0.35149999999999998</v>
      </c>
      <c r="Y1085" s="1">
        <f t="shared" si="228"/>
        <v>47018680</v>
      </c>
      <c r="Z1085">
        <f t="shared" si="229"/>
        <v>51274.460196292261</v>
      </c>
      <c r="AA1085">
        <f t="shared" si="230"/>
        <v>99996</v>
      </c>
      <c r="AB1085">
        <f t="shared" si="231"/>
        <v>5091</v>
      </c>
      <c r="AC1085">
        <f t="shared" si="232"/>
        <v>1208942.0000000007</v>
      </c>
      <c r="AD1085">
        <f t="shared" si="233"/>
        <v>1318.3664122137411</v>
      </c>
      <c r="AE1085">
        <f t="shared" si="234"/>
        <v>0.35149999999999998</v>
      </c>
      <c r="AF1085">
        <f t="shared" si="235"/>
        <v>570289101.22000015</v>
      </c>
      <c r="AG1085" t="str">
        <f t="shared" si="236"/>
        <v>Active</v>
      </c>
      <c r="AH1085">
        <f t="shared" si="237"/>
        <v>32577</v>
      </c>
    </row>
    <row r="1086" spans="1:34" x14ac:dyDescent="0.35">
      <c r="A1086" t="s">
        <v>2966</v>
      </c>
      <c r="B1086" t="s">
        <v>2967</v>
      </c>
      <c r="C1086">
        <v>49</v>
      </c>
      <c r="D1086" t="s">
        <v>38</v>
      </c>
      <c r="E1086" t="s">
        <v>32</v>
      </c>
      <c r="F1086" t="s">
        <v>24</v>
      </c>
      <c r="G1086">
        <v>36032</v>
      </c>
      <c r="H1086">
        <v>640</v>
      </c>
      <c r="I1086">
        <v>32041</v>
      </c>
      <c r="J1086">
        <v>11.38</v>
      </c>
      <c r="K1086">
        <v>36</v>
      </c>
      <c r="L1086" t="s">
        <v>33</v>
      </c>
      <c r="M1086">
        <v>36.76</v>
      </c>
      <c r="N1086">
        <v>66721</v>
      </c>
      <c r="O1086">
        <v>220546</v>
      </c>
      <c r="P1086" t="s">
        <v>1057</v>
      </c>
      <c r="Q1086" t="s">
        <v>27</v>
      </c>
      <c r="R1086" t="s">
        <v>48</v>
      </c>
      <c r="S1086" t="s">
        <v>35</v>
      </c>
      <c r="T1086">
        <v>991.31</v>
      </c>
      <c r="U1086">
        <f t="shared" si="224"/>
        <v>916</v>
      </c>
      <c r="V1086">
        <f t="shared" si="225"/>
        <v>341</v>
      </c>
      <c r="W1086">
        <f t="shared" si="226"/>
        <v>283</v>
      </c>
      <c r="X1086">
        <f t="shared" si="227"/>
        <v>0.35149999999999998</v>
      </c>
      <c r="Y1086" s="1">
        <f t="shared" si="228"/>
        <v>46932672</v>
      </c>
      <c r="Z1086">
        <f t="shared" si="229"/>
        <v>51236.541484716159</v>
      </c>
      <c r="AA1086">
        <f t="shared" si="230"/>
        <v>99996</v>
      </c>
      <c r="AB1086">
        <f t="shared" si="231"/>
        <v>5091</v>
      </c>
      <c r="AC1086">
        <f t="shared" si="232"/>
        <v>1206227.2500000007</v>
      </c>
      <c r="AD1086">
        <f t="shared" si="233"/>
        <v>1316.8419759825335</v>
      </c>
      <c r="AE1086">
        <f t="shared" si="234"/>
        <v>0.35149999999999998</v>
      </c>
      <c r="AF1086">
        <f t="shared" si="235"/>
        <v>569080159.22000015</v>
      </c>
      <c r="AG1086" t="str">
        <f t="shared" si="236"/>
        <v>Active</v>
      </c>
      <c r="AH1086">
        <f t="shared" si="237"/>
        <v>11895.72</v>
      </c>
    </row>
    <row r="1087" spans="1:34" x14ac:dyDescent="0.35">
      <c r="A1087" t="s">
        <v>2968</v>
      </c>
      <c r="B1087" t="s">
        <v>2969</v>
      </c>
      <c r="C1087">
        <v>62</v>
      </c>
      <c r="D1087" t="s">
        <v>38</v>
      </c>
      <c r="E1087" t="s">
        <v>39</v>
      </c>
      <c r="F1087" t="s">
        <v>46</v>
      </c>
      <c r="G1087">
        <v>75167</v>
      </c>
      <c r="H1087">
        <v>608</v>
      </c>
      <c r="I1087">
        <v>13788</v>
      </c>
      <c r="J1087">
        <v>9.19</v>
      </c>
      <c r="K1087">
        <v>240</v>
      </c>
      <c r="L1087" t="s">
        <v>25</v>
      </c>
      <c r="M1087">
        <v>27.92</v>
      </c>
      <c r="N1087">
        <v>49543</v>
      </c>
      <c r="O1087">
        <v>39277</v>
      </c>
      <c r="P1087" t="s">
        <v>1980</v>
      </c>
      <c r="Q1087" t="s">
        <v>27</v>
      </c>
      <c r="R1087" t="s">
        <v>48</v>
      </c>
      <c r="S1087" t="s">
        <v>43</v>
      </c>
      <c r="T1087">
        <v>62.73</v>
      </c>
      <c r="U1087">
        <f t="shared" si="224"/>
        <v>915</v>
      </c>
      <c r="V1087">
        <f t="shared" si="225"/>
        <v>341</v>
      </c>
      <c r="W1087">
        <f t="shared" si="226"/>
        <v>283</v>
      </c>
      <c r="X1087">
        <f t="shared" si="227"/>
        <v>0.35149999999999998</v>
      </c>
      <c r="Y1087" s="1">
        <f t="shared" si="228"/>
        <v>46900631</v>
      </c>
      <c r="Z1087">
        <f t="shared" si="229"/>
        <v>51257.520218579237</v>
      </c>
      <c r="AA1087">
        <f t="shared" si="230"/>
        <v>99996</v>
      </c>
      <c r="AB1087">
        <f t="shared" si="231"/>
        <v>5091</v>
      </c>
      <c r="AC1087">
        <f t="shared" si="232"/>
        <v>1205235.9400000009</v>
      </c>
      <c r="AD1087">
        <f t="shared" si="233"/>
        <v>1317.1977486338808</v>
      </c>
      <c r="AE1087">
        <f t="shared" si="234"/>
        <v>0.35149999999999998</v>
      </c>
      <c r="AF1087">
        <f t="shared" si="235"/>
        <v>567873931.97000015</v>
      </c>
      <c r="AG1087" t="str">
        <f t="shared" si="236"/>
        <v>Active</v>
      </c>
      <c r="AH1087">
        <f t="shared" si="237"/>
        <v>752.76</v>
      </c>
    </row>
    <row r="1088" spans="1:34" x14ac:dyDescent="0.35">
      <c r="A1088" t="s">
        <v>2970</v>
      </c>
      <c r="B1088" t="s">
        <v>2971</v>
      </c>
      <c r="C1088">
        <v>44</v>
      </c>
      <c r="D1088" t="s">
        <v>22</v>
      </c>
      <c r="E1088" t="s">
        <v>32</v>
      </c>
      <c r="F1088" t="s">
        <v>59</v>
      </c>
      <c r="G1088">
        <v>163919</v>
      </c>
      <c r="H1088">
        <v>688</v>
      </c>
      <c r="I1088">
        <v>86020</v>
      </c>
      <c r="J1088">
        <v>9.8699999999999992</v>
      </c>
      <c r="K1088">
        <v>180</v>
      </c>
      <c r="L1088" t="s">
        <v>33</v>
      </c>
      <c r="M1088">
        <v>16.440000000000001</v>
      </c>
      <c r="N1088">
        <v>41420</v>
      </c>
      <c r="O1088">
        <v>88003</v>
      </c>
      <c r="P1088" t="s">
        <v>328</v>
      </c>
      <c r="Q1088" t="s">
        <v>27</v>
      </c>
      <c r="R1088" t="s">
        <v>28</v>
      </c>
      <c r="S1088" t="s">
        <v>29</v>
      </c>
      <c r="T1088">
        <v>525.05999999999995</v>
      </c>
      <c r="U1088">
        <f t="shared" si="224"/>
        <v>914</v>
      </c>
      <c r="V1088">
        <f t="shared" si="225"/>
        <v>341</v>
      </c>
      <c r="W1088">
        <f t="shared" si="226"/>
        <v>283</v>
      </c>
      <c r="X1088">
        <f t="shared" si="227"/>
        <v>0.35149999999999998</v>
      </c>
      <c r="Y1088" s="1">
        <f t="shared" si="228"/>
        <v>46886843</v>
      </c>
      <c r="Z1088">
        <f t="shared" si="229"/>
        <v>51298.515317286648</v>
      </c>
      <c r="AA1088">
        <f t="shared" si="230"/>
        <v>99996</v>
      </c>
      <c r="AB1088">
        <f t="shared" si="231"/>
        <v>5091</v>
      </c>
      <c r="AC1088">
        <f t="shared" si="232"/>
        <v>1205173.2100000009</v>
      </c>
      <c r="AD1088">
        <f t="shared" si="233"/>
        <v>1318.5702516411388</v>
      </c>
      <c r="AE1088">
        <f t="shared" si="234"/>
        <v>0.35149999999999998</v>
      </c>
      <c r="AF1088">
        <f t="shared" si="235"/>
        <v>566668696.03000021</v>
      </c>
      <c r="AG1088" t="str">
        <f t="shared" si="236"/>
        <v>Active</v>
      </c>
      <c r="AH1088">
        <f t="shared" si="237"/>
        <v>6300.7199999999993</v>
      </c>
    </row>
    <row r="1089" spans="1:34" x14ac:dyDescent="0.35">
      <c r="A1089" t="s">
        <v>2972</v>
      </c>
      <c r="B1089" t="s">
        <v>2973</v>
      </c>
      <c r="C1089">
        <v>49</v>
      </c>
      <c r="D1089" t="s">
        <v>22</v>
      </c>
      <c r="E1089" t="s">
        <v>23</v>
      </c>
      <c r="F1089" t="s">
        <v>59</v>
      </c>
      <c r="G1089">
        <v>180825</v>
      </c>
      <c r="H1089">
        <v>306</v>
      </c>
      <c r="I1089">
        <v>16628</v>
      </c>
      <c r="J1089">
        <v>10.94</v>
      </c>
      <c r="K1089">
        <v>60</v>
      </c>
      <c r="L1089" t="s">
        <v>40</v>
      </c>
      <c r="M1089">
        <v>16.46</v>
      </c>
      <c r="N1089">
        <v>60</v>
      </c>
      <c r="O1089">
        <v>52369</v>
      </c>
      <c r="P1089" t="s">
        <v>2368</v>
      </c>
      <c r="Q1089" t="s">
        <v>27</v>
      </c>
      <c r="R1089" t="s">
        <v>28</v>
      </c>
      <c r="S1089" t="s">
        <v>68</v>
      </c>
      <c r="T1089">
        <v>307.45</v>
      </c>
      <c r="U1089">
        <f t="shared" si="224"/>
        <v>913</v>
      </c>
      <c r="V1089">
        <f t="shared" si="225"/>
        <v>341</v>
      </c>
      <c r="W1089">
        <f t="shared" si="226"/>
        <v>283</v>
      </c>
      <c r="X1089">
        <f t="shared" si="227"/>
        <v>0.35149999999999998</v>
      </c>
      <c r="Y1089" s="1">
        <f t="shared" si="228"/>
        <v>46800823</v>
      </c>
      <c r="Z1089">
        <f t="shared" si="229"/>
        <v>51260.485213581596</v>
      </c>
      <c r="AA1089">
        <f t="shared" si="230"/>
        <v>99996</v>
      </c>
      <c r="AB1089">
        <f t="shared" si="231"/>
        <v>5091</v>
      </c>
      <c r="AC1089">
        <f t="shared" si="232"/>
        <v>1204648.1500000008</v>
      </c>
      <c r="AD1089">
        <f t="shared" si="233"/>
        <v>1319.4393756845573</v>
      </c>
      <c r="AE1089">
        <f t="shared" si="234"/>
        <v>0.35149999999999998</v>
      </c>
      <c r="AF1089">
        <f t="shared" si="235"/>
        <v>565463522.82000041</v>
      </c>
      <c r="AG1089" t="str">
        <f t="shared" si="236"/>
        <v>Active</v>
      </c>
      <c r="AH1089">
        <f t="shared" si="237"/>
        <v>3689.3999999999996</v>
      </c>
    </row>
    <row r="1090" spans="1:34" x14ac:dyDescent="0.35">
      <c r="A1090" t="s">
        <v>2974</v>
      </c>
      <c r="B1090" t="s">
        <v>2975</v>
      </c>
      <c r="C1090">
        <v>29</v>
      </c>
      <c r="D1090" t="s">
        <v>22</v>
      </c>
      <c r="E1090" t="s">
        <v>23</v>
      </c>
      <c r="F1090" t="s">
        <v>59</v>
      </c>
      <c r="G1090">
        <v>182392</v>
      </c>
      <c r="H1090">
        <v>564</v>
      </c>
      <c r="I1090">
        <v>71743</v>
      </c>
      <c r="J1090">
        <v>11.06</v>
      </c>
      <c r="K1090">
        <v>24</v>
      </c>
      <c r="L1090" t="s">
        <v>86</v>
      </c>
      <c r="M1090">
        <v>58.5</v>
      </c>
      <c r="N1090">
        <v>71315</v>
      </c>
      <c r="O1090">
        <v>191467</v>
      </c>
      <c r="P1090" t="s">
        <v>2976</v>
      </c>
      <c r="Q1090" t="s">
        <v>61</v>
      </c>
      <c r="R1090" t="s">
        <v>28</v>
      </c>
      <c r="S1090" t="s">
        <v>29</v>
      </c>
      <c r="T1090">
        <v>3319.91</v>
      </c>
      <c r="U1090">
        <f t="shared" ref="U1090:U1153" si="238">COUNTA(A1090:A3089)</f>
        <v>912</v>
      </c>
      <c r="V1090">
        <f t="shared" ref="V1090:V1153" si="239">COUNTIF(Q1090:Q3089,"APPROVED")</f>
        <v>341</v>
      </c>
      <c r="W1090">
        <f t="shared" ref="W1090:W1153" si="240">COUNTIF(Q1090:Q3090,"Rejected")</f>
        <v>283</v>
      </c>
      <c r="X1090">
        <f t="shared" ref="X1090:X1153" si="241">703/2000</f>
        <v>0.35149999999999998</v>
      </c>
      <c r="Y1090" s="1">
        <f t="shared" ref="Y1090:Y1153" si="242">SUM(I1090:I3089)</f>
        <v>46784195</v>
      </c>
      <c r="Z1090">
        <f t="shared" ref="Z1090:Z1153" si="243">AVERAGE(I1090:I21089)</f>
        <v>51298.459429824565</v>
      </c>
      <c r="AA1090">
        <f t="shared" ref="AA1090:AA1153" si="244">MAX(I1090:I3089)</f>
        <v>99996</v>
      </c>
      <c r="AB1090">
        <f t="shared" ref="AB1090:AB1153" si="245">MIN(I1090:I3089)</f>
        <v>5091</v>
      </c>
      <c r="AC1090">
        <f t="shared" ref="AC1090:AC1153" si="246">SUM(T1090:T3089)</f>
        <v>1204340.7000000007</v>
      </c>
      <c r="AD1090">
        <f t="shared" ref="AD1090:AD1153" si="247">AVERAGE(T1090:T3089)</f>
        <v>1320.5490131578954</v>
      </c>
      <c r="AE1090">
        <f t="shared" ref="AE1090:AE1153" si="248">703/2000</f>
        <v>0.35149999999999998</v>
      </c>
      <c r="AF1090">
        <f t="shared" ref="AF1090:AF1153" si="249">SUM(AC1090:AC3089)</f>
        <v>564258874.67000031</v>
      </c>
      <c r="AG1090" t="str">
        <f t="shared" ref="AG1090:AG1153" si="250">IF(AH1090=0,"Bad", IF(AH1089&lt;I1089, "Active", IF(AH1089=I1089, "Good", "Over Paid")))</f>
        <v>Active</v>
      </c>
      <c r="AH1090">
        <f t="shared" ref="AH1090:AH1153" si="251">T1090*12</f>
        <v>39838.92</v>
      </c>
    </row>
    <row r="1091" spans="1:34" x14ac:dyDescent="0.35">
      <c r="A1091" t="s">
        <v>2977</v>
      </c>
      <c r="B1091" t="s">
        <v>2978</v>
      </c>
      <c r="C1091">
        <v>65</v>
      </c>
      <c r="D1091" t="s">
        <v>38</v>
      </c>
      <c r="E1091" t="s">
        <v>39</v>
      </c>
      <c r="F1091" t="s">
        <v>59</v>
      </c>
      <c r="G1091">
        <v>89245</v>
      </c>
      <c r="H1091">
        <v>620</v>
      </c>
      <c r="I1091">
        <v>83975</v>
      </c>
      <c r="J1091">
        <v>16.010000000000002</v>
      </c>
      <c r="K1091">
        <v>360</v>
      </c>
      <c r="L1091" t="s">
        <v>25</v>
      </c>
      <c r="M1091">
        <v>24.03</v>
      </c>
      <c r="N1091">
        <v>75941</v>
      </c>
      <c r="O1091">
        <v>197182</v>
      </c>
      <c r="P1091" t="s">
        <v>2979</v>
      </c>
      <c r="Q1091" t="s">
        <v>42</v>
      </c>
      <c r="R1091" t="s">
        <v>28</v>
      </c>
      <c r="S1091" t="s">
        <v>43</v>
      </c>
      <c r="T1091">
        <v>270.61</v>
      </c>
      <c r="U1091">
        <f t="shared" si="238"/>
        <v>911</v>
      </c>
      <c r="V1091">
        <f t="shared" si="239"/>
        <v>341</v>
      </c>
      <c r="W1091">
        <f t="shared" si="240"/>
        <v>282</v>
      </c>
      <c r="X1091">
        <f t="shared" si="241"/>
        <v>0.35149999999999998</v>
      </c>
      <c r="Y1091" s="1">
        <f t="shared" si="242"/>
        <v>46712452</v>
      </c>
      <c r="Z1091">
        <f t="shared" si="243"/>
        <v>51276.01756311745</v>
      </c>
      <c r="AA1091">
        <f t="shared" si="244"/>
        <v>99996</v>
      </c>
      <c r="AB1091">
        <f t="shared" si="245"/>
        <v>5091</v>
      </c>
      <c r="AC1091">
        <f t="shared" si="246"/>
        <v>1201020.7900000007</v>
      </c>
      <c r="AD1091">
        <f t="shared" si="247"/>
        <v>1318.3543249176737</v>
      </c>
      <c r="AE1091">
        <f t="shared" si="248"/>
        <v>0.35149999999999998</v>
      </c>
      <c r="AF1091">
        <f t="shared" si="249"/>
        <v>563054533.97000027</v>
      </c>
      <c r="AG1091" t="str">
        <f t="shared" si="250"/>
        <v>Active</v>
      </c>
      <c r="AH1091">
        <f t="shared" si="251"/>
        <v>3247.32</v>
      </c>
    </row>
    <row r="1092" spans="1:34" x14ac:dyDescent="0.35">
      <c r="A1092" t="s">
        <v>2980</v>
      </c>
      <c r="B1092" t="s">
        <v>2981</v>
      </c>
      <c r="C1092">
        <v>40</v>
      </c>
      <c r="D1092" t="s">
        <v>22</v>
      </c>
      <c r="E1092" t="s">
        <v>39</v>
      </c>
      <c r="F1092" t="s">
        <v>24</v>
      </c>
      <c r="G1092">
        <v>121328</v>
      </c>
      <c r="H1092">
        <v>565</v>
      </c>
      <c r="I1092">
        <v>54689</v>
      </c>
      <c r="J1092">
        <v>22.43</v>
      </c>
      <c r="K1092">
        <v>180</v>
      </c>
      <c r="L1092" t="s">
        <v>52</v>
      </c>
      <c r="M1092">
        <v>11.97</v>
      </c>
      <c r="N1092">
        <v>28026</v>
      </c>
      <c r="O1092">
        <v>73503</v>
      </c>
      <c r="P1092" t="s">
        <v>340</v>
      </c>
      <c r="Q1092" t="s">
        <v>61</v>
      </c>
      <c r="R1092" t="s">
        <v>28</v>
      </c>
      <c r="S1092" t="s">
        <v>68</v>
      </c>
      <c r="T1092">
        <v>371.98</v>
      </c>
      <c r="U1092">
        <f t="shared" si="238"/>
        <v>910</v>
      </c>
      <c r="V1092">
        <f t="shared" si="239"/>
        <v>340</v>
      </c>
      <c r="W1092">
        <f t="shared" si="240"/>
        <v>282</v>
      </c>
      <c r="X1092">
        <f t="shared" si="241"/>
        <v>0.35149999999999998</v>
      </c>
      <c r="Y1092" s="1">
        <f t="shared" si="242"/>
        <v>46628477</v>
      </c>
      <c r="Z1092">
        <f t="shared" si="243"/>
        <v>51240.084615384614</v>
      </c>
      <c r="AA1092">
        <f t="shared" si="244"/>
        <v>99996</v>
      </c>
      <c r="AB1092">
        <f t="shared" si="245"/>
        <v>5091</v>
      </c>
      <c r="AC1092">
        <f t="shared" si="246"/>
        <v>1200750.1800000006</v>
      </c>
      <c r="AD1092">
        <f t="shared" si="247"/>
        <v>1319.5056923076929</v>
      </c>
      <c r="AE1092">
        <f t="shared" si="248"/>
        <v>0.35149999999999998</v>
      </c>
      <c r="AF1092">
        <f t="shared" si="249"/>
        <v>561853513.18000054</v>
      </c>
      <c r="AG1092" t="str">
        <f t="shared" si="250"/>
        <v>Active</v>
      </c>
      <c r="AH1092">
        <f t="shared" si="251"/>
        <v>4463.76</v>
      </c>
    </row>
    <row r="1093" spans="1:34" x14ac:dyDescent="0.35">
      <c r="A1093" t="s">
        <v>2982</v>
      </c>
      <c r="B1093" t="s">
        <v>2983</v>
      </c>
      <c r="C1093">
        <v>38</v>
      </c>
      <c r="D1093" t="s">
        <v>38</v>
      </c>
      <c r="E1093" t="s">
        <v>39</v>
      </c>
      <c r="F1093" t="s">
        <v>24</v>
      </c>
      <c r="G1093">
        <v>123484</v>
      </c>
      <c r="H1093">
        <v>358</v>
      </c>
      <c r="I1093">
        <v>52073</v>
      </c>
      <c r="J1093">
        <v>20.8</v>
      </c>
      <c r="K1093">
        <v>120</v>
      </c>
      <c r="L1093" t="s">
        <v>33</v>
      </c>
      <c r="M1093">
        <v>47.57</v>
      </c>
      <c r="N1093">
        <v>44792</v>
      </c>
      <c r="O1093">
        <v>81970</v>
      </c>
      <c r="P1093" t="s">
        <v>2984</v>
      </c>
      <c r="Q1093" t="s">
        <v>27</v>
      </c>
      <c r="R1093" t="s">
        <v>28</v>
      </c>
      <c r="S1093" t="s">
        <v>68</v>
      </c>
      <c r="T1093">
        <v>524.20000000000005</v>
      </c>
      <c r="U1093">
        <f t="shared" si="238"/>
        <v>909</v>
      </c>
      <c r="V1093">
        <f t="shared" si="239"/>
        <v>340</v>
      </c>
      <c r="W1093">
        <f t="shared" si="240"/>
        <v>281</v>
      </c>
      <c r="X1093">
        <f t="shared" si="241"/>
        <v>0.35149999999999998</v>
      </c>
      <c r="Y1093" s="1">
        <f t="shared" si="242"/>
        <v>46573788</v>
      </c>
      <c r="Z1093">
        <f t="shared" si="243"/>
        <v>51236.290429042907</v>
      </c>
      <c r="AA1093">
        <f t="shared" si="244"/>
        <v>99996</v>
      </c>
      <c r="AB1093">
        <f t="shared" si="245"/>
        <v>5091</v>
      </c>
      <c r="AC1093">
        <f t="shared" si="246"/>
        <v>1200378.2000000007</v>
      </c>
      <c r="AD1093">
        <f t="shared" si="247"/>
        <v>1320.5480748074815</v>
      </c>
      <c r="AE1093">
        <f t="shared" si="248"/>
        <v>0.35149999999999998</v>
      </c>
      <c r="AF1093">
        <f t="shared" si="249"/>
        <v>560652763.00000036</v>
      </c>
      <c r="AG1093" t="str">
        <f t="shared" si="250"/>
        <v>Active</v>
      </c>
      <c r="AH1093">
        <f t="shared" si="251"/>
        <v>6290.4000000000005</v>
      </c>
    </row>
    <row r="1094" spans="1:34" x14ac:dyDescent="0.35">
      <c r="A1094" t="s">
        <v>2985</v>
      </c>
      <c r="B1094" t="s">
        <v>2986</v>
      </c>
      <c r="C1094">
        <v>24</v>
      </c>
      <c r="D1094" t="s">
        <v>38</v>
      </c>
      <c r="E1094" t="s">
        <v>23</v>
      </c>
      <c r="F1094" t="s">
        <v>46</v>
      </c>
      <c r="G1094">
        <v>156605</v>
      </c>
      <c r="H1094">
        <v>444</v>
      </c>
      <c r="I1094">
        <v>68893</v>
      </c>
      <c r="J1094">
        <v>17.72</v>
      </c>
      <c r="K1094">
        <v>24</v>
      </c>
      <c r="L1094" t="s">
        <v>52</v>
      </c>
      <c r="M1094">
        <v>15.74</v>
      </c>
      <c r="N1094">
        <v>55432</v>
      </c>
      <c r="O1094">
        <v>124465</v>
      </c>
      <c r="P1094" t="s">
        <v>2987</v>
      </c>
      <c r="Q1094" t="s">
        <v>27</v>
      </c>
      <c r="R1094" t="s">
        <v>48</v>
      </c>
      <c r="S1094" t="s">
        <v>29</v>
      </c>
      <c r="T1094">
        <v>3379.2</v>
      </c>
      <c r="U1094">
        <f t="shared" si="238"/>
        <v>908</v>
      </c>
      <c r="V1094">
        <f t="shared" si="239"/>
        <v>340</v>
      </c>
      <c r="W1094">
        <f t="shared" si="240"/>
        <v>281</v>
      </c>
      <c r="X1094">
        <f t="shared" si="241"/>
        <v>0.35149999999999998</v>
      </c>
      <c r="Y1094" s="1">
        <f t="shared" si="242"/>
        <v>46521715</v>
      </c>
      <c r="Z1094">
        <f t="shared" si="243"/>
        <v>51235.368942731278</v>
      </c>
      <c r="AA1094">
        <f t="shared" si="244"/>
        <v>99996</v>
      </c>
      <c r="AB1094">
        <f t="shared" si="245"/>
        <v>5091</v>
      </c>
      <c r="AC1094">
        <f t="shared" si="246"/>
        <v>1199854.0000000007</v>
      </c>
      <c r="AD1094">
        <f t="shared" si="247"/>
        <v>1321.4251101321593</v>
      </c>
      <c r="AE1094">
        <f t="shared" si="248"/>
        <v>0.35149999999999998</v>
      </c>
      <c r="AF1094">
        <f t="shared" si="249"/>
        <v>559452384.80000031</v>
      </c>
      <c r="AG1094" t="str">
        <f t="shared" si="250"/>
        <v>Active</v>
      </c>
      <c r="AH1094">
        <f t="shared" si="251"/>
        <v>40550.399999999994</v>
      </c>
    </row>
    <row r="1095" spans="1:34" x14ac:dyDescent="0.35">
      <c r="A1095" t="s">
        <v>2988</v>
      </c>
      <c r="B1095" t="s">
        <v>2989</v>
      </c>
      <c r="C1095">
        <v>58</v>
      </c>
      <c r="D1095" t="s">
        <v>22</v>
      </c>
      <c r="E1095" t="s">
        <v>39</v>
      </c>
      <c r="F1095" t="s">
        <v>24</v>
      </c>
      <c r="G1095">
        <v>44073</v>
      </c>
      <c r="H1095">
        <v>722</v>
      </c>
      <c r="I1095">
        <v>40605</v>
      </c>
      <c r="J1095">
        <v>4.1900000000000004</v>
      </c>
      <c r="K1095">
        <v>12</v>
      </c>
      <c r="L1095" t="s">
        <v>40</v>
      </c>
      <c r="M1095">
        <v>34.69</v>
      </c>
      <c r="N1095">
        <v>23808</v>
      </c>
      <c r="O1095">
        <v>53368</v>
      </c>
      <c r="P1095" t="s">
        <v>2238</v>
      </c>
      <c r="Q1095" t="s">
        <v>61</v>
      </c>
      <c r="R1095" t="s">
        <v>28</v>
      </c>
      <c r="S1095" t="s">
        <v>43</v>
      </c>
      <c r="T1095">
        <v>3525.53</v>
      </c>
      <c r="U1095">
        <f t="shared" si="238"/>
        <v>907</v>
      </c>
      <c r="V1095">
        <f t="shared" si="239"/>
        <v>340</v>
      </c>
      <c r="W1095">
        <f t="shared" si="240"/>
        <v>281</v>
      </c>
      <c r="X1095">
        <f t="shared" si="241"/>
        <v>0.35149999999999998</v>
      </c>
      <c r="Y1095" s="1">
        <f t="shared" si="242"/>
        <v>46452822</v>
      </c>
      <c r="Z1095">
        <f t="shared" si="243"/>
        <v>51215.900771775079</v>
      </c>
      <c r="AA1095">
        <f t="shared" si="244"/>
        <v>99996</v>
      </c>
      <c r="AB1095">
        <f t="shared" si="245"/>
        <v>5091</v>
      </c>
      <c r="AC1095">
        <f t="shared" si="246"/>
        <v>1196474.8000000005</v>
      </c>
      <c r="AD1095">
        <f t="shared" si="247"/>
        <v>1319.1563395810369</v>
      </c>
      <c r="AE1095">
        <f t="shared" si="248"/>
        <v>0.35149999999999998</v>
      </c>
      <c r="AF1095">
        <f t="shared" si="249"/>
        <v>558252530.80000019</v>
      </c>
      <c r="AG1095" t="str">
        <f t="shared" si="250"/>
        <v>Active</v>
      </c>
      <c r="AH1095">
        <f t="shared" si="251"/>
        <v>42306.36</v>
      </c>
    </row>
    <row r="1096" spans="1:34" x14ac:dyDescent="0.35">
      <c r="A1096" t="s">
        <v>2990</v>
      </c>
      <c r="B1096" t="s">
        <v>2991</v>
      </c>
      <c r="C1096">
        <v>54</v>
      </c>
      <c r="D1096" t="s">
        <v>38</v>
      </c>
      <c r="E1096" t="s">
        <v>23</v>
      </c>
      <c r="F1096" t="s">
        <v>24</v>
      </c>
      <c r="G1096">
        <v>120593</v>
      </c>
      <c r="H1096">
        <v>335</v>
      </c>
      <c r="I1096">
        <v>10453</v>
      </c>
      <c r="J1096">
        <v>4.22</v>
      </c>
      <c r="K1096">
        <v>360</v>
      </c>
      <c r="L1096" t="s">
        <v>86</v>
      </c>
      <c r="M1096">
        <v>23.57</v>
      </c>
      <c r="N1096">
        <v>409</v>
      </c>
      <c r="O1096">
        <v>238470</v>
      </c>
      <c r="P1096" t="s">
        <v>412</v>
      </c>
      <c r="Q1096" t="s">
        <v>42</v>
      </c>
      <c r="R1096" t="s">
        <v>48</v>
      </c>
      <c r="S1096" t="s">
        <v>49</v>
      </c>
      <c r="T1096">
        <v>30.26</v>
      </c>
      <c r="U1096">
        <f t="shared" si="238"/>
        <v>906</v>
      </c>
      <c r="V1096">
        <f t="shared" si="239"/>
        <v>340</v>
      </c>
      <c r="W1096">
        <f t="shared" si="240"/>
        <v>280</v>
      </c>
      <c r="X1096">
        <f t="shared" si="241"/>
        <v>0.35149999999999998</v>
      </c>
      <c r="Y1096" s="1">
        <f t="shared" si="242"/>
        <v>46412217</v>
      </c>
      <c r="Z1096">
        <f t="shared" si="243"/>
        <v>51227.612582781454</v>
      </c>
      <c r="AA1096">
        <f t="shared" si="244"/>
        <v>99996</v>
      </c>
      <c r="AB1096">
        <f t="shared" si="245"/>
        <v>5091</v>
      </c>
      <c r="AC1096">
        <f t="shared" si="246"/>
        <v>1192949.2700000005</v>
      </c>
      <c r="AD1096">
        <f t="shared" si="247"/>
        <v>1316.7210485651219</v>
      </c>
      <c r="AE1096">
        <f t="shared" si="248"/>
        <v>0.35149999999999998</v>
      </c>
      <c r="AF1096">
        <f t="shared" si="249"/>
        <v>557056056.00000024</v>
      </c>
      <c r="AG1096" t="str">
        <f t="shared" si="250"/>
        <v>Over Paid</v>
      </c>
      <c r="AH1096">
        <f t="shared" si="251"/>
        <v>363.12</v>
      </c>
    </row>
    <row r="1097" spans="1:34" x14ac:dyDescent="0.35">
      <c r="A1097" t="s">
        <v>2992</v>
      </c>
      <c r="B1097" t="s">
        <v>2993</v>
      </c>
      <c r="C1097">
        <v>34</v>
      </c>
      <c r="D1097" t="s">
        <v>38</v>
      </c>
      <c r="E1097" t="s">
        <v>39</v>
      </c>
      <c r="F1097" t="s">
        <v>24</v>
      </c>
      <c r="G1097">
        <v>91049</v>
      </c>
      <c r="H1097">
        <v>608</v>
      </c>
      <c r="I1097">
        <v>34454</v>
      </c>
      <c r="J1097">
        <v>16.149999999999999</v>
      </c>
      <c r="K1097">
        <v>240</v>
      </c>
      <c r="L1097" t="s">
        <v>52</v>
      </c>
      <c r="M1097">
        <v>5.69</v>
      </c>
      <c r="N1097">
        <v>36569</v>
      </c>
      <c r="O1097">
        <v>139183</v>
      </c>
      <c r="P1097" t="s">
        <v>629</v>
      </c>
      <c r="Q1097" t="s">
        <v>27</v>
      </c>
      <c r="R1097" t="s">
        <v>28</v>
      </c>
      <c r="S1097" t="s">
        <v>49</v>
      </c>
      <c r="T1097">
        <v>166.74</v>
      </c>
      <c r="U1097">
        <f t="shared" si="238"/>
        <v>905</v>
      </c>
      <c r="V1097">
        <f t="shared" si="239"/>
        <v>339</v>
      </c>
      <c r="W1097">
        <f t="shared" si="240"/>
        <v>280</v>
      </c>
      <c r="X1097">
        <f t="shared" si="241"/>
        <v>0.35149999999999998</v>
      </c>
      <c r="Y1097" s="1">
        <f t="shared" si="242"/>
        <v>46401764</v>
      </c>
      <c r="Z1097">
        <f t="shared" si="243"/>
        <v>51272.667403314917</v>
      </c>
      <c r="AA1097">
        <f t="shared" si="244"/>
        <v>99996</v>
      </c>
      <c r="AB1097">
        <f t="shared" si="245"/>
        <v>5091</v>
      </c>
      <c r="AC1097">
        <f t="shared" si="246"/>
        <v>1192919.0100000005</v>
      </c>
      <c r="AD1097">
        <f t="shared" si="247"/>
        <v>1318.1425524861884</v>
      </c>
      <c r="AE1097">
        <f t="shared" si="248"/>
        <v>0.35149999999999998</v>
      </c>
      <c r="AF1097">
        <f t="shared" si="249"/>
        <v>555863106.73000014</v>
      </c>
      <c r="AG1097" t="str">
        <f t="shared" si="250"/>
        <v>Active</v>
      </c>
      <c r="AH1097">
        <f t="shared" si="251"/>
        <v>2000.88</v>
      </c>
    </row>
    <row r="1098" spans="1:34" x14ac:dyDescent="0.35">
      <c r="A1098" t="s">
        <v>2994</v>
      </c>
      <c r="B1098" t="s">
        <v>2995</v>
      </c>
      <c r="C1098">
        <v>34</v>
      </c>
      <c r="D1098" t="s">
        <v>22</v>
      </c>
      <c r="E1098" t="s">
        <v>39</v>
      </c>
      <c r="F1098" t="s">
        <v>59</v>
      </c>
      <c r="G1098">
        <v>64206</v>
      </c>
      <c r="H1098">
        <v>674</v>
      </c>
      <c r="I1098">
        <v>5274</v>
      </c>
      <c r="J1098">
        <v>7.52</v>
      </c>
      <c r="K1098">
        <v>24</v>
      </c>
      <c r="L1098" t="s">
        <v>33</v>
      </c>
      <c r="M1098">
        <v>54.21</v>
      </c>
      <c r="N1098">
        <v>42999</v>
      </c>
      <c r="O1098">
        <v>121645</v>
      </c>
      <c r="P1098" t="s">
        <v>2996</v>
      </c>
      <c r="Q1098" t="s">
        <v>42</v>
      </c>
      <c r="R1098" t="s">
        <v>48</v>
      </c>
      <c r="S1098" t="s">
        <v>43</v>
      </c>
      <c r="T1098">
        <v>236.28</v>
      </c>
      <c r="U1098">
        <f t="shared" si="238"/>
        <v>904</v>
      </c>
      <c r="V1098">
        <f t="shared" si="239"/>
        <v>339</v>
      </c>
      <c r="W1098">
        <f t="shared" si="240"/>
        <v>280</v>
      </c>
      <c r="X1098">
        <f t="shared" si="241"/>
        <v>0.35149999999999998</v>
      </c>
      <c r="Y1098" s="1">
        <f t="shared" si="242"/>
        <v>46367310</v>
      </c>
      <c r="Z1098">
        <f t="shared" si="243"/>
        <v>51291.272123893803</v>
      </c>
      <c r="AA1098">
        <f t="shared" si="244"/>
        <v>99996</v>
      </c>
      <c r="AB1098">
        <f t="shared" si="245"/>
        <v>5091</v>
      </c>
      <c r="AC1098">
        <f t="shared" si="246"/>
        <v>1192752.2700000005</v>
      </c>
      <c r="AD1098">
        <f t="shared" si="247"/>
        <v>1319.4162278761066</v>
      </c>
      <c r="AE1098">
        <f t="shared" si="248"/>
        <v>0.35149999999999998</v>
      </c>
      <c r="AF1098">
        <f t="shared" si="249"/>
        <v>554670187.72000039</v>
      </c>
      <c r="AG1098" t="str">
        <f t="shared" si="250"/>
        <v>Active</v>
      </c>
      <c r="AH1098">
        <f t="shared" si="251"/>
        <v>2835.36</v>
      </c>
    </row>
    <row r="1099" spans="1:34" x14ac:dyDescent="0.35">
      <c r="A1099" t="s">
        <v>2997</v>
      </c>
      <c r="B1099" t="s">
        <v>2998</v>
      </c>
      <c r="C1099">
        <v>62</v>
      </c>
      <c r="D1099" t="s">
        <v>38</v>
      </c>
      <c r="E1099" t="s">
        <v>23</v>
      </c>
      <c r="F1099" t="s">
        <v>59</v>
      </c>
      <c r="G1099">
        <v>111474</v>
      </c>
      <c r="H1099">
        <v>524</v>
      </c>
      <c r="I1099">
        <v>18464</v>
      </c>
      <c r="J1099">
        <v>14.48</v>
      </c>
      <c r="K1099">
        <v>120</v>
      </c>
      <c r="L1099" t="s">
        <v>52</v>
      </c>
      <c r="M1099">
        <v>44.29</v>
      </c>
      <c r="N1099">
        <v>18323</v>
      </c>
      <c r="O1099">
        <v>244557</v>
      </c>
      <c r="P1099" t="s">
        <v>2999</v>
      </c>
      <c r="Q1099" t="s">
        <v>61</v>
      </c>
      <c r="R1099" t="s">
        <v>28</v>
      </c>
      <c r="S1099" t="s">
        <v>43</v>
      </c>
      <c r="T1099">
        <v>176.15</v>
      </c>
      <c r="U1099">
        <f t="shared" si="238"/>
        <v>903</v>
      </c>
      <c r="V1099">
        <f t="shared" si="239"/>
        <v>338</v>
      </c>
      <c r="W1099">
        <f t="shared" si="240"/>
        <v>280</v>
      </c>
      <c r="X1099">
        <f t="shared" si="241"/>
        <v>0.35149999999999998</v>
      </c>
      <c r="Y1099" s="1">
        <f t="shared" si="242"/>
        <v>46362036</v>
      </c>
      <c r="Z1099">
        <f t="shared" si="243"/>
        <v>51342.232558139534</v>
      </c>
      <c r="AA1099">
        <f t="shared" si="244"/>
        <v>99996</v>
      </c>
      <c r="AB1099">
        <f t="shared" si="245"/>
        <v>5091</v>
      </c>
      <c r="AC1099">
        <f t="shared" si="246"/>
        <v>1192515.9900000007</v>
      </c>
      <c r="AD1099">
        <f t="shared" si="247"/>
        <v>1320.6157142857151</v>
      </c>
      <c r="AE1099">
        <f t="shared" si="248"/>
        <v>0.35149999999999998</v>
      </c>
      <c r="AF1099">
        <f t="shared" si="249"/>
        <v>553477435.45000017</v>
      </c>
      <c r="AG1099" t="str">
        <f t="shared" si="250"/>
        <v>Active</v>
      </c>
      <c r="AH1099">
        <f t="shared" si="251"/>
        <v>2113.8000000000002</v>
      </c>
    </row>
    <row r="1100" spans="1:34" x14ac:dyDescent="0.35">
      <c r="A1100" t="s">
        <v>3000</v>
      </c>
      <c r="B1100" t="s">
        <v>3001</v>
      </c>
      <c r="C1100">
        <v>52</v>
      </c>
      <c r="D1100" t="s">
        <v>38</v>
      </c>
      <c r="E1100" t="s">
        <v>39</v>
      </c>
      <c r="F1100" t="s">
        <v>24</v>
      </c>
      <c r="G1100">
        <v>108247</v>
      </c>
      <c r="H1100">
        <v>451</v>
      </c>
      <c r="I1100">
        <v>78959</v>
      </c>
      <c r="J1100">
        <v>18.489999999999998</v>
      </c>
      <c r="K1100">
        <v>120</v>
      </c>
      <c r="L1100" t="s">
        <v>52</v>
      </c>
      <c r="M1100">
        <v>43.11</v>
      </c>
      <c r="N1100">
        <v>55642</v>
      </c>
      <c r="O1100">
        <v>48620</v>
      </c>
      <c r="P1100" t="s">
        <v>307</v>
      </c>
      <c r="Q1100" t="s">
        <v>42</v>
      </c>
      <c r="R1100" t="s">
        <v>28</v>
      </c>
      <c r="S1100" t="s">
        <v>43</v>
      </c>
      <c r="T1100">
        <v>779.65</v>
      </c>
      <c r="U1100">
        <f t="shared" si="238"/>
        <v>902</v>
      </c>
      <c r="V1100">
        <f t="shared" si="239"/>
        <v>338</v>
      </c>
      <c r="W1100">
        <f t="shared" si="240"/>
        <v>279</v>
      </c>
      <c r="X1100">
        <f t="shared" si="241"/>
        <v>0.35149999999999998</v>
      </c>
      <c r="Y1100" s="1">
        <f t="shared" si="242"/>
        <v>46343572</v>
      </c>
      <c r="Z1100">
        <f t="shared" si="243"/>
        <v>51378.682926829271</v>
      </c>
      <c r="AA1100">
        <f t="shared" si="244"/>
        <v>99996</v>
      </c>
      <c r="AB1100">
        <f t="shared" si="245"/>
        <v>5091</v>
      </c>
      <c r="AC1100">
        <f t="shared" si="246"/>
        <v>1192339.8400000008</v>
      </c>
      <c r="AD1100">
        <f t="shared" si="247"/>
        <v>1321.8845232815972</v>
      </c>
      <c r="AE1100">
        <f t="shared" si="248"/>
        <v>0.35149999999999998</v>
      </c>
      <c r="AF1100">
        <f t="shared" si="249"/>
        <v>552284919.46000063</v>
      </c>
      <c r="AG1100" t="str">
        <f t="shared" si="250"/>
        <v>Active</v>
      </c>
      <c r="AH1100">
        <f t="shared" si="251"/>
        <v>9355.7999999999993</v>
      </c>
    </row>
    <row r="1101" spans="1:34" x14ac:dyDescent="0.35">
      <c r="A1101" t="s">
        <v>3002</v>
      </c>
      <c r="B1101" t="s">
        <v>3003</v>
      </c>
      <c r="C1101">
        <v>25</v>
      </c>
      <c r="D1101" t="s">
        <v>38</v>
      </c>
      <c r="E1101" t="s">
        <v>39</v>
      </c>
      <c r="F1101" t="s">
        <v>46</v>
      </c>
      <c r="G1101">
        <v>187578</v>
      </c>
      <c r="H1101">
        <v>717</v>
      </c>
      <c r="I1101">
        <v>91195</v>
      </c>
      <c r="J1101">
        <v>14.11</v>
      </c>
      <c r="K1101">
        <v>36</v>
      </c>
      <c r="L1101" t="s">
        <v>40</v>
      </c>
      <c r="M1101">
        <v>27.84</v>
      </c>
      <c r="N1101">
        <v>7660</v>
      </c>
      <c r="O1101">
        <v>222083</v>
      </c>
      <c r="P1101" t="s">
        <v>734</v>
      </c>
      <c r="Q1101" t="s">
        <v>42</v>
      </c>
      <c r="R1101" t="s">
        <v>48</v>
      </c>
      <c r="S1101" t="s">
        <v>49</v>
      </c>
      <c r="T1101">
        <v>2890.63</v>
      </c>
      <c r="U1101">
        <f t="shared" si="238"/>
        <v>901</v>
      </c>
      <c r="V1101">
        <f t="shared" si="239"/>
        <v>337</v>
      </c>
      <c r="W1101">
        <f t="shared" si="240"/>
        <v>279</v>
      </c>
      <c r="X1101">
        <f t="shared" si="241"/>
        <v>0.35149999999999998</v>
      </c>
      <c r="Y1101" s="1">
        <f t="shared" si="242"/>
        <v>46264613</v>
      </c>
      <c r="Z1101">
        <f t="shared" si="243"/>
        <v>51348.072142064375</v>
      </c>
      <c r="AA1101">
        <f t="shared" si="244"/>
        <v>99996</v>
      </c>
      <c r="AB1101">
        <f t="shared" si="245"/>
        <v>5091</v>
      </c>
      <c r="AC1101">
        <f t="shared" si="246"/>
        <v>1191560.1900000006</v>
      </c>
      <c r="AD1101">
        <f t="shared" si="247"/>
        <v>1322.4863374028864</v>
      </c>
      <c r="AE1101">
        <f t="shared" si="248"/>
        <v>0.35149999999999998</v>
      </c>
      <c r="AF1101">
        <f t="shared" si="249"/>
        <v>551092579.6200006</v>
      </c>
      <c r="AG1101" t="str">
        <f t="shared" si="250"/>
        <v>Active</v>
      </c>
      <c r="AH1101">
        <f t="shared" si="251"/>
        <v>34687.56</v>
      </c>
    </row>
    <row r="1102" spans="1:34" x14ac:dyDescent="0.35">
      <c r="A1102" t="s">
        <v>3004</v>
      </c>
      <c r="B1102" t="s">
        <v>3005</v>
      </c>
      <c r="C1102">
        <v>31</v>
      </c>
      <c r="D1102" t="s">
        <v>22</v>
      </c>
      <c r="E1102" t="s">
        <v>32</v>
      </c>
      <c r="F1102" t="s">
        <v>59</v>
      </c>
      <c r="G1102">
        <v>59487</v>
      </c>
      <c r="H1102">
        <v>779</v>
      </c>
      <c r="I1102">
        <v>62490</v>
      </c>
      <c r="J1102">
        <v>9.32</v>
      </c>
      <c r="K1102">
        <v>180</v>
      </c>
      <c r="L1102" t="s">
        <v>52</v>
      </c>
      <c r="M1102">
        <v>10.81</v>
      </c>
      <c r="N1102">
        <v>51469</v>
      </c>
      <c r="O1102">
        <v>152006</v>
      </c>
      <c r="P1102" t="s">
        <v>3006</v>
      </c>
      <c r="Q1102" t="s">
        <v>42</v>
      </c>
      <c r="R1102" t="s">
        <v>28</v>
      </c>
      <c r="S1102" t="s">
        <v>29</v>
      </c>
      <c r="T1102">
        <v>379.52</v>
      </c>
      <c r="U1102">
        <f t="shared" si="238"/>
        <v>900</v>
      </c>
      <c r="V1102">
        <f t="shared" si="239"/>
        <v>336</v>
      </c>
      <c r="W1102">
        <f t="shared" si="240"/>
        <v>279</v>
      </c>
      <c r="X1102">
        <f t="shared" si="241"/>
        <v>0.35149999999999998</v>
      </c>
      <c r="Y1102" s="1">
        <f t="shared" si="242"/>
        <v>46173418</v>
      </c>
      <c r="Z1102">
        <f t="shared" si="243"/>
        <v>51303.797777777778</v>
      </c>
      <c r="AA1102">
        <f t="shared" si="244"/>
        <v>99996</v>
      </c>
      <c r="AB1102">
        <f t="shared" si="245"/>
        <v>5091</v>
      </c>
      <c r="AC1102">
        <f t="shared" si="246"/>
        <v>1188669.5600000008</v>
      </c>
      <c r="AD1102">
        <f t="shared" si="247"/>
        <v>1320.7439555555563</v>
      </c>
      <c r="AE1102">
        <f t="shared" si="248"/>
        <v>0.35149999999999998</v>
      </c>
      <c r="AF1102">
        <f t="shared" si="249"/>
        <v>549901019.43000078</v>
      </c>
      <c r="AG1102" t="str">
        <f t="shared" si="250"/>
        <v>Active</v>
      </c>
      <c r="AH1102">
        <f t="shared" si="251"/>
        <v>4554.24</v>
      </c>
    </row>
    <row r="1103" spans="1:34" x14ac:dyDescent="0.35">
      <c r="A1103" t="s">
        <v>3007</v>
      </c>
      <c r="B1103" t="s">
        <v>3008</v>
      </c>
      <c r="C1103">
        <v>35</v>
      </c>
      <c r="D1103" t="s">
        <v>22</v>
      </c>
      <c r="E1103" t="s">
        <v>23</v>
      </c>
      <c r="F1103" t="s">
        <v>59</v>
      </c>
      <c r="G1103">
        <v>118684</v>
      </c>
      <c r="H1103">
        <v>757</v>
      </c>
      <c r="I1103">
        <v>9622</v>
      </c>
      <c r="J1103">
        <v>22.09</v>
      </c>
      <c r="K1103">
        <v>360</v>
      </c>
      <c r="L1103" t="s">
        <v>33</v>
      </c>
      <c r="M1103">
        <v>14.66</v>
      </c>
      <c r="N1103">
        <v>67161</v>
      </c>
      <c r="O1103">
        <v>239360</v>
      </c>
      <c r="P1103" t="s">
        <v>3009</v>
      </c>
      <c r="Q1103" t="s">
        <v>27</v>
      </c>
      <c r="R1103" t="s">
        <v>28</v>
      </c>
      <c r="S1103" t="s">
        <v>29</v>
      </c>
      <c r="T1103">
        <v>32.630000000000003</v>
      </c>
      <c r="U1103">
        <f t="shared" si="238"/>
        <v>899</v>
      </c>
      <c r="V1103">
        <f t="shared" si="239"/>
        <v>335</v>
      </c>
      <c r="W1103">
        <f t="shared" si="240"/>
        <v>279</v>
      </c>
      <c r="X1103">
        <f t="shared" si="241"/>
        <v>0.35149999999999998</v>
      </c>
      <c r="Y1103" s="1">
        <f t="shared" si="242"/>
        <v>46110928</v>
      </c>
      <c r="Z1103">
        <f t="shared" si="243"/>
        <v>51291.354838709674</v>
      </c>
      <c r="AA1103">
        <f t="shared" si="244"/>
        <v>99996</v>
      </c>
      <c r="AB1103">
        <f t="shared" si="245"/>
        <v>5091</v>
      </c>
      <c r="AC1103">
        <f t="shared" si="246"/>
        <v>1188290.0400000007</v>
      </c>
      <c r="AD1103">
        <f t="shared" si="247"/>
        <v>1321.7909232480542</v>
      </c>
      <c r="AE1103">
        <f t="shared" si="248"/>
        <v>0.35149999999999998</v>
      </c>
      <c r="AF1103">
        <f t="shared" si="249"/>
        <v>548712349.87000084</v>
      </c>
      <c r="AG1103" t="str">
        <f t="shared" si="250"/>
        <v>Active</v>
      </c>
      <c r="AH1103">
        <f t="shared" si="251"/>
        <v>391.56000000000006</v>
      </c>
    </row>
    <row r="1104" spans="1:34" x14ac:dyDescent="0.35">
      <c r="A1104" t="s">
        <v>3010</v>
      </c>
      <c r="B1104" t="s">
        <v>3011</v>
      </c>
      <c r="C1104">
        <v>41</v>
      </c>
      <c r="D1104" t="s">
        <v>22</v>
      </c>
      <c r="E1104" t="s">
        <v>32</v>
      </c>
      <c r="F1104" t="s">
        <v>46</v>
      </c>
      <c r="G1104">
        <v>196459</v>
      </c>
      <c r="H1104">
        <v>536</v>
      </c>
      <c r="I1104">
        <v>12970</v>
      </c>
      <c r="J1104">
        <v>23.09</v>
      </c>
      <c r="K1104">
        <v>60</v>
      </c>
      <c r="L1104" t="s">
        <v>40</v>
      </c>
      <c r="M1104">
        <v>23.9</v>
      </c>
      <c r="N1104">
        <v>34584</v>
      </c>
      <c r="O1104">
        <v>32831</v>
      </c>
      <c r="P1104" t="s">
        <v>3012</v>
      </c>
      <c r="Q1104" t="s">
        <v>42</v>
      </c>
      <c r="R1104" t="s">
        <v>28</v>
      </c>
      <c r="S1104" t="s">
        <v>29</v>
      </c>
      <c r="T1104">
        <v>266.08</v>
      </c>
      <c r="U1104">
        <f t="shared" si="238"/>
        <v>898</v>
      </c>
      <c r="V1104">
        <f t="shared" si="239"/>
        <v>335</v>
      </c>
      <c r="W1104">
        <f t="shared" si="240"/>
        <v>279</v>
      </c>
      <c r="X1104">
        <f t="shared" si="241"/>
        <v>0.35149999999999998</v>
      </c>
      <c r="Y1104" s="1">
        <f t="shared" si="242"/>
        <v>46101306</v>
      </c>
      <c r="Z1104">
        <f t="shared" si="243"/>
        <v>51337.757238307349</v>
      </c>
      <c r="AA1104">
        <f t="shared" si="244"/>
        <v>99996</v>
      </c>
      <c r="AB1104">
        <f t="shared" si="245"/>
        <v>5091</v>
      </c>
      <c r="AC1104">
        <f t="shared" si="246"/>
        <v>1188257.4100000008</v>
      </c>
      <c r="AD1104">
        <f t="shared" si="247"/>
        <v>1323.2265144766156</v>
      </c>
      <c r="AE1104">
        <f t="shared" si="248"/>
        <v>0.35149999999999998</v>
      </c>
      <c r="AF1104">
        <f t="shared" si="249"/>
        <v>547524059.830001</v>
      </c>
      <c r="AG1104" t="str">
        <f t="shared" si="250"/>
        <v>Active</v>
      </c>
      <c r="AH1104">
        <f t="shared" si="251"/>
        <v>3192.96</v>
      </c>
    </row>
    <row r="1105" spans="1:34" x14ac:dyDescent="0.35">
      <c r="A1105" t="s">
        <v>3013</v>
      </c>
      <c r="B1105" t="s">
        <v>3014</v>
      </c>
      <c r="C1105">
        <v>47</v>
      </c>
      <c r="D1105" t="s">
        <v>38</v>
      </c>
      <c r="E1105" t="s">
        <v>23</v>
      </c>
      <c r="F1105" t="s">
        <v>59</v>
      </c>
      <c r="G1105">
        <v>88460</v>
      </c>
      <c r="H1105">
        <v>660</v>
      </c>
      <c r="I1105">
        <v>38029</v>
      </c>
      <c r="J1105">
        <v>22.2</v>
      </c>
      <c r="K1105">
        <v>24</v>
      </c>
      <c r="L1105" t="s">
        <v>52</v>
      </c>
      <c r="M1105">
        <v>59.14</v>
      </c>
      <c r="N1105">
        <v>9280</v>
      </c>
      <c r="O1105">
        <v>144429</v>
      </c>
      <c r="P1105" t="s">
        <v>2984</v>
      </c>
      <c r="Q1105" t="s">
        <v>61</v>
      </c>
      <c r="R1105" t="s">
        <v>48</v>
      </c>
      <c r="S1105" t="s">
        <v>43</v>
      </c>
      <c r="T1105">
        <v>1936.31</v>
      </c>
      <c r="U1105">
        <f t="shared" si="238"/>
        <v>897</v>
      </c>
      <c r="V1105">
        <f t="shared" si="239"/>
        <v>334</v>
      </c>
      <c r="W1105">
        <f t="shared" si="240"/>
        <v>279</v>
      </c>
      <c r="X1105">
        <f t="shared" si="241"/>
        <v>0.35149999999999998</v>
      </c>
      <c r="Y1105" s="1">
        <f t="shared" si="242"/>
        <v>46088336</v>
      </c>
      <c r="Z1105">
        <f t="shared" si="243"/>
        <v>51380.530657748051</v>
      </c>
      <c r="AA1105">
        <f t="shared" si="244"/>
        <v>99996</v>
      </c>
      <c r="AB1105">
        <f t="shared" si="245"/>
        <v>5091</v>
      </c>
      <c r="AC1105">
        <f t="shared" si="246"/>
        <v>1187991.3300000008</v>
      </c>
      <c r="AD1105">
        <f t="shared" si="247"/>
        <v>1324.405050167225</v>
      </c>
      <c r="AE1105">
        <f t="shared" si="248"/>
        <v>0.35149999999999998</v>
      </c>
      <c r="AF1105">
        <f t="shared" si="249"/>
        <v>546335802.42000103</v>
      </c>
      <c r="AG1105" t="str">
        <f t="shared" si="250"/>
        <v>Active</v>
      </c>
      <c r="AH1105">
        <f t="shared" si="251"/>
        <v>23235.72</v>
      </c>
    </row>
    <row r="1106" spans="1:34" x14ac:dyDescent="0.35">
      <c r="A1106" t="s">
        <v>3015</v>
      </c>
      <c r="B1106" t="s">
        <v>3016</v>
      </c>
      <c r="C1106">
        <v>60</v>
      </c>
      <c r="D1106" t="s">
        <v>22</v>
      </c>
      <c r="E1106" t="s">
        <v>39</v>
      </c>
      <c r="F1106" t="s">
        <v>24</v>
      </c>
      <c r="G1106">
        <v>76120</v>
      </c>
      <c r="H1106">
        <v>734</v>
      </c>
      <c r="I1106">
        <v>22377</v>
      </c>
      <c r="J1106">
        <v>6.71</v>
      </c>
      <c r="K1106">
        <v>180</v>
      </c>
      <c r="L1106" t="s">
        <v>52</v>
      </c>
      <c r="M1106">
        <v>7</v>
      </c>
      <c r="N1106">
        <v>65915</v>
      </c>
      <c r="O1106">
        <v>159912</v>
      </c>
      <c r="P1106" t="s">
        <v>1811</v>
      </c>
      <c r="Q1106" t="s">
        <v>42</v>
      </c>
      <c r="R1106" t="s">
        <v>28</v>
      </c>
      <c r="S1106" t="s">
        <v>43</v>
      </c>
      <c r="T1106">
        <v>132.66</v>
      </c>
      <c r="U1106">
        <f t="shared" si="238"/>
        <v>896</v>
      </c>
      <c r="V1106">
        <f t="shared" si="239"/>
        <v>334</v>
      </c>
      <c r="W1106">
        <f t="shared" si="240"/>
        <v>278</v>
      </c>
      <c r="X1106">
        <f t="shared" si="241"/>
        <v>0.35149999999999998</v>
      </c>
      <c r="Y1106" s="1">
        <f t="shared" si="242"/>
        <v>46050307</v>
      </c>
      <c r="Z1106">
        <f t="shared" si="243"/>
        <v>51395.431919642855</v>
      </c>
      <c r="AA1106">
        <f t="shared" si="244"/>
        <v>99996</v>
      </c>
      <c r="AB1106">
        <f t="shared" si="245"/>
        <v>5091</v>
      </c>
      <c r="AC1106">
        <f t="shared" si="246"/>
        <v>1186055.0200000009</v>
      </c>
      <c r="AD1106">
        <f t="shared" si="247"/>
        <v>1323.7221205357152</v>
      </c>
      <c r="AE1106">
        <f t="shared" si="248"/>
        <v>0.35149999999999998</v>
      </c>
      <c r="AF1106">
        <f t="shared" si="249"/>
        <v>545147811.09000099</v>
      </c>
      <c r="AG1106" t="str">
        <f t="shared" si="250"/>
        <v>Active</v>
      </c>
      <c r="AH1106">
        <f t="shared" si="251"/>
        <v>1591.92</v>
      </c>
    </row>
    <row r="1107" spans="1:34" x14ac:dyDescent="0.35">
      <c r="A1107" t="s">
        <v>3017</v>
      </c>
      <c r="B1107" t="s">
        <v>3018</v>
      </c>
      <c r="C1107">
        <v>37</v>
      </c>
      <c r="D1107" t="s">
        <v>22</v>
      </c>
      <c r="E1107" t="s">
        <v>32</v>
      </c>
      <c r="F1107" t="s">
        <v>59</v>
      </c>
      <c r="G1107">
        <v>107018</v>
      </c>
      <c r="H1107">
        <v>646</v>
      </c>
      <c r="I1107">
        <v>63077</v>
      </c>
      <c r="J1107">
        <v>18.68</v>
      </c>
      <c r="K1107">
        <v>12</v>
      </c>
      <c r="L1107" t="s">
        <v>52</v>
      </c>
      <c r="M1107">
        <v>45.87</v>
      </c>
      <c r="N1107">
        <v>25360</v>
      </c>
      <c r="O1107">
        <v>27613</v>
      </c>
      <c r="P1107" t="s">
        <v>1135</v>
      </c>
      <c r="Q1107" t="s">
        <v>42</v>
      </c>
      <c r="R1107" t="s">
        <v>48</v>
      </c>
      <c r="S1107" t="s">
        <v>68</v>
      </c>
      <c r="T1107">
        <v>6238.32</v>
      </c>
      <c r="U1107">
        <f t="shared" si="238"/>
        <v>895</v>
      </c>
      <c r="V1107">
        <f t="shared" si="239"/>
        <v>333</v>
      </c>
      <c r="W1107">
        <f t="shared" si="240"/>
        <v>278</v>
      </c>
      <c r="X1107">
        <f t="shared" si="241"/>
        <v>0.35149999999999998</v>
      </c>
      <c r="Y1107" s="1">
        <f t="shared" si="242"/>
        <v>46027930</v>
      </c>
      <c r="Z1107">
        <f t="shared" si="243"/>
        <v>51427.854748603349</v>
      </c>
      <c r="AA1107">
        <f t="shared" si="244"/>
        <v>99996</v>
      </c>
      <c r="AB1107">
        <f t="shared" si="245"/>
        <v>5091</v>
      </c>
      <c r="AC1107">
        <f t="shared" si="246"/>
        <v>1185922.3600000008</v>
      </c>
      <c r="AD1107">
        <f t="shared" si="247"/>
        <v>1325.0529162011183</v>
      </c>
      <c r="AE1107">
        <f t="shared" si="248"/>
        <v>0.35149999999999998</v>
      </c>
      <c r="AF1107">
        <f t="shared" si="249"/>
        <v>543961756.07000101</v>
      </c>
      <c r="AG1107" t="str">
        <f t="shared" si="250"/>
        <v>Active</v>
      </c>
      <c r="AH1107">
        <f t="shared" si="251"/>
        <v>74859.839999999997</v>
      </c>
    </row>
    <row r="1108" spans="1:34" x14ac:dyDescent="0.35">
      <c r="A1108" t="s">
        <v>3019</v>
      </c>
      <c r="B1108" t="s">
        <v>3020</v>
      </c>
      <c r="C1108">
        <v>62</v>
      </c>
      <c r="D1108" t="s">
        <v>38</v>
      </c>
      <c r="E1108" t="s">
        <v>32</v>
      </c>
      <c r="F1108" t="s">
        <v>24</v>
      </c>
      <c r="G1108">
        <v>183430</v>
      </c>
      <c r="H1108">
        <v>710</v>
      </c>
      <c r="I1108">
        <v>49098</v>
      </c>
      <c r="J1108">
        <v>14.5</v>
      </c>
      <c r="K1108">
        <v>240</v>
      </c>
      <c r="L1108" t="s">
        <v>86</v>
      </c>
      <c r="M1108">
        <v>18.05</v>
      </c>
      <c r="N1108">
        <v>43908</v>
      </c>
      <c r="O1108">
        <v>245578</v>
      </c>
      <c r="P1108" t="s">
        <v>3021</v>
      </c>
      <c r="Q1108" t="s">
        <v>42</v>
      </c>
      <c r="R1108" t="s">
        <v>28</v>
      </c>
      <c r="S1108" t="s">
        <v>43</v>
      </c>
      <c r="T1108">
        <v>234.24</v>
      </c>
      <c r="U1108">
        <f t="shared" si="238"/>
        <v>894</v>
      </c>
      <c r="V1108">
        <f t="shared" si="239"/>
        <v>332</v>
      </c>
      <c r="W1108">
        <f t="shared" si="240"/>
        <v>278</v>
      </c>
      <c r="X1108">
        <f t="shared" si="241"/>
        <v>0.35149999999999998</v>
      </c>
      <c r="Y1108" s="1">
        <f t="shared" si="242"/>
        <v>45964853</v>
      </c>
      <c r="Z1108">
        <f t="shared" si="243"/>
        <v>51414.824384787469</v>
      </c>
      <c r="AA1108">
        <f t="shared" si="244"/>
        <v>99996</v>
      </c>
      <c r="AB1108">
        <f t="shared" si="245"/>
        <v>5091</v>
      </c>
      <c r="AC1108">
        <f t="shared" si="246"/>
        <v>1179684.040000001</v>
      </c>
      <c r="AD1108">
        <f t="shared" si="247"/>
        <v>1319.5570917225962</v>
      </c>
      <c r="AE1108">
        <f t="shared" si="248"/>
        <v>0.35149999999999998</v>
      </c>
      <c r="AF1108">
        <f t="shared" si="249"/>
        <v>542775833.71000087</v>
      </c>
      <c r="AG1108" t="str">
        <f t="shared" si="250"/>
        <v>Over Paid</v>
      </c>
      <c r="AH1108">
        <f t="shared" si="251"/>
        <v>2810.88</v>
      </c>
    </row>
    <row r="1109" spans="1:34" x14ac:dyDescent="0.35">
      <c r="A1109" t="s">
        <v>3022</v>
      </c>
      <c r="B1109" t="s">
        <v>3023</v>
      </c>
      <c r="C1109">
        <v>61</v>
      </c>
      <c r="D1109" t="s">
        <v>22</v>
      </c>
      <c r="E1109" t="s">
        <v>32</v>
      </c>
      <c r="F1109" t="s">
        <v>46</v>
      </c>
      <c r="G1109">
        <v>148195</v>
      </c>
      <c r="H1109">
        <v>808</v>
      </c>
      <c r="I1109">
        <v>6191</v>
      </c>
      <c r="J1109">
        <v>7.23</v>
      </c>
      <c r="K1109">
        <v>360</v>
      </c>
      <c r="L1109" t="s">
        <v>40</v>
      </c>
      <c r="M1109">
        <v>42.12</v>
      </c>
      <c r="N1109">
        <v>24672</v>
      </c>
      <c r="O1109">
        <v>193073</v>
      </c>
      <c r="P1109" t="s">
        <v>3024</v>
      </c>
      <c r="Q1109" t="s">
        <v>61</v>
      </c>
      <c r="R1109" t="s">
        <v>48</v>
      </c>
      <c r="S1109" t="s">
        <v>43</v>
      </c>
      <c r="T1109">
        <v>18.440000000000001</v>
      </c>
      <c r="U1109">
        <f t="shared" si="238"/>
        <v>893</v>
      </c>
      <c r="V1109">
        <f t="shared" si="239"/>
        <v>331</v>
      </c>
      <c r="W1109">
        <f t="shared" si="240"/>
        <v>278</v>
      </c>
      <c r="X1109">
        <f t="shared" si="241"/>
        <v>0.35149999999999998</v>
      </c>
      <c r="Y1109" s="1">
        <f t="shared" si="242"/>
        <v>45915755</v>
      </c>
      <c r="Z1109">
        <f t="shared" si="243"/>
        <v>51417.418812989919</v>
      </c>
      <c r="AA1109">
        <f t="shared" si="244"/>
        <v>99996</v>
      </c>
      <c r="AB1109">
        <f t="shared" si="245"/>
        <v>5091</v>
      </c>
      <c r="AC1109">
        <f t="shared" si="246"/>
        <v>1179449.800000001</v>
      </c>
      <c r="AD1109">
        <f t="shared" si="247"/>
        <v>1320.7724524076159</v>
      </c>
      <c r="AE1109">
        <f t="shared" si="248"/>
        <v>0.35149999999999998</v>
      </c>
      <c r="AF1109">
        <f t="shared" si="249"/>
        <v>541596149.67000067</v>
      </c>
      <c r="AG1109" t="str">
        <f t="shared" si="250"/>
        <v>Active</v>
      </c>
      <c r="AH1109">
        <f t="shared" si="251"/>
        <v>221.28000000000003</v>
      </c>
    </row>
    <row r="1110" spans="1:34" x14ac:dyDescent="0.35">
      <c r="A1110" t="s">
        <v>3025</v>
      </c>
      <c r="B1110" t="s">
        <v>3026</v>
      </c>
      <c r="C1110">
        <v>28</v>
      </c>
      <c r="D1110" t="s">
        <v>38</v>
      </c>
      <c r="E1110" t="s">
        <v>32</v>
      </c>
      <c r="F1110" t="s">
        <v>46</v>
      </c>
      <c r="G1110">
        <v>27595</v>
      </c>
      <c r="H1110">
        <v>802</v>
      </c>
      <c r="I1110">
        <v>56136</v>
      </c>
      <c r="J1110">
        <v>13.76</v>
      </c>
      <c r="K1110">
        <v>120</v>
      </c>
      <c r="L1110" t="s">
        <v>52</v>
      </c>
      <c r="M1110">
        <v>35.03</v>
      </c>
      <c r="N1110">
        <v>75554</v>
      </c>
      <c r="O1110">
        <v>126685</v>
      </c>
      <c r="P1110" t="s">
        <v>963</v>
      </c>
      <c r="Q1110" t="s">
        <v>27</v>
      </c>
      <c r="R1110" t="s">
        <v>28</v>
      </c>
      <c r="S1110" t="s">
        <v>68</v>
      </c>
      <c r="T1110">
        <v>532.16999999999996</v>
      </c>
      <c r="U1110">
        <f t="shared" si="238"/>
        <v>892</v>
      </c>
      <c r="V1110">
        <f t="shared" si="239"/>
        <v>331</v>
      </c>
      <c r="W1110">
        <f t="shared" si="240"/>
        <v>277</v>
      </c>
      <c r="X1110">
        <f t="shared" si="241"/>
        <v>0.35149999999999998</v>
      </c>
      <c r="Y1110" s="1">
        <f t="shared" si="242"/>
        <v>45909564</v>
      </c>
      <c r="Z1110">
        <f t="shared" si="243"/>
        <v>51468.121076233183</v>
      </c>
      <c r="AA1110">
        <f t="shared" si="244"/>
        <v>99996</v>
      </c>
      <c r="AB1110">
        <f t="shared" si="245"/>
        <v>5091</v>
      </c>
      <c r="AC1110">
        <f t="shared" si="246"/>
        <v>1179431.3600000008</v>
      </c>
      <c r="AD1110">
        <f t="shared" si="247"/>
        <v>1322.2324663677139</v>
      </c>
      <c r="AE1110">
        <f t="shared" si="248"/>
        <v>0.35149999999999998</v>
      </c>
      <c r="AF1110">
        <f t="shared" si="249"/>
        <v>540416699.87000036</v>
      </c>
      <c r="AG1110" t="str">
        <f t="shared" si="250"/>
        <v>Active</v>
      </c>
      <c r="AH1110">
        <f t="shared" si="251"/>
        <v>6386.0399999999991</v>
      </c>
    </row>
    <row r="1111" spans="1:34" x14ac:dyDescent="0.35">
      <c r="A1111" t="s">
        <v>3027</v>
      </c>
      <c r="B1111" t="s">
        <v>3028</v>
      </c>
      <c r="C1111">
        <v>63</v>
      </c>
      <c r="D1111" t="s">
        <v>22</v>
      </c>
      <c r="E1111" t="s">
        <v>39</v>
      </c>
      <c r="F1111" t="s">
        <v>59</v>
      </c>
      <c r="G1111">
        <v>54314</v>
      </c>
      <c r="H1111">
        <v>327</v>
      </c>
      <c r="I1111">
        <v>69838</v>
      </c>
      <c r="J1111">
        <v>4.7</v>
      </c>
      <c r="K1111">
        <v>240</v>
      </c>
      <c r="L1111" t="s">
        <v>25</v>
      </c>
      <c r="M1111">
        <v>11.1</v>
      </c>
      <c r="N1111">
        <v>7664</v>
      </c>
      <c r="O1111">
        <v>241722</v>
      </c>
      <c r="P1111" t="s">
        <v>1359</v>
      </c>
      <c r="Q1111" t="s">
        <v>27</v>
      </c>
      <c r="R1111" t="s">
        <v>48</v>
      </c>
      <c r="S1111" t="s">
        <v>49</v>
      </c>
      <c r="T1111">
        <v>304.67</v>
      </c>
      <c r="U1111">
        <f t="shared" si="238"/>
        <v>891</v>
      </c>
      <c r="V1111">
        <f t="shared" si="239"/>
        <v>331</v>
      </c>
      <c r="W1111">
        <f t="shared" si="240"/>
        <v>277</v>
      </c>
      <c r="X1111">
        <f t="shared" si="241"/>
        <v>0.35149999999999998</v>
      </c>
      <c r="Y1111" s="1">
        <f t="shared" si="242"/>
        <v>45853428</v>
      </c>
      <c r="Z1111">
        <f t="shared" si="243"/>
        <v>51462.882154882158</v>
      </c>
      <c r="AA1111">
        <f t="shared" si="244"/>
        <v>99996</v>
      </c>
      <c r="AB1111">
        <f t="shared" si="245"/>
        <v>5091</v>
      </c>
      <c r="AC1111">
        <f t="shared" si="246"/>
        <v>1178899.1900000009</v>
      </c>
      <c r="AD1111">
        <f t="shared" si="247"/>
        <v>1323.1191806958484</v>
      </c>
      <c r="AE1111">
        <f t="shared" si="248"/>
        <v>0.35149999999999998</v>
      </c>
      <c r="AF1111">
        <f t="shared" si="249"/>
        <v>539237268.51000047</v>
      </c>
      <c r="AG1111" t="str">
        <f t="shared" si="250"/>
        <v>Active</v>
      </c>
      <c r="AH1111">
        <f t="shared" si="251"/>
        <v>3656.04</v>
      </c>
    </row>
    <row r="1112" spans="1:34" x14ac:dyDescent="0.35">
      <c r="A1112" t="s">
        <v>3029</v>
      </c>
      <c r="B1112" t="s">
        <v>3030</v>
      </c>
      <c r="C1112">
        <v>51</v>
      </c>
      <c r="D1112" t="s">
        <v>38</v>
      </c>
      <c r="E1112" t="s">
        <v>39</v>
      </c>
      <c r="F1112" t="s">
        <v>46</v>
      </c>
      <c r="G1112">
        <v>20704</v>
      </c>
      <c r="H1112">
        <v>849</v>
      </c>
      <c r="I1112">
        <v>93513</v>
      </c>
      <c r="J1112">
        <v>7.58</v>
      </c>
      <c r="K1112">
        <v>360</v>
      </c>
      <c r="L1112" t="s">
        <v>52</v>
      </c>
      <c r="M1112">
        <v>11.23</v>
      </c>
      <c r="N1112">
        <v>31376</v>
      </c>
      <c r="O1112">
        <v>105651</v>
      </c>
      <c r="P1112" t="s">
        <v>3031</v>
      </c>
      <c r="Q1112" t="s">
        <v>61</v>
      </c>
      <c r="R1112" t="s">
        <v>48</v>
      </c>
      <c r="S1112" t="s">
        <v>43</v>
      </c>
      <c r="T1112">
        <v>279.45</v>
      </c>
      <c r="U1112">
        <f t="shared" si="238"/>
        <v>890</v>
      </c>
      <c r="V1112">
        <f t="shared" si="239"/>
        <v>331</v>
      </c>
      <c r="W1112">
        <f t="shared" si="240"/>
        <v>277</v>
      </c>
      <c r="X1112">
        <f t="shared" si="241"/>
        <v>0.35149999999999998</v>
      </c>
      <c r="Y1112" s="1">
        <f t="shared" si="242"/>
        <v>45783590</v>
      </c>
      <c r="Z1112">
        <f t="shared" si="243"/>
        <v>51442.235955056181</v>
      </c>
      <c r="AA1112">
        <f t="shared" si="244"/>
        <v>99996</v>
      </c>
      <c r="AB1112">
        <f t="shared" si="245"/>
        <v>5091</v>
      </c>
      <c r="AC1112">
        <f t="shared" si="246"/>
        <v>1178594.5200000009</v>
      </c>
      <c r="AD1112">
        <f t="shared" si="247"/>
        <v>1324.2635056179786</v>
      </c>
      <c r="AE1112">
        <f t="shared" si="248"/>
        <v>0.35149999999999998</v>
      </c>
      <c r="AF1112">
        <f t="shared" si="249"/>
        <v>538058369.31999993</v>
      </c>
      <c r="AG1112" t="str">
        <f t="shared" si="250"/>
        <v>Active</v>
      </c>
      <c r="AH1112">
        <f t="shared" si="251"/>
        <v>3353.3999999999996</v>
      </c>
    </row>
    <row r="1113" spans="1:34" x14ac:dyDescent="0.35">
      <c r="A1113" t="s">
        <v>3032</v>
      </c>
      <c r="B1113" t="s">
        <v>3033</v>
      </c>
      <c r="C1113">
        <v>43</v>
      </c>
      <c r="D1113" t="s">
        <v>38</v>
      </c>
      <c r="E1113" t="s">
        <v>39</v>
      </c>
      <c r="F1113" t="s">
        <v>46</v>
      </c>
      <c r="G1113">
        <v>80289</v>
      </c>
      <c r="H1113">
        <v>497</v>
      </c>
      <c r="I1113">
        <v>46444</v>
      </c>
      <c r="J1113">
        <v>6.34</v>
      </c>
      <c r="K1113">
        <v>12</v>
      </c>
      <c r="L1113" t="s">
        <v>33</v>
      </c>
      <c r="M1113">
        <v>10.14</v>
      </c>
      <c r="N1113">
        <v>44850</v>
      </c>
      <c r="O1113">
        <v>116161</v>
      </c>
      <c r="P1113" t="s">
        <v>651</v>
      </c>
      <c r="Q1113" t="s">
        <v>61</v>
      </c>
      <c r="R1113" t="s">
        <v>48</v>
      </c>
      <c r="S1113" t="s">
        <v>35</v>
      </c>
      <c r="T1113">
        <v>4115.71</v>
      </c>
      <c r="U1113">
        <f t="shared" si="238"/>
        <v>889</v>
      </c>
      <c r="V1113">
        <f t="shared" si="239"/>
        <v>331</v>
      </c>
      <c r="W1113">
        <f t="shared" si="240"/>
        <v>276</v>
      </c>
      <c r="X1113">
        <f t="shared" si="241"/>
        <v>0.35149999999999998</v>
      </c>
      <c r="Y1113" s="1">
        <f t="shared" si="242"/>
        <v>45690077</v>
      </c>
      <c r="Z1113">
        <f t="shared" si="243"/>
        <v>51394.91226096738</v>
      </c>
      <c r="AA1113">
        <f t="shared" si="244"/>
        <v>99996</v>
      </c>
      <c r="AB1113">
        <f t="shared" si="245"/>
        <v>5091</v>
      </c>
      <c r="AC1113">
        <f t="shared" si="246"/>
        <v>1178315.070000001</v>
      </c>
      <c r="AD1113">
        <f t="shared" si="247"/>
        <v>1325.4387739032632</v>
      </c>
      <c r="AE1113">
        <f t="shared" si="248"/>
        <v>0.35149999999999998</v>
      </c>
      <c r="AF1113">
        <f t="shared" si="249"/>
        <v>536879774.79999995</v>
      </c>
      <c r="AG1113" t="str">
        <f t="shared" si="250"/>
        <v>Active</v>
      </c>
      <c r="AH1113">
        <f t="shared" si="251"/>
        <v>49388.520000000004</v>
      </c>
    </row>
    <row r="1114" spans="1:34" x14ac:dyDescent="0.35">
      <c r="A1114" t="s">
        <v>3034</v>
      </c>
      <c r="B1114" t="s">
        <v>3035</v>
      </c>
      <c r="C1114">
        <v>30</v>
      </c>
      <c r="D1114" t="s">
        <v>38</v>
      </c>
      <c r="E1114" t="s">
        <v>39</v>
      </c>
      <c r="F1114" t="s">
        <v>59</v>
      </c>
      <c r="G1114">
        <v>93246</v>
      </c>
      <c r="H1114">
        <v>495</v>
      </c>
      <c r="I1114">
        <v>76086</v>
      </c>
      <c r="J1114">
        <v>17.79</v>
      </c>
      <c r="K1114">
        <v>36</v>
      </c>
      <c r="L1114" t="s">
        <v>52</v>
      </c>
      <c r="M1114">
        <v>8.16</v>
      </c>
      <c r="N1114">
        <v>61545</v>
      </c>
      <c r="O1114">
        <v>140029</v>
      </c>
      <c r="P1114" t="s">
        <v>290</v>
      </c>
      <c r="Q1114" t="s">
        <v>42</v>
      </c>
      <c r="R1114" t="s">
        <v>28</v>
      </c>
      <c r="S1114" t="s">
        <v>68</v>
      </c>
      <c r="T1114">
        <v>2489.4899999999998</v>
      </c>
      <c r="U1114">
        <f t="shared" si="238"/>
        <v>888</v>
      </c>
      <c r="V1114">
        <f t="shared" si="239"/>
        <v>331</v>
      </c>
      <c r="W1114">
        <f t="shared" si="240"/>
        <v>275</v>
      </c>
      <c r="X1114">
        <f t="shared" si="241"/>
        <v>0.35149999999999998</v>
      </c>
      <c r="Y1114" s="1">
        <f t="shared" si="242"/>
        <v>45643633</v>
      </c>
      <c r="Z1114">
        <f t="shared" si="243"/>
        <v>51400.487612612611</v>
      </c>
      <c r="AA1114">
        <f t="shared" si="244"/>
        <v>99996</v>
      </c>
      <c r="AB1114">
        <f t="shared" si="245"/>
        <v>5091</v>
      </c>
      <c r="AC1114">
        <f t="shared" si="246"/>
        <v>1174199.3600000008</v>
      </c>
      <c r="AD1114">
        <f t="shared" si="247"/>
        <v>1322.2965765765775</v>
      </c>
      <c r="AE1114">
        <f t="shared" si="248"/>
        <v>0.35149999999999998</v>
      </c>
      <c r="AF1114">
        <f t="shared" si="249"/>
        <v>535701459.72999984</v>
      </c>
      <c r="AG1114" t="str">
        <f t="shared" si="250"/>
        <v>Over Paid</v>
      </c>
      <c r="AH1114">
        <f t="shared" si="251"/>
        <v>29873.879999999997</v>
      </c>
    </row>
    <row r="1115" spans="1:34" x14ac:dyDescent="0.35">
      <c r="A1115" t="s">
        <v>3036</v>
      </c>
      <c r="B1115" t="s">
        <v>3037</v>
      </c>
      <c r="C1115">
        <v>45</v>
      </c>
      <c r="D1115" t="s">
        <v>22</v>
      </c>
      <c r="E1115" t="s">
        <v>23</v>
      </c>
      <c r="F1115" t="s">
        <v>46</v>
      </c>
      <c r="G1115">
        <v>160005</v>
      </c>
      <c r="H1115">
        <v>335</v>
      </c>
      <c r="I1115">
        <v>82260</v>
      </c>
      <c r="J1115">
        <v>20.45</v>
      </c>
      <c r="K1115">
        <v>60</v>
      </c>
      <c r="L1115" t="s">
        <v>33</v>
      </c>
      <c r="M1115">
        <v>57.06</v>
      </c>
      <c r="N1115">
        <v>48589</v>
      </c>
      <c r="O1115">
        <v>145355</v>
      </c>
      <c r="P1115" t="s">
        <v>3038</v>
      </c>
      <c r="Q1115" t="s">
        <v>42</v>
      </c>
      <c r="R1115" t="s">
        <v>28</v>
      </c>
      <c r="S1115" t="s">
        <v>68</v>
      </c>
      <c r="T1115">
        <v>1651.37</v>
      </c>
      <c r="U1115">
        <f t="shared" si="238"/>
        <v>887</v>
      </c>
      <c r="V1115">
        <f t="shared" si="239"/>
        <v>330</v>
      </c>
      <c r="W1115">
        <f t="shared" si="240"/>
        <v>275</v>
      </c>
      <c r="X1115">
        <f t="shared" si="241"/>
        <v>0.35149999999999998</v>
      </c>
      <c r="Y1115" s="1">
        <f t="shared" si="242"/>
        <v>45567547</v>
      </c>
      <c r="Z1115">
        <f t="shared" si="243"/>
        <v>51372.657271702366</v>
      </c>
      <c r="AA1115">
        <f t="shared" si="244"/>
        <v>99996</v>
      </c>
      <c r="AB1115">
        <f t="shared" si="245"/>
        <v>5091</v>
      </c>
      <c r="AC1115">
        <f t="shared" si="246"/>
        <v>1171709.8700000008</v>
      </c>
      <c r="AD1115">
        <f t="shared" si="247"/>
        <v>1320.9806877113876</v>
      </c>
      <c r="AE1115">
        <f t="shared" si="248"/>
        <v>0.35149999999999998</v>
      </c>
      <c r="AF1115">
        <f t="shared" si="249"/>
        <v>534527260.36999989</v>
      </c>
      <c r="AG1115" t="str">
        <f t="shared" si="250"/>
        <v>Active</v>
      </c>
      <c r="AH1115">
        <f t="shared" si="251"/>
        <v>19816.439999999999</v>
      </c>
    </row>
    <row r="1116" spans="1:34" x14ac:dyDescent="0.35">
      <c r="A1116" t="s">
        <v>3039</v>
      </c>
      <c r="B1116" t="s">
        <v>3040</v>
      </c>
      <c r="C1116">
        <v>43</v>
      </c>
      <c r="D1116" t="s">
        <v>38</v>
      </c>
      <c r="E1116" t="s">
        <v>39</v>
      </c>
      <c r="F1116" t="s">
        <v>24</v>
      </c>
      <c r="G1116">
        <v>196366</v>
      </c>
      <c r="H1116">
        <v>505</v>
      </c>
      <c r="I1116">
        <v>32404</v>
      </c>
      <c r="J1116">
        <v>11.33</v>
      </c>
      <c r="K1116">
        <v>36</v>
      </c>
      <c r="L1116" t="s">
        <v>25</v>
      </c>
      <c r="M1116">
        <v>28.54</v>
      </c>
      <c r="N1116">
        <v>2101</v>
      </c>
      <c r="O1116">
        <v>90599</v>
      </c>
      <c r="P1116" t="s">
        <v>3041</v>
      </c>
      <c r="Q1116" t="s">
        <v>61</v>
      </c>
      <c r="R1116" t="s">
        <v>48</v>
      </c>
      <c r="S1116" t="s">
        <v>68</v>
      </c>
      <c r="T1116">
        <v>1002.09</v>
      </c>
      <c r="U1116">
        <f t="shared" si="238"/>
        <v>886</v>
      </c>
      <c r="V1116">
        <f t="shared" si="239"/>
        <v>329</v>
      </c>
      <c r="W1116">
        <f t="shared" si="240"/>
        <v>275</v>
      </c>
      <c r="X1116">
        <f t="shared" si="241"/>
        <v>0.35149999999999998</v>
      </c>
      <c r="Y1116" s="1">
        <f t="shared" si="242"/>
        <v>45485287</v>
      </c>
      <c r="Z1116">
        <f t="shared" si="243"/>
        <v>51337.79571106095</v>
      </c>
      <c r="AA1116">
        <f t="shared" si="244"/>
        <v>99996</v>
      </c>
      <c r="AB1116">
        <f t="shared" si="245"/>
        <v>5091</v>
      </c>
      <c r="AC1116">
        <f t="shared" si="246"/>
        <v>1170058.5000000007</v>
      </c>
      <c r="AD1116">
        <f t="shared" si="247"/>
        <v>1320.6077878103845</v>
      </c>
      <c r="AE1116">
        <f t="shared" si="248"/>
        <v>0.35149999999999998</v>
      </c>
      <c r="AF1116">
        <f t="shared" si="249"/>
        <v>533355550.49999988</v>
      </c>
      <c r="AG1116" t="str">
        <f t="shared" si="250"/>
        <v>Active</v>
      </c>
      <c r="AH1116">
        <f t="shared" si="251"/>
        <v>12025.08</v>
      </c>
    </row>
    <row r="1117" spans="1:34" x14ac:dyDescent="0.35">
      <c r="A1117" t="s">
        <v>3042</v>
      </c>
      <c r="B1117" t="s">
        <v>3043</v>
      </c>
      <c r="C1117">
        <v>50</v>
      </c>
      <c r="D1117" t="s">
        <v>22</v>
      </c>
      <c r="E1117" t="s">
        <v>39</v>
      </c>
      <c r="F1117" t="s">
        <v>46</v>
      </c>
      <c r="G1117">
        <v>77415</v>
      </c>
      <c r="H1117">
        <v>600</v>
      </c>
      <c r="I1117">
        <v>60039</v>
      </c>
      <c r="J1117">
        <v>8.9</v>
      </c>
      <c r="K1117">
        <v>120</v>
      </c>
      <c r="L1117" t="s">
        <v>33</v>
      </c>
      <c r="M1117">
        <v>45.72</v>
      </c>
      <c r="N1117">
        <v>27812</v>
      </c>
      <c r="O1117">
        <v>151443</v>
      </c>
      <c r="P1117" t="s">
        <v>1865</v>
      </c>
      <c r="Q1117" t="s">
        <v>42</v>
      </c>
      <c r="R1117" t="s">
        <v>28</v>
      </c>
      <c r="S1117" t="s">
        <v>68</v>
      </c>
      <c r="T1117">
        <v>544.85</v>
      </c>
      <c r="U1117">
        <f t="shared" si="238"/>
        <v>885</v>
      </c>
      <c r="V1117">
        <f t="shared" si="239"/>
        <v>329</v>
      </c>
      <c r="W1117">
        <f t="shared" si="240"/>
        <v>274</v>
      </c>
      <c r="X1117">
        <f t="shared" si="241"/>
        <v>0.35149999999999998</v>
      </c>
      <c r="Y1117" s="1">
        <f t="shared" si="242"/>
        <v>45452883</v>
      </c>
      <c r="Z1117">
        <f t="shared" si="243"/>
        <v>51359.189830508476</v>
      </c>
      <c r="AA1117">
        <f t="shared" si="244"/>
        <v>99996</v>
      </c>
      <c r="AB1117">
        <f t="shared" si="245"/>
        <v>5091</v>
      </c>
      <c r="AC1117">
        <f t="shared" si="246"/>
        <v>1169056.4100000008</v>
      </c>
      <c r="AD1117">
        <f t="shared" si="247"/>
        <v>1320.9676949152552</v>
      </c>
      <c r="AE1117">
        <f t="shared" si="248"/>
        <v>0.35149999999999998</v>
      </c>
      <c r="AF1117">
        <f t="shared" si="249"/>
        <v>532185491.99999994</v>
      </c>
      <c r="AG1117" t="str">
        <f t="shared" si="250"/>
        <v>Active</v>
      </c>
      <c r="AH1117">
        <f t="shared" si="251"/>
        <v>6538.2000000000007</v>
      </c>
    </row>
    <row r="1118" spans="1:34" x14ac:dyDescent="0.35">
      <c r="A1118" t="s">
        <v>3044</v>
      </c>
      <c r="B1118" t="s">
        <v>3045</v>
      </c>
      <c r="C1118">
        <v>28</v>
      </c>
      <c r="D1118" t="s">
        <v>38</v>
      </c>
      <c r="E1118" t="s">
        <v>23</v>
      </c>
      <c r="F1118" t="s">
        <v>46</v>
      </c>
      <c r="G1118">
        <v>39139</v>
      </c>
      <c r="H1118">
        <v>817</v>
      </c>
      <c r="I1118">
        <v>91141</v>
      </c>
      <c r="J1118">
        <v>11.32</v>
      </c>
      <c r="K1118">
        <v>36</v>
      </c>
      <c r="L1118" t="s">
        <v>52</v>
      </c>
      <c r="M1118">
        <v>21.61</v>
      </c>
      <c r="N1118">
        <v>955</v>
      </c>
      <c r="O1118">
        <v>224294</v>
      </c>
      <c r="P1118" t="s">
        <v>2365</v>
      </c>
      <c r="Q1118" t="s">
        <v>42</v>
      </c>
      <c r="R1118" t="s">
        <v>28</v>
      </c>
      <c r="S1118" t="s">
        <v>29</v>
      </c>
      <c r="T1118">
        <v>2818.28</v>
      </c>
      <c r="U1118">
        <f t="shared" si="238"/>
        <v>884</v>
      </c>
      <c r="V1118">
        <f t="shared" si="239"/>
        <v>328</v>
      </c>
      <c r="W1118">
        <f t="shared" si="240"/>
        <v>274</v>
      </c>
      <c r="X1118">
        <f t="shared" si="241"/>
        <v>0.35149999999999998</v>
      </c>
      <c r="Y1118" s="1">
        <f t="shared" si="242"/>
        <v>45392844</v>
      </c>
      <c r="Z1118">
        <f t="shared" si="243"/>
        <v>51349.371040723985</v>
      </c>
      <c r="AA1118">
        <f t="shared" si="244"/>
        <v>99996</v>
      </c>
      <c r="AB1118">
        <f t="shared" si="245"/>
        <v>5091</v>
      </c>
      <c r="AC1118">
        <f t="shared" si="246"/>
        <v>1168511.5600000008</v>
      </c>
      <c r="AD1118">
        <f t="shared" si="247"/>
        <v>1321.8456561085982</v>
      </c>
      <c r="AE1118">
        <f t="shared" si="248"/>
        <v>0.35149999999999998</v>
      </c>
      <c r="AF1118">
        <f t="shared" si="249"/>
        <v>531016435.58999997</v>
      </c>
      <c r="AG1118" t="str">
        <f t="shared" si="250"/>
        <v>Active</v>
      </c>
      <c r="AH1118">
        <f t="shared" si="251"/>
        <v>33819.360000000001</v>
      </c>
    </row>
    <row r="1119" spans="1:34" x14ac:dyDescent="0.35">
      <c r="A1119" t="s">
        <v>3046</v>
      </c>
      <c r="B1119" t="s">
        <v>3047</v>
      </c>
      <c r="C1119">
        <v>30</v>
      </c>
      <c r="D1119" t="s">
        <v>38</v>
      </c>
      <c r="E1119" t="s">
        <v>23</v>
      </c>
      <c r="F1119" t="s">
        <v>59</v>
      </c>
      <c r="G1119">
        <v>107030</v>
      </c>
      <c r="H1119">
        <v>807</v>
      </c>
      <c r="I1119">
        <v>71559</v>
      </c>
      <c r="J1119">
        <v>8.57</v>
      </c>
      <c r="K1119">
        <v>60</v>
      </c>
      <c r="L1119" t="s">
        <v>33</v>
      </c>
      <c r="M1119">
        <v>50.44</v>
      </c>
      <c r="N1119">
        <v>20692</v>
      </c>
      <c r="O1119">
        <v>80634</v>
      </c>
      <c r="P1119" t="s">
        <v>3048</v>
      </c>
      <c r="Q1119" t="s">
        <v>42</v>
      </c>
      <c r="R1119" t="s">
        <v>48</v>
      </c>
      <c r="S1119" t="s">
        <v>29</v>
      </c>
      <c r="T1119">
        <v>1294.8599999999999</v>
      </c>
      <c r="U1119">
        <f t="shared" si="238"/>
        <v>883</v>
      </c>
      <c r="V1119">
        <f t="shared" si="239"/>
        <v>327</v>
      </c>
      <c r="W1119">
        <f t="shared" si="240"/>
        <v>274</v>
      </c>
      <c r="X1119">
        <f t="shared" si="241"/>
        <v>0.35149999999999998</v>
      </c>
      <c r="Y1119" s="1">
        <f t="shared" si="242"/>
        <v>45301703</v>
      </c>
      <c r="Z1119">
        <f t="shared" si="243"/>
        <v>51304.306908267274</v>
      </c>
      <c r="AA1119">
        <f t="shared" si="244"/>
        <v>99996</v>
      </c>
      <c r="AB1119">
        <f t="shared" si="245"/>
        <v>5091</v>
      </c>
      <c r="AC1119">
        <f t="shared" si="246"/>
        <v>1165693.2800000007</v>
      </c>
      <c r="AD1119">
        <f t="shared" si="247"/>
        <v>1320.1509399773508</v>
      </c>
      <c r="AE1119">
        <f t="shared" si="248"/>
        <v>0.35149999999999998</v>
      </c>
      <c r="AF1119">
        <f t="shared" si="249"/>
        <v>529847924.02999997</v>
      </c>
      <c r="AG1119" t="str">
        <f t="shared" si="250"/>
        <v>Active</v>
      </c>
      <c r="AH1119">
        <f t="shared" si="251"/>
        <v>15538.32</v>
      </c>
    </row>
    <row r="1120" spans="1:34" x14ac:dyDescent="0.35">
      <c r="A1120" t="s">
        <v>3049</v>
      </c>
      <c r="B1120" t="s">
        <v>3050</v>
      </c>
      <c r="C1120">
        <v>25</v>
      </c>
      <c r="D1120" t="s">
        <v>22</v>
      </c>
      <c r="E1120" t="s">
        <v>32</v>
      </c>
      <c r="F1120" t="s">
        <v>46</v>
      </c>
      <c r="G1120">
        <v>46659</v>
      </c>
      <c r="H1120">
        <v>808</v>
      </c>
      <c r="I1120">
        <v>97701</v>
      </c>
      <c r="J1120">
        <v>9.32</v>
      </c>
      <c r="K1120">
        <v>240</v>
      </c>
      <c r="L1120" t="s">
        <v>33</v>
      </c>
      <c r="M1120">
        <v>36.51</v>
      </c>
      <c r="N1120">
        <v>43321</v>
      </c>
      <c r="O1120">
        <v>14328</v>
      </c>
      <c r="P1120" t="s">
        <v>64</v>
      </c>
      <c r="Q1120" t="s">
        <v>27</v>
      </c>
      <c r="R1120" t="s">
        <v>28</v>
      </c>
      <c r="S1120" t="s">
        <v>29</v>
      </c>
      <c r="T1120">
        <v>445.03</v>
      </c>
      <c r="U1120">
        <f t="shared" si="238"/>
        <v>882</v>
      </c>
      <c r="V1120">
        <f t="shared" si="239"/>
        <v>326</v>
      </c>
      <c r="W1120">
        <f t="shared" si="240"/>
        <v>274</v>
      </c>
      <c r="X1120">
        <f t="shared" si="241"/>
        <v>0.35149999999999998</v>
      </c>
      <c r="Y1120" s="1">
        <f t="shared" si="242"/>
        <v>45230144</v>
      </c>
      <c r="Z1120">
        <f t="shared" si="243"/>
        <v>51281.342403628121</v>
      </c>
      <c r="AA1120">
        <f t="shared" si="244"/>
        <v>99996</v>
      </c>
      <c r="AB1120">
        <f t="shared" si="245"/>
        <v>5091</v>
      </c>
      <c r="AC1120">
        <f t="shared" si="246"/>
        <v>1164398.4200000009</v>
      </c>
      <c r="AD1120">
        <f t="shared" si="247"/>
        <v>1320.1796145124727</v>
      </c>
      <c r="AE1120">
        <f t="shared" si="248"/>
        <v>0.35149999999999998</v>
      </c>
      <c r="AF1120">
        <f t="shared" si="249"/>
        <v>528682230.74999994</v>
      </c>
      <c r="AG1120" t="str">
        <f t="shared" si="250"/>
        <v>Active</v>
      </c>
      <c r="AH1120">
        <f t="shared" si="251"/>
        <v>5340.36</v>
      </c>
    </row>
    <row r="1121" spans="1:34" x14ac:dyDescent="0.35">
      <c r="A1121" t="s">
        <v>3051</v>
      </c>
      <c r="B1121" t="s">
        <v>3052</v>
      </c>
      <c r="C1121">
        <v>40</v>
      </c>
      <c r="D1121" t="s">
        <v>38</v>
      </c>
      <c r="E1121" t="s">
        <v>32</v>
      </c>
      <c r="F1121" t="s">
        <v>46</v>
      </c>
      <c r="G1121">
        <v>173351</v>
      </c>
      <c r="H1121">
        <v>846</v>
      </c>
      <c r="I1121">
        <v>18531</v>
      </c>
      <c r="J1121">
        <v>15.73</v>
      </c>
      <c r="K1121">
        <v>24</v>
      </c>
      <c r="L1121" t="s">
        <v>40</v>
      </c>
      <c r="M1121">
        <v>34.619999999999997</v>
      </c>
      <c r="N1121">
        <v>39745</v>
      </c>
      <c r="O1121">
        <v>142276</v>
      </c>
      <c r="P1121" t="s">
        <v>3053</v>
      </c>
      <c r="Q1121" t="s">
        <v>27</v>
      </c>
      <c r="R1121" t="s">
        <v>48</v>
      </c>
      <c r="S1121" t="s">
        <v>43</v>
      </c>
      <c r="T1121">
        <v>893.58</v>
      </c>
      <c r="U1121">
        <f t="shared" si="238"/>
        <v>881</v>
      </c>
      <c r="V1121">
        <f t="shared" si="239"/>
        <v>326</v>
      </c>
      <c r="W1121">
        <f t="shared" si="240"/>
        <v>274</v>
      </c>
      <c r="X1121">
        <f t="shared" si="241"/>
        <v>0.35149999999999998</v>
      </c>
      <c r="Y1121" s="1">
        <f t="shared" si="242"/>
        <v>45132443</v>
      </c>
      <c r="Z1121">
        <f t="shared" si="243"/>
        <v>51228.652667423383</v>
      </c>
      <c r="AA1121">
        <f t="shared" si="244"/>
        <v>99996</v>
      </c>
      <c r="AB1121">
        <f t="shared" si="245"/>
        <v>5091</v>
      </c>
      <c r="AC1121">
        <f t="shared" si="246"/>
        <v>1163953.3900000008</v>
      </c>
      <c r="AD1121">
        <f t="shared" si="247"/>
        <v>1321.1729738933041</v>
      </c>
      <c r="AE1121">
        <f t="shared" si="248"/>
        <v>0.35149999999999998</v>
      </c>
      <c r="AF1121">
        <f t="shared" si="249"/>
        <v>527517832.32999986</v>
      </c>
      <c r="AG1121" t="str">
        <f t="shared" si="250"/>
        <v>Active</v>
      </c>
      <c r="AH1121">
        <f t="shared" si="251"/>
        <v>10722.960000000001</v>
      </c>
    </row>
    <row r="1122" spans="1:34" x14ac:dyDescent="0.35">
      <c r="A1122" t="s">
        <v>3054</v>
      </c>
      <c r="B1122" t="s">
        <v>3055</v>
      </c>
      <c r="C1122">
        <v>35</v>
      </c>
      <c r="D1122" t="s">
        <v>38</v>
      </c>
      <c r="E1122" t="s">
        <v>39</v>
      </c>
      <c r="F1122" t="s">
        <v>46</v>
      </c>
      <c r="G1122">
        <v>192465</v>
      </c>
      <c r="H1122">
        <v>620</v>
      </c>
      <c r="I1122">
        <v>45841</v>
      </c>
      <c r="J1122">
        <v>10.24</v>
      </c>
      <c r="K1122">
        <v>36</v>
      </c>
      <c r="L1122" t="s">
        <v>25</v>
      </c>
      <c r="M1122">
        <v>22.49</v>
      </c>
      <c r="N1122">
        <v>40725</v>
      </c>
      <c r="O1122">
        <v>184777</v>
      </c>
      <c r="P1122" t="s">
        <v>1275</v>
      </c>
      <c r="Q1122" t="s">
        <v>42</v>
      </c>
      <c r="R1122" t="s">
        <v>48</v>
      </c>
      <c r="S1122" t="s">
        <v>49</v>
      </c>
      <c r="T1122">
        <v>1403.75</v>
      </c>
      <c r="U1122">
        <f t="shared" si="238"/>
        <v>880</v>
      </c>
      <c r="V1122">
        <f t="shared" si="239"/>
        <v>326</v>
      </c>
      <c r="W1122">
        <f t="shared" si="240"/>
        <v>274</v>
      </c>
      <c r="X1122">
        <f t="shared" si="241"/>
        <v>0.35149999999999998</v>
      </c>
      <c r="Y1122" s="1">
        <f t="shared" si="242"/>
        <v>45113912</v>
      </c>
      <c r="Z1122">
        <f t="shared" si="243"/>
        <v>51265.80909090909</v>
      </c>
      <c r="AA1122">
        <f t="shared" si="244"/>
        <v>99996</v>
      </c>
      <c r="AB1122">
        <f t="shared" si="245"/>
        <v>5091</v>
      </c>
      <c r="AC1122">
        <f t="shared" si="246"/>
        <v>1163059.8100000008</v>
      </c>
      <c r="AD1122">
        <f t="shared" si="247"/>
        <v>1321.6588750000008</v>
      </c>
      <c r="AE1122">
        <f t="shared" si="248"/>
        <v>0.35149999999999998</v>
      </c>
      <c r="AF1122">
        <f t="shared" si="249"/>
        <v>526353878.93999994</v>
      </c>
      <c r="AG1122" t="str">
        <f t="shared" si="250"/>
        <v>Active</v>
      </c>
      <c r="AH1122">
        <f t="shared" si="251"/>
        <v>16845</v>
      </c>
    </row>
    <row r="1123" spans="1:34" x14ac:dyDescent="0.35">
      <c r="A1123" t="s">
        <v>3056</v>
      </c>
      <c r="B1123" t="s">
        <v>3057</v>
      </c>
      <c r="C1123">
        <v>56</v>
      </c>
      <c r="D1123" t="s">
        <v>38</v>
      </c>
      <c r="E1123" t="s">
        <v>32</v>
      </c>
      <c r="F1123" t="s">
        <v>46</v>
      </c>
      <c r="G1123">
        <v>142314</v>
      </c>
      <c r="H1123">
        <v>523</v>
      </c>
      <c r="I1123">
        <v>10433</v>
      </c>
      <c r="J1123">
        <v>11.18</v>
      </c>
      <c r="K1123">
        <v>60</v>
      </c>
      <c r="L1123" t="s">
        <v>86</v>
      </c>
      <c r="M1123">
        <v>29.88</v>
      </c>
      <c r="N1123">
        <v>21472</v>
      </c>
      <c r="O1123">
        <v>82125</v>
      </c>
      <c r="P1123" t="s">
        <v>3058</v>
      </c>
      <c r="Q1123" t="s">
        <v>27</v>
      </c>
      <c r="R1123" t="s">
        <v>48</v>
      </c>
      <c r="S1123" t="s">
        <v>35</v>
      </c>
      <c r="T1123">
        <v>193.32</v>
      </c>
      <c r="U1123">
        <f t="shared" si="238"/>
        <v>879</v>
      </c>
      <c r="V1123">
        <f t="shared" si="239"/>
        <v>325</v>
      </c>
      <c r="W1123">
        <f t="shared" si="240"/>
        <v>274</v>
      </c>
      <c r="X1123">
        <f t="shared" si="241"/>
        <v>0.35149999999999998</v>
      </c>
      <c r="Y1123" s="1">
        <f t="shared" si="242"/>
        <v>45068071</v>
      </c>
      <c r="Z1123">
        <f t="shared" si="243"/>
        <v>51271.98065984073</v>
      </c>
      <c r="AA1123">
        <f t="shared" si="244"/>
        <v>99996</v>
      </c>
      <c r="AB1123">
        <f t="shared" si="245"/>
        <v>5091</v>
      </c>
      <c r="AC1123">
        <f t="shared" si="246"/>
        <v>1161656.0600000008</v>
      </c>
      <c r="AD1123">
        <f t="shared" si="247"/>
        <v>1321.5654835039827</v>
      </c>
      <c r="AE1123">
        <f t="shared" si="248"/>
        <v>0.35149999999999998</v>
      </c>
      <c r="AF1123">
        <f t="shared" si="249"/>
        <v>525190819.12999994</v>
      </c>
      <c r="AG1123" t="str">
        <f t="shared" si="250"/>
        <v>Active</v>
      </c>
      <c r="AH1123">
        <f t="shared" si="251"/>
        <v>2319.84</v>
      </c>
    </row>
    <row r="1124" spans="1:34" x14ac:dyDescent="0.35">
      <c r="A1124" t="s">
        <v>3059</v>
      </c>
      <c r="B1124" t="s">
        <v>3060</v>
      </c>
      <c r="C1124">
        <v>47</v>
      </c>
      <c r="D1124" t="s">
        <v>22</v>
      </c>
      <c r="E1124" t="s">
        <v>23</v>
      </c>
      <c r="F1124" t="s">
        <v>59</v>
      </c>
      <c r="G1124">
        <v>112573</v>
      </c>
      <c r="H1124">
        <v>439</v>
      </c>
      <c r="I1124">
        <v>63475</v>
      </c>
      <c r="J1124">
        <v>7.48</v>
      </c>
      <c r="K1124">
        <v>60</v>
      </c>
      <c r="L1124" t="s">
        <v>33</v>
      </c>
      <c r="M1124">
        <v>47.88</v>
      </c>
      <c r="N1124">
        <v>19516</v>
      </c>
      <c r="O1124">
        <v>210885</v>
      </c>
      <c r="P1124" t="s">
        <v>849</v>
      </c>
      <c r="Q1124" t="s">
        <v>61</v>
      </c>
      <c r="R1124" t="s">
        <v>28</v>
      </c>
      <c r="S1124" t="s">
        <v>49</v>
      </c>
      <c r="T1124">
        <v>1137.05</v>
      </c>
      <c r="U1124">
        <f t="shared" si="238"/>
        <v>878</v>
      </c>
      <c r="V1124">
        <f t="shared" si="239"/>
        <v>325</v>
      </c>
      <c r="W1124">
        <f t="shared" si="240"/>
        <v>274</v>
      </c>
      <c r="X1124">
        <f t="shared" si="241"/>
        <v>0.35149999999999998</v>
      </c>
      <c r="Y1124" s="1">
        <f t="shared" si="242"/>
        <v>45057638</v>
      </c>
      <c r="Z1124">
        <f t="shared" si="243"/>
        <v>51318.494305239183</v>
      </c>
      <c r="AA1124">
        <f t="shared" si="244"/>
        <v>99996</v>
      </c>
      <c r="AB1124">
        <f t="shared" si="245"/>
        <v>5091</v>
      </c>
      <c r="AC1124">
        <f t="shared" si="246"/>
        <v>1161462.7400000009</v>
      </c>
      <c r="AD1124">
        <f t="shared" si="247"/>
        <v>1322.8505011389532</v>
      </c>
      <c r="AE1124">
        <f t="shared" si="248"/>
        <v>0.35149999999999998</v>
      </c>
      <c r="AF1124">
        <f t="shared" si="249"/>
        <v>524029163.06999993</v>
      </c>
      <c r="AG1124" t="str">
        <f t="shared" si="250"/>
        <v>Active</v>
      </c>
      <c r="AH1124">
        <f t="shared" si="251"/>
        <v>13644.599999999999</v>
      </c>
    </row>
    <row r="1125" spans="1:34" x14ac:dyDescent="0.35">
      <c r="A1125" t="s">
        <v>3061</v>
      </c>
      <c r="B1125" t="s">
        <v>3062</v>
      </c>
      <c r="C1125">
        <v>52</v>
      </c>
      <c r="D1125" t="s">
        <v>22</v>
      </c>
      <c r="E1125" t="s">
        <v>32</v>
      </c>
      <c r="F1125" t="s">
        <v>46</v>
      </c>
      <c r="G1125">
        <v>100385</v>
      </c>
      <c r="H1125">
        <v>486</v>
      </c>
      <c r="I1125">
        <v>93820</v>
      </c>
      <c r="J1125">
        <v>20.72</v>
      </c>
      <c r="K1125">
        <v>120</v>
      </c>
      <c r="L1125" t="s">
        <v>86</v>
      </c>
      <c r="M1125">
        <v>47.83</v>
      </c>
      <c r="N1125">
        <v>58905</v>
      </c>
      <c r="O1125">
        <v>240190</v>
      </c>
      <c r="P1125" t="s">
        <v>3063</v>
      </c>
      <c r="Q1125" t="s">
        <v>42</v>
      </c>
      <c r="R1125" t="s">
        <v>48</v>
      </c>
      <c r="S1125" t="s">
        <v>29</v>
      </c>
      <c r="T1125">
        <v>943.83</v>
      </c>
      <c r="U1125">
        <f t="shared" si="238"/>
        <v>877</v>
      </c>
      <c r="V1125">
        <f t="shared" si="239"/>
        <v>325</v>
      </c>
      <c r="W1125">
        <f t="shared" si="240"/>
        <v>273</v>
      </c>
      <c r="X1125">
        <f t="shared" si="241"/>
        <v>0.35149999999999998</v>
      </c>
      <c r="Y1125" s="1">
        <f t="shared" si="242"/>
        <v>44994163</v>
      </c>
      <c r="Z1125">
        <f t="shared" si="243"/>
        <v>51304.632839224629</v>
      </c>
      <c r="AA1125">
        <f t="shared" si="244"/>
        <v>99996</v>
      </c>
      <c r="AB1125">
        <f t="shared" si="245"/>
        <v>5091</v>
      </c>
      <c r="AC1125">
        <f t="shared" si="246"/>
        <v>1160325.6900000009</v>
      </c>
      <c r="AD1125">
        <f t="shared" si="247"/>
        <v>1323.0623603192712</v>
      </c>
      <c r="AE1125">
        <f t="shared" si="248"/>
        <v>0.35149999999999998</v>
      </c>
      <c r="AF1125">
        <f t="shared" si="249"/>
        <v>522867700.32999992</v>
      </c>
      <c r="AG1125" t="str">
        <f t="shared" si="250"/>
        <v>Active</v>
      </c>
      <c r="AH1125">
        <f t="shared" si="251"/>
        <v>11325.960000000001</v>
      </c>
    </row>
    <row r="1126" spans="1:34" x14ac:dyDescent="0.35">
      <c r="A1126" t="s">
        <v>3064</v>
      </c>
      <c r="B1126" t="s">
        <v>3065</v>
      </c>
      <c r="C1126">
        <v>25</v>
      </c>
      <c r="D1126" t="s">
        <v>38</v>
      </c>
      <c r="E1126" t="s">
        <v>32</v>
      </c>
      <c r="F1126" t="s">
        <v>46</v>
      </c>
      <c r="G1126">
        <v>149474</v>
      </c>
      <c r="H1126">
        <v>764</v>
      </c>
      <c r="I1126">
        <v>36728</v>
      </c>
      <c r="J1126">
        <v>13.71</v>
      </c>
      <c r="K1126">
        <v>36</v>
      </c>
      <c r="L1126" t="s">
        <v>86</v>
      </c>
      <c r="M1126">
        <v>38.01</v>
      </c>
      <c r="N1126">
        <v>78953</v>
      </c>
      <c r="O1126">
        <v>140794</v>
      </c>
      <c r="P1126" t="s">
        <v>3066</v>
      </c>
      <c r="Q1126" t="s">
        <v>27</v>
      </c>
      <c r="R1126" t="s">
        <v>48</v>
      </c>
      <c r="S1126" t="s">
        <v>43</v>
      </c>
      <c r="T1126">
        <v>1160.0899999999999</v>
      </c>
      <c r="U1126">
        <f t="shared" si="238"/>
        <v>876</v>
      </c>
      <c r="V1126">
        <f t="shared" si="239"/>
        <v>324</v>
      </c>
      <c r="W1126">
        <f t="shared" si="240"/>
        <v>273</v>
      </c>
      <c r="X1126">
        <f t="shared" si="241"/>
        <v>0.35149999999999998</v>
      </c>
      <c r="Y1126" s="1">
        <f t="shared" si="242"/>
        <v>44900343</v>
      </c>
      <c r="Z1126">
        <f t="shared" si="243"/>
        <v>51256.099315068495</v>
      </c>
      <c r="AA1126">
        <f t="shared" si="244"/>
        <v>99996</v>
      </c>
      <c r="AB1126">
        <f t="shared" si="245"/>
        <v>5091</v>
      </c>
      <c r="AC1126">
        <f t="shared" si="246"/>
        <v>1159381.860000001</v>
      </c>
      <c r="AD1126">
        <f t="shared" si="247"/>
        <v>1323.4952739726039</v>
      </c>
      <c r="AE1126">
        <f t="shared" si="248"/>
        <v>0.35149999999999998</v>
      </c>
      <c r="AF1126">
        <f t="shared" si="249"/>
        <v>521707374.63999993</v>
      </c>
      <c r="AG1126" t="str">
        <f t="shared" si="250"/>
        <v>Active</v>
      </c>
      <c r="AH1126">
        <f t="shared" si="251"/>
        <v>13921.079999999998</v>
      </c>
    </row>
    <row r="1127" spans="1:34" x14ac:dyDescent="0.35">
      <c r="A1127" t="s">
        <v>3067</v>
      </c>
      <c r="B1127" t="s">
        <v>3068</v>
      </c>
      <c r="C1127">
        <v>27</v>
      </c>
      <c r="D1127" t="s">
        <v>38</v>
      </c>
      <c r="E1127" t="s">
        <v>32</v>
      </c>
      <c r="F1127" t="s">
        <v>46</v>
      </c>
      <c r="G1127">
        <v>61444</v>
      </c>
      <c r="H1127">
        <v>575</v>
      </c>
      <c r="I1127">
        <v>29356</v>
      </c>
      <c r="J1127">
        <v>4.01</v>
      </c>
      <c r="K1127">
        <v>240</v>
      </c>
      <c r="L1127" t="s">
        <v>52</v>
      </c>
      <c r="M1127">
        <v>51.99</v>
      </c>
      <c r="N1127">
        <v>59109</v>
      </c>
      <c r="O1127">
        <v>155554</v>
      </c>
      <c r="P1127" t="s">
        <v>2456</v>
      </c>
      <c r="Q1127" t="s">
        <v>27</v>
      </c>
      <c r="R1127" t="s">
        <v>48</v>
      </c>
      <c r="S1127" t="s">
        <v>29</v>
      </c>
      <c r="T1127">
        <v>127.22</v>
      </c>
      <c r="U1127">
        <f t="shared" si="238"/>
        <v>875</v>
      </c>
      <c r="V1127">
        <f t="shared" si="239"/>
        <v>324</v>
      </c>
      <c r="W1127">
        <f t="shared" si="240"/>
        <v>273</v>
      </c>
      <c r="X1127">
        <f t="shared" si="241"/>
        <v>0.35149999999999998</v>
      </c>
      <c r="Y1127" s="1">
        <f t="shared" si="242"/>
        <v>44863615</v>
      </c>
      <c r="Z1127">
        <f t="shared" si="243"/>
        <v>51272.70285714286</v>
      </c>
      <c r="AA1127">
        <f t="shared" si="244"/>
        <v>99996</v>
      </c>
      <c r="AB1127">
        <f t="shared" si="245"/>
        <v>5091</v>
      </c>
      <c r="AC1127">
        <f t="shared" si="246"/>
        <v>1158221.7700000009</v>
      </c>
      <c r="AD1127">
        <f t="shared" si="247"/>
        <v>1323.6820228571439</v>
      </c>
      <c r="AE1127">
        <f t="shared" si="248"/>
        <v>0.35149999999999998</v>
      </c>
      <c r="AF1127">
        <f t="shared" si="249"/>
        <v>520547992.77999997</v>
      </c>
      <c r="AG1127" t="str">
        <f t="shared" si="250"/>
        <v>Active</v>
      </c>
      <c r="AH1127">
        <f t="shared" si="251"/>
        <v>1526.6399999999999</v>
      </c>
    </row>
    <row r="1128" spans="1:34" x14ac:dyDescent="0.35">
      <c r="A1128" t="s">
        <v>3069</v>
      </c>
      <c r="B1128" t="s">
        <v>3070</v>
      </c>
      <c r="C1128">
        <v>30</v>
      </c>
      <c r="D1128" t="s">
        <v>22</v>
      </c>
      <c r="E1128" t="s">
        <v>39</v>
      </c>
      <c r="F1128" t="s">
        <v>46</v>
      </c>
      <c r="G1128">
        <v>33015</v>
      </c>
      <c r="H1128">
        <v>369</v>
      </c>
      <c r="I1128">
        <v>5535</v>
      </c>
      <c r="J1128">
        <v>14.97</v>
      </c>
      <c r="K1128">
        <v>240</v>
      </c>
      <c r="L1128" t="s">
        <v>40</v>
      </c>
      <c r="M1128">
        <v>23.42</v>
      </c>
      <c r="N1128">
        <v>16302</v>
      </c>
      <c r="O1128">
        <v>61580</v>
      </c>
      <c r="P1128" t="s">
        <v>3071</v>
      </c>
      <c r="Q1128" t="s">
        <v>42</v>
      </c>
      <c r="R1128" t="s">
        <v>48</v>
      </c>
      <c r="S1128" t="s">
        <v>49</v>
      </c>
      <c r="T1128">
        <v>26.51</v>
      </c>
      <c r="U1128">
        <f t="shared" si="238"/>
        <v>874</v>
      </c>
      <c r="V1128">
        <f t="shared" si="239"/>
        <v>324</v>
      </c>
      <c r="W1128">
        <f t="shared" si="240"/>
        <v>273</v>
      </c>
      <c r="X1128">
        <f t="shared" si="241"/>
        <v>0.35149999999999998</v>
      </c>
      <c r="Y1128" s="1">
        <f t="shared" si="242"/>
        <v>44834259</v>
      </c>
      <c r="Z1128">
        <f t="shared" si="243"/>
        <v>51297.779176201373</v>
      </c>
      <c r="AA1128">
        <f t="shared" si="244"/>
        <v>99996</v>
      </c>
      <c r="AB1128">
        <f t="shared" si="245"/>
        <v>5091</v>
      </c>
      <c r="AC1128">
        <f t="shared" si="246"/>
        <v>1158094.550000001</v>
      </c>
      <c r="AD1128">
        <f t="shared" si="247"/>
        <v>1325.0509725400468</v>
      </c>
      <c r="AE1128">
        <f t="shared" si="248"/>
        <v>0.35149999999999998</v>
      </c>
      <c r="AF1128">
        <f t="shared" si="249"/>
        <v>519389771.00999993</v>
      </c>
      <c r="AG1128" t="str">
        <f t="shared" si="250"/>
        <v>Active</v>
      </c>
      <c r="AH1128">
        <f t="shared" si="251"/>
        <v>318.12</v>
      </c>
    </row>
    <row r="1129" spans="1:34" x14ac:dyDescent="0.35">
      <c r="A1129" t="s">
        <v>3072</v>
      </c>
      <c r="B1129" t="s">
        <v>3073</v>
      </c>
      <c r="C1129">
        <v>63</v>
      </c>
      <c r="D1129" t="s">
        <v>38</v>
      </c>
      <c r="E1129" t="s">
        <v>39</v>
      </c>
      <c r="F1129" t="s">
        <v>46</v>
      </c>
      <c r="G1129">
        <v>102769</v>
      </c>
      <c r="H1129">
        <v>653</v>
      </c>
      <c r="I1129">
        <v>10563</v>
      </c>
      <c r="J1129">
        <v>15.16</v>
      </c>
      <c r="K1129">
        <v>36</v>
      </c>
      <c r="L1129" t="s">
        <v>33</v>
      </c>
      <c r="M1129">
        <v>33.43</v>
      </c>
      <c r="N1129">
        <v>31424</v>
      </c>
      <c r="O1129">
        <v>66120</v>
      </c>
      <c r="P1129" t="s">
        <v>918</v>
      </c>
      <c r="Q1129" t="s">
        <v>27</v>
      </c>
      <c r="R1129" t="s">
        <v>28</v>
      </c>
      <c r="S1129" t="s">
        <v>35</v>
      </c>
      <c r="T1129">
        <v>337.9</v>
      </c>
      <c r="U1129">
        <f t="shared" si="238"/>
        <v>873</v>
      </c>
      <c r="V1129">
        <f t="shared" si="239"/>
        <v>323</v>
      </c>
      <c r="W1129">
        <f t="shared" si="240"/>
        <v>273</v>
      </c>
      <c r="X1129">
        <f t="shared" si="241"/>
        <v>0.35149999999999998</v>
      </c>
      <c r="Y1129" s="1">
        <f t="shared" si="242"/>
        <v>44828724</v>
      </c>
      <c r="Z1129">
        <f t="shared" si="243"/>
        <v>51350.19931271478</v>
      </c>
      <c r="AA1129">
        <f t="shared" si="244"/>
        <v>99996</v>
      </c>
      <c r="AB1129">
        <f t="shared" si="245"/>
        <v>5091</v>
      </c>
      <c r="AC1129">
        <f t="shared" si="246"/>
        <v>1158068.040000001</v>
      </c>
      <c r="AD1129">
        <f t="shared" si="247"/>
        <v>1326.5384192439874</v>
      </c>
      <c r="AE1129">
        <f t="shared" si="248"/>
        <v>0.35149999999999998</v>
      </c>
      <c r="AF1129">
        <f t="shared" si="249"/>
        <v>518231676.45999992</v>
      </c>
      <c r="AG1129" t="str">
        <f t="shared" si="250"/>
        <v>Active</v>
      </c>
      <c r="AH1129">
        <f t="shared" si="251"/>
        <v>4054.7999999999997</v>
      </c>
    </row>
    <row r="1130" spans="1:34" x14ac:dyDescent="0.35">
      <c r="A1130" t="s">
        <v>3074</v>
      </c>
      <c r="B1130" t="s">
        <v>3075</v>
      </c>
      <c r="C1130">
        <v>60</v>
      </c>
      <c r="D1130" t="s">
        <v>22</v>
      </c>
      <c r="E1130" t="s">
        <v>23</v>
      </c>
      <c r="F1130" t="s">
        <v>46</v>
      </c>
      <c r="G1130">
        <v>85653</v>
      </c>
      <c r="H1130">
        <v>383</v>
      </c>
      <c r="I1130">
        <v>14128</v>
      </c>
      <c r="J1130">
        <v>19.2</v>
      </c>
      <c r="K1130">
        <v>240</v>
      </c>
      <c r="L1130" t="s">
        <v>52</v>
      </c>
      <c r="M1130">
        <v>32.96</v>
      </c>
      <c r="N1130">
        <v>56320</v>
      </c>
      <c r="O1130">
        <v>233971</v>
      </c>
      <c r="P1130" t="s">
        <v>412</v>
      </c>
      <c r="Q1130" t="s">
        <v>42</v>
      </c>
      <c r="R1130" t="s">
        <v>28</v>
      </c>
      <c r="S1130" t="s">
        <v>29</v>
      </c>
      <c r="T1130">
        <v>70.17</v>
      </c>
      <c r="U1130">
        <f t="shared" si="238"/>
        <v>872</v>
      </c>
      <c r="V1130">
        <f t="shared" si="239"/>
        <v>323</v>
      </c>
      <c r="W1130">
        <f t="shared" si="240"/>
        <v>273</v>
      </c>
      <c r="X1130">
        <f t="shared" si="241"/>
        <v>0.35149999999999998</v>
      </c>
      <c r="Y1130" s="1">
        <f t="shared" si="242"/>
        <v>44818161</v>
      </c>
      <c r="Z1130">
        <f t="shared" si="243"/>
        <v>51396.973623853213</v>
      </c>
      <c r="AA1130">
        <f t="shared" si="244"/>
        <v>99996</v>
      </c>
      <c r="AB1130">
        <f t="shared" si="245"/>
        <v>5091</v>
      </c>
      <c r="AC1130">
        <f t="shared" si="246"/>
        <v>1157730.1400000011</v>
      </c>
      <c r="AD1130">
        <f t="shared" si="247"/>
        <v>1327.6721788990837</v>
      </c>
      <c r="AE1130">
        <f t="shared" si="248"/>
        <v>0.35149999999999998</v>
      </c>
      <c r="AF1130">
        <f t="shared" si="249"/>
        <v>517073608.4199999</v>
      </c>
      <c r="AG1130" t="str">
        <f t="shared" si="250"/>
        <v>Active</v>
      </c>
      <c r="AH1130">
        <f t="shared" si="251"/>
        <v>842.04</v>
      </c>
    </row>
    <row r="1131" spans="1:34" x14ac:dyDescent="0.35">
      <c r="A1131" t="s">
        <v>3076</v>
      </c>
      <c r="B1131" t="s">
        <v>3077</v>
      </c>
      <c r="C1131">
        <v>60</v>
      </c>
      <c r="D1131" t="s">
        <v>38</v>
      </c>
      <c r="E1131" t="s">
        <v>32</v>
      </c>
      <c r="F1131" t="s">
        <v>24</v>
      </c>
      <c r="G1131">
        <v>194266</v>
      </c>
      <c r="H1131">
        <v>680</v>
      </c>
      <c r="I1131">
        <v>58664</v>
      </c>
      <c r="J1131">
        <v>5.19</v>
      </c>
      <c r="K1131">
        <v>36</v>
      </c>
      <c r="L1131" t="s">
        <v>52</v>
      </c>
      <c r="M1131">
        <v>24.54</v>
      </c>
      <c r="N1131">
        <v>75168</v>
      </c>
      <c r="O1131">
        <v>71758</v>
      </c>
      <c r="P1131" t="s">
        <v>1060</v>
      </c>
      <c r="Q1131" t="s">
        <v>61</v>
      </c>
      <c r="R1131" t="s">
        <v>28</v>
      </c>
      <c r="S1131" t="s">
        <v>49</v>
      </c>
      <c r="T1131">
        <v>1714.13</v>
      </c>
      <c r="U1131">
        <f t="shared" si="238"/>
        <v>871</v>
      </c>
      <c r="V1131">
        <f t="shared" si="239"/>
        <v>322</v>
      </c>
      <c r="W1131">
        <f t="shared" si="240"/>
        <v>273</v>
      </c>
      <c r="X1131">
        <f t="shared" si="241"/>
        <v>0.35149999999999998</v>
      </c>
      <c r="Y1131" s="1">
        <f t="shared" si="242"/>
        <v>44804033</v>
      </c>
      <c r="Z1131">
        <f t="shared" si="243"/>
        <v>51439.762342135473</v>
      </c>
      <c r="AA1131">
        <f t="shared" si="244"/>
        <v>99996</v>
      </c>
      <c r="AB1131">
        <f t="shared" si="245"/>
        <v>5091</v>
      </c>
      <c r="AC1131">
        <f t="shared" si="246"/>
        <v>1157659.9700000009</v>
      </c>
      <c r="AD1131">
        <f t="shared" si="247"/>
        <v>1329.1159242250296</v>
      </c>
      <c r="AE1131">
        <f t="shared" si="248"/>
        <v>0.35149999999999998</v>
      </c>
      <c r="AF1131">
        <f t="shared" si="249"/>
        <v>515915878.27999985</v>
      </c>
      <c r="AG1131" t="str">
        <f t="shared" si="250"/>
        <v>Active</v>
      </c>
      <c r="AH1131">
        <f t="shared" si="251"/>
        <v>20569.560000000001</v>
      </c>
    </row>
    <row r="1132" spans="1:34" x14ac:dyDescent="0.35">
      <c r="A1132" t="s">
        <v>3078</v>
      </c>
      <c r="B1132" t="s">
        <v>3079</v>
      </c>
      <c r="C1132">
        <v>46</v>
      </c>
      <c r="D1132" t="s">
        <v>22</v>
      </c>
      <c r="E1132" t="s">
        <v>32</v>
      </c>
      <c r="F1132" t="s">
        <v>59</v>
      </c>
      <c r="G1132">
        <v>33189</v>
      </c>
      <c r="H1132">
        <v>460</v>
      </c>
      <c r="I1132">
        <v>94924</v>
      </c>
      <c r="J1132">
        <v>18.38</v>
      </c>
      <c r="K1132">
        <v>60</v>
      </c>
      <c r="L1132" t="s">
        <v>86</v>
      </c>
      <c r="M1132">
        <v>14.9</v>
      </c>
      <c r="N1132">
        <v>64649</v>
      </c>
      <c r="O1132">
        <v>102010</v>
      </c>
      <c r="P1132" t="s">
        <v>1526</v>
      </c>
      <c r="Q1132" t="s">
        <v>27</v>
      </c>
      <c r="R1132" t="s">
        <v>48</v>
      </c>
      <c r="S1132" t="s">
        <v>35</v>
      </c>
      <c r="T1132">
        <v>1872.85</v>
      </c>
      <c r="U1132">
        <f t="shared" si="238"/>
        <v>870</v>
      </c>
      <c r="V1132">
        <f t="shared" si="239"/>
        <v>322</v>
      </c>
      <c r="W1132">
        <f t="shared" si="240"/>
        <v>272</v>
      </c>
      <c r="X1132">
        <f t="shared" si="241"/>
        <v>0.35149999999999998</v>
      </c>
      <c r="Y1132" s="1">
        <f t="shared" si="242"/>
        <v>44745369</v>
      </c>
      <c r="Z1132">
        <f t="shared" si="243"/>
        <v>51431.458620689657</v>
      </c>
      <c r="AA1132">
        <f t="shared" si="244"/>
        <v>99996</v>
      </c>
      <c r="AB1132">
        <f t="shared" si="245"/>
        <v>5091</v>
      </c>
      <c r="AC1132">
        <f t="shared" si="246"/>
        <v>1155945.840000001</v>
      </c>
      <c r="AD1132">
        <f t="shared" si="247"/>
        <v>1328.673379310346</v>
      </c>
      <c r="AE1132">
        <f t="shared" si="248"/>
        <v>0.35149999999999998</v>
      </c>
      <c r="AF1132">
        <f t="shared" si="249"/>
        <v>514758218.30999976</v>
      </c>
      <c r="AG1132" t="str">
        <f t="shared" si="250"/>
        <v>Active</v>
      </c>
      <c r="AH1132">
        <f t="shared" si="251"/>
        <v>22474.199999999997</v>
      </c>
    </row>
    <row r="1133" spans="1:34" x14ac:dyDescent="0.35">
      <c r="A1133" t="s">
        <v>3080</v>
      </c>
      <c r="B1133" t="s">
        <v>3081</v>
      </c>
      <c r="C1133">
        <v>38</v>
      </c>
      <c r="D1133" t="s">
        <v>38</v>
      </c>
      <c r="E1133" t="s">
        <v>23</v>
      </c>
      <c r="F1133" t="s">
        <v>24</v>
      </c>
      <c r="G1133">
        <v>172322</v>
      </c>
      <c r="H1133">
        <v>389</v>
      </c>
      <c r="I1133">
        <v>34687</v>
      </c>
      <c r="J1133">
        <v>14.17</v>
      </c>
      <c r="K1133">
        <v>180</v>
      </c>
      <c r="L1133" t="s">
        <v>52</v>
      </c>
      <c r="M1133">
        <v>45.06</v>
      </c>
      <c r="N1133">
        <v>32161</v>
      </c>
      <c r="O1133">
        <v>202933</v>
      </c>
      <c r="P1133" t="s">
        <v>3082</v>
      </c>
      <c r="Q1133" t="s">
        <v>27</v>
      </c>
      <c r="R1133" t="s">
        <v>28</v>
      </c>
      <c r="S1133" t="s">
        <v>35</v>
      </c>
      <c r="T1133">
        <v>220.01</v>
      </c>
      <c r="U1133">
        <f t="shared" si="238"/>
        <v>869</v>
      </c>
      <c r="V1133">
        <f t="shared" si="239"/>
        <v>322</v>
      </c>
      <c r="W1133">
        <f t="shared" si="240"/>
        <v>272</v>
      </c>
      <c r="X1133">
        <f t="shared" si="241"/>
        <v>0.35149999999999998</v>
      </c>
      <c r="Y1133" s="1">
        <f t="shared" si="242"/>
        <v>44650445</v>
      </c>
      <c r="Z1133">
        <f t="shared" si="243"/>
        <v>51381.409666283085</v>
      </c>
      <c r="AA1133">
        <f t="shared" si="244"/>
        <v>99996</v>
      </c>
      <c r="AB1133">
        <f t="shared" si="245"/>
        <v>5091</v>
      </c>
      <c r="AC1133">
        <f t="shared" si="246"/>
        <v>1154072.9900000009</v>
      </c>
      <c r="AD1133">
        <f t="shared" si="247"/>
        <v>1328.047169159955</v>
      </c>
      <c r="AE1133">
        <f t="shared" si="248"/>
        <v>0.35149999999999998</v>
      </c>
      <c r="AF1133">
        <f t="shared" si="249"/>
        <v>513602272.46999979</v>
      </c>
      <c r="AG1133" t="str">
        <f t="shared" si="250"/>
        <v>Active</v>
      </c>
      <c r="AH1133">
        <f t="shared" si="251"/>
        <v>2640.12</v>
      </c>
    </row>
    <row r="1134" spans="1:34" x14ac:dyDescent="0.35">
      <c r="A1134" t="s">
        <v>3083</v>
      </c>
      <c r="B1134" t="s">
        <v>3084</v>
      </c>
      <c r="C1134">
        <v>63</v>
      </c>
      <c r="D1134" t="s">
        <v>22</v>
      </c>
      <c r="E1134" t="s">
        <v>39</v>
      </c>
      <c r="F1134" t="s">
        <v>46</v>
      </c>
      <c r="G1134">
        <v>90930</v>
      </c>
      <c r="H1134">
        <v>705</v>
      </c>
      <c r="I1134">
        <v>8406</v>
      </c>
      <c r="J1134">
        <v>20.079999999999998</v>
      </c>
      <c r="K1134">
        <v>180</v>
      </c>
      <c r="L1134" t="s">
        <v>33</v>
      </c>
      <c r="M1134">
        <v>43.89</v>
      </c>
      <c r="N1134">
        <v>50877</v>
      </c>
      <c r="O1134">
        <v>190718</v>
      </c>
      <c r="P1134" t="s">
        <v>446</v>
      </c>
      <c r="Q1134" t="s">
        <v>27</v>
      </c>
      <c r="R1134" t="s">
        <v>28</v>
      </c>
      <c r="S1134" t="s">
        <v>49</v>
      </c>
      <c r="T1134">
        <v>56.08</v>
      </c>
      <c r="U1134">
        <f t="shared" si="238"/>
        <v>868</v>
      </c>
      <c r="V1134">
        <f t="shared" si="239"/>
        <v>322</v>
      </c>
      <c r="W1134">
        <f t="shared" si="240"/>
        <v>272</v>
      </c>
      <c r="X1134">
        <f t="shared" si="241"/>
        <v>0.35149999999999998</v>
      </c>
      <c r="Y1134" s="1">
        <f t="shared" si="242"/>
        <v>44615758</v>
      </c>
      <c r="Z1134">
        <f t="shared" si="243"/>
        <v>51400.642857142855</v>
      </c>
      <c r="AA1134">
        <f t="shared" si="244"/>
        <v>99996</v>
      </c>
      <c r="AB1134">
        <f t="shared" si="245"/>
        <v>5091</v>
      </c>
      <c r="AC1134">
        <f t="shared" si="246"/>
        <v>1153852.9800000009</v>
      </c>
      <c r="AD1134">
        <f t="shared" si="247"/>
        <v>1329.3237096774203</v>
      </c>
      <c r="AE1134">
        <f t="shared" si="248"/>
        <v>0.35149999999999998</v>
      </c>
      <c r="AF1134">
        <f t="shared" si="249"/>
        <v>512448199.47999978</v>
      </c>
      <c r="AG1134" t="str">
        <f t="shared" si="250"/>
        <v>Active</v>
      </c>
      <c r="AH1134">
        <f t="shared" si="251"/>
        <v>672.96</v>
      </c>
    </row>
    <row r="1135" spans="1:34" x14ac:dyDescent="0.35">
      <c r="A1135" t="s">
        <v>3085</v>
      </c>
      <c r="B1135" t="s">
        <v>3086</v>
      </c>
      <c r="C1135">
        <v>25</v>
      </c>
      <c r="D1135" t="s">
        <v>38</v>
      </c>
      <c r="E1135" t="s">
        <v>39</v>
      </c>
      <c r="F1135" t="s">
        <v>46</v>
      </c>
      <c r="G1135">
        <v>112308</v>
      </c>
      <c r="H1135">
        <v>335</v>
      </c>
      <c r="I1135">
        <v>91188</v>
      </c>
      <c r="J1135">
        <v>13.53</v>
      </c>
      <c r="K1135">
        <v>240</v>
      </c>
      <c r="L1135" t="s">
        <v>33</v>
      </c>
      <c r="M1135">
        <v>11.91</v>
      </c>
      <c r="N1135">
        <v>70566</v>
      </c>
      <c r="O1135">
        <v>76667</v>
      </c>
      <c r="P1135" t="s">
        <v>675</v>
      </c>
      <c r="Q1135" t="s">
        <v>42</v>
      </c>
      <c r="R1135" t="s">
        <v>48</v>
      </c>
      <c r="S1135" t="s">
        <v>49</v>
      </c>
      <c r="T1135">
        <v>431.36</v>
      </c>
      <c r="U1135">
        <f t="shared" si="238"/>
        <v>867</v>
      </c>
      <c r="V1135">
        <f t="shared" si="239"/>
        <v>322</v>
      </c>
      <c r="W1135">
        <f t="shared" si="240"/>
        <v>272</v>
      </c>
      <c r="X1135">
        <f t="shared" si="241"/>
        <v>0.35149999999999998</v>
      </c>
      <c r="Y1135" s="1">
        <f t="shared" si="242"/>
        <v>44607352</v>
      </c>
      <c r="Z1135">
        <f t="shared" si="243"/>
        <v>51450.232987312571</v>
      </c>
      <c r="AA1135">
        <f t="shared" si="244"/>
        <v>99996</v>
      </c>
      <c r="AB1135">
        <f t="shared" si="245"/>
        <v>5091</v>
      </c>
      <c r="AC1135">
        <f t="shared" si="246"/>
        <v>1153796.9000000008</v>
      </c>
      <c r="AD1135">
        <f t="shared" si="247"/>
        <v>1330.7922722029998</v>
      </c>
      <c r="AE1135">
        <f t="shared" si="248"/>
        <v>0.35149999999999998</v>
      </c>
      <c r="AF1135">
        <f t="shared" si="249"/>
        <v>511294346.49999982</v>
      </c>
      <c r="AG1135" t="str">
        <f t="shared" si="250"/>
        <v>Active</v>
      </c>
      <c r="AH1135">
        <f t="shared" si="251"/>
        <v>5176.32</v>
      </c>
    </row>
    <row r="1136" spans="1:34" x14ac:dyDescent="0.35">
      <c r="A1136" t="s">
        <v>3087</v>
      </c>
      <c r="B1136" t="s">
        <v>3088</v>
      </c>
      <c r="C1136">
        <v>57</v>
      </c>
      <c r="D1136" t="s">
        <v>38</v>
      </c>
      <c r="E1136" t="s">
        <v>32</v>
      </c>
      <c r="F1136" t="s">
        <v>46</v>
      </c>
      <c r="G1136">
        <v>188963</v>
      </c>
      <c r="H1136">
        <v>332</v>
      </c>
      <c r="I1136">
        <v>67760</v>
      </c>
      <c r="J1136">
        <v>16.690000000000001</v>
      </c>
      <c r="K1136">
        <v>120</v>
      </c>
      <c r="L1136" t="s">
        <v>25</v>
      </c>
      <c r="M1136">
        <v>57.13</v>
      </c>
      <c r="N1136">
        <v>9107</v>
      </c>
      <c r="O1136">
        <v>195511</v>
      </c>
      <c r="P1136" t="s">
        <v>3089</v>
      </c>
      <c r="Q1136" t="s">
        <v>42</v>
      </c>
      <c r="R1136" t="s">
        <v>28</v>
      </c>
      <c r="S1136" t="s">
        <v>43</v>
      </c>
      <c r="T1136">
        <v>658.91</v>
      </c>
      <c r="U1136">
        <f t="shared" si="238"/>
        <v>866</v>
      </c>
      <c r="V1136">
        <f t="shared" si="239"/>
        <v>321</v>
      </c>
      <c r="W1136">
        <f t="shared" si="240"/>
        <v>272</v>
      </c>
      <c r="X1136">
        <f t="shared" si="241"/>
        <v>0.35149999999999998</v>
      </c>
      <c r="Y1136" s="1">
        <f t="shared" si="242"/>
        <v>44516164</v>
      </c>
      <c r="Z1136">
        <f t="shared" si="243"/>
        <v>51404.346420323323</v>
      </c>
      <c r="AA1136">
        <f t="shared" si="244"/>
        <v>99996</v>
      </c>
      <c r="AB1136">
        <f t="shared" si="245"/>
        <v>5091</v>
      </c>
      <c r="AC1136">
        <f t="shared" si="246"/>
        <v>1153365.540000001</v>
      </c>
      <c r="AD1136">
        <f t="shared" si="247"/>
        <v>1331.8308775981536</v>
      </c>
      <c r="AE1136">
        <f t="shared" si="248"/>
        <v>0.35149999999999998</v>
      </c>
      <c r="AF1136">
        <f t="shared" si="249"/>
        <v>510140549.59999979</v>
      </c>
      <c r="AG1136" t="str">
        <f t="shared" si="250"/>
        <v>Active</v>
      </c>
      <c r="AH1136">
        <f t="shared" si="251"/>
        <v>7906.92</v>
      </c>
    </row>
    <row r="1137" spans="1:34" x14ac:dyDescent="0.35">
      <c r="A1137" t="s">
        <v>3090</v>
      </c>
      <c r="B1137" t="s">
        <v>3091</v>
      </c>
      <c r="C1137">
        <v>25</v>
      </c>
      <c r="D1137" t="s">
        <v>22</v>
      </c>
      <c r="E1137" t="s">
        <v>39</v>
      </c>
      <c r="F1137" t="s">
        <v>59</v>
      </c>
      <c r="G1137">
        <v>135947</v>
      </c>
      <c r="H1137">
        <v>475</v>
      </c>
      <c r="I1137">
        <v>66557</v>
      </c>
      <c r="J1137">
        <v>15.67</v>
      </c>
      <c r="K1137">
        <v>24</v>
      </c>
      <c r="L1137" t="s">
        <v>33</v>
      </c>
      <c r="M1137">
        <v>12.54</v>
      </c>
      <c r="N1137">
        <v>21553</v>
      </c>
      <c r="O1137">
        <v>117753</v>
      </c>
      <c r="P1137" t="s">
        <v>3092</v>
      </c>
      <c r="Q1137" t="s">
        <v>42</v>
      </c>
      <c r="R1137" t="s">
        <v>48</v>
      </c>
      <c r="S1137" t="s">
        <v>43</v>
      </c>
      <c r="T1137">
        <v>3207.77</v>
      </c>
      <c r="U1137">
        <f t="shared" si="238"/>
        <v>865</v>
      </c>
      <c r="V1137">
        <f t="shared" si="239"/>
        <v>320</v>
      </c>
      <c r="W1137">
        <f t="shared" si="240"/>
        <v>272</v>
      </c>
      <c r="X1137">
        <f t="shared" si="241"/>
        <v>0.35149999999999998</v>
      </c>
      <c r="Y1137" s="1">
        <f t="shared" si="242"/>
        <v>44448404</v>
      </c>
      <c r="Z1137">
        <f t="shared" si="243"/>
        <v>51385.438150289017</v>
      </c>
      <c r="AA1137">
        <f t="shared" si="244"/>
        <v>99996</v>
      </c>
      <c r="AB1137">
        <f t="shared" si="245"/>
        <v>5091</v>
      </c>
      <c r="AC1137">
        <f t="shared" si="246"/>
        <v>1152706.6300000011</v>
      </c>
      <c r="AD1137">
        <f t="shared" si="247"/>
        <v>1332.6088208092497</v>
      </c>
      <c r="AE1137">
        <f t="shared" si="248"/>
        <v>0.35149999999999998</v>
      </c>
      <c r="AF1137">
        <f t="shared" si="249"/>
        <v>508987184.05999976</v>
      </c>
      <c r="AG1137" t="str">
        <f t="shared" si="250"/>
        <v>Active</v>
      </c>
      <c r="AH1137">
        <f t="shared" si="251"/>
        <v>38493.24</v>
      </c>
    </row>
    <row r="1138" spans="1:34" x14ac:dyDescent="0.35">
      <c r="A1138" t="s">
        <v>3093</v>
      </c>
      <c r="B1138" t="s">
        <v>3094</v>
      </c>
      <c r="C1138">
        <v>34</v>
      </c>
      <c r="D1138" t="s">
        <v>38</v>
      </c>
      <c r="E1138" t="s">
        <v>32</v>
      </c>
      <c r="F1138" t="s">
        <v>24</v>
      </c>
      <c r="G1138">
        <v>178042</v>
      </c>
      <c r="H1138">
        <v>733</v>
      </c>
      <c r="I1138">
        <v>21590</v>
      </c>
      <c r="J1138">
        <v>22.92</v>
      </c>
      <c r="K1138">
        <v>240</v>
      </c>
      <c r="L1138" t="s">
        <v>25</v>
      </c>
      <c r="M1138">
        <v>16.07</v>
      </c>
      <c r="N1138">
        <v>7209</v>
      </c>
      <c r="O1138">
        <v>1344</v>
      </c>
      <c r="P1138" t="s">
        <v>2881</v>
      </c>
      <c r="Q1138" t="s">
        <v>42</v>
      </c>
      <c r="R1138" t="s">
        <v>48</v>
      </c>
      <c r="S1138" t="s">
        <v>29</v>
      </c>
      <c r="T1138">
        <v>110.58</v>
      </c>
      <c r="U1138">
        <f t="shared" si="238"/>
        <v>864</v>
      </c>
      <c r="V1138">
        <f t="shared" si="239"/>
        <v>319</v>
      </c>
      <c r="W1138">
        <f t="shared" si="240"/>
        <v>272</v>
      </c>
      <c r="X1138">
        <f t="shared" si="241"/>
        <v>0.35149999999999998</v>
      </c>
      <c r="Y1138" s="1">
        <f t="shared" si="242"/>
        <v>44381847</v>
      </c>
      <c r="Z1138">
        <f t="shared" si="243"/>
        <v>51367.878472222219</v>
      </c>
      <c r="AA1138">
        <f t="shared" si="244"/>
        <v>99996</v>
      </c>
      <c r="AB1138">
        <f t="shared" si="245"/>
        <v>5091</v>
      </c>
      <c r="AC1138">
        <f t="shared" si="246"/>
        <v>1149498.8600000008</v>
      </c>
      <c r="AD1138">
        <f t="shared" si="247"/>
        <v>1330.4384953703714</v>
      </c>
      <c r="AE1138">
        <f t="shared" si="248"/>
        <v>0.35149999999999998</v>
      </c>
      <c r="AF1138">
        <f t="shared" si="249"/>
        <v>507834477.42999977</v>
      </c>
      <c r="AG1138" t="str">
        <f t="shared" si="250"/>
        <v>Active</v>
      </c>
      <c r="AH1138">
        <f t="shared" si="251"/>
        <v>1326.96</v>
      </c>
    </row>
    <row r="1139" spans="1:34" x14ac:dyDescent="0.35">
      <c r="A1139" t="s">
        <v>3095</v>
      </c>
      <c r="B1139" t="s">
        <v>3096</v>
      </c>
      <c r="C1139">
        <v>61</v>
      </c>
      <c r="D1139" t="s">
        <v>22</v>
      </c>
      <c r="E1139" t="s">
        <v>39</v>
      </c>
      <c r="F1139" t="s">
        <v>24</v>
      </c>
      <c r="G1139">
        <v>124883</v>
      </c>
      <c r="H1139">
        <v>783</v>
      </c>
      <c r="I1139">
        <v>36973</v>
      </c>
      <c r="J1139">
        <v>16.68</v>
      </c>
      <c r="K1139">
        <v>120</v>
      </c>
      <c r="L1139" t="s">
        <v>52</v>
      </c>
      <c r="M1139">
        <v>57.84</v>
      </c>
      <c r="N1139">
        <v>38580</v>
      </c>
      <c r="O1139">
        <v>232488</v>
      </c>
      <c r="P1139" t="s">
        <v>2246</v>
      </c>
      <c r="Q1139" t="s">
        <v>42</v>
      </c>
      <c r="R1139" t="s">
        <v>28</v>
      </c>
      <c r="S1139" t="s">
        <v>35</v>
      </c>
      <c r="T1139">
        <v>359.5</v>
      </c>
      <c r="U1139">
        <f t="shared" si="238"/>
        <v>863</v>
      </c>
      <c r="V1139">
        <f t="shared" si="239"/>
        <v>318</v>
      </c>
      <c r="W1139">
        <f t="shared" si="240"/>
        <v>272</v>
      </c>
      <c r="X1139">
        <f t="shared" si="241"/>
        <v>0.35149999999999998</v>
      </c>
      <c r="Y1139" s="1">
        <f t="shared" si="242"/>
        <v>44360257</v>
      </c>
      <c r="Z1139">
        <f t="shared" si="243"/>
        <v>51402.383545770565</v>
      </c>
      <c r="AA1139">
        <f t="shared" si="244"/>
        <v>99996</v>
      </c>
      <c r="AB1139">
        <f t="shared" si="245"/>
        <v>5091</v>
      </c>
      <c r="AC1139">
        <f t="shared" si="246"/>
        <v>1149388.2800000007</v>
      </c>
      <c r="AD1139">
        <f t="shared" si="247"/>
        <v>1331.852004634995</v>
      </c>
      <c r="AE1139">
        <f t="shared" si="248"/>
        <v>0.35149999999999998</v>
      </c>
      <c r="AF1139">
        <f t="shared" si="249"/>
        <v>506684978.56999969</v>
      </c>
      <c r="AG1139" t="str">
        <f t="shared" si="250"/>
        <v>Active</v>
      </c>
      <c r="AH1139">
        <f t="shared" si="251"/>
        <v>4314</v>
      </c>
    </row>
    <row r="1140" spans="1:34" x14ac:dyDescent="0.35">
      <c r="A1140" t="s">
        <v>3097</v>
      </c>
      <c r="B1140" t="s">
        <v>3098</v>
      </c>
      <c r="C1140">
        <v>29</v>
      </c>
      <c r="D1140" t="s">
        <v>38</v>
      </c>
      <c r="E1140" t="s">
        <v>39</v>
      </c>
      <c r="F1140" t="s">
        <v>46</v>
      </c>
      <c r="G1140">
        <v>173703</v>
      </c>
      <c r="H1140">
        <v>522</v>
      </c>
      <c r="I1140">
        <v>7738</v>
      </c>
      <c r="J1140">
        <v>3.71</v>
      </c>
      <c r="K1140">
        <v>60</v>
      </c>
      <c r="L1140" t="s">
        <v>86</v>
      </c>
      <c r="M1140">
        <v>15.4</v>
      </c>
      <c r="N1140">
        <v>45477</v>
      </c>
      <c r="O1140">
        <v>54001</v>
      </c>
      <c r="P1140" t="s">
        <v>3099</v>
      </c>
      <c r="Q1140" t="s">
        <v>42</v>
      </c>
      <c r="R1140" t="s">
        <v>28</v>
      </c>
      <c r="S1140" t="s">
        <v>35</v>
      </c>
      <c r="T1140">
        <v>133.75</v>
      </c>
      <c r="U1140">
        <f t="shared" si="238"/>
        <v>862</v>
      </c>
      <c r="V1140">
        <f t="shared" si="239"/>
        <v>317</v>
      </c>
      <c r="W1140">
        <f t="shared" si="240"/>
        <v>272</v>
      </c>
      <c r="X1140">
        <f t="shared" si="241"/>
        <v>0.35149999999999998</v>
      </c>
      <c r="Y1140" s="1">
        <f t="shared" si="242"/>
        <v>44323284</v>
      </c>
      <c r="Z1140">
        <f t="shared" si="243"/>
        <v>51419.12296983759</v>
      </c>
      <c r="AA1140">
        <f t="shared" si="244"/>
        <v>99996</v>
      </c>
      <c r="AB1140">
        <f t="shared" si="245"/>
        <v>5091</v>
      </c>
      <c r="AC1140">
        <f t="shared" si="246"/>
        <v>1149028.7800000007</v>
      </c>
      <c r="AD1140">
        <f t="shared" si="247"/>
        <v>1332.980023201857</v>
      </c>
      <c r="AE1140">
        <f t="shared" si="248"/>
        <v>0.35149999999999998</v>
      </c>
      <c r="AF1140">
        <f t="shared" si="249"/>
        <v>505535590.28999972</v>
      </c>
      <c r="AG1140" t="str">
        <f t="shared" si="250"/>
        <v>Active</v>
      </c>
      <c r="AH1140">
        <f t="shared" si="251"/>
        <v>1605</v>
      </c>
    </row>
    <row r="1141" spans="1:34" x14ac:dyDescent="0.35">
      <c r="A1141" t="s">
        <v>3100</v>
      </c>
      <c r="B1141" t="s">
        <v>3101</v>
      </c>
      <c r="C1141">
        <v>30</v>
      </c>
      <c r="D1141" t="s">
        <v>22</v>
      </c>
      <c r="E1141" t="s">
        <v>32</v>
      </c>
      <c r="F1141" t="s">
        <v>46</v>
      </c>
      <c r="G1141">
        <v>155727</v>
      </c>
      <c r="H1141">
        <v>333</v>
      </c>
      <c r="I1141">
        <v>15821</v>
      </c>
      <c r="J1141">
        <v>10.74</v>
      </c>
      <c r="K1141">
        <v>120</v>
      </c>
      <c r="L1141" t="s">
        <v>25</v>
      </c>
      <c r="M1141">
        <v>51.04</v>
      </c>
      <c r="N1141">
        <v>13030</v>
      </c>
      <c r="O1141">
        <v>218577</v>
      </c>
      <c r="P1141" t="s">
        <v>3102</v>
      </c>
      <c r="Q1141" t="s">
        <v>42</v>
      </c>
      <c r="R1141" t="s">
        <v>48</v>
      </c>
      <c r="S1141" t="s">
        <v>68</v>
      </c>
      <c r="T1141">
        <v>146</v>
      </c>
      <c r="U1141">
        <f t="shared" si="238"/>
        <v>861</v>
      </c>
      <c r="V1141">
        <f t="shared" si="239"/>
        <v>316</v>
      </c>
      <c r="W1141">
        <f t="shared" si="240"/>
        <v>272</v>
      </c>
      <c r="X1141">
        <f t="shared" si="241"/>
        <v>0.35149999999999998</v>
      </c>
      <c r="Y1141" s="1">
        <f t="shared" si="242"/>
        <v>44315546</v>
      </c>
      <c r="Z1141">
        <f t="shared" si="243"/>
        <v>51469.855981416957</v>
      </c>
      <c r="AA1141">
        <f t="shared" si="244"/>
        <v>99996</v>
      </c>
      <c r="AB1141">
        <f t="shared" si="245"/>
        <v>5091</v>
      </c>
      <c r="AC1141">
        <f t="shared" si="246"/>
        <v>1148895.0300000007</v>
      </c>
      <c r="AD1141">
        <f t="shared" si="247"/>
        <v>1334.372857142858</v>
      </c>
      <c r="AE1141">
        <f t="shared" si="248"/>
        <v>0.35149999999999998</v>
      </c>
      <c r="AF1141">
        <f t="shared" si="249"/>
        <v>504386561.50999975</v>
      </c>
      <c r="AG1141" t="str">
        <f t="shared" si="250"/>
        <v>Active</v>
      </c>
      <c r="AH1141">
        <f t="shared" si="251"/>
        <v>1752</v>
      </c>
    </row>
    <row r="1142" spans="1:34" x14ac:dyDescent="0.35">
      <c r="A1142" t="s">
        <v>3103</v>
      </c>
      <c r="B1142" t="s">
        <v>3104</v>
      </c>
      <c r="C1142">
        <v>55</v>
      </c>
      <c r="D1142" t="s">
        <v>22</v>
      </c>
      <c r="E1142" t="s">
        <v>39</v>
      </c>
      <c r="F1142" t="s">
        <v>59</v>
      </c>
      <c r="G1142">
        <v>159899</v>
      </c>
      <c r="H1142">
        <v>658</v>
      </c>
      <c r="I1142">
        <v>83509</v>
      </c>
      <c r="J1142">
        <v>9.5299999999999994</v>
      </c>
      <c r="K1142">
        <v>120</v>
      </c>
      <c r="L1142" t="s">
        <v>52</v>
      </c>
      <c r="M1142">
        <v>10.14</v>
      </c>
      <c r="N1142">
        <v>1879</v>
      </c>
      <c r="O1142">
        <v>54846</v>
      </c>
      <c r="P1142" t="s">
        <v>3105</v>
      </c>
      <c r="Q1142" t="s">
        <v>42</v>
      </c>
      <c r="R1142" t="s">
        <v>28</v>
      </c>
      <c r="S1142" t="s">
        <v>68</v>
      </c>
      <c r="T1142">
        <v>762.23</v>
      </c>
      <c r="U1142">
        <f t="shared" si="238"/>
        <v>860</v>
      </c>
      <c r="V1142">
        <f t="shared" si="239"/>
        <v>315</v>
      </c>
      <c r="W1142">
        <f t="shared" si="240"/>
        <v>272</v>
      </c>
      <c r="X1142">
        <f t="shared" si="241"/>
        <v>0.35149999999999998</v>
      </c>
      <c r="Y1142" s="1">
        <f t="shared" si="242"/>
        <v>44299725</v>
      </c>
      <c r="Z1142">
        <f t="shared" si="243"/>
        <v>51511.308139534885</v>
      </c>
      <c r="AA1142">
        <f t="shared" si="244"/>
        <v>99996</v>
      </c>
      <c r="AB1142">
        <f t="shared" si="245"/>
        <v>5091</v>
      </c>
      <c r="AC1142">
        <f t="shared" si="246"/>
        <v>1148749.0300000007</v>
      </c>
      <c r="AD1142">
        <f t="shared" si="247"/>
        <v>1335.7546860465125</v>
      </c>
      <c r="AE1142">
        <f t="shared" si="248"/>
        <v>0.35149999999999998</v>
      </c>
      <c r="AF1142">
        <f t="shared" si="249"/>
        <v>503237666.47999972</v>
      </c>
      <c r="AG1142" t="str">
        <f t="shared" si="250"/>
        <v>Active</v>
      </c>
      <c r="AH1142">
        <f t="shared" si="251"/>
        <v>9146.76</v>
      </c>
    </row>
    <row r="1143" spans="1:34" x14ac:dyDescent="0.35">
      <c r="A1143" t="s">
        <v>3106</v>
      </c>
      <c r="B1143" t="s">
        <v>3107</v>
      </c>
      <c r="C1143">
        <v>29</v>
      </c>
      <c r="D1143" t="s">
        <v>22</v>
      </c>
      <c r="E1143" t="s">
        <v>32</v>
      </c>
      <c r="F1143" t="s">
        <v>59</v>
      </c>
      <c r="G1143">
        <v>168360</v>
      </c>
      <c r="H1143">
        <v>480</v>
      </c>
      <c r="I1143">
        <v>66852</v>
      </c>
      <c r="J1143">
        <v>19.86</v>
      </c>
      <c r="K1143">
        <v>60</v>
      </c>
      <c r="L1143" t="s">
        <v>52</v>
      </c>
      <c r="M1143">
        <v>26.52</v>
      </c>
      <c r="N1143">
        <v>38980</v>
      </c>
      <c r="O1143">
        <v>247531</v>
      </c>
      <c r="P1143" t="s">
        <v>3108</v>
      </c>
      <c r="Q1143" t="s">
        <v>42</v>
      </c>
      <c r="R1143" t="s">
        <v>28</v>
      </c>
      <c r="S1143" t="s">
        <v>29</v>
      </c>
      <c r="T1143">
        <v>1335.48</v>
      </c>
      <c r="U1143">
        <f t="shared" si="238"/>
        <v>859</v>
      </c>
      <c r="V1143">
        <f t="shared" si="239"/>
        <v>314</v>
      </c>
      <c r="W1143">
        <f t="shared" si="240"/>
        <v>272</v>
      </c>
      <c r="X1143">
        <f t="shared" si="241"/>
        <v>0.35149999999999998</v>
      </c>
      <c r="Y1143" s="1">
        <f t="shared" si="242"/>
        <v>44216216</v>
      </c>
      <c r="Z1143">
        <f t="shared" si="243"/>
        <v>51474.058207217699</v>
      </c>
      <c r="AA1143">
        <f t="shared" si="244"/>
        <v>99996</v>
      </c>
      <c r="AB1143">
        <f t="shared" si="245"/>
        <v>5091</v>
      </c>
      <c r="AC1143">
        <f t="shared" si="246"/>
        <v>1147986.8000000005</v>
      </c>
      <c r="AD1143">
        <f t="shared" si="247"/>
        <v>1336.4223515715955</v>
      </c>
      <c r="AE1143">
        <f t="shared" si="248"/>
        <v>0.35149999999999998</v>
      </c>
      <c r="AF1143">
        <f t="shared" si="249"/>
        <v>502088917.44999969</v>
      </c>
      <c r="AG1143" t="str">
        <f t="shared" si="250"/>
        <v>Active</v>
      </c>
      <c r="AH1143">
        <f t="shared" si="251"/>
        <v>16025.76</v>
      </c>
    </row>
    <row r="1144" spans="1:34" x14ac:dyDescent="0.35">
      <c r="A1144" t="s">
        <v>3109</v>
      </c>
      <c r="B1144" t="s">
        <v>3110</v>
      </c>
      <c r="C1144">
        <v>62</v>
      </c>
      <c r="D1144" t="s">
        <v>22</v>
      </c>
      <c r="E1144" t="s">
        <v>32</v>
      </c>
      <c r="F1144" t="s">
        <v>46</v>
      </c>
      <c r="G1144">
        <v>162595</v>
      </c>
      <c r="H1144">
        <v>595</v>
      </c>
      <c r="I1144">
        <v>28657</v>
      </c>
      <c r="J1144">
        <v>11.66</v>
      </c>
      <c r="K1144">
        <v>24</v>
      </c>
      <c r="L1144" t="s">
        <v>86</v>
      </c>
      <c r="M1144">
        <v>50.04</v>
      </c>
      <c r="N1144">
        <v>44843</v>
      </c>
      <c r="O1144">
        <v>237797</v>
      </c>
      <c r="P1144" t="s">
        <v>3111</v>
      </c>
      <c r="Q1144" t="s">
        <v>42</v>
      </c>
      <c r="R1144" t="s">
        <v>48</v>
      </c>
      <c r="S1144" t="s">
        <v>35</v>
      </c>
      <c r="T1144">
        <v>1333.27</v>
      </c>
      <c r="U1144">
        <f t="shared" si="238"/>
        <v>858</v>
      </c>
      <c r="V1144">
        <f t="shared" si="239"/>
        <v>313</v>
      </c>
      <c r="W1144">
        <f t="shared" si="240"/>
        <v>272</v>
      </c>
      <c r="X1144">
        <f t="shared" si="241"/>
        <v>0.35149999999999998</v>
      </c>
      <c r="Y1144" s="1">
        <f t="shared" si="242"/>
        <v>44149364</v>
      </c>
      <c r="Z1144">
        <f t="shared" si="243"/>
        <v>51456.135198135198</v>
      </c>
      <c r="AA1144">
        <f t="shared" si="244"/>
        <v>99996</v>
      </c>
      <c r="AB1144">
        <f t="shared" si="245"/>
        <v>5091</v>
      </c>
      <c r="AC1144">
        <f t="shared" si="246"/>
        <v>1146651.3200000003</v>
      </c>
      <c r="AD1144">
        <f t="shared" si="247"/>
        <v>1336.4234498834503</v>
      </c>
      <c r="AE1144">
        <f t="shared" si="248"/>
        <v>0.35149999999999998</v>
      </c>
      <c r="AF1144">
        <f t="shared" si="249"/>
        <v>500940930.64999968</v>
      </c>
      <c r="AG1144" t="str">
        <f t="shared" si="250"/>
        <v>Active</v>
      </c>
      <c r="AH1144">
        <f t="shared" si="251"/>
        <v>15999.24</v>
      </c>
    </row>
    <row r="1145" spans="1:34" x14ac:dyDescent="0.35">
      <c r="A1145" t="s">
        <v>3112</v>
      </c>
      <c r="B1145" t="s">
        <v>3113</v>
      </c>
      <c r="C1145">
        <v>46</v>
      </c>
      <c r="D1145" t="s">
        <v>38</v>
      </c>
      <c r="E1145" t="s">
        <v>23</v>
      </c>
      <c r="F1145" t="s">
        <v>24</v>
      </c>
      <c r="G1145">
        <v>54466</v>
      </c>
      <c r="H1145">
        <v>626</v>
      </c>
      <c r="I1145">
        <v>54941</v>
      </c>
      <c r="J1145">
        <v>14.17</v>
      </c>
      <c r="K1145">
        <v>60</v>
      </c>
      <c r="L1145" t="s">
        <v>33</v>
      </c>
      <c r="M1145">
        <v>43.58</v>
      </c>
      <c r="N1145">
        <v>5076</v>
      </c>
      <c r="O1145">
        <v>85520</v>
      </c>
      <c r="P1145" t="s">
        <v>123</v>
      </c>
      <c r="Q1145" t="s">
        <v>27</v>
      </c>
      <c r="R1145" t="s">
        <v>28</v>
      </c>
      <c r="S1145" t="s">
        <v>29</v>
      </c>
      <c r="T1145">
        <v>1045.44</v>
      </c>
      <c r="U1145">
        <f t="shared" si="238"/>
        <v>857</v>
      </c>
      <c r="V1145">
        <f t="shared" si="239"/>
        <v>312</v>
      </c>
      <c r="W1145">
        <f t="shared" si="240"/>
        <v>272</v>
      </c>
      <c r="X1145">
        <f t="shared" si="241"/>
        <v>0.35149999999999998</v>
      </c>
      <c r="Y1145" s="1">
        <f t="shared" si="242"/>
        <v>44120707</v>
      </c>
      <c r="Z1145">
        <f t="shared" si="243"/>
        <v>51482.738623103847</v>
      </c>
      <c r="AA1145">
        <f t="shared" si="244"/>
        <v>99996</v>
      </c>
      <c r="AB1145">
        <f t="shared" si="245"/>
        <v>5091</v>
      </c>
      <c r="AC1145">
        <f t="shared" si="246"/>
        <v>1145318.0500000003</v>
      </c>
      <c r="AD1145">
        <f t="shared" si="247"/>
        <v>1336.4271295215872</v>
      </c>
      <c r="AE1145">
        <f t="shared" si="248"/>
        <v>0.35149999999999998</v>
      </c>
      <c r="AF1145">
        <f t="shared" si="249"/>
        <v>499794279.32999974</v>
      </c>
      <c r="AG1145" t="str">
        <f t="shared" si="250"/>
        <v>Active</v>
      </c>
      <c r="AH1145">
        <f t="shared" si="251"/>
        <v>12545.28</v>
      </c>
    </row>
    <row r="1146" spans="1:34" x14ac:dyDescent="0.35">
      <c r="A1146" t="s">
        <v>3114</v>
      </c>
      <c r="B1146" t="s">
        <v>3115</v>
      </c>
      <c r="C1146">
        <v>33</v>
      </c>
      <c r="D1146" t="s">
        <v>38</v>
      </c>
      <c r="E1146" t="s">
        <v>39</v>
      </c>
      <c r="F1146" t="s">
        <v>24</v>
      </c>
      <c r="G1146">
        <v>165065</v>
      </c>
      <c r="H1146">
        <v>571</v>
      </c>
      <c r="I1146">
        <v>54470</v>
      </c>
      <c r="J1146">
        <v>16.16</v>
      </c>
      <c r="K1146">
        <v>12</v>
      </c>
      <c r="L1146" t="s">
        <v>86</v>
      </c>
      <c r="M1146">
        <v>27.44</v>
      </c>
      <c r="N1146">
        <v>39626</v>
      </c>
      <c r="O1146">
        <v>193188</v>
      </c>
      <c r="P1146" t="s">
        <v>3116</v>
      </c>
      <c r="Q1146" t="s">
        <v>42</v>
      </c>
      <c r="R1146" t="s">
        <v>28</v>
      </c>
      <c r="S1146" t="s">
        <v>68</v>
      </c>
      <c r="T1146">
        <v>5272.7</v>
      </c>
      <c r="U1146">
        <f t="shared" si="238"/>
        <v>856</v>
      </c>
      <c r="V1146">
        <f t="shared" si="239"/>
        <v>312</v>
      </c>
      <c r="W1146">
        <f t="shared" si="240"/>
        <v>272</v>
      </c>
      <c r="X1146">
        <f t="shared" si="241"/>
        <v>0.35149999999999998</v>
      </c>
      <c r="Y1146" s="1">
        <f t="shared" si="242"/>
        <v>44065766</v>
      </c>
      <c r="Z1146">
        <f t="shared" si="243"/>
        <v>51478.698598130839</v>
      </c>
      <c r="AA1146">
        <f t="shared" si="244"/>
        <v>99996</v>
      </c>
      <c r="AB1146">
        <f t="shared" si="245"/>
        <v>5091</v>
      </c>
      <c r="AC1146">
        <f t="shared" si="246"/>
        <v>1144272.6100000006</v>
      </c>
      <c r="AD1146">
        <f t="shared" si="247"/>
        <v>1336.76706775701</v>
      </c>
      <c r="AE1146">
        <f t="shared" si="248"/>
        <v>0.35149999999999998</v>
      </c>
      <c r="AF1146">
        <f t="shared" si="249"/>
        <v>498648961.27999973</v>
      </c>
      <c r="AG1146" t="str">
        <f t="shared" si="250"/>
        <v>Active</v>
      </c>
      <c r="AH1146">
        <f t="shared" si="251"/>
        <v>63272.399999999994</v>
      </c>
    </row>
    <row r="1147" spans="1:34" x14ac:dyDescent="0.35">
      <c r="A1147" t="s">
        <v>3117</v>
      </c>
      <c r="B1147" t="s">
        <v>3118</v>
      </c>
      <c r="C1147">
        <v>44</v>
      </c>
      <c r="D1147" t="s">
        <v>38</v>
      </c>
      <c r="E1147" t="s">
        <v>32</v>
      </c>
      <c r="F1147" t="s">
        <v>46</v>
      </c>
      <c r="G1147">
        <v>28860</v>
      </c>
      <c r="H1147">
        <v>691</v>
      </c>
      <c r="I1147">
        <v>40583</v>
      </c>
      <c r="J1147">
        <v>16.739999999999998</v>
      </c>
      <c r="K1147">
        <v>48</v>
      </c>
      <c r="L1147" t="s">
        <v>25</v>
      </c>
      <c r="M1147">
        <v>49.84</v>
      </c>
      <c r="N1147">
        <v>8623</v>
      </c>
      <c r="O1147">
        <v>244384</v>
      </c>
      <c r="P1147" t="s">
        <v>340</v>
      </c>
      <c r="Q1147" t="s">
        <v>61</v>
      </c>
      <c r="R1147" t="s">
        <v>48</v>
      </c>
      <c r="S1147" t="s">
        <v>43</v>
      </c>
      <c r="T1147">
        <v>987.01</v>
      </c>
      <c r="U1147">
        <f t="shared" si="238"/>
        <v>855</v>
      </c>
      <c r="V1147">
        <f t="shared" si="239"/>
        <v>311</v>
      </c>
      <c r="W1147">
        <f t="shared" si="240"/>
        <v>272</v>
      </c>
      <c r="X1147">
        <f t="shared" si="241"/>
        <v>0.35149999999999998</v>
      </c>
      <c r="Y1147" s="1">
        <f t="shared" si="242"/>
        <v>44011296</v>
      </c>
      <c r="Z1147">
        <f t="shared" si="243"/>
        <v>51475.199999999997</v>
      </c>
      <c r="AA1147">
        <f t="shared" si="244"/>
        <v>99996</v>
      </c>
      <c r="AB1147">
        <f t="shared" si="245"/>
        <v>5091</v>
      </c>
      <c r="AC1147">
        <f t="shared" si="246"/>
        <v>1138999.9100000006</v>
      </c>
      <c r="AD1147">
        <f t="shared" si="247"/>
        <v>1332.1636374269012</v>
      </c>
      <c r="AE1147">
        <f t="shared" si="248"/>
        <v>0.35149999999999998</v>
      </c>
      <c r="AF1147">
        <f t="shared" si="249"/>
        <v>497504688.66999978</v>
      </c>
      <c r="AG1147" t="str">
        <f t="shared" si="250"/>
        <v>Over Paid</v>
      </c>
      <c r="AH1147">
        <f t="shared" si="251"/>
        <v>11844.119999999999</v>
      </c>
    </row>
    <row r="1148" spans="1:34" x14ac:dyDescent="0.35">
      <c r="A1148" t="s">
        <v>3119</v>
      </c>
      <c r="B1148" t="s">
        <v>3120</v>
      </c>
      <c r="C1148">
        <v>50</v>
      </c>
      <c r="D1148" t="s">
        <v>38</v>
      </c>
      <c r="E1148" t="s">
        <v>32</v>
      </c>
      <c r="F1148" t="s">
        <v>24</v>
      </c>
      <c r="G1148">
        <v>91080</v>
      </c>
      <c r="H1148">
        <v>449</v>
      </c>
      <c r="I1148">
        <v>41191</v>
      </c>
      <c r="J1148">
        <v>20.239999999999998</v>
      </c>
      <c r="K1148">
        <v>48</v>
      </c>
      <c r="L1148" t="s">
        <v>86</v>
      </c>
      <c r="M1148">
        <v>28.42</v>
      </c>
      <c r="N1148">
        <v>54841</v>
      </c>
      <c r="O1148">
        <v>214879</v>
      </c>
      <c r="P1148" t="s">
        <v>2558</v>
      </c>
      <c r="Q1148" t="s">
        <v>61</v>
      </c>
      <c r="R1148" t="s">
        <v>48</v>
      </c>
      <c r="S1148" t="s">
        <v>35</v>
      </c>
      <c r="T1148">
        <v>1031.83</v>
      </c>
      <c r="U1148">
        <f t="shared" si="238"/>
        <v>854</v>
      </c>
      <c r="V1148">
        <f t="shared" si="239"/>
        <v>311</v>
      </c>
      <c r="W1148">
        <f t="shared" si="240"/>
        <v>271</v>
      </c>
      <c r="X1148">
        <f t="shared" si="241"/>
        <v>0.35149999999999998</v>
      </c>
      <c r="Y1148" s="1">
        <f t="shared" si="242"/>
        <v>43970713</v>
      </c>
      <c r="Z1148">
        <f t="shared" si="243"/>
        <v>51487.95433255269</v>
      </c>
      <c r="AA1148">
        <f t="shared" si="244"/>
        <v>99996</v>
      </c>
      <c r="AB1148">
        <f t="shared" si="245"/>
        <v>5091</v>
      </c>
      <c r="AC1148">
        <f t="shared" si="246"/>
        <v>1138012.9000000008</v>
      </c>
      <c r="AD1148">
        <f t="shared" si="247"/>
        <v>1332.5677985948487</v>
      </c>
      <c r="AE1148">
        <f t="shared" si="248"/>
        <v>0.35149999999999998</v>
      </c>
      <c r="AF1148">
        <f t="shared" si="249"/>
        <v>496365688.75999981</v>
      </c>
      <c r="AG1148" t="str">
        <f t="shared" si="250"/>
        <v>Active</v>
      </c>
      <c r="AH1148">
        <f t="shared" si="251"/>
        <v>12381.96</v>
      </c>
    </row>
    <row r="1149" spans="1:34" x14ac:dyDescent="0.35">
      <c r="A1149" t="s">
        <v>3121</v>
      </c>
      <c r="B1149" t="s">
        <v>3122</v>
      </c>
      <c r="C1149">
        <v>55</v>
      </c>
      <c r="D1149" t="s">
        <v>22</v>
      </c>
      <c r="E1149" t="s">
        <v>23</v>
      </c>
      <c r="F1149" t="s">
        <v>59</v>
      </c>
      <c r="G1149">
        <v>190012</v>
      </c>
      <c r="H1149">
        <v>799</v>
      </c>
      <c r="I1149">
        <v>58801</v>
      </c>
      <c r="J1149">
        <v>8.34</v>
      </c>
      <c r="K1149">
        <v>120</v>
      </c>
      <c r="L1149" t="s">
        <v>25</v>
      </c>
      <c r="M1149">
        <v>48.37</v>
      </c>
      <c r="N1149">
        <v>55985</v>
      </c>
      <c r="O1149">
        <v>209358</v>
      </c>
      <c r="P1149" t="s">
        <v>3123</v>
      </c>
      <c r="Q1149" t="s">
        <v>27</v>
      </c>
      <c r="R1149" t="s">
        <v>48</v>
      </c>
      <c r="S1149" t="s">
        <v>68</v>
      </c>
      <c r="T1149">
        <v>530.88</v>
      </c>
      <c r="U1149">
        <f t="shared" si="238"/>
        <v>853</v>
      </c>
      <c r="V1149">
        <f t="shared" si="239"/>
        <v>311</v>
      </c>
      <c r="W1149">
        <f t="shared" si="240"/>
        <v>270</v>
      </c>
      <c r="X1149">
        <f t="shared" si="241"/>
        <v>0.35149999999999998</v>
      </c>
      <c r="Y1149" s="1">
        <f t="shared" si="242"/>
        <v>43929522</v>
      </c>
      <c r="Z1149">
        <f t="shared" si="243"/>
        <v>51500.025791324733</v>
      </c>
      <c r="AA1149">
        <f t="shared" si="244"/>
        <v>99996</v>
      </c>
      <c r="AB1149">
        <f t="shared" si="245"/>
        <v>5091</v>
      </c>
      <c r="AC1149">
        <f t="shared" si="246"/>
        <v>1136981.0700000008</v>
      </c>
      <c r="AD1149">
        <f t="shared" si="247"/>
        <v>1332.9203634232131</v>
      </c>
      <c r="AE1149">
        <f t="shared" si="248"/>
        <v>0.35149999999999998</v>
      </c>
      <c r="AF1149">
        <f t="shared" si="249"/>
        <v>495227675.85999978</v>
      </c>
      <c r="AG1149" t="str">
        <f t="shared" si="250"/>
        <v>Active</v>
      </c>
      <c r="AH1149">
        <f t="shared" si="251"/>
        <v>6370.5599999999995</v>
      </c>
    </row>
    <row r="1150" spans="1:34" x14ac:dyDescent="0.35">
      <c r="A1150" t="s">
        <v>3124</v>
      </c>
      <c r="B1150" t="s">
        <v>3125</v>
      </c>
      <c r="C1150">
        <v>39</v>
      </c>
      <c r="D1150" t="s">
        <v>38</v>
      </c>
      <c r="E1150" t="s">
        <v>23</v>
      </c>
      <c r="F1150" t="s">
        <v>24</v>
      </c>
      <c r="G1150">
        <v>22573</v>
      </c>
      <c r="H1150">
        <v>440</v>
      </c>
      <c r="I1150">
        <v>79501</v>
      </c>
      <c r="J1150">
        <v>23.93</v>
      </c>
      <c r="K1150">
        <v>120</v>
      </c>
      <c r="L1150" t="s">
        <v>52</v>
      </c>
      <c r="M1150">
        <v>36.94</v>
      </c>
      <c r="N1150">
        <v>40365</v>
      </c>
      <c r="O1150">
        <v>62043</v>
      </c>
      <c r="P1150" t="s">
        <v>3126</v>
      </c>
      <c r="Q1150" t="s">
        <v>61</v>
      </c>
      <c r="R1150" t="s">
        <v>28</v>
      </c>
      <c r="S1150" t="s">
        <v>29</v>
      </c>
      <c r="T1150">
        <v>821.05</v>
      </c>
      <c r="U1150">
        <f t="shared" si="238"/>
        <v>852</v>
      </c>
      <c r="V1150">
        <f t="shared" si="239"/>
        <v>311</v>
      </c>
      <c r="W1150">
        <f t="shared" si="240"/>
        <v>270</v>
      </c>
      <c r="X1150">
        <f t="shared" si="241"/>
        <v>0.35149999999999998</v>
      </c>
      <c r="Y1150" s="1">
        <f t="shared" si="242"/>
        <v>43870721</v>
      </c>
      <c r="Z1150">
        <f t="shared" si="243"/>
        <v>51491.456572769952</v>
      </c>
      <c r="AA1150">
        <f t="shared" si="244"/>
        <v>99996</v>
      </c>
      <c r="AB1150">
        <f t="shared" si="245"/>
        <v>5091</v>
      </c>
      <c r="AC1150">
        <f t="shared" si="246"/>
        <v>1136450.1900000009</v>
      </c>
      <c r="AD1150">
        <f t="shared" si="247"/>
        <v>1333.8617253521138</v>
      </c>
      <c r="AE1150">
        <f t="shared" si="248"/>
        <v>0.35149999999999998</v>
      </c>
      <c r="AF1150">
        <f t="shared" si="249"/>
        <v>494090694.78999984</v>
      </c>
      <c r="AG1150" t="str">
        <f t="shared" si="250"/>
        <v>Active</v>
      </c>
      <c r="AH1150">
        <f t="shared" si="251"/>
        <v>9852.5999999999985</v>
      </c>
    </row>
    <row r="1151" spans="1:34" x14ac:dyDescent="0.35">
      <c r="A1151" t="s">
        <v>3127</v>
      </c>
      <c r="B1151" t="s">
        <v>3128</v>
      </c>
      <c r="C1151">
        <v>64</v>
      </c>
      <c r="D1151" t="s">
        <v>38</v>
      </c>
      <c r="E1151" t="s">
        <v>39</v>
      </c>
      <c r="F1151" t="s">
        <v>46</v>
      </c>
      <c r="G1151">
        <v>157075</v>
      </c>
      <c r="H1151">
        <v>731</v>
      </c>
      <c r="I1151">
        <v>37763</v>
      </c>
      <c r="J1151">
        <v>11.45</v>
      </c>
      <c r="K1151">
        <v>12</v>
      </c>
      <c r="L1151" t="s">
        <v>25</v>
      </c>
      <c r="M1151">
        <v>41.52</v>
      </c>
      <c r="N1151">
        <v>24883</v>
      </c>
      <c r="O1151">
        <v>17868</v>
      </c>
      <c r="P1151" t="s">
        <v>3129</v>
      </c>
      <c r="Q1151" t="s">
        <v>61</v>
      </c>
      <c r="R1151" t="s">
        <v>28</v>
      </c>
      <c r="S1151" t="s">
        <v>49</v>
      </c>
      <c r="T1151">
        <v>3507.24</v>
      </c>
      <c r="U1151">
        <f t="shared" si="238"/>
        <v>851</v>
      </c>
      <c r="V1151">
        <f t="shared" si="239"/>
        <v>311</v>
      </c>
      <c r="W1151">
        <f t="shared" si="240"/>
        <v>269</v>
      </c>
      <c r="X1151">
        <f t="shared" si="241"/>
        <v>0.35149999999999998</v>
      </c>
      <c r="Y1151" s="1">
        <f t="shared" si="242"/>
        <v>43791220</v>
      </c>
      <c r="Z1151">
        <f t="shared" si="243"/>
        <v>51458.542890716803</v>
      </c>
      <c r="AA1151">
        <f t="shared" si="244"/>
        <v>99996</v>
      </c>
      <c r="AB1151">
        <f t="shared" si="245"/>
        <v>5091</v>
      </c>
      <c r="AC1151">
        <f t="shared" si="246"/>
        <v>1135629.1400000008</v>
      </c>
      <c r="AD1151">
        <f t="shared" si="247"/>
        <v>1334.4643243243254</v>
      </c>
      <c r="AE1151">
        <f t="shared" si="248"/>
        <v>0.35149999999999998</v>
      </c>
      <c r="AF1151">
        <f t="shared" si="249"/>
        <v>492954244.59999985</v>
      </c>
      <c r="AG1151" t="str">
        <f t="shared" si="250"/>
        <v>Active</v>
      </c>
      <c r="AH1151">
        <f t="shared" si="251"/>
        <v>42086.879999999997</v>
      </c>
    </row>
    <row r="1152" spans="1:34" x14ac:dyDescent="0.35">
      <c r="A1152" t="s">
        <v>3130</v>
      </c>
      <c r="B1152" t="s">
        <v>3131</v>
      </c>
      <c r="C1152">
        <v>31</v>
      </c>
      <c r="D1152" t="s">
        <v>22</v>
      </c>
      <c r="E1152" t="s">
        <v>39</v>
      </c>
      <c r="F1152" t="s">
        <v>46</v>
      </c>
      <c r="G1152">
        <v>87995</v>
      </c>
      <c r="H1152">
        <v>369</v>
      </c>
      <c r="I1152">
        <v>97424</v>
      </c>
      <c r="J1152">
        <v>7.69</v>
      </c>
      <c r="K1152">
        <v>360</v>
      </c>
      <c r="L1152" t="s">
        <v>86</v>
      </c>
      <c r="M1152">
        <v>13.65</v>
      </c>
      <c r="N1152">
        <v>76568</v>
      </c>
      <c r="O1152">
        <v>35931</v>
      </c>
      <c r="P1152" t="s">
        <v>3132</v>
      </c>
      <c r="Q1152" t="s">
        <v>61</v>
      </c>
      <c r="R1152" t="s">
        <v>28</v>
      </c>
      <c r="S1152" t="s">
        <v>29</v>
      </c>
      <c r="T1152">
        <v>291.43</v>
      </c>
      <c r="U1152">
        <f t="shared" si="238"/>
        <v>850</v>
      </c>
      <c r="V1152">
        <f t="shared" si="239"/>
        <v>311</v>
      </c>
      <c r="W1152">
        <f t="shared" si="240"/>
        <v>268</v>
      </c>
      <c r="X1152">
        <f t="shared" si="241"/>
        <v>0.35149999999999998</v>
      </c>
      <c r="Y1152" s="1">
        <f t="shared" si="242"/>
        <v>43753457</v>
      </c>
      <c r="Z1152">
        <f t="shared" si="243"/>
        <v>51474.655294117649</v>
      </c>
      <c r="AA1152">
        <f t="shared" si="244"/>
        <v>99996</v>
      </c>
      <c r="AB1152">
        <f t="shared" si="245"/>
        <v>5091</v>
      </c>
      <c r="AC1152">
        <f t="shared" si="246"/>
        <v>1132121.9000000011</v>
      </c>
      <c r="AD1152">
        <f t="shared" si="247"/>
        <v>1331.9081176470602</v>
      </c>
      <c r="AE1152">
        <f t="shared" si="248"/>
        <v>0.35149999999999998</v>
      </c>
      <c r="AF1152">
        <f t="shared" si="249"/>
        <v>491818615.4599998</v>
      </c>
      <c r="AG1152" t="str">
        <f t="shared" si="250"/>
        <v>Over Paid</v>
      </c>
      <c r="AH1152">
        <f t="shared" si="251"/>
        <v>3497.16</v>
      </c>
    </row>
    <row r="1153" spans="1:34" x14ac:dyDescent="0.35">
      <c r="A1153" t="s">
        <v>3133</v>
      </c>
      <c r="B1153" t="s">
        <v>3134</v>
      </c>
      <c r="C1153">
        <v>50</v>
      </c>
      <c r="D1153" t="s">
        <v>38</v>
      </c>
      <c r="E1153" t="s">
        <v>32</v>
      </c>
      <c r="F1153" t="s">
        <v>46</v>
      </c>
      <c r="G1153">
        <v>94618</v>
      </c>
      <c r="H1153">
        <v>454</v>
      </c>
      <c r="I1153">
        <v>97060</v>
      </c>
      <c r="J1153">
        <v>7.55</v>
      </c>
      <c r="K1153">
        <v>24</v>
      </c>
      <c r="L1153" t="s">
        <v>33</v>
      </c>
      <c r="M1153">
        <v>18.34</v>
      </c>
      <c r="N1153">
        <v>58845</v>
      </c>
      <c r="O1153">
        <v>88326</v>
      </c>
      <c r="P1153" t="s">
        <v>3135</v>
      </c>
      <c r="Q1153" t="s">
        <v>42</v>
      </c>
      <c r="R1153" t="s">
        <v>48</v>
      </c>
      <c r="S1153" t="s">
        <v>43</v>
      </c>
      <c r="T1153">
        <v>4349.5</v>
      </c>
      <c r="U1153">
        <f t="shared" si="238"/>
        <v>849</v>
      </c>
      <c r="V1153">
        <f t="shared" si="239"/>
        <v>311</v>
      </c>
      <c r="W1153">
        <f t="shared" si="240"/>
        <v>267</v>
      </c>
      <c r="X1153">
        <f t="shared" si="241"/>
        <v>0.35149999999999998</v>
      </c>
      <c r="Y1153" s="1">
        <f t="shared" si="242"/>
        <v>43656033</v>
      </c>
      <c r="Z1153">
        <f t="shared" si="243"/>
        <v>51420.533568904597</v>
      </c>
      <c r="AA1153">
        <f t="shared" si="244"/>
        <v>99996</v>
      </c>
      <c r="AB1153">
        <f t="shared" si="245"/>
        <v>5091</v>
      </c>
      <c r="AC1153">
        <f t="shared" si="246"/>
        <v>1131830.4700000009</v>
      </c>
      <c r="AD1153">
        <f t="shared" si="247"/>
        <v>1333.1336513545359</v>
      </c>
      <c r="AE1153">
        <f t="shared" si="248"/>
        <v>0.35149999999999998</v>
      </c>
      <c r="AF1153">
        <f t="shared" si="249"/>
        <v>490686493.55999976</v>
      </c>
      <c r="AG1153" t="str">
        <f t="shared" si="250"/>
        <v>Active</v>
      </c>
      <c r="AH1153">
        <f t="shared" si="251"/>
        <v>52194</v>
      </c>
    </row>
    <row r="1154" spans="1:34" x14ac:dyDescent="0.35">
      <c r="A1154" t="s">
        <v>3136</v>
      </c>
      <c r="B1154" t="s">
        <v>3137</v>
      </c>
      <c r="C1154">
        <v>29</v>
      </c>
      <c r="D1154" t="s">
        <v>38</v>
      </c>
      <c r="E1154" t="s">
        <v>23</v>
      </c>
      <c r="F1154" t="s">
        <v>59</v>
      </c>
      <c r="G1154">
        <v>186112</v>
      </c>
      <c r="H1154">
        <v>570</v>
      </c>
      <c r="I1154">
        <v>90833</v>
      </c>
      <c r="J1154">
        <v>20.05</v>
      </c>
      <c r="K1154">
        <v>36</v>
      </c>
      <c r="L1154" t="s">
        <v>86</v>
      </c>
      <c r="M1154">
        <v>42.28</v>
      </c>
      <c r="N1154">
        <v>18211</v>
      </c>
      <c r="O1154">
        <v>114154</v>
      </c>
      <c r="P1154" t="s">
        <v>1816</v>
      </c>
      <c r="Q1154" t="s">
        <v>27</v>
      </c>
      <c r="R1154" t="s">
        <v>48</v>
      </c>
      <c r="S1154" t="s">
        <v>49</v>
      </c>
      <c r="T1154">
        <v>3029.03</v>
      </c>
      <c r="U1154">
        <f t="shared" ref="U1154:U1217" si="252">COUNTA(A1154:A3153)</f>
        <v>848</v>
      </c>
      <c r="V1154">
        <f t="shared" ref="V1154:V1217" si="253">COUNTIF(Q1154:Q3153,"APPROVED")</f>
        <v>310</v>
      </c>
      <c r="W1154">
        <f t="shared" ref="W1154:W1217" si="254">COUNTIF(Q1154:Q3154,"Rejected")</f>
        <v>267</v>
      </c>
      <c r="X1154">
        <f t="shared" ref="X1154:X1217" si="255">703/2000</f>
        <v>0.35149999999999998</v>
      </c>
      <c r="Y1154" s="1">
        <f t="shared" ref="Y1154:Y1217" si="256">SUM(I1154:I3153)</f>
        <v>43558973</v>
      </c>
      <c r="Z1154">
        <f t="shared" ref="Z1154:Z1217" si="257">AVERAGE(I1154:I21153)</f>
        <v>51366.713443396227</v>
      </c>
      <c r="AA1154">
        <f t="shared" ref="AA1154:AA1217" si="258">MAX(I1154:I3153)</f>
        <v>99996</v>
      </c>
      <c r="AB1154">
        <f t="shared" ref="AB1154:AB1217" si="259">MIN(I1154:I3153)</f>
        <v>5091</v>
      </c>
      <c r="AC1154">
        <f t="shared" ref="AC1154:AC1217" si="260">SUM(T1154:T3153)</f>
        <v>1127480.9700000011</v>
      </c>
      <c r="AD1154">
        <f t="shared" ref="AD1154:AD1217" si="261">AVERAGE(T1154:T3153)</f>
        <v>1329.576615566039</v>
      </c>
      <c r="AE1154">
        <f t="shared" ref="AE1154:AE1217" si="262">703/2000</f>
        <v>0.35149999999999998</v>
      </c>
      <c r="AF1154">
        <f t="shared" ref="AF1154:AF1217" si="263">SUM(AC1154:AC3153)</f>
        <v>489554663.08999979</v>
      </c>
      <c r="AG1154" t="str">
        <f t="shared" ref="AG1154:AG1217" si="264">IF(AH1154=0,"Bad", IF(AH1153&lt;I1153, "Active", IF(AH1153=I1153, "Good", "Over Paid")))</f>
        <v>Active</v>
      </c>
      <c r="AH1154">
        <f t="shared" ref="AH1154:AH1217" si="265">T1154*12</f>
        <v>36348.36</v>
      </c>
    </row>
    <row r="1155" spans="1:34" x14ac:dyDescent="0.35">
      <c r="A1155" t="s">
        <v>3138</v>
      </c>
      <c r="B1155" t="s">
        <v>3139</v>
      </c>
      <c r="C1155">
        <v>41</v>
      </c>
      <c r="D1155" t="s">
        <v>22</v>
      </c>
      <c r="E1155" t="s">
        <v>23</v>
      </c>
      <c r="F1155" t="s">
        <v>46</v>
      </c>
      <c r="G1155">
        <v>78423</v>
      </c>
      <c r="H1155">
        <v>442</v>
      </c>
      <c r="I1155">
        <v>57387</v>
      </c>
      <c r="J1155">
        <v>20.64</v>
      </c>
      <c r="K1155">
        <v>24</v>
      </c>
      <c r="L1155" t="s">
        <v>33</v>
      </c>
      <c r="M1155">
        <v>26.36</v>
      </c>
      <c r="N1155">
        <v>50723</v>
      </c>
      <c r="O1155">
        <v>54188</v>
      </c>
      <c r="P1155" t="s">
        <v>3066</v>
      </c>
      <c r="Q1155" t="s">
        <v>42</v>
      </c>
      <c r="R1155" t="s">
        <v>28</v>
      </c>
      <c r="S1155" t="s">
        <v>43</v>
      </c>
      <c r="T1155">
        <v>2884.65</v>
      </c>
      <c r="U1155">
        <f t="shared" si="252"/>
        <v>847</v>
      </c>
      <c r="V1155">
        <f t="shared" si="253"/>
        <v>310</v>
      </c>
      <c r="W1155">
        <f t="shared" si="254"/>
        <v>267</v>
      </c>
      <c r="X1155">
        <f t="shared" si="255"/>
        <v>0.35149999999999998</v>
      </c>
      <c r="Y1155" s="1">
        <f t="shared" si="256"/>
        <v>43468140</v>
      </c>
      <c r="Z1155">
        <f t="shared" si="257"/>
        <v>51320.118063754424</v>
      </c>
      <c r="AA1155">
        <f t="shared" si="258"/>
        <v>99996</v>
      </c>
      <c r="AB1155">
        <f t="shared" si="259"/>
        <v>5091</v>
      </c>
      <c r="AC1155">
        <f t="shared" si="260"/>
        <v>1124451.9400000011</v>
      </c>
      <c r="AD1155">
        <f t="shared" si="261"/>
        <v>1327.570177095633</v>
      </c>
      <c r="AE1155">
        <f t="shared" si="262"/>
        <v>0.35149999999999998</v>
      </c>
      <c r="AF1155">
        <f t="shared" si="263"/>
        <v>488427182.11999977</v>
      </c>
      <c r="AG1155" t="str">
        <f t="shared" si="264"/>
        <v>Active</v>
      </c>
      <c r="AH1155">
        <f t="shared" si="265"/>
        <v>34615.800000000003</v>
      </c>
    </row>
    <row r="1156" spans="1:34" x14ac:dyDescent="0.35">
      <c r="A1156" t="s">
        <v>3140</v>
      </c>
      <c r="B1156" t="s">
        <v>3141</v>
      </c>
      <c r="C1156">
        <v>61</v>
      </c>
      <c r="D1156" t="s">
        <v>38</v>
      </c>
      <c r="E1156" t="s">
        <v>23</v>
      </c>
      <c r="F1156" t="s">
        <v>24</v>
      </c>
      <c r="G1156">
        <v>104851</v>
      </c>
      <c r="H1156">
        <v>589</v>
      </c>
      <c r="I1156">
        <v>89879</v>
      </c>
      <c r="J1156">
        <v>13.17</v>
      </c>
      <c r="K1156">
        <v>120</v>
      </c>
      <c r="L1156" t="s">
        <v>86</v>
      </c>
      <c r="M1156">
        <v>15.78</v>
      </c>
      <c r="N1156">
        <v>23859</v>
      </c>
      <c r="O1156">
        <v>162077</v>
      </c>
      <c r="P1156" t="s">
        <v>3142</v>
      </c>
      <c r="Q1156" t="s">
        <v>61</v>
      </c>
      <c r="R1156" t="s">
        <v>28</v>
      </c>
      <c r="S1156" t="s">
        <v>68</v>
      </c>
      <c r="T1156">
        <v>847.63</v>
      </c>
      <c r="U1156">
        <f t="shared" si="252"/>
        <v>846</v>
      </c>
      <c r="V1156">
        <f t="shared" si="253"/>
        <v>309</v>
      </c>
      <c r="W1156">
        <f t="shared" si="254"/>
        <v>267</v>
      </c>
      <c r="X1156">
        <f t="shared" si="255"/>
        <v>0.35149999999999998</v>
      </c>
      <c r="Y1156" s="1">
        <f t="shared" si="256"/>
        <v>43410753</v>
      </c>
      <c r="Z1156">
        <f t="shared" si="257"/>
        <v>51312.946808510642</v>
      </c>
      <c r="AA1156">
        <f t="shared" si="258"/>
        <v>99996</v>
      </c>
      <c r="AB1156">
        <f t="shared" si="259"/>
        <v>5091</v>
      </c>
      <c r="AC1156">
        <f t="shared" si="260"/>
        <v>1121567.290000001</v>
      </c>
      <c r="AD1156">
        <f t="shared" si="261"/>
        <v>1325.729657210403</v>
      </c>
      <c r="AE1156">
        <f t="shared" si="262"/>
        <v>0.35149999999999998</v>
      </c>
      <c r="AF1156">
        <f t="shared" si="263"/>
        <v>487302730.17999971</v>
      </c>
      <c r="AG1156" t="str">
        <f t="shared" si="264"/>
        <v>Active</v>
      </c>
      <c r="AH1156">
        <f t="shared" si="265"/>
        <v>10171.56</v>
      </c>
    </row>
    <row r="1157" spans="1:34" x14ac:dyDescent="0.35">
      <c r="A1157" t="s">
        <v>3143</v>
      </c>
      <c r="B1157" t="s">
        <v>3144</v>
      </c>
      <c r="C1157">
        <v>34</v>
      </c>
      <c r="D1157" t="s">
        <v>38</v>
      </c>
      <c r="E1157" t="s">
        <v>39</v>
      </c>
      <c r="F1157" t="s">
        <v>46</v>
      </c>
      <c r="G1157">
        <v>47289</v>
      </c>
      <c r="H1157">
        <v>444</v>
      </c>
      <c r="I1157">
        <v>24769</v>
      </c>
      <c r="J1157">
        <v>13.45</v>
      </c>
      <c r="K1157">
        <v>360</v>
      </c>
      <c r="L1157" t="s">
        <v>33</v>
      </c>
      <c r="M1157">
        <v>13.69</v>
      </c>
      <c r="N1157">
        <v>36372</v>
      </c>
      <c r="O1157">
        <v>26771</v>
      </c>
      <c r="P1157" t="s">
        <v>3145</v>
      </c>
      <c r="Q1157" t="s">
        <v>61</v>
      </c>
      <c r="R1157" t="s">
        <v>48</v>
      </c>
      <c r="S1157" t="s">
        <v>68</v>
      </c>
      <c r="T1157">
        <v>78.06</v>
      </c>
      <c r="U1157">
        <f t="shared" si="252"/>
        <v>845</v>
      </c>
      <c r="V1157">
        <f t="shared" si="253"/>
        <v>309</v>
      </c>
      <c r="W1157">
        <f t="shared" si="254"/>
        <v>266</v>
      </c>
      <c r="X1157">
        <f t="shared" si="255"/>
        <v>0.35149999999999998</v>
      </c>
      <c r="Y1157" s="1">
        <f t="shared" si="256"/>
        <v>43320874</v>
      </c>
      <c r="Z1157">
        <f t="shared" si="257"/>
        <v>51267.306508875743</v>
      </c>
      <c r="AA1157">
        <f t="shared" si="258"/>
        <v>99996</v>
      </c>
      <c r="AB1157">
        <f t="shared" si="259"/>
        <v>5091</v>
      </c>
      <c r="AC1157">
        <f t="shared" si="260"/>
        <v>1120719.6600000008</v>
      </c>
      <c r="AD1157">
        <f t="shared" si="261"/>
        <v>1326.2954556213028</v>
      </c>
      <c r="AE1157">
        <f t="shared" si="262"/>
        <v>0.35149999999999998</v>
      </c>
      <c r="AF1157">
        <f t="shared" si="263"/>
        <v>486181162.88999969</v>
      </c>
      <c r="AG1157" t="str">
        <f t="shared" si="264"/>
        <v>Active</v>
      </c>
      <c r="AH1157">
        <f t="shared" si="265"/>
        <v>936.72</v>
      </c>
    </row>
    <row r="1158" spans="1:34" x14ac:dyDescent="0.35">
      <c r="A1158" t="s">
        <v>3146</v>
      </c>
      <c r="B1158" t="s">
        <v>3147</v>
      </c>
      <c r="C1158">
        <v>40</v>
      </c>
      <c r="D1158" t="s">
        <v>38</v>
      </c>
      <c r="E1158" t="s">
        <v>23</v>
      </c>
      <c r="F1158" t="s">
        <v>46</v>
      </c>
      <c r="G1158">
        <v>155044</v>
      </c>
      <c r="H1158">
        <v>832</v>
      </c>
      <c r="I1158">
        <v>16619</v>
      </c>
      <c r="J1158">
        <v>22.75</v>
      </c>
      <c r="K1158">
        <v>360</v>
      </c>
      <c r="L1158" t="s">
        <v>33</v>
      </c>
      <c r="M1158">
        <v>34.69</v>
      </c>
      <c r="N1158">
        <v>7930</v>
      </c>
      <c r="O1158">
        <v>129416</v>
      </c>
      <c r="P1158" t="s">
        <v>3148</v>
      </c>
      <c r="Q1158" t="s">
        <v>42</v>
      </c>
      <c r="R1158" t="s">
        <v>48</v>
      </c>
      <c r="S1158" t="s">
        <v>68</v>
      </c>
      <c r="T1158">
        <v>56.67</v>
      </c>
      <c r="U1158">
        <f t="shared" si="252"/>
        <v>844</v>
      </c>
      <c r="V1158">
        <f t="shared" si="253"/>
        <v>309</v>
      </c>
      <c r="W1158">
        <f t="shared" si="254"/>
        <v>265</v>
      </c>
      <c r="X1158">
        <f t="shared" si="255"/>
        <v>0.35149999999999998</v>
      </c>
      <c r="Y1158" s="1">
        <f t="shared" si="256"/>
        <v>43296105</v>
      </c>
      <c r="Z1158">
        <f t="shared" si="257"/>
        <v>51298.702606635074</v>
      </c>
      <c r="AA1158">
        <f t="shared" si="258"/>
        <v>99996</v>
      </c>
      <c r="AB1158">
        <f t="shared" si="259"/>
        <v>5091</v>
      </c>
      <c r="AC1158">
        <f t="shared" si="260"/>
        <v>1120641.6000000008</v>
      </c>
      <c r="AD1158">
        <f t="shared" si="261"/>
        <v>1327.7744075829394</v>
      </c>
      <c r="AE1158">
        <f t="shared" si="262"/>
        <v>0.35149999999999998</v>
      </c>
      <c r="AF1158">
        <f t="shared" si="263"/>
        <v>485060443.22999966</v>
      </c>
      <c r="AG1158" t="str">
        <f t="shared" si="264"/>
        <v>Active</v>
      </c>
      <c r="AH1158">
        <f t="shared" si="265"/>
        <v>680.04</v>
      </c>
    </row>
    <row r="1159" spans="1:34" x14ac:dyDescent="0.35">
      <c r="A1159" t="s">
        <v>3149</v>
      </c>
      <c r="B1159" t="s">
        <v>3150</v>
      </c>
      <c r="C1159">
        <v>33</v>
      </c>
      <c r="D1159" t="s">
        <v>38</v>
      </c>
      <c r="E1159" t="s">
        <v>39</v>
      </c>
      <c r="F1159" t="s">
        <v>46</v>
      </c>
      <c r="G1159">
        <v>195713</v>
      </c>
      <c r="H1159">
        <v>701</v>
      </c>
      <c r="I1159">
        <v>40225</v>
      </c>
      <c r="J1159">
        <v>17.100000000000001</v>
      </c>
      <c r="K1159">
        <v>180</v>
      </c>
      <c r="L1159" t="s">
        <v>33</v>
      </c>
      <c r="M1159">
        <v>36.700000000000003</v>
      </c>
      <c r="N1159">
        <v>4866</v>
      </c>
      <c r="O1159">
        <v>81193</v>
      </c>
      <c r="P1159" t="s">
        <v>3151</v>
      </c>
      <c r="Q1159" t="s">
        <v>42</v>
      </c>
      <c r="R1159" t="s">
        <v>48</v>
      </c>
      <c r="S1159" t="s">
        <v>43</v>
      </c>
      <c r="T1159">
        <v>261.69</v>
      </c>
      <c r="U1159">
        <f t="shared" si="252"/>
        <v>843</v>
      </c>
      <c r="V1159">
        <f t="shared" si="253"/>
        <v>308</v>
      </c>
      <c r="W1159">
        <f t="shared" si="254"/>
        <v>265</v>
      </c>
      <c r="X1159">
        <f t="shared" si="255"/>
        <v>0.35149999999999998</v>
      </c>
      <c r="Y1159" s="1">
        <f t="shared" si="256"/>
        <v>43279486</v>
      </c>
      <c r="Z1159">
        <f t="shared" si="257"/>
        <v>51339.841043890869</v>
      </c>
      <c r="AA1159">
        <f t="shared" si="258"/>
        <v>99996</v>
      </c>
      <c r="AB1159">
        <f t="shared" si="259"/>
        <v>5091</v>
      </c>
      <c r="AC1159">
        <f t="shared" si="260"/>
        <v>1120584.9300000009</v>
      </c>
      <c r="AD1159">
        <f t="shared" si="261"/>
        <v>1329.2822419928837</v>
      </c>
      <c r="AE1159">
        <f t="shared" si="262"/>
        <v>0.35149999999999998</v>
      </c>
      <c r="AF1159">
        <f t="shared" si="263"/>
        <v>483939801.62999964</v>
      </c>
      <c r="AG1159" t="str">
        <f t="shared" si="264"/>
        <v>Active</v>
      </c>
      <c r="AH1159">
        <f t="shared" si="265"/>
        <v>3140.2799999999997</v>
      </c>
    </row>
    <row r="1160" spans="1:34" x14ac:dyDescent="0.35">
      <c r="A1160" t="s">
        <v>3152</v>
      </c>
      <c r="B1160" t="s">
        <v>3153</v>
      </c>
      <c r="C1160">
        <v>29</v>
      </c>
      <c r="D1160" t="s">
        <v>22</v>
      </c>
      <c r="E1160" t="s">
        <v>39</v>
      </c>
      <c r="F1160" t="s">
        <v>24</v>
      </c>
      <c r="G1160">
        <v>75354</v>
      </c>
      <c r="H1160">
        <v>666</v>
      </c>
      <c r="I1160">
        <v>14065</v>
      </c>
      <c r="J1160">
        <v>5.81</v>
      </c>
      <c r="K1160">
        <v>180</v>
      </c>
      <c r="L1160" t="s">
        <v>86</v>
      </c>
      <c r="M1160">
        <v>55.6</v>
      </c>
      <c r="N1160">
        <v>61599</v>
      </c>
      <c r="O1160">
        <v>21564</v>
      </c>
      <c r="P1160" t="s">
        <v>3154</v>
      </c>
      <c r="Q1160" t="s">
        <v>42</v>
      </c>
      <c r="R1160" t="s">
        <v>28</v>
      </c>
      <c r="S1160" t="s">
        <v>35</v>
      </c>
      <c r="T1160">
        <v>82.68</v>
      </c>
      <c r="U1160">
        <f t="shared" si="252"/>
        <v>842</v>
      </c>
      <c r="V1160">
        <f t="shared" si="253"/>
        <v>307</v>
      </c>
      <c r="W1160">
        <f t="shared" si="254"/>
        <v>265</v>
      </c>
      <c r="X1160">
        <f t="shared" si="255"/>
        <v>0.35149999999999998</v>
      </c>
      <c r="Y1160" s="1">
        <f t="shared" si="256"/>
        <v>43239261</v>
      </c>
      <c r="Z1160">
        <f t="shared" si="257"/>
        <v>51353.04156769596</v>
      </c>
      <c r="AA1160">
        <f t="shared" si="258"/>
        <v>99996</v>
      </c>
      <c r="AB1160">
        <f t="shared" si="259"/>
        <v>5091</v>
      </c>
      <c r="AC1160">
        <f t="shared" si="260"/>
        <v>1120323.2400000009</v>
      </c>
      <c r="AD1160">
        <f t="shared" si="261"/>
        <v>1330.550166270785</v>
      </c>
      <c r="AE1160">
        <f t="shared" si="262"/>
        <v>0.35149999999999998</v>
      </c>
      <c r="AF1160">
        <f t="shared" si="263"/>
        <v>482819216.69999963</v>
      </c>
      <c r="AG1160" t="str">
        <f t="shared" si="264"/>
        <v>Active</v>
      </c>
      <c r="AH1160">
        <f t="shared" si="265"/>
        <v>992.16000000000008</v>
      </c>
    </row>
    <row r="1161" spans="1:34" x14ac:dyDescent="0.35">
      <c r="A1161" t="s">
        <v>3155</v>
      </c>
      <c r="B1161" t="s">
        <v>3156</v>
      </c>
      <c r="C1161">
        <v>55</v>
      </c>
      <c r="D1161" t="s">
        <v>22</v>
      </c>
      <c r="E1161" t="s">
        <v>39</v>
      </c>
      <c r="F1161" t="s">
        <v>59</v>
      </c>
      <c r="G1161">
        <v>123181</v>
      </c>
      <c r="H1161">
        <v>392</v>
      </c>
      <c r="I1161">
        <v>56983</v>
      </c>
      <c r="J1161">
        <v>10.89</v>
      </c>
      <c r="K1161">
        <v>240</v>
      </c>
      <c r="L1161" t="s">
        <v>86</v>
      </c>
      <c r="M1161">
        <v>39.32</v>
      </c>
      <c r="N1161">
        <v>9134</v>
      </c>
      <c r="O1161">
        <v>103425</v>
      </c>
      <c r="P1161" t="s">
        <v>3157</v>
      </c>
      <c r="Q1161" t="s">
        <v>42</v>
      </c>
      <c r="R1161" t="s">
        <v>48</v>
      </c>
      <c r="S1161" t="s">
        <v>29</v>
      </c>
      <c r="T1161">
        <v>263.29000000000002</v>
      </c>
      <c r="U1161">
        <f t="shared" si="252"/>
        <v>841</v>
      </c>
      <c r="V1161">
        <f t="shared" si="253"/>
        <v>306</v>
      </c>
      <c r="W1161">
        <f t="shared" si="254"/>
        <v>265</v>
      </c>
      <c r="X1161">
        <f t="shared" si="255"/>
        <v>0.35149999999999998</v>
      </c>
      <c r="Y1161" s="1">
        <f t="shared" si="256"/>
        <v>43225196</v>
      </c>
      <c r="Z1161">
        <f t="shared" si="257"/>
        <v>51397.379310344826</v>
      </c>
      <c r="AA1161">
        <f t="shared" si="258"/>
        <v>99996</v>
      </c>
      <c r="AB1161">
        <f t="shared" si="259"/>
        <v>5091</v>
      </c>
      <c r="AC1161">
        <f t="shared" si="260"/>
        <v>1120240.560000001</v>
      </c>
      <c r="AD1161">
        <f t="shared" si="261"/>
        <v>1332.0339595719392</v>
      </c>
      <c r="AE1161">
        <f t="shared" si="262"/>
        <v>0.35149999999999998</v>
      </c>
      <c r="AF1161">
        <f t="shared" si="263"/>
        <v>481698893.45999968</v>
      </c>
      <c r="AG1161" t="str">
        <f t="shared" si="264"/>
        <v>Active</v>
      </c>
      <c r="AH1161">
        <f t="shared" si="265"/>
        <v>3159.4800000000005</v>
      </c>
    </row>
    <row r="1162" spans="1:34" x14ac:dyDescent="0.35">
      <c r="A1162" t="s">
        <v>3158</v>
      </c>
      <c r="B1162" t="s">
        <v>3159</v>
      </c>
      <c r="C1162">
        <v>37</v>
      </c>
      <c r="D1162" t="s">
        <v>38</v>
      </c>
      <c r="E1162" t="s">
        <v>23</v>
      </c>
      <c r="F1162" t="s">
        <v>59</v>
      </c>
      <c r="G1162">
        <v>138920</v>
      </c>
      <c r="H1162">
        <v>370</v>
      </c>
      <c r="I1162">
        <v>74160</v>
      </c>
      <c r="J1162">
        <v>15.96</v>
      </c>
      <c r="K1162">
        <v>240</v>
      </c>
      <c r="L1162" t="s">
        <v>52</v>
      </c>
      <c r="M1162">
        <v>41.39</v>
      </c>
      <c r="N1162">
        <v>12683</v>
      </c>
      <c r="O1162">
        <v>1771</v>
      </c>
      <c r="P1162" t="s">
        <v>3160</v>
      </c>
      <c r="Q1162" t="s">
        <v>61</v>
      </c>
      <c r="R1162" t="s">
        <v>48</v>
      </c>
      <c r="S1162" t="s">
        <v>49</v>
      </c>
      <c r="T1162">
        <v>358.32</v>
      </c>
      <c r="U1162">
        <f t="shared" si="252"/>
        <v>840</v>
      </c>
      <c r="V1162">
        <f t="shared" si="253"/>
        <v>305</v>
      </c>
      <c r="W1162">
        <f t="shared" si="254"/>
        <v>265</v>
      </c>
      <c r="X1162">
        <f t="shared" si="255"/>
        <v>0.35149999999999998</v>
      </c>
      <c r="Y1162" s="1">
        <f t="shared" si="256"/>
        <v>43168213</v>
      </c>
      <c r="Z1162">
        <f t="shared" si="257"/>
        <v>51390.72976190476</v>
      </c>
      <c r="AA1162">
        <f t="shared" si="258"/>
        <v>99996</v>
      </c>
      <c r="AB1162">
        <f t="shared" si="259"/>
        <v>5091</v>
      </c>
      <c r="AC1162">
        <f t="shared" si="260"/>
        <v>1119977.2700000009</v>
      </c>
      <c r="AD1162">
        <f t="shared" si="261"/>
        <v>1333.306273809525</v>
      </c>
      <c r="AE1162">
        <f t="shared" si="262"/>
        <v>0.35149999999999998</v>
      </c>
      <c r="AF1162">
        <f t="shared" si="263"/>
        <v>480578652.89999956</v>
      </c>
      <c r="AG1162" t="str">
        <f t="shared" si="264"/>
        <v>Active</v>
      </c>
      <c r="AH1162">
        <f t="shared" si="265"/>
        <v>4299.84</v>
      </c>
    </row>
    <row r="1163" spans="1:34" x14ac:dyDescent="0.35">
      <c r="A1163" t="s">
        <v>3161</v>
      </c>
      <c r="B1163" t="s">
        <v>3162</v>
      </c>
      <c r="C1163">
        <v>65</v>
      </c>
      <c r="D1163" t="s">
        <v>38</v>
      </c>
      <c r="E1163" t="s">
        <v>23</v>
      </c>
      <c r="F1163" t="s">
        <v>24</v>
      </c>
      <c r="G1163">
        <v>57561</v>
      </c>
      <c r="H1163">
        <v>394</v>
      </c>
      <c r="I1163">
        <v>97800</v>
      </c>
      <c r="J1163">
        <v>17.28</v>
      </c>
      <c r="K1163">
        <v>60</v>
      </c>
      <c r="L1163" t="s">
        <v>33</v>
      </c>
      <c r="M1163">
        <v>54.53</v>
      </c>
      <c r="N1163">
        <v>57270</v>
      </c>
      <c r="O1163">
        <v>227536</v>
      </c>
      <c r="P1163" t="s">
        <v>3163</v>
      </c>
      <c r="Q1163" t="s">
        <v>27</v>
      </c>
      <c r="R1163" t="s">
        <v>48</v>
      </c>
      <c r="S1163" t="s">
        <v>29</v>
      </c>
      <c r="T1163">
        <v>1911.66</v>
      </c>
      <c r="U1163">
        <f t="shared" si="252"/>
        <v>839</v>
      </c>
      <c r="V1163">
        <f t="shared" si="253"/>
        <v>305</v>
      </c>
      <c r="W1163">
        <f t="shared" si="254"/>
        <v>264</v>
      </c>
      <c r="X1163">
        <f t="shared" si="255"/>
        <v>0.35149999999999998</v>
      </c>
      <c r="Y1163" s="1">
        <f t="shared" si="256"/>
        <v>43094053</v>
      </c>
      <c r="Z1163">
        <f t="shared" si="257"/>
        <v>51363.59117997616</v>
      </c>
      <c r="AA1163">
        <f t="shared" si="258"/>
        <v>99996</v>
      </c>
      <c r="AB1163">
        <f t="shared" si="259"/>
        <v>5091</v>
      </c>
      <c r="AC1163">
        <f t="shared" si="260"/>
        <v>1119618.9500000009</v>
      </c>
      <c r="AD1163">
        <f t="shared" si="261"/>
        <v>1334.4683551847447</v>
      </c>
      <c r="AE1163">
        <f t="shared" si="262"/>
        <v>0.35149999999999998</v>
      </c>
      <c r="AF1163">
        <f t="shared" si="263"/>
        <v>479458675.62999958</v>
      </c>
      <c r="AG1163" t="str">
        <f t="shared" si="264"/>
        <v>Active</v>
      </c>
      <c r="AH1163">
        <f t="shared" si="265"/>
        <v>22939.920000000002</v>
      </c>
    </row>
    <row r="1164" spans="1:34" x14ac:dyDescent="0.35">
      <c r="A1164" t="s">
        <v>3164</v>
      </c>
      <c r="B1164" t="s">
        <v>3165</v>
      </c>
      <c r="C1164">
        <v>62</v>
      </c>
      <c r="D1164" t="s">
        <v>38</v>
      </c>
      <c r="E1164" t="s">
        <v>39</v>
      </c>
      <c r="F1164" t="s">
        <v>24</v>
      </c>
      <c r="G1164">
        <v>131696</v>
      </c>
      <c r="H1164">
        <v>650</v>
      </c>
      <c r="I1164">
        <v>89141</v>
      </c>
      <c r="J1164">
        <v>14.48</v>
      </c>
      <c r="K1164">
        <v>120</v>
      </c>
      <c r="L1164" t="s">
        <v>33</v>
      </c>
      <c r="M1164">
        <v>40.369999999999997</v>
      </c>
      <c r="N1164">
        <v>6716</v>
      </c>
      <c r="O1164">
        <v>57655</v>
      </c>
      <c r="P1164" t="s">
        <v>2531</v>
      </c>
      <c r="Q1164" t="s">
        <v>61</v>
      </c>
      <c r="R1164" t="s">
        <v>48</v>
      </c>
      <c r="S1164" t="s">
        <v>68</v>
      </c>
      <c r="T1164">
        <v>850.41</v>
      </c>
      <c r="U1164">
        <f t="shared" si="252"/>
        <v>838</v>
      </c>
      <c r="V1164">
        <f t="shared" si="253"/>
        <v>305</v>
      </c>
      <c r="W1164">
        <f t="shared" si="254"/>
        <v>264</v>
      </c>
      <c r="X1164">
        <f t="shared" si="255"/>
        <v>0.35149999999999998</v>
      </c>
      <c r="Y1164" s="1">
        <f t="shared" si="256"/>
        <v>42996253</v>
      </c>
      <c r="Z1164">
        <f t="shared" si="257"/>
        <v>51308.177804295941</v>
      </c>
      <c r="AA1164">
        <f t="shared" si="258"/>
        <v>99996</v>
      </c>
      <c r="AB1164">
        <f t="shared" si="259"/>
        <v>5091</v>
      </c>
      <c r="AC1164">
        <f t="shared" si="260"/>
        <v>1117707.290000001</v>
      </c>
      <c r="AD1164">
        <f t="shared" si="261"/>
        <v>1333.7795823389033</v>
      </c>
      <c r="AE1164">
        <f t="shared" si="262"/>
        <v>0.35149999999999998</v>
      </c>
      <c r="AF1164">
        <f t="shared" si="263"/>
        <v>478339056.67999959</v>
      </c>
      <c r="AG1164" t="str">
        <f t="shared" si="264"/>
        <v>Active</v>
      </c>
      <c r="AH1164">
        <f t="shared" si="265"/>
        <v>10204.92</v>
      </c>
    </row>
    <row r="1165" spans="1:34" x14ac:dyDescent="0.35">
      <c r="A1165" t="s">
        <v>3166</v>
      </c>
      <c r="B1165" t="s">
        <v>3167</v>
      </c>
      <c r="C1165">
        <v>36</v>
      </c>
      <c r="D1165" t="s">
        <v>38</v>
      </c>
      <c r="E1165" t="s">
        <v>23</v>
      </c>
      <c r="F1165" t="s">
        <v>46</v>
      </c>
      <c r="G1165">
        <v>55925</v>
      </c>
      <c r="H1165">
        <v>562</v>
      </c>
      <c r="I1165">
        <v>74775</v>
      </c>
      <c r="J1165">
        <v>10.87</v>
      </c>
      <c r="K1165">
        <v>180</v>
      </c>
      <c r="L1165" t="s">
        <v>52</v>
      </c>
      <c r="M1165">
        <v>49.62</v>
      </c>
      <c r="N1165">
        <v>22101</v>
      </c>
      <c r="O1165">
        <v>73713</v>
      </c>
      <c r="P1165" t="s">
        <v>2784</v>
      </c>
      <c r="Q1165" t="s">
        <v>27</v>
      </c>
      <c r="R1165" t="s">
        <v>28</v>
      </c>
      <c r="S1165" t="s">
        <v>43</v>
      </c>
      <c r="T1165">
        <v>460.57</v>
      </c>
      <c r="U1165">
        <f t="shared" si="252"/>
        <v>837</v>
      </c>
      <c r="V1165">
        <f t="shared" si="253"/>
        <v>305</v>
      </c>
      <c r="W1165">
        <f t="shared" si="254"/>
        <v>263</v>
      </c>
      <c r="X1165">
        <f t="shared" si="255"/>
        <v>0.35149999999999998</v>
      </c>
      <c r="Y1165" s="1">
        <f t="shared" si="256"/>
        <v>42907112</v>
      </c>
      <c r="Z1165">
        <f t="shared" si="257"/>
        <v>51262.977299880527</v>
      </c>
      <c r="AA1165">
        <f t="shared" si="258"/>
        <v>99996</v>
      </c>
      <c r="AB1165">
        <f t="shared" si="259"/>
        <v>5091</v>
      </c>
      <c r="AC1165">
        <f t="shared" si="260"/>
        <v>1116856.8800000008</v>
      </c>
      <c r="AD1165">
        <f t="shared" si="261"/>
        <v>1334.3570848267632</v>
      </c>
      <c r="AE1165">
        <f t="shared" si="262"/>
        <v>0.35149999999999998</v>
      </c>
      <c r="AF1165">
        <f t="shared" si="263"/>
        <v>477221349.38999951</v>
      </c>
      <c r="AG1165" t="str">
        <f t="shared" si="264"/>
        <v>Active</v>
      </c>
      <c r="AH1165">
        <f t="shared" si="265"/>
        <v>5526.84</v>
      </c>
    </row>
    <row r="1166" spans="1:34" x14ac:dyDescent="0.35">
      <c r="A1166" t="s">
        <v>3168</v>
      </c>
      <c r="B1166" t="s">
        <v>3169</v>
      </c>
      <c r="C1166">
        <v>21</v>
      </c>
      <c r="D1166" t="s">
        <v>38</v>
      </c>
      <c r="E1166" t="s">
        <v>39</v>
      </c>
      <c r="F1166" t="s">
        <v>59</v>
      </c>
      <c r="G1166">
        <v>106310</v>
      </c>
      <c r="H1166">
        <v>591</v>
      </c>
      <c r="I1166">
        <v>7618</v>
      </c>
      <c r="J1166">
        <v>7.12</v>
      </c>
      <c r="K1166">
        <v>240</v>
      </c>
      <c r="L1166" t="s">
        <v>40</v>
      </c>
      <c r="M1166">
        <v>21.69</v>
      </c>
      <c r="N1166">
        <v>66372</v>
      </c>
      <c r="O1166">
        <v>35929</v>
      </c>
      <c r="P1166" t="s">
        <v>3170</v>
      </c>
      <c r="Q1166" t="s">
        <v>42</v>
      </c>
      <c r="R1166" t="s">
        <v>48</v>
      </c>
      <c r="S1166" t="s">
        <v>29</v>
      </c>
      <c r="T1166">
        <v>34</v>
      </c>
      <c r="U1166">
        <f t="shared" si="252"/>
        <v>836</v>
      </c>
      <c r="V1166">
        <f t="shared" si="253"/>
        <v>305</v>
      </c>
      <c r="W1166">
        <f t="shared" si="254"/>
        <v>263</v>
      </c>
      <c r="X1166">
        <f t="shared" si="255"/>
        <v>0.35149999999999998</v>
      </c>
      <c r="Y1166" s="1">
        <f t="shared" si="256"/>
        <v>42832337</v>
      </c>
      <c r="Z1166">
        <f t="shared" si="257"/>
        <v>51234.852870813396</v>
      </c>
      <c r="AA1166">
        <f t="shared" si="258"/>
        <v>99996</v>
      </c>
      <c r="AB1166">
        <f t="shared" si="259"/>
        <v>5091</v>
      </c>
      <c r="AC1166">
        <f t="shared" si="260"/>
        <v>1116396.3100000008</v>
      </c>
      <c r="AD1166">
        <f t="shared" si="261"/>
        <v>1335.4022846889961</v>
      </c>
      <c r="AE1166">
        <f t="shared" si="262"/>
        <v>0.35149999999999998</v>
      </c>
      <c r="AF1166">
        <f t="shared" si="263"/>
        <v>476104492.50999951</v>
      </c>
      <c r="AG1166" t="str">
        <f t="shared" si="264"/>
        <v>Active</v>
      </c>
      <c r="AH1166">
        <f t="shared" si="265"/>
        <v>408</v>
      </c>
    </row>
    <row r="1167" spans="1:34" x14ac:dyDescent="0.35">
      <c r="A1167" t="s">
        <v>3171</v>
      </c>
      <c r="B1167" t="s">
        <v>3172</v>
      </c>
      <c r="C1167">
        <v>51</v>
      </c>
      <c r="D1167" t="s">
        <v>38</v>
      </c>
      <c r="E1167" t="s">
        <v>32</v>
      </c>
      <c r="F1167" t="s">
        <v>24</v>
      </c>
      <c r="G1167">
        <v>180884</v>
      </c>
      <c r="H1167">
        <v>449</v>
      </c>
      <c r="I1167">
        <v>40931</v>
      </c>
      <c r="J1167">
        <v>18.57</v>
      </c>
      <c r="K1167">
        <v>12</v>
      </c>
      <c r="L1167" t="s">
        <v>52</v>
      </c>
      <c r="M1167">
        <v>6.01</v>
      </c>
      <c r="N1167">
        <v>554</v>
      </c>
      <c r="O1167">
        <v>193641</v>
      </c>
      <c r="P1167" t="s">
        <v>1218</v>
      </c>
      <c r="Q1167" t="s">
        <v>61</v>
      </c>
      <c r="R1167" t="s">
        <v>28</v>
      </c>
      <c r="S1167" t="s">
        <v>35</v>
      </c>
      <c r="T1167">
        <v>4044.32</v>
      </c>
      <c r="U1167">
        <f t="shared" si="252"/>
        <v>835</v>
      </c>
      <c r="V1167">
        <f t="shared" si="253"/>
        <v>304</v>
      </c>
      <c r="W1167">
        <f t="shared" si="254"/>
        <v>263</v>
      </c>
      <c r="X1167">
        <f t="shared" si="255"/>
        <v>0.35149999999999998</v>
      </c>
      <c r="Y1167" s="1">
        <f t="shared" si="256"/>
        <v>42824719</v>
      </c>
      <c r="Z1167">
        <f t="shared" si="257"/>
        <v>51287.088622754491</v>
      </c>
      <c r="AA1167">
        <f t="shared" si="258"/>
        <v>99996</v>
      </c>
      <c r="AB1167">
        <f t="shared" si="259"/>
        <v>5091</v>
      </c>
      <c r="AC1167">
        <f t="shared" si="260"/>
        <v>1116362.3100000008</v>
      </c>
      <c r="AD1167">
        <f t="shared" si="261"/>
        <v>1336.9608502994022</v>
      </c>
      <c r="AE1167">
        <f t="shared" si="262"/>
        <v>0.35149999999999998</v>
      </c>
      <c r="AF1167">
        <f t="shared" si="263"/>
        <v>474988096.19999951</v>
      </c>
      <c r="AG1167" t="str">
        <f t="shared" si="264"/>
        <v>Active</v>
      </c>
      <c r="AH1167">
        <f t="shared" si="265"/>
        <v>48531.840000000004</v>
      </c>
    </row>
    <row r="1168" spans="1:34" x14ac:dyDescent="0.35">
      <c r="A1168" t="s">
        <v>3173</v>
      </c>
      <c r="B1168" t="s">
        <v>3174</v>
      </c>
      <c r="C1168">
        <v>46</v>
      </c>
      <c r="D1168" t="s">
        <v>38</v>
      </c>
      <c r="E1168" t="s">
        <v>32</v>
      </c>
      <c r="F1168" t="s">
        <v>59</v>
      </c>
      <c r="G1168">
        <v>80113</v>
      </c>
      <c r="H1168">
        <v>715</v>
      </c>
      <c r="I1168">
        <v>45010</v>
      </c>
      <c r="J1168">
        <v>23.4</v>
      </c>
      <c r="K1168">
        <v>36</v>
      </c>
      <c r="L1168" t="s">
        <v>52</v>
      </c>
      <c r="M1168">
        <v>40.229999999999997</v>
      </c>
      <c r="N1168">
        <v>15296</v>
      </c>
      <c r="O1168">
        <v>94220</v>
      </c>
      <c r="P1168" t="s">
        <v>3175</v>
      </c>
      <c r="Q1168" t="s">
        <v>27</v>
      </c>
      <c r="R1168" t="s">
        <v>28</v>
      </c>
      <c r="S1168" t="s">
        <v>43</v>
      </c>
      <c r="T1168">
        <v>1542.84</v>
      </c>
      <c r="U1168">
        <f t="shared" si="252"/>
        <v>834</v>
      </c>
      <c r="V1168">
        <f t="shared" si="253"/>
        <v>304</v>
      </c>
      <c r="W1168">
        <f t="shared" si="254"/>
        <v>262</v>
      </c>
      <c r="X1168">
        <f t="shared" si="255"/>
        <v>0.35149999999999998</v>
      </c>
      <c r="Y1168" s="1">
        <f t="shared" si="256"/>
        <v>42783788</v>
      </c>
      <c r="Z1168">
        <f t="shared" si="257"/>
        <v>51299.505995203835</v>
      </c>
      <c r="AA1168">
        <f t="shared" si="258"/>
        <v>99996</v>
      </c>
      <c r="AB1168">
        <f t="shared" si="259"/>
        <v>5091</v>
      </c>
      <c r="AC1168">
        <f t="shared" si="260"/>
        <v>1112317.9900000009</v>
      </c>
      <c r="AD1168">
        <f t="shared" si="261"/>
        <v>1333.7146163069556</v>
      </c>
      <c r="AE1168">
        <f t="shared" si="262"/>
        <v>0.35149999999999998</v>
      </c>
      <c r="AF1168">
        <f t="shared" si="263"/>
        <v>473871733.88999951</v>
      </c>
      <c r="AG1168" t="str">
        <f t="shared" si="264"/>
        <v>Over Paid</v>
      </c>
      <c r="AH1168">
        <f t="shared" si="265"/>
        <v>18514.079999999998</v>
      </c>
    </row>
    <row r="1169" spans="1:34" x14ac:dyDescent="0.35">
      <c r="A1169" t="s">
        <v>3176</v>
      </c>
      <c r="B1169" t="s">
        <v>3177</v>
      </c>
      <c r="C1169">
        <v>57</v>
      </c>
      <c r="D1169" t="s">
        <v>22</v>
      </c>
      <c r="E1169" t="s">
        <v>32</v>
      </c>
      <c r="F1169" t="s">
        <v>59</v>
      </c>
      <c r="G1169">
        <v>149766</v>
      </c>
      <c r="H1169">
        <v>831</v>
      </c>
      <c r="I1169">
        <v>72418</v>
      </c>
      <c r="J1169">
        <v>15.77</v>
      </c>
      <c r="K1169">
        <v>240</v>
      </c>
      <c r="L1169" t="s">
        <v>40</v>
      </c>
      <c r="M1169">
        <v>21.76</v>
      </c>
      <c r="N1169">
        <v>60962</v>
      </c>
      <c r="O1169">
        <v>205767</v>
      </c>
      <c r="P1169" t="s">
        <v>3178</v>
      </c>
      <c r="Q1169" t="s">
        <v>42</v>
      </c>
      <c r="R1169" t="s">
        <v>28</v>
      </c>
      <c r="S1169" t="s">
        <v>43</v>
      </c>
      <c r="T1169">
        <v>349.33</v>
      </c>
      <c r="U1169">
        <f t="shared" si="252"/>
        <v>833</v>
      </c>
      <c r="V1169">
        <f t="shared" si="253"/>
        <v>304</v>
      </c>
      <c r="W1169">
        <f t="shared" si="254"/>
        <v>262</v>
      </c>
      <c r="X1169">
        <f t="shared" si="255"/>
        <v>0.35149999999999998</v>
      </c>
      <c r="Y1169" s="1">
        <f t="shared" si="256"/>
        <v>42738778</v>
      </c>
      <c r="Z1169">
        <f t="shared" si="257"/>
        <v>51307.056422569025</v>
      </c>
      <c r="AA1169">
        <f t="shared" si="258"/>
        <v>99996</v>
      </c>
      <c r="AB1169">
        <f t="shared" si="259"/>
        <v>5091</v>
      </c>
      <c r="AC1169">
        <f t="shared" si="260"/>
        <v>1110775.1500000008</v>
      </c>
      <c r="AD1169">
        <f t="shared" si="261"/>
        <v>1333.4635654261715</v>
      </c>
      <c r="AE1169">
        <f t="shared" si="262"/>
        <v>0.35149999999999998</v>
      </c>
      <c r="AF1169">
        <f t="shared" si="263"/>
        <v>472759415.89999956</v>
      </c>
      <c r="AG1169" t="str">
        <f t="shared" si="264"/>
        <v>Active</v>
      </c>
      <c r="AH1169">
        <f t="shared" si="265"/>
        <v>4191.96</v>
      </c>
    </row>
    <row r="1170" spans="1:34" x14ac:dyDescent="0.35">
      <c r="A1170" t="s">
        <v>3179</v>
      </c>
      <c r="B1170" t="s">
        <v>3180</v>
      </c>
      <c r="C1170">
        <v>29</v>
      </c>
      <c r="D1170" t="s">
        <v>22</v>
      </c>
      <c r="E1170" t="s">
        <v>39</v>
      </c>
      <c r="F1170" t="s">
        <v>46</v>
      </c>
      <c r="G1170">
        <v>150720</v>
      </c>
      <c r="H1170">
        <v>629</v>
      </c>
      <c r="I1170">
        <v>19756</v>
      </c>
      <c r="J1170">
        <v>5.79</v>
      </c>
      <c r="K1170">
        <v>180</v>
      </c>
      <c r="L1170" t="s">
        <v>52</v>
      </c>
      <c r="M1170">
        <v>20.54</v>
      </c>
      <c r="N1170">
        <v>34312</v>
      </c>
      <c r="O1170">
        <v>113506</v>
      </c>
      <c r="P1170" t="s">
        <v>3181</v>
      </c>
      <c r="Q1170" t="s">
        <v>27</v>
      </c>
      <c r="R1170" t="s">
        <v>28</v>
      </c>
      <c r="S1170" t="s">
        <v>68</v>
      </c>
      <c r="T1170">
        <v>116.11</v>
      </c>
      <c r="U1170">
        <f t="shared" si="252"/>
        <v>832</v>
      </c>
      <c r="V1170">
        <f t="shared" si="253"/>
        <v>303</v>
      </c>
      <c r="W1170">
        <f t="shared" si="254"/>
        <v>262</v>
      </c>
      <c r="X1170">
        <f t="shared" si="255"/>
        <v>0.35149999999999998</v>
      </c>
      <c r="Y1170" s="1">
        <f t="shared" si="256"/>
        <v>42666360</v>
      </c>
      <c r="Z1170">
        <f t="shared" si="257"/>
        <v>51281.682692307695</v>
      </c>
      <c r="AA1170">
        <f t="shared" si="258"/>
        <v>99996</v>
      </c>
      <c r="AB1170">
        <f t="shared" si="259"/>
        <v>5091</v>
      </c>
      <c r="AC1170">
        <f t="shared" si="260"/>
        <v>1110425.820000001</v>
      </c>
      <c r="AD1170">
        <f t="shared" si="261"/>
        <v>1334.6464182692321</v>
      </c>
      <c r="AE1170">
        <f t="shared" si="262"/>
        <v>0.35149999999999998</v>
      </c>
      <c r="AF1170">
        <f t="shared" si="263"/>
        <v>471648640.74999964</v>
      </c>
      <c r="AG1170" t="str">
        <f t="shared" si="264"/>
        <v>Active</v>
      </c>
      <c r="AH1170">
        <f t="shared" si="265"/>
        <v>1393.32</v>
      </c>
    </row>
    <row r="1171" spans="1:34" x14ac:dyDescent="0.35">
      <c r="A1171" t="s">
        <v>3182</v>
      </c>
      <c r="B1171" t="s">
        <v>3183</v>
      </c>
      <c r="C1171">
        <v>35</v>
      </c>
      <c r="D1171" t="s">
        <v>38</v>
      </c>
      <c r="E1171" t="s">
        <v>23</v>
      </c>
      <c r="F1171" t="s">
        <v>24</v>
      </c>
      <c r="G1171">
        <v>75669</v>
      </c>
      <c r="H1171">
        <v>473</v>
      </c>
      <c r="I1171">
        <v>78700</v>
      </c>
      <c r="J1171">
        <v>17.559999999999999</v>
      </c>
      <c r="K1171">
        <v>240</v>
      </c>
      <c r="L1171" t="s">
        <v>86</v>
      </c>
      <c r="M1171">
        <v>5.39</v>
      </c>
      <c r="N1171">
        <v>21439</v>
      </c>
      <c r="O1171">
        <v>193069</v>
      </c>
      <c r="P1171" t="s">
        <v>2868</v>
      </c>
      <c r="Q1171" t="s">
        <v>27</v>
      </c>
      <c r="R1171" t="s">
        <v>48</v>
      </c>
      <c r="S1171" t="s">
        <v>29</v>
      </c>
      <c r="T1171">
        <v>385.5</v>
      </c>
      <c r="U1171">
        <f t="shared" si="252"/>
        <v>831</v>
      </c>
      <c r="V1171">
        <f t="shared" si="253"/>
        <v>303</v>
      </c>
      <c r="W1171">
        <f t="shared" si="254"/>
        <v>262</v>
      </c>
      <c r="X1171">
        <f t="shared" si="255"/>
        <v>0.35149999999999998</v>
      </c>
      <c r="Y1171" s="1">
        <f t="shared" si="256"/>
        <v>42646604</v>
      </c>
      <c r="Z1171">
        <f t="shared" si="257"/>
        <v>51319.619735258726</v>
      </c>
      <c r="AA1171">
        <f t="shared" si="258"/>
        <v>99996</v>
      </c>
      <c r="AB1171">
        <f t="shared" si="259"/>
        <v>5091</v>
      </c>
      <c r="AC1171">
        <f t="shared" si="260"/>
        <v>1110309.7100000009</v>
      </c>
      <c r="AD1171">
        <f t="shared" si="261"/>
        <v>1336.1127677497002</v>
      </c>
      <c r="AE1171">
        <f t="shared" si="262"/>
        <v>0.35149999999999998</v>
      </c>
      <c r="AF1171">
        <f t="shared" si="263"/>
        <v>470538214.92999959</v>
      </c>
      <c r="AG1171" t="str">
        <f t="shared" si="264"/>
        <v>Active</v>
      </c>
      <c r="AH1171">
        <f t="shared" si="265"/>
        <v>4626</v>
      </c>
    </row>
    <row r="1172" spans="1:34" x14ac:dyDescent="0.35">
      <c r="A1172" t="s">
        <v>3184</v>
      </c>
      <c r="B1172" t="s">
        <v>3185</v>
      </c>
      <c r="C1172">
        <v>27</v>
      </c>
      <c r="D1172" t="s">
        <v>22</v>
      </c>
      <c r="E1172" t="s">
        <v>23</v>
      </c>
      <c r="F1172" t="s">
        <v>59</v>
      </c>
      <c r="G1172">
        <v>121892</v>
      </c>
      <c r="H1172">
        <v>565</v>
      </c>
      <c r="I1172">
        <v>15421</v>
      </c>
      <c r="J1172">
        <v>10.19</v>
      </c>
      <c r="K1172">
        <v>60</v>
      </c>
      <c r="L1172" t="s">
        <v>40</v>
      </c>
      <c r="M1172">
        <v>21.84</v>
      </c>
      <c r="N1172">
        <v>46104</v>
      </c>
      <c r="O1172">
        <v>42378</v>
      </c>
      <c r="P1172" t="s">
        <v>1974</v>
      </c>
      <c r="Q1172" t="s">
        <v>42</v>
      </c>
      <c r="R1172" t="s">
        <v>28</v>
      </c>
      <c r="S1172" t="s">
        <v>68</v>
      </c>
      <c r="T1172">
        <v>283.20999999999998</v>
      </c>
      <c r="U1172">
        <f t="shared" si="252"/>
        <v>830</v>
      </c>
      <c r="V1172">
        <f t="shared" si="253"/>
        <v>303</v>
      </c>
      <c r="W1172">
        <f t="shared" si="254"/>
        <v>262</v>
      </c>
      <c r="X1172">
        <f t="shared" si="255"/>
        <v>0.35149999999999998</v>
      </c>
      <c r="Y1172" s="1">
        <f t="shared" si="256"/>
        <v>42567904</v>
      </c>
      <c r="Z1172">
        <f t="shared" si="257"/>
        <v>51286.631325301205</v>
      </c>
      <c r="AA1172">
        <f t="shared" si="258"/>
        <v>99996</v>
      </c>
      <c r="AB1172">
        <f t="shared" si="259"/>
        <v>5091</v>
      </c>
      <c r="AC1172">
        <f t="shared" si="260"/>
        <v>1109924.2100000009</v>
      </c>
      <c r="AD1172">
        <f t="shared" si="261"/>
        <v>1337.2580843373505</v>
      </c>
      <c r="AE1172">
        <f t="shared" si="262"/>
        <v>0.35149999999999998</v>
      </c>
      <c r="AF1172">
        <f t="shared" si="263"/>
        <v>469427905.21999955</v>
      </c>
      <c r="AG1172" t="str">
        <f t="shared" si="264"/>
        <v>Active</v>
      </c>
      <c r="AH1172">
        <f t="shared" si="265"/>
        <v>3398.5199999999995</v>
      </c>
    </row>
    <row r="1173" spans="1:34" x14ac:dyDescent="0.35">
      <c r="A1173" t="s">
        <v>3186</v>
      </c>
      <c r="B1173" t="s">
        <v>3187</v>
      </c>
      <c r="C1173">
        <v>48</v>
      </c>
      <c r="D1173" t="s">
        <v>38</v>
      </c>
      <c r="E1173" t="s">
        <v>39</v>
      </c>
      <c r="F1173" t="s">
        <v>59</v>
      </c>
      <c r="G1173">
        <v>86648</v>
      </c>
      <c r="H1173">
        <v>342</v>
      </c>
      <c r="I1173">
        <v>93824</v>
      </c>
      <c r="J1173">
        <v>15.4</v>
      </c>
      <c r="K1173">
        <v>180</v>
      </c>
      <c r="L1173" t="s">
        <v>86</v>
      </c>
      <c r="M1173">
        <v>58.43</v>
      </c>
      <c r="N1173">
        <v>20367</v>
      </c>
      <c r="O1173">
        <v>159523</v>
      </c>
      <c r="P1173" t="s">
        <v>2267</v>
      </c>
      <c r="Q1173" t="s">
        <v>42</v>
      </c>
      <c r="R1173" t="s">
        <v>28</v>
      </c>
      <c r="S1173" t="s">
        <v>68</v>
      </c>
      <c r="T1173">
        <v>601.52</v>
      </c>
      <c r="U1173">
        <f t="shared" si="252"/>
        <v>829</v>
      </c>
      <c r="V1173">
        <f t="shared" si="253"/>
        <v>302</v>
      </c>
      <c r="W1173">
        <f t="shared" si="254"/>
        <v>262</v>
      </c>
      <c r="X1173">
        <f t="shared" si="255"/>
        <v>0.35149999999999998</v>
      </c>
      <c r="Y1173" s="1">
        <f t="shared" si="256"/>
        <v>42552483</v>
      </c>
      <c r="Z1173">
        <f t="shared" si="257"/>
        <v>51329.895054282271</v>
      </c>
      <c r="AA1173">
        <f t="shared" si="258"/>
        <v>99996</v>
      </c>
      <c r="AB1173">
        <f t="shared" si="259"/>
        <v>5091</v>
      </c>
      <c r="AC1173">
        <f t="shared" si="260"/>
        <v>1109641.0000000009</v>
      </c>
      <c r="AD1173">
        <f t="shared" si="261"/>
        <v>1338.5295536791325</v>
      </c>
      <c r="AE1173">
        <f t="shared" si="262"/>
        <v>0.35149999999999998</v>
      </c>
      <c r="AF1173">
        <f t="shared" si="263"/>
        <v>468317981.00999957</v>
      </c>
      <c r="AG1173" t="str">
        <f t="shared" si="264"/>
        <v>Active</v>
      </c>
      <c r="AH1173">
        <f t="shared" si="265"/>
        <v>7218.24</v>
      </c>
    </row>
    <row r="1174" spans="1:34" x14ac:dyDescent="0.35">
      <c r="A1174" t="s">
        <v>3188</v>
      </c>
      <c r="B1174" t="s">
        <v>3189</v>
      </c>
      <c r="C1174">
        <v>59</v>
      </c>
      <c r="D1174" t="s">
        <v>38</v>
      </c>
      <c r="E1174" t="s">
        <v>32</v>
      </c>
      <c r="F1174" t="s">
        <v>46</v>
      </c>
      <c r="G1174">
        <v>195867</v>
      </c>
      <c r="H1174">
        <v>705</v>
      </c>
      <c r="I1174">
        <v>56475</v>
      </c>
      <c r="J1174">
        <v>12.55</v>
      </c>
      <c r="K1174">
        <v>60</v>
      </c>
      <c r="L1174" t="s">
        <v>52</v>
      </c>
      <c r="M1174">
        <v>48.22</v>
      </c>
      <c r="N1174">
        <v>15041</v>
      </c>
      <c r="O1174">
        <v>168000</v>
      </c>
      <c r="P1174" t="s">
        <v>1878</v>
      </c>
      <c r="Q1174" t="s">
        <v>42</v>
      </c>
      <c r="R1174" t="s">
        <v>48</v>
      </c>
      <c r="S1174" t="s">
        <v>43</v>
      </c>
      <c r="T1174">
        <v>1059.3800000000001</v>
      </c>
      <c r="U1174">
        <f t="shared" si="252"/>
        <v>828</v>
      </c>
      <c r="V1174">
        <f t="shared" si="253"/>
        <v>301</v>
      </c>
      <c r="W1174">
        <f t="shared" si="254"/>
        <v>262</v>
      </c>
      <c r="X1174">
        <f t="shared" si="255"/>
        <v>0.35149999999999998</v>
      </c>
      <c r="Y1174" s="1">
        <f t="shared" si="256"/>
        <v>42458659</v>
      </c>
      <c r="Z1174">
        <f t="shared" si="257"/>
        <v>51278.573671497586</v>
      </c>
      <c r="AA1174">
        <f t="shared" si="258"/>
        <v>99996</v>
      </c>
      <c r="AB1174">
        <f t="shared" si="259"/>
        <v>5091</v>
      </c>
      <c r="AC1174">
        <f t="shared" si="260"/>
        <v>1109039.4800000009</v>
      </c>
      <c r="AD1174">
        <f t="shared" si="261"/>
        <v>1339.4196618357498</v>
      </c>
      <c r="AE1174">
        <f t="shared" si="262"/>
        <v>0.35149999999999998</v>
      </c>
      <c r="AF1174">
        <f t="shared" si="263"/>
        <v>467208340.00999957</v>
      </c>
      <c r="AG1174" t="str">
        <f t="shared" si="264"/>
        <v>Active</v>
      </c>
      <c r="AH1174">
        <f t="shared" si="265"/>
        <v>12712.560000000001</v>
      </c>
    </row>
    <row r="1175" spans="1:34" x14ac:dyDescent="0.35">
      <c r="A1175" t="s">
        <v>3190</v>
      </c>
      <c r="B1175" t="s">
        <v>3191</v>
      </c>
      <c r="C1175">
        <v>44</v>
      </c>
      <c r="D1175" t="s">
        <v>38</v>
      </c>
      <c r="E1175" t="s">
        <v>39</v>
      </c>
      <c r="F1175" t="s">
        <v>46</v>
      </c>
      <c r="G1175">
        <v>178880</v>
      </c>
      <c r="H1175">
        <v>611</v>
      </c>
      <c r="I1175">
        <v>15271</v>
      </c>
      <c r="J1175">
        <v>3.6</v>
      </c>
      <c r="K1175">
        <v>36</v>
      </c>
      <c r="L1175" t="s">
        <v>25</v>
      </c>
      <c r="M1175">
        <v>11.97</v>
      </c>
      <c r="N1175">
        <v>30650</v>
      </c>
      <c r="O1175">
        <v>70020</v>
      </c>
      <c r="P1175" t="s">
        <v>2656</v>
      </c>
      <c r="Q1175" t="s">
        <v>27</v>
      </c>
      <c r="R1175" t="s">
        <v>28</v>
      </c>
      <c r="S1175" t="s">
        <v>35</v>
      </c>
      <c r="T1175">
        <v>439.47</v>
      </c>
      <c r="U1175">
        <f t="shared" si="252"/>
        <v>827</v>
      </c>
      <c r="V1175">
        <f t="shared" si="253"/>
        <v>300</v>
      </c>
      <c r="W1175">
        <f t="shared" si="254"/>
        <v>262</v>
      </c>
      <c r="X1175">
        <f t="shared" si="255"/>
        <v>0.35149999999999998</v>
      </c>
      <c r="Y1175" s="1">
        <f t="shared" si="256"/>
        <v>42402184</v>
      </c>
      <c r="Z1175">
        <f t="shared" si="257"/>
        <v>51272.290205562276</v>
      </c>
      <c r="AA1175">
        <f t="shared" si="258"/>
        <v>99996</v>
      </c>
      <c r="AB1175">
        <f t="shared" si="259"/>
        <v>5091</v>
      </c>
      <c r="AC1175">
        <f t="shared" si="260"/>
        <v>1107980.100000001</v>
      </c>
      <c r="AD1175">
        <f t="shared" si="261"/>
        <v>1339.7582829504245</v>
      </c>
      <c r="AE1175">
        <f t="shared" si="262"/>
        <v>0.35149999999999998</v>
      </c>
      <c r="AF1175">
        <f t="shared" si="263"/>
        <v>466099300.52999961</v>
      </c>
      <c r="AG1175" t="str">
        <f t="shared" si="264"/>
        <v>Active</v>
      </c>
      <c r="AH1175">
        <f t="shared" si="265"/>
        <v>5273.64</v>
      </c>
    </row>
    <row r="1176" spans="1:34" x14ac:dyDescent="0.35">
      <c r="A1176" t="s">
        <v>3192</v>
      </c>
      <c r="B1176" t="s">
        <v>3193</v>
      </c>
      <c r="C1176">
        <v>29</v>
      </c>
      <c r="D1176" t="s">
        <v>22</v>
      </c>
      <c r="E1176" t="s">
        <v>32</v>
      </c>
      <c r="F1176" t="s">
        <v>46</v>
      </c>
      <c r="G1176">
        <v>73264</v>
      </c>
      <c r="H1176">
        <v>843</v>
      </c>
      <c r="I1176">
        <v>78227</v>
      </c>
      <c r="J1176">
        <v>9.09</v>
      </c>
      <c r="K1176">
        <v>48</v>
      </c>
      <c r="L1176" t="s">
        <v>86</v>
      </c>
      <c r="M1176">
        <v>40.840000000000003</v>
      </c>
      <c r="N1176">
        <v>12235</v>
      </c>
      <c r="O1176">
        <v>147867</v>
      </c>
      <c r="P1176" t="s">
        <v>3194</v>
      </c>
      <c r="Q1176" t="s">
        <v>27</v>
      </c>
      <c r="R1176" t="s">
        <v>28</v>
      </c>
      <c r="S1176" t="s">
        <v>68</v>
      </c>
      <c r="T1176">
        <v>1777.87</v>
      </c>
      <c r="U1176">
        <f t="shared" si="252"/>
        <v>826</v>
      </c>
      <c r="V1176">
        <f t="shared" si="253"/>
        <v>300</v>
      </c>
      <c r="W1176">
        <f t="shared" si="254"/>
        <v>262</v>
      </c>
      <c r="X1176">
        <f t="shared" si="255"/>
        <v>0.35149999999999998</v>
      </c>
      <c r="Y1176" s="1">
        <f t="shared" si="256"/>
        <v>42386913</v>
      </c>
      <c r="Z1176">
        <f t="shared" si="257"/>
        <v>51315.875302663437</v>
      </c>
      <c r="AA1176">
        <f t="shared" si="258"/>
        <v>99996</v>
      </c>
      <c r="AB1176">
        <f t="shared" si="259"/>
        <v>5091</v>
      </c>
      <c r="AC1176">
        <f t="shared" si="260"/>
        <v>1107540.6300000011</v>
      </c>
      <c r="AD1176">
        <f t="shared" si="261"/>
        <v>1340.8482203389842</v>
      </c>
      <c r="AE1176">
        <f t="shared" si="262"/>
        <v>0.35149999999999998</v>
      </c>
      <c r="AF1176">
        <f t="shared" si="263"/>
        <v>464991320.42999953</v>
      </c>
      <c r="AG1176" t="str">
        <f t="shared" si="264"/>
        <v>Active</v>
      </c>
      <c r="AH1176">
        <f t="shared" si="265"/>
        <v>21334.44</v>
      </c>
    </row>
    <row r="1177" spans="1:34" x14ac:dyDescent="0.35">
      <c r="A1177" t="s">
        <v>3195</v>
      </c>
      <c r="B1177" t="s">
        <v>3196</v>
      </c>
      <c r="C1177">
        <v>39</v>
      </c>
      <c r="D1177" t="s">
        <v>38</v>
      </c>
      <c r="E1177" t="s">
        <v>39</v>
      </c>
      <c r="F1177" t="s">
        <v>24</v>
      </c>
      <c r="G1177">
        <v>141087</v>
      </c>
      <c r="H1177">
        <v>404</v>
      </c>
      <c r="I1177">
        <v>46368</v>
      </c>
      <c r="J1177">
        <v>6.74</v>
      </c>
      <c r="K1177">
        <v>180</v>
      </c>
      <c r="L1177" t="s">
        <v>52</v>
      </c>
      <c r="M1177">
        <v>6.48</v>
      </c>
      <c r="N1177">
        <v>79808</v>
      </c>
      <c r="O1177">
        <v>142849</v>
      </c>
      <c r="P1177" t="s">
        <v>2927</v>
      </c>
      <c r="Q1177" t="s">
        <v>61</v>
      </c>
      <c r="R1177" t="s">
        <v>48</v>
      </c>
      <c r="S1177" t="s">
        <v>43</v>
      </c>
      <c r="T1177">
        <v>274.95999999999998</v>
      </c>
      <c r="U1177">
        <f t="shared" si="252"/>
        <v>825</v>
      </c>
      <c r="V1177">
        <f t="shared" si="253"/>
        <v>300</v>
      </c>
      <c r="W1177">
        <f t="shared" si="254"/>
        <v>262</v>
      </c>
      <c r="X1177">
        <f t="shared" si="255"/>
        <v>0.35149999999999998</v>
      </c>
      <c r="Y1177" s="1">
        <f t="shared" si="256"/>
        <v>42308686</v>
      </c>
      <c r="Z1177">
        <f t="shared" si="257"/>
        <v>51283.25575757576</v>
      </c>
      <c r="AA1177">
        <f t="shared" si="258"/>
        <v>99996</v>
      </c>
      <c r="AB1177">
        <f t="shared" si="259"/>
        <v>5091</v>
      </c>
      <c r="AC1177">
        <f t="shared" si="260"/>
        <v>1105762.7600000009</v>
      </c>
      <c r="AD1177">
        <f t="shared" si="261"/>
        <v>1340.3184969696981</v>
      </c>
      <c r="AE1177">
        <f t="shared" si="262"/>
        <v>0.35149999999999998</v>
      </c>
      <c r="AF1177">
        <f t="shared" si="263"/>
        <v>463883779.79999948</v>
      </c>
      <c r="AG1177" t="str">
        <f t="shared" si="264"/>
        <v>Active</v>
      </c>
      <c r="AH1177">
        <f t="shared" si="265"/>
        <v>3299.5199999999995</v>
      </c>
    </row>
    <row r="1178" spans="1:34" x14ac:dyDescent="0.35">
      <c r="A1178" t="s">
        <v>3197</v>
      </c>
      <c r="B1178" t="s">
        <v>3198</v>
      </c>
      <c r="C1178">
        <v>58</v>
      </c>
      <c r="D1178" t="s">
        <v>22</v>
      </c>
      <c r="E1178" t="s">
        <v>39</v>
      </c>
      <c r="F1178" t="s">
        <v>24</v>
      </c>
      <c r="G1178">
        <v>102911</v>
      </c>
      <c r="H1178">
        <v>329</v>
      </c>
      <c r="I1178">
        <v>68175</v>
      </c>
      <c r="J1178">
        <v>20.71</v>
      </c>
      <c r="K1178">
        <v>180</v>
      </c>
      <c r="L1178" t="s">
        <v>86</v>
      </c>
      <c r="M1178">
        <v>7.91</v>
      </c>
      <c r="N1178">
        <v>49517</v>
      </c>
      <c r="O1178">
        <v>92057</v>
      </c>
      <c r="P1178" t="s">
        <v>3199</v>
      </c>
      <c r="Q1178" t="s">
        <v>42</v>
      </c>
      <c r="R1178" t="s">
        <v>48</v>
      </c>
      <c r="S1178" t="s">
        <v>35</v>
      </c>
      <c r="T1178">
        <v>457.19</v>
      </c>
      <c r="U1178">
        <f t="shared" si="252"/>
        <v>824</v>
      </c>
      <c r="V1178">
        <f t="shared" si="253"/>
        <v>300</v>
      </c>
      <c r="W1178">
        <f t="shared" si="254"/>
        <v>261</v>
      </c>
      <c r="X1178">
        <f t="shared" si="255"/>
        <v>0.35149999999999998</v>
      </c>
      <c r="Y1178" s="1">
        <f t="shared" si="256"/>
        <v>42262318</v>
      </c>
      <c r="Z1178">
        <f t="shared" si="257"/>
        <v>51289.220873786406</v>
      </c>
      <c r="AA1178">
        <f t="shared" si="258"/>
        <v>99996</v>
      </c>
      <c r="AB1178">
        <f t="shared" si="259"/>
        <v>5091</v>
      </c>
      <c r="AC1178">
        <f t="shared" si="260"/>
        <v>1105487.800000001</v>
      </c>
      <c r="AD1178">
        <f t="shared" si="261"/>
        <v>1341.6114077669915</v>
      </c>
      <c r="AE1178">
        <f t="shared" si="262"/>
        <v>0.35149999999999998</v>
      </c>
      <c r="AF1178">
        <f t="shared" si="263"/>
        <v>462778017.03999954</v>
      </c>
      <c r="AG1178" t="str">
        <f t="shared" si="264"/>
        <v>Active</v>
      </c>
      <c r="AH1178">
        <f t="shared" si="265"/>
        <v>5486.28</v>
      </c>
    </row>
    <row r="1179" spans="1:34" x14ac:dyDescent="0.35">
      <c r="A1179" t="s">
        <v>3200</v>
      </c>
      <c r="B1179" t="s">
        <v>3201</v>
      </c>
      <c r="C1179">
        <v>56</v>
      </c>
      <c r="D1179" t="s">
        <v>22</v>
      </c>
      <c r="E1179" t="s">
        <v>39</v>
      </c>
      <c r="F1179" t="s">
        <v>59</v>
      </c>
      <c r="G1179">
        <v>162127</v>
      </c>
      <c r="H1179">
        <v>343</v>
      </c>
      <c r="I1179">
        <v>54649</v>
      </c>
      <c r="J1179">
        <v>22.43</v>
      </c>
      <c r="K1179">
        <v>24</v>
      </c>
      <c r="L1179" t="s">
        <v>52</v>
      </c>
      <c r="M1179">
        <v>14.77</v>
      </c>
      <c r="N1179">
        <v>39437</v>
      </c>
      <c r="O1179">
        <v>134904</v>
      </c>
      <c r="P1179" t="s">
        <v>1231</v>
      </c>
      <c r="Q1179" t="s">
        <v>27</v>
      </c>
      <c r="R1179" t="s">
        <v>48</v>
      </c>
      <c r="S1179" t="s">
        <v>35</v>
      </c>
      <c r="T1179">
        <v>2787.78</v>
      </c>
      <c r="U1179">
        <f t="shared" si="252"/>
        <v>823</v>
      </c>
      <c r="V1179">
        <f t="shared" si="253"/>
        <v>299</v>
      </c>
      <c r="W1179">
        <f t="shared" si="254"/>
        <v>261</v>
      </c>
      <c r="X1179">
        <f t="shared" si="255"/>
        <v>0.35149999999999998</v>
      </c>
      <c r="Y1179" s="1">
        <f t="shared" si="256"/>
        <v>42194143</v>
      </c>
      <c r="Z1179">
        <f t="shared" si="257"/>
        <v>51268.703523693803</v>
      </c>
      <c r="AA1179">
        <f t="shared" si="258"/>
        <v>99996</v>
      </c>
      <c r="AB1179">
        <f t="shared" si="259"/>
        <v>5091</v>
      </c>
      <c r="AC1179">
        <f t="shared" si="260"/>
        <v>1105030.6100000008</v>
      </c>
      <c r="AD1179">
        <f t="shared" si="261"/>
        <v>1342.6860388821394</v>
      </c>
      <c r="AE1179">
        <f t="shared" si="262"/>
        <v>0.35149999999999998</v>
      </c>
      <c r="AF1179">
        <f t="shared" si="263"/>
        <v>461672529.23999953</v>
      </c>
      <c r="AG1179" t="str">
        <f t="shared" si="264"/>
        <v>Active</v>
      </c>
      <c r="AH1179">
        <f t="shared" si="265"/>
        <v>33453.360000000001</v>
      </c>
    </row>
    <row r="1180" spans="1:34" x14ac:dyDescent="0.35">
      <c r="A1180" t="s">
        <v>3202</v>
      </c>
      <c r="B1180" t="s">
        <v>3203</v>
      </c>
      <c r="C1180">
        <v>52</v>
      </c>
      <c r="D1180" t="s">
        <v>38</v>
      </c>
      <c r="E1180" t="s">
        <v>39</v>
      </c>
      <c r="F1180" t="s">
        <v>59</v>
      </c>
      <c r="G1180">
        <v>121987</v>
      </c>
      <c r="H1180">
        <v>460</v>
      </c>
      <c r="I1180">
        <v>40640</v>
      </c>
      <c r="J1180">
        <v>6.24</v>
      </c>
      <c r="K1180">
        <v>180</v>
      </c>
      <c r="L1180" t="s">
        <v>86</v>
      </c>
      <c r="M1180">
        <v>56.48</v>
      </c>
      <c r="N1180">
        <v>63281</v>
      </c>
      <c r="O1180">
        <v>208403</v>
      </c>
      <c r="P1180" t="s">
        <v>765</v>
      </c>
      <c r="Q1180" t="s">
        <v>61</v>
      </c>
      <c r="R1180" t="s">
        <v>28</v>
      </c>
      <c r="S1180" t="s">
        <v>35</v>
      </c>
      <c r="T1180">
        <v>239.87</v>
      </c>
      <c r="U1180">
        <f t="shared" si="252"/>
        <v>822</v>
      </c>
      <c r="V1180">
        <f t="shared" si="253"/>
        <v>299</v>
      </c>
      <c r="W1180">
        <f t="shared" si="254"/>
        <v>261</v>
      </c>
      <c r="X1180">
        <f t="shared" si="255"/>
        <v>0.35149999999999998</v>
      </c>
      <c r="Y1180" s="1">
        <f t="shared" si="256"/>
        <v>42139494</v>
      </c>
      <c r="Z1180">
        <f t="shared" si="257"/>
        <v>51264.59124087591</v>
      </c>
      <c r="AA1180">
        <f t="shared" si="258"/>
        <v>99996</v>
      </c>
      <c r="AB1180">
        <f t="shared" si="259"/>
        <v>5091</v>
      </c>
      <c r="AC1180">
        <f t="shared" si="260"/>
        <v>1102242.830000001</v>
      </c>
      <c r="AD1180">
        <f t="shared" si="261"/>
        <v>1340.9280170316315</v>
      </c>
      <c r="AE1180">
        <f t="shared" si="262"/>
        <v>0.35149999999999998</v>
      </c>
      <c r="AF1180">
        <f t="shared" si="263"/>
        <v>460567498.62999952</v>
      </c>
      <c r="AG1180" t="str">
        <f t="shared" si="264"/>
        <v>Active</v>
      </c>
      <c r="AH1180">
        <f t="shared" si="265"/>
        <v>2878.44</v>
      </c>
    </row>
    <row r="1181" spans="1:34" x14ac:dyDescent="0.35">
      <c r="A1181" t="s">
        <v>3204</v>
      </c>
      <c r="B1181" t="s">
        <v>3205</v>
      </c>
      <c r="C1181">
        <v>33</v>
      </c>
      <c r="D1181" t="s">
        <v>38</v>
      </c>
      <c r="E1181" t="s">
        <v>39</v>
      </c>
      <c r="F1181" t="s">
        <v>59</v>
      </c>
      <c r="G1181">
        <v>172559</v>
      </c>
      <c r="H1181">
        <v>527</v>
      </c>
      <c r="I1181">
        <v>90730</v>
      </c>
      <c r="J1181">
        <v>3.87</v>
      </c>
      <c r="K1181">
        <v>360</v>
      </c>
      <c r="L1181" t="s">
        <v>52</v>
      </c>
      <c r="M1181">
        <v>37.4</v>
      </c>
      <c r="N1181">
        <v>42275</v>
      </c>
      <c r="O1181">
        <v>162962</v>
      </c>
      <c r="P1181" t="s">
        <v>2169</v>
      </c>
      <c r="Q1181" t="s">
        <v>42</v>
      </c>
      <c r="R1181" t="s">
        <v>28</v>
      </c>
      <c r="S1181" t="s">
        <v>68</v>
      </c>
      <c r="T1181">
        <v>261.77999999999997</v>
      </c>
      <c r="U1181">
        <f t="shared" si="252"/>
        <v>821</v>
      </c>
      <c r="V1181">
        <f t="shared" si="253"/>
        <v>299</v>
      </c>
      <c r="W1181">
        <f t="shared" si="254"/>
        <v>260</v>
      </c>
      <c r="X1181">
        <f t="shared" si="255"/>
        <v>0.35149999999999998</v>
      </c>
      <c r="Y1181" s="1">
        <f t="shared" si="256"/>
        <v>42098854</v>
      </c>
      <c r="Z1181">
        <f t="shared" si="257"/>
        <v>51277.53227771011</v>
      </c>
      <c r="AA1181">
        <f t="shared" si="258"/>
        <v>99996</v>
      </c>
      <c r="AB1181">
        <f t="shared" si="259"/>
        <v>5091</v>
      </c>
      <c r="AC1181">
        <f t="shared" si="260"/>
        <v>1102002.9600000009</v>
      </c>
      <c r="AD1181">
        <f t="shared" si="261"/>
        <v>1342.2691352009756</v>
      </c>
      <c r="AE1181">
        <f t="shared" si="262"/>
        <v>0.35149999999999998</v>
      </c>
      <c r="AF1181">
        <f t="shared" si="263"/>
        <v>459465255.79999948</v>
      </c>
      <c r="AG1181" t="str">
        <f t="shared" si="264"/>
        <v>Active</v>
      </c>
      <c r="AH1181">
        <f t="shared" si="265"/>
        <v>3141.3599999999997</v>
      </c>
    </row>
    <row r="1182" spans="1:34" x14ac:dyDescent="0.35">
      <c r="A1182" t="s">
        <v>3206</v>
      </c>
      <c r="B1182" t="s">
        <v>3207</v>
      </c>
      <c r="C1182">
        <v>28</v>
      </c>
      <c r="D1182" t="s">
        <v>22</v>
      </c>
      <c r="E1182" t="s">
        <v>32</v>
      </c>
      <c r="F1182" t="s">
        <v>24</v>
      </c>
      <c r="G1182">
        <v>191232</v>
      </c>
      <c r="H1182">
        <v>548</v>
      </c>
      <c r="I1182">
        <v>9378</v>
      </c>
      <c r="J1182">
        <v>14.06</v>
      </c>
      <c r="K1182">
        <v>24</v>
      </c>
      <c r="L1182" t="s">
        <v>52</v>
      </c>
      <c r="M1182">
        <v>26.29</v>
      </c>
      <c r="N1182">
        <v>50913</v>
      </c>
      <c r="O1182">
        <v>14256</v>
      </c>
      <c r="P1182" t="s">
        <v>141</v>
      </c>
      <c r="Q1182" t="s">
        <v>42</v>
      </c>
      <c r="R1182" t="s">
        <v>48</v>
      </c>
      <c r="S1182" t="s">
        <v>43</v>
      </c>
      <c r="T1182">
        <v>445.69</v>
      </c>
      <c r="U1182">
        <f t="shared" si="252"/>
        <v>820</v>
      </c>
      <c r="V1182">
        <f t="shared" si="253"/>
        <v>298</v>
      </c>
      <c r="W1182">
        <f t="shared" si="254"/>
        <v>260</v>
      </c>
      <c r="X1182">
        <f t="shared" si="255"/>
        <v>0.35149999999999998</v>
      </c>
      <c r="Y1182" s="1">
        <f t="shared" si="256"/>
        <v>42008124</v>
      </c>
      <c r="Z1182">
        <f t="shared" si="257"/>
        <v>51229.41951219512</v>
      </c>
      <c r="AA1182">
        <f t="shared" si="258"/>
        <v>99996</v>
      </c>
      <c r="AB1182">
        <f t="shared" si="259"/>
        <v>5091</v>
      </c>
      <c r="AC1182">
        <f t="shared" si="260"/>
        <v>1101741.1800000009</v>
      </c>
      <c r="AD1182">
        <f t="shared" si="261"/>
        <v>1343.5868048780499</v>
      </c>
      <c r="AE1182">
        <f t="shared" si="262"/>
        <v>0.35149999999999998</v>
      </c>
      <c r="AF1182">
        <f t="shared" si="263"/>
        <v>458363252.8399995</v>
      </c>
      <c r="AG1182" t="str">
        <f t="shared" si="264"/>
        <v>Active</v>
      </c>
      <c r="AH1182">
        <f t="shared" si="265"/>
        <v>5348.28</v>
      </c>
    </row>
    <row r="1183" spans="1:34" x14ac:dyDescent="0.35">
      <c r="A1183" t="s">
        <v>3208</v>
      </c>
      <c r="B1183" t="s">
        <v>3209</v>
      </c>
      <c r="C1183">
        <v>58</v>
      </c>
      <c r="D1183" t="s">
        <v>38</v>
      </c>
      <c r="E1183" t="s">
        <v>39</v>
      </c>
      <c r="F1183" t="s">
        <v>24</v>
      </c>
      <c r="G1183">
        <v>75884</v>
      </c>
      <c r="H1183">
        <v>518</v>
      </c>
      <c r="I1183">
        <v>43850</v>
      </c>
      <c r="J1183">
        <v>5.21</v>
      </c>
      <c r="K1183">
        <v>60</v>
      </c>
      <c r="L1183" t="s">
        <v>33</v>
      </c>
      <c r="M1183">
        <v>14.3</v>
      </c>
      <c r="N1183">
        <v>49265</v>
      </c>
      <c r="O1183">
        <v>42657</v>
      </c>
      <c r="P1183" t="s">
        <v>1201</v>
      </c>
      <c r="Q1183" t="s">
        <v>27</v>
      </c>
      <c r="R1183" t="s">
        <v>48</v>
      </c>
      <c r="S1183" t="s">
        <v>43</v>
      </c>
      <c r="T1183">
        <v>768.91</v>
      </c>
      <c r="U1183">
        <f t="shared" si="252"/>
        <v>819</v>
      </c>
      <c r="V1183">
        <f t="shared" si="253"/>
        <v>297</v>
      </c>
      <c r="W1183">
        <f t="shared" si="254"/>
        <v>260</v>
      </c>
      <c r="X1183">
        <f t="shared" si="255"/>
        <v>0.35149999999999998</v>
      </c>
      <c r="Y1183" s="1">
        <f t="shared" si="256"/>
        <v>41998746</v>
      </c>
      <c r="Z1183">
        <f t="shared" si="257"/>
        <v>51280.520146520146</v>
      </c>
      <c r="AA1183">
        <f t="shared" si="258"/>
        <v>99996</v>
      </c>
      <c r="AB1183">
        <f t="shared" si="259"/>
        <v>5091</v>
      </c>
      <c r="AC1183">
        <f t="shared" si="260"/>
        <v>1101295.4900000009</v>
      </c>
      <c r="AD1183">
        <f t="shared" si="261"/>
        <v>1344.6831379731391</v>
      </c>
      <c r="AE1183">
        <f t="shared" si="262"/>
        <v>0.35149999999999998</v>
      </c>
      <c r="AF1183">
        <f t="shared" si="263"/>
        <v>457261511.65999949</v>
      </c>
      <c r="AG1183" t="str">
        <f t="shared" si="264"/>
        <v>Active</v>
      </c>
      <c r="AH1183">
        <f t="shared" si="265"/>
        <v>9226.92</v>
      </c>
    </row>
    <row r="1184" spans="1:34" x14ac:dyDescent="0.35">
      <c r="A1184" t="s">
        <v>3210</v>
      </c>
      <c r="B1184" t="s">
        <v>3211</v>
      </c>
      <c r="C1184">
        <v>29</v>
      </c>
      <c r="D1184" t="s">
        <v>38</v>
      </c>
      <c r="E1184" t="s">
        <v>39</v>
      </c>
      <c r="F1184" t="s">
        <v>24</v>
      </c>
      <c r="G1184">
        <v>120014</v>
      </c>
      <c r="H1184">
        <v>589</v>
      </c>
      <c r="I1184">
        <v>8551</v>
      </c>
      <c r="J1184">
        <v>6.24</v>
      </c>
      <c r="K1184">
        <v>36</v>
      </c>
      <c r="L1184" t="s">
        <v>52</v>
      </c>
      <c r="M1184">
        <v>15.85</v>
      </c>
      <c r="N1184">
        <v>31297</v>
      </c>
      <c r="O1184">
        <v>9482</v>
      </c>
      <c r="P1184" t="s">
        <v>3212</v>
      </c>
      <c r="Q1184" t="s">
        <v>42</v>
      </c>
      <c r="R1184" t="s">
        <v>48</v>
      </c>
      <c r="S1184" t="s">
        <v>35</v>
      </c>
      <c r="T1184">
        <v>252.35</v>
      </c>
      <c r="U1184">
        <f t="shared" si="252"/>
        <v>818</v>
      </c>
      <c r="V1184">
        <f t="shared" si="253"/>
        <v>297</v>
      </c>
      <c r="W1184">
        <f t="shared" si="254"/>
        <v>260</v>
      </c>
      <c r="X1184">
        <f t="shared" si="255"/>
        <v>0.35149999999999998</v>
      </c>
      <c r="Y1184" s="1">
        <f t="shared" si="256"/>
        <v>41954896</v>
      </c>
      <c r="Z1184">
        <f t="shared" si="257"/>
        <v>51289.603911980441</v>
      </c>
      <c r="AA1184">
        <f t="shared" si="258"/>
        <v>99996</v>
      </c>
      <c r="AB1184">
        <f t="shared" si="259"/>
        <v>5091</v>
      </c>
      <c r="AC1184">
        <f t="shared" si="260"/>
        <v>1100526.5800000008</v>
      </c>
      <c r="AD1184">
        <f t="shared" si="261"/>
        <v>1345.3870171149154</v>
      </c>
      <c r="AE1184">
        <f t="shared" si="262"/>
        <v>0.35149999999999998</v>
      </c>
      <c r="AF1184">
        <f t="shared" si="263"/>
        <v>456160216.16999948</v>
      </c>
      <c r="AG1184" t="str">
        <f t="shared" si="264"/>
        <v>Active</v>
      </c>
      <c r="AH1184">
        <f t="shared" si="265"/>
        <v>3028.2</v>
      </c>
    </row>
    <row r="1185" spans="1:34" x14ac:dyDescent="0.35">
      <c r="A1185" t="s">
        <v>3213</v>
      </c>
      <c r="B1185" t="s">
        <v>3214</v>
      </c>
      <c r="C1185">
        <v>46</v>
      </c>
      <c r="D1185" t="s">
        <v>38</v>
      </c>
      <c r="E1185" t="s">
        <v>23</v>
      </c>
      <c r="F1185" t="s">
        <v>59</v>
      </c>
      <c r="G1185">
        <v>44747</v>
      </c>
      <c r="H1185">
        <v>326</v>
      </c>
      <c r="I1185">
        <v>70094</v>
      </c>
      <c r="J1185">
        <v>20.9</v>
      </c>
      <c r="K1185">
        <v>48</v>
      </c>
      <c r="L1185" t="s">
        <v>25</v>
      </c>
      <c r="M1185">
        <v>26.74</v>
      </c>
      <c r="N1185">
        <v>5245</v>
      </c>
      <c r="O1185">
        <v>227183</v>
      </c>
      <c r="P1185" t="s">
        <v>3215</v>
      </c>
      <c r="Q1185" t="s">
        <v>27</v>
      </c>
      <c r="R1185" t="s">
        <v>48</v>
      </c>
      <c r="S1185" t="s">
        <v>35</v>
      </c>
      <c r="T1185">
        <v>1765.49</v>
      </c>
      <c r="U1185">
        <f t="shared" si="252"/>
        <v>817</v>
      </c>
      <c r="V1185">
        <f t="shared" si="253"/>
        <v>296</v>
      </c>
      <c r="W1185">
        <f t="shared" si="254"/>
        <v>260</v>
      </c>
      <c r="X1185">
        <f t="shared" si="255"/>
        <v>0.35149999999999998</v>
      </c>
      <c r="Y1185" s="1">
        <f t="shared" si="256"/>
        <v>41946345</v>
      </c>
      <c r="Z1185">
        <f t="shared" si="257"/>
        <v>51341.915544675641</v>
      </c>
      <c r="AA1185">
        <f t="shared" si="258"/>
        <v>99996</v>
      </c>
      <c r="AB1185">
        <f t="shared" si="259"/>
        <v>5091</v>
      </c>
      <c r="AC1185">
        <f t="shared" si="260"/>
        <v>1100274.2300000007</v>
      </c>
      <c r="AD1185">
        <f t="shared" si="261"/>
        <v>1346.7248837209311</v>
      </c>
      <c r="AE1185">
        <f t="shared" si="262"/>
        <v>0.35149999999999998</v>
      </c>
      <c r="AF1185">
        <f t="shared" si="263"/>
        <v>455059689.58999944</v>
      </c>
      <c r="AG1185" t="str">
        <f t="shared" si="264"/>
        <v>Active</v>
      </c>
      <c r="AH1185">
        <f t="shared" si="265"/>
        <v>21185.88</v>
      </c>
    </row>
    <row r="1186" spans="1:34" x14ac:dyDescent="0.35">
      <c r="A1186" t="s">
        <v>3216</v>
      </c>
      <c r="B1186" t="s">
        <v>3217</v>
      </c>
      <c r="C1186">
        <v>43</v>
      </c>
      <c r="D1186" t="s">
        <v>22</v>
      </c>
      <c r="E1186" t="s">
        <v>32</v>
      </c>
      <c r="F1186" t="s">
        <v>59</v>
      </c>
      <c r="G1186">
        <v>85570</v>
      </c>
      <c r="H1186">
        <v>665</v>
      </c>
      <c r="I1186">
        <v>56337</v>
      </c>
      <c r="J1186">
        <v>12.02</v>
      </c>
      <c r="K1186">
        <v>360</v>
      </c>
      <c r="L1186" t="s">
        <v>33</v>
      </c>
      <c r="M1186">
        <v>32.96</v>
      </c>
      <c r="N1186">
        <v>62575</v>
      </c>
      <c r="O1186">
        <v>79966</v>
      </c>
      <c r="P1186" t="s">
        <v>177</v>
      </c>
      <c r="Q1186" t="s">
        <v>61</v>
      </c>
      <c r="R1186" t="s">
        <v>28</v>
      </c>
      <c r="S1186" t="s">
        <v>35</v>
      </c>
      <c r="T1186">
        <v>175.3</v>
      </c>
      <c r="U1186">
        <f t="shared" si="252"/>
        <v>816</v>
      </c>
      <c r="V1186">
        <f t="shared" si="253"/>
        <v>296</v>
      </c>
      <c r="W1186">
        <f t="shared" si="254"/>
        <v>260</v>
      </c>
      <c r="X1186">
        <f t="shared" si="255"/>
        <v>0.35149999999999998</v>
      </c>
      <c r="Y1186" s="1">
        <f t="shared" si="256"/>
        <v>41876251</v>
      </c>
      <c r="Z1186">
        <f t="shared" si="257"/>
        <v>51318.935049019608</v>
      </c>
      <c r="AA1186">
        <f t="shared" si="258"/>
        <v>99996</v>
      </c>
      <c r="AB1186">
        <f t="shared" si="259"/>
        <v>5091</v>
      </c>
      <c r="AC1186">
        <f t="shared" si="260"/>
        <v>1098508.7400000007</v>
      </c>
      <c r="AD1186">
        <f t="shared" si="261"/>
        <v>1346.2116911764715</v>
      </c>
      <c r="AE1186">
        <f t="shared" si="262"/>
        <v>0.35149999999999998</v>
      </c>
      <c r="AF1186">
        <f t="shared" si="263"/>
        <v>453959415.35999948</v>
      </c>
      <c r="AG1186" t="str">
        <f t="shared" si="264"/>
        <v>Active</v>
      </c>
      <c r="AH1186">
        <f t="shared" si="265"/>
        <v>2103.6000000000004</v>
      </c>
    </row>
    <row r="1187" spans="1:34" x14ac:dyDescent="0.35">
      <c r="A1187" t="s">
        <v>3218</v>
      </c>
      <c r="B1187" t="s">
        <v>3219</v>
      </c>
      <c r="C1187">
        <v>31</v>
      </c>
      <c r="D1187" t="s">
        <v>22</v>
      </c>
      <c r="E1187" t="s">
        <v>32</v>
      </c>
      <c r="F1187" t="s">
        <v>59</v>
      </c>
      <c r="G1187">
        <v>68824</v>
      </c>
      <c r="H1187">
        <v>661</v>
      </c>
      <c r="I1187">
        <v>79467</v>
      </c>
      <c r="J1187">
        <v>17.07</v>
      </c>
      <c r="K1187">
        <v>60</v>
      </c>
      <c r="L1187" t="s">
        <v>86</v>
      </c>
      <c r="M1187">
        <v>11.33</v>
      </c>
      <c r="N1187">
        <v>69195</v>
      </c>
      <c r="O1187">
        <v>94480</v>
      </c>
      <c r="P1187" t="s">
        <v>3220</v>
      </c>
      <c r="Q1187" t="s">
        <v>42</v>
      </c>
      <c r="R1187" t="s">
        <v>28</v>
      </c>
      <c r="S1187" t="s">
        <v>35</v>
      </c>
      <c r="T1187">
        <v>1550.53</v>
      </c>
      <c r="U1187">
        <f t="shared" si="252"/>
        <v>815</v>
      </c>
      <c r="V1187">
        <f t="shared" si="253"/>
        <v>296</v>
      </c>
      <c r="W1187">
        <f t="shared" si="254"/>
        <v>259</v>
      </c>
      <c r="X1187">
        <f t="shared" si="255"/>
        <v>0.35149999999999998</v>
      </c>
      <c r="Y1187" s="1">
        <f t="shared" si="256"/>
        <v>41819914</v>
      </c>
      <c r="Z1187">
        <f t="shared" si="257"/>
        <v>51312.777914110433</v>
      </c>
      <c r="AA1187">
        <f t="shared" si="258"/>
        <v>99996</v>
      </c>
      <c r="AB1187">
        <f t="shared" si="259"/>
        <v>5091</v>
      </c>
      <c r="AC1187">
        <f t="shared" si="260"/>
        <v>1098333.4400000009</v>
      </c>
      <c r="AD1187">
        <f t="shared" si="261"/>
        <v>1347.6483926380379</v>
      </c>
      <c r="AE1187">
        <f t="shared" si="262"/>
        <v>0.35149999999999998</v>
      </c>
      <c r="AF1187">
        <f t="shared" si="263"/>
        <v>452860906.61999947</v>
      </c>
      <c r="AG1187" t="str">
        <f t="shared" si="264"/>
        <v>Active</v>
      </c>
      <c r="AH1187">
        <f t="shared" si="265"/>
        <v>18606.36</v>
      </c>
    </row>
    <row r="1188" spans="1:34" x14ac:dyDescent="0.35">
      <c r="A1188" t="s">
        <v>3221</v>
      </c>
      <c r="B1188" t="s">
        <v>3222</v>
      </c>
      <c r="C1188">
        <v>47</v>
      </c>
      <c r="D1188" t="s">
        <v>38</v>
      </c>
      <c r="E1188" t="s">
        <v>23</v>
      </c>
      <c r="F1188" t="s">
        <v>24</v>
      </c>
      <c r="G1188">
        <v>34988</v>
      </c>
      <c r="H1188">
        <v>569</v>
      </c>
      <c r="I1188">
        <v>87916</v>
      </c>
      <c r="J1188">
        <v>16.600000000000001</v>
      </c>
      <c r="K1188">
        <v>48</v>
      </c>
      <c r="L1188" t="s">
        <v>86</v>
      </c>
      <c r="M1188">
        <v>28.42</v>
      </c>
      <c r="N1188">
        <v>10441</v>
      </c>
      <c r="O1188">
        <v>141347</v>
      </c>
      <c r="P1188" t="s">
        <v>236</v>
      </c>
      <c r="Q1188" t="s">
        <v>61</v>
      </c>
      <c r="R1188" t="s">
        <v>28</v>
      </c>
      <c r="S1188" t="s">
        <v>35</v>
      </c>
      <c r="T1188">
        <v>2135.63</v>
      </c>
      <c r="U1188">
        <f t="shared" si="252"/>
        <v>814</v>
      </c>
      <c r="V1188">
        <f t="shared" si="253"/>
        <v>295</v>
      </c>
      <c r="W1188">
        <f t="shared" si="254"/>
        <v>259</v>
      </c>
      <c r="X1188">
        <f t="shared" si="255"/>
        <v>0.35149999999999998</v>
      </c>
      <c r="Y1188" s="1">
        <f t="shared" si="256"/>
        <v>41740447</v>
      </c>
      <c r="Z1188">
        <f t="shared" si="257"/>
        <v>51278.190417690421</v>
      </c>
      <c r="AA1188">
        <f t="shared" si="258"/>
        <v>99996</v>
      </c>
      <c r="AB1188">
        <f t="shared" si="259"/>
        <v>5091</v>
      </c>
      <c r="AC1188">
        <f t="shared" si="260"/>
        <v>1096782.9100000006</v>
      </c>
      <c r="AD1188">
        <f t="shared" si="261"/>
        <v>1347.3991523341531</v>
      </c>
      <c r="AE1188">
        <f t="shared" si="262"/>
        <v>0.35149999999999998</v>
      </c>
      <c r="AF1188">
        <f t="shared" si="263"/>
        <v>451762573.17999953</v>
      </c>
      <c r="AG1188" t="str">
        <f t="shared" si="264"/>
        <v>Active</v>
      </c>
      <c r="AH1188">
        <f t="shared" si="265"/>
        <v>25627.56</v>
      </c>
    </row>
    <row r="1189" spans="1:34" x14ac:dyDescent="0.35">
      <c r="A1189" t="s">
        <v>3223</v>
      </c>
      <c r="B1189" t="s">
        <v>3224</v>
      </c>
      <c r="C1189">
        <v>49</v>
      </c>
      <c r="D1189" t="s">
        <v>38</v>
      </c>
      <c r="E1189" t="s">
        <v>23</v>
      </c>
      <c r="F1189" t="s">
        <v>46</v>
      </c>
      <c r="G1189">
        <v>71297</v>
      </c>
      <c r="H1189">
        <v>850</v>
      </c>
      <c r="I1189">
        <v>49974</v>
      </c>
      <c r="J1189">
        <v>19.88</v>
      </c>
      <c r="K1189">
        <v>360</v>
      </c>
      <c r="L1189" t="s">
        <v>33</v>
      </c>
      <c r="M1189">
        <v>46.28</v>
      </c>
      <c r="N1189">
        <v>48424</v>
      </c>
      <c r="O1189">
        <v>120442</v>
      </c>
      <c r="P1189" t="s">
        <v>400</v>
      </c>
      <c r="Q1189" t="s">
        <v>27</v>
      </c>
      <c r="R1189" t="s">
        <v>28</v>
      </c>
      <c r="S1189" t="s">
        <v>68</v>
      </c>
      <c r="T1189">
        <v>166.41</v>
      </c>
      <c r="U1189">
        <f t="shared" si="252"/>
        <v>813</v>
      </c>
      <c r="V1189">
        <f t="shared" si="253"/>
        <v>295</v>
      </c>
      <c r="W1189">
        <f t="shared" si="254"/>
        <v>258</v>
      </c>
      <c r="X1189">
        <f t="shared" si="255"/>
        <v>0.35149999999999998</v>
      </c>
      <c r="Y1189" s="1">
        <f t="shared" si="256"/>
        <v>41652531</v>
      </c>
      <c r="Z1189">
        <f t="shared" si="257"/>
        <v>51233.125461254611</v>
      </c>
      <c r="AA1189">
        <f t="shared" si="258"/>
        <v>99996</v>
      </c>
      <c r="AB1189">
        <f t="shared" si="259"/>
        <v>5091</v>
      </c>
      <c r="AC1189">
        <f t="shared" si="260"/>
        <v>1094647.2800000007</v>
      </c>
      <c r="AD1189">
        <f t="shared" si="261"/>
        <v>1346.4296186961878</v>
      </c>
      <c r="AE1189">
        <f t="shared" si="262"/>
        <v>0.35149999999999998</v>
      </c>
      <c r="AF1189">
        <f t="shared" si="263"/>
        <v>450665790.2699995</v>
      </c>
      <c r="AG1189" t="str">
        <f t="shared" si="264"/>
        <v>Active</v>
      </c>
      <c r="AH1189">
        <f t="shared" si="265"/>
        <v>1996.92</v>
      </c>
    </row>
    <row r="1190" spans="1:34" x14ac:dyDescent="0.35">
      <c r="A1190" t="s">
        <v>3225</v>
      </c>
      <c r="B1190" t="s">
        <v>3226</v>
      </c>
      <c r="C1190">
        <v>40</v>
      </c>
      <c r="D1190" t="s">
        <v>38</v>
      </c>
      <c r="E1190" t="s">
        <v>39</v>
      </c>
      <c r="F1190" t="s">
        <v>24</v>
      </c>
      <c r="G1190">
        <v>123496</v>
      </c>
      <c r="H1190">
        <v>611</v>
      </c>
      <c r="I1190">
        <v>19097</v>
      </c>
      <c r="J1190">
        <v>17.829999999999998</v>
      </c>
      <c r="K1190">
        <v>48</v>
      </c>
      <c r="L1190" t="s">
        <v>40</v>
      </c>
      <c r="M1190">
        <v>11.73</v>
      </c>
      <c r="N1190">
        <v>65142</v>
      </c>
      <c r="O1190">
        <v>215559</v>
      </c>
      <c r="P1190" t="s">
        <v>1481</v>
      </c>
      <c r="Q1190" t="s">
        <v>42</v>
      </c>
      <c r="R1190" t="s">
        <v>48</v>
      </c>
      <c r="S1190" t="s">
        <v>35</v>
      </c>
      <c r="T1190">
        <v>468.79</v>
      </c>
      <c r="U1190">
        <f t="shared" si="252"/>
        <v>812</v>
      </c>
      <c r="V1190">
        <f t="shared" si="253"/>
        <v>295</v>
      </c>
      <c r="W1190">
        <f t="shared" si="254"/>
        <v>258</v>
      </c>
      <c r="X1190">
        <f t="shared" si="255"/>
        <v>0.35149999999999998</v>
      </c>
      <c r="Y1190" s="1">
        <f t="shared" si="256"/>
        <v>41602557</v>
      </c>
      <c r="Z1190">
        <f t="shared" si="257"/>
        <v>51234.676108374384</v>
      </c>
      <c r="AA1190">
        <f t="shared" si="258"/>
        <v>99996</v>
      </c>
      <c r="AB1190">
        <f t="shared" si="259"/>
        <v>5091</v>
      </c>
      <c r="AC1190">
        <f t="shared" si="260"/>
        <v>1094480.8700000006</v>
      </c>
      <c r="AD1190">
        <f t="shared" si="261"/>
        <v>1347.882844827587</v>
      </c>
      <c r="AE1190">
        <f t="shared" si="262"/>
        <v>0.35149999999999998</v>
      </c>
      <c r="AF1190">
        <f t="shared" si="263"/>
        <v>449571142.98999953</v>
      </c>
      <c r="AG1190" t="str">
        <f t="shared" si="264"/>
        <v>Active</v>
      </c>
      <c r="AH1190">
        <f t="shared" si="265"/>
        <v>5625.4800000000005</v>
      </c>
    </row>
    <row r="1191" spans="1:34" x14ac:dyDescent="0.35">
      <c r="A1191" t="s">
        <v>3227</v>
      </c>
      <c r="B1191" t="s">
        <v>3228</v>
      </c>
      <c r="C1191">
        <v>47</v>
      </c>
      <c r="D1191" t="s">
        <v>38</v>
      </c>
      <c r="E1191" t="s">
        <v>39</v>
      </c>
      <c r="F1191" t="s">
        <v>59</v>
      </c>
      <c r="G1191">
        <v>36366</v>
      </c>
      <c r="H1191">
        <v>621</v>
      </c>
      <c r="I1191">
        <v>66548</v>
      </c>
      <c r="J1191">
        <v>5.95</v>
      </c>
      <c r="K1191">
        <v>36</v>
      </c>
      <c r="L1191" t="s">
        <v>25</v>
      </c>
      <c r="M1191">
        <v>40.53</v>
      </c>
      <c r="N1191">
        <v>69051</v>
      </c>
      <c r="O1191">
        <v>20230</v>
      </c>
      <c r="P1191" t="s">
        <v>3229</v>
      </c>
      <c r="Q1191" t="s">
        <v>42</v>
      </c>
      <c r="R1191" t="s">
        <v>28</v>
      </c>
      <c r="S1191" t="s">
        <v>35</v>
      </c>
      <c r="T1191">
        <v>1958.54</v>
      </c>
      <c r="U1191">
        <f t="shared" si="252"/>
        <v>811</v>
      </c>
      <c r="V1191">
        <f t="shared" si="253"/>
        <v>294</v>
      </c>
      <c r="W1191">
        <f t="shared" si="254"/>
        <v>258</v>
      </c>
      <c r="X1191">
        <f t="shared" si="255"/>
        <v>0.35149999999999998</v>
      </c>
      <c r="Y1191" s="1">
        <f t="shared" si="256"/>
        <v>41583460</v>
      </c>
      <c r="Z1191">
        <f t="shared" si="257"/>
        <v>51274.303329223185</v>
      </c>
      <c r="AA1191">
        <f t="shared" si="258"/>
        <v>99996</v>
      </c>
      <c r="AB1191">
        <f t="shared" si="259"/>
        <v>5091</v>
      </c>
      <c r="AC1191">
        <f t="shared" si="260"/>
        <v>1094012.0800000005</v>
      </c>
      <c r="AD1191">
        <f t="shared" si="261"/>
        <v>1348.966806411838</v>
      </c>
      <c r="AE1191">
        <f t="shared" si="262"/>
        <v>0.35149999999999998</v>
      </c>
      <c r="AF1191">
        <f t="shared" si="263"/>
        <v>448476662.11999959</v>
      </c>
      <c r="AG1191" t="str">
        <f t="shared" si="264"/>
        <v>Active</v>
      </c>
      <c r="AH1191">
        <f t="shared" si="265"/>
        <v>23502.48</v>
      </c>
    </row>
    <row r="1192" spans="1:34" x14ac:dyDescent="0.35">
      <c r="A1192" t="s">
        <v>3230</v>
      </c>
      <c r="B1192" t="s">
        <v>3231</v>
      </c>
      <c r="C1192">
        <v>21</v>
      </c>
      <c r="D1192" t="s">
        <v>22</v>
      </c>
      <c r="E1192" t="s">
        <v>23</v>
      </c>
      <c r="F1192" t="s">
        <v>24</v>
      </c>
      <c r="G1192">
        <v>80947</v>
      </c>
      <c r="H1192">
        <v>464</v>
      </c>
      <c r="I1192">
        <v>13355</v>
      </c>
      <c r="J1192">
        <v>8.26</v>
      </c>
      <c r="K1192">
        <v>48</v>
      </c>
      <c r="L1192" t="s">
        <v>40</v>
      </c>
      <c r="M1192">
        <v>29.18</v>
      </c>
      <c r="N1192">
        <v>54834</v>
      </c>
      <c r="O1192">
        <v>141438</v>
      </c>
      <c r="P1192" t="s">
        <v>1129</v>
      </c>
      <c r="Q1192" t="s">
        <v>27</v>
      </c>
      <c r="R1192" t="s">
        <v>48</v>
      </c>
      <c r="S1192" t="s">
        <v>43</v>
      </c>
      <c r="T1192">
        <v>301.20999999999998</v>
      </c>
      <c r="U1192">
        <f t="shared" si="252"/>
        <v>810</v>
      </c>
      <c r="V1192">
        <f t="shared" si="253"/>
        <v>293</v>
      </c>
      <c r="W1192">
        <f t="shared" si="254"/>
        <v>258</v>
      </c>
      <c r="X1192">
        <f t="shared" si="255"/>
        <v>0.35149999999999998</v>
      </c>
      <c r="Y1192" s="1">
        <f t="shared" si="256"/>
        <v>41516912</v>
      </c>
      <c r="Z1192">
        <f t="shared" si="257"/>
        <v>51255.44691358025</v>
      </c>
      <c r="AA1192">
        <f t="shared" si="258"/>
        <v>99996</v>
      </c>
      <c r="AB1192">
        <f t="shared" si="259"/>
        <v>5091</v>
      </c>
      <c r="AC1192">
        <f t="shared" si="260"/>
        <v>1092053.5400000007</v>
      </c>
      <c r="AD1192">
        <f t="shared" si="261"/>
        <v>1348.2142469135811</v>
      </c>
      <c r="AE1192">
        <f t="shared" si="262"/>
        <v>0.35149999999999998</v>
      </c>
      <c r="AF1192">
        <f t="shared" si="263"/>
        <v>447382650.03999954</v>
      </c>
      <c r="AG1192" t="str">
        <f t="shared" si="264"/>
        <v>Active</v>
      </c>
      <c r="AH1192">
        <f t="shared" si="265"/>
        <v>3614.5199999999995</v>
      </c>
    </row>
    <row r="1193" spans="1:34" x14ac:dyDescent="0.35">
      <c r="A1193" t="s">
        <v>3232</v>
      </c>
      <c r="B1193" t="s">
        <v>3233</v>
      </c>
      <c r="C1193">
        <v>28</v>
      </c>
      <c r="D1193" t="s">
        <v>22</v>
      </c>
      <c r="E1193" t="s">
        <v>23</v>
      </c>
      <c r="F1193" t="s">
        <v>24</v>
      </c>
      <c r="G1193">
        <v>78192</v>
      </c>
      <c r="H1193">
        <v>650</v>
      </c>
      <c r="I1193">
        <v>55555</v>
      </c>
      <c r="J1193">
        <v>6.12</v>
      </c>
      <c r="K1193">
        <v>360</v>
      </c>
      <c r="L1193" t="s">
        <v>25</v>
      </c>
      <c r="M1193">
        <v>10.58</v>
      </c>
      <c r="N1193">
        <v>36088</v>
      </c>
      <c r="O1193">
        <v>1297</v>
      </c>
      <c r="P1193" t="s">
        <v>1686</v>
      </c>
      <c r="Q1193" t="s">
        <v>42</v>
      </c>
      <c r="R1193" t="s">
        <v>28</v>
      </c>
      <c r="S1193" t="s">
        <v>68</v>
      </c>
      <c r="T1193">
        <v>163.76</v>
      </c>
      <c r="U1193">
        <f t="shared" si="252"/>
        <v>809</v>
      </c>
      <c r="V1193">
        <f t="shared" si="253"/>
        <v>293</v>
      </c>
      <c r="W1193">
        <f t="shared" si="254"/>
        <v>258</v>
      </c>
      <c r="X1193">
        <f t="shared" si="255"/>
        <v>0.35149999999999998</v>
      </c>
      <c r="Y1193" s="1">
        <f t="shared" si="256"/>
        <v>41503557</v>
      </c>
      <c r="Z1193">
        <f t="shared" si="257"/>
        <v>51302.295426452409</v>
      </c>
      <c r="AA1193">
        <f t="shared" si="258"/>
        <v>99996</v>
      </c>
      <c r="AB1193">
        <f t="shared" si="259"/>
        <v>5091</v>
      </c>
      <c r="AC1193">
        <f t="shared" si="260"/>
        <v>1091752.3300000008</v>
      </c>
      <c r="AD1193">
        <f t="shared" si="261"/>
        <v>1349.5084425216326</v>
      </c>
      <c r="AE1193">
        <f t="shared" si="262"/>
        <v>0.35149999999999998</v>
      </c>
      <c r="AF1193">
        <f t="shared" si="263"/>
        <v>446290596.49999952</v>
      </c>
      <c r="AG1193" t="str">
        <f t="shared" si="264"/>
        <v>Active</v>
      </c>
      <c r="AH1193">
        <f t="shared" si="265"/>
        <v>1965.12</v>
      </c>
    </row>
    <row r="1194" spans="1:34" x14ac:dyDescent="0.35">
      <c r="A1194" t="s">
        <v>3234</v>
      </c>
      <c r="B1194" t="s">
        <v>3235</v>
      </c>
      <c r="C1194">
        <v>33</v>
      </c>
      <c r="D1194" t="s">
        <v>38</v>
      </c>
      <c r="E1194" t="s">
        <v>32</v>
      </c>
      <c r="F1194" t="s">
        <v>46</v>
      </c>
      <c r="G1194">
        <v>98788</v>
      </c>
      <c r="H1194">
        <v>447</v>
      </c>
      <c r="I1194">
        <v>18001</v>
      </c>
      <c r="J1194">
        <v>14.18</v>
      </c>
      <c r="K1194">
        <v>120</v>
      </c>
      <c r="L1194" t="s">
        <v>40</v>
      </c>
      <c r="M1194">
        <v>58.48</v>
      </c>
      <c r="N1194">
        <v>73751</v>
      </c>
      <c r="O1194">
        <v>21013</v>
      </c>
      <c r="P1194" t="s">
        <v>3236</v>
      </c>
      <c r="Q1194" t="s">
        <v>42</v>
      </c>
      <c r="R1194" t="s">
        <v>48</v>
      </c>
      <c r="S1194" t="s">
        <v>68</v>
      </c>
      <c r="T1194">
        <v>171.28</v>
      </c>
      <c r="U1194">
        <f t="shared" si="252"/>
        <v>808</v>
      </c>
      <c r="V1194">
        <f t="shared" si="253"/>
        <v>292</v>
      </c>
      <c r="W1194">
        <f t="shared" si="254"/>
        <v>258</v>
      </c>
      <c r="X1194">
        <f t="shared" si="255"/>
        <v>0.35149999999999998</v>
      </c>
      <c r="Y1194" s="1">
        <f t="shared" si="256"/>
        <v>41448002</v>
      </c>
      <c r="Z1194">
        <f t="shared" si="257"/>
        <v>51297.032178217822</v>
      </c>
      <c r="AA1194">
        <f t="shared" si="258"/>
        <v>99996</v>
      </c>
      <c r="AB1194">
        <f t="shared" si="259"/>
        <v>5091</v>
      </c>
      <c r="AC1194">
        <f t="shared" si="260"/>
        <v>1091588.5700000008</v>
      </c>
      <c r="AD1194">
        <f t="shared" si="261"/>
        <v>1350.9759529702981</v>
      </c>
      <c r="AE1194">
        <f t="shared" si="262"/>
        <v>0.35149999999999998</v>
      </c>
      <c r="AF1194">
        <f t="shared" si="263"/>
        <v>445198844.1699996</v>
      </c>
      <c r="AG1194" t="str">
        <f t="shared" si="264"/>
        <v>Active</v>
      </c>
      <c r="AH1194">
        <f t="shared" si="265"/>
        <v>2055.36</v>
      </c>
    </row>
    <row r="1195" spans="1:34" x14ac:dyDescent="0.35">
      <c r="A1195" t="s">
        <v>3237</v>
      </c>
      <c r="B1195" t="s">
        <v>3238</v>
      </c>
      <c r="C1195">
        <v>41</v>
      </c>
      <c r="D1195" t="s">
        <v>38</v>
      </c>
      <c r="E1195" t="s">
        <v>23</v>
      </c>
      <c r="F1195" t="s">
        <v>24</v>
      </c>
      <c r="G1195">
        <v>129979</v>
      </c>
      <c r="H1195">
        <v>531</v>
      </c>
      <c r="I1195">
        <v>50756</v>
      </c>
      <c r="J1195">
        <v>13.36</v>
      </c>
      <c r="K1195">
        <v>48</v>
      </c>
      <c r="L1195" t="s">
        <v>52</v>
      </c>
      <c r="M1195">
        <v>53.72</v>
      </c>
      <c r="N1195">
        <v>4540</v>
      </c>
      <c r="O1195">
        <v>98761</v>
      </c>
      <c r="P1195" t="s">
        <v>3239</v>
      </c>
      <c r="Q1195" t="s">
        <v>27</v>
      </c>
      <c r="R1195" t="s">
        <v>48</v>
      </c>
      <c r="S1195" t="s">
        <v>29</v>
      </c>
      <c r="T1195">
        <v>1198.69</v>
      </c>
      <c r="U1195">
        <f t="shared" si="252"/>
        <v>807</v>
      </c>
      <c r="V1195">
        <f t="shared" si="253"/>
        <v>291</v>
      </c>
      <c r="W1195">
        <f t="shared" si="254"/>
        <v>258</v>
      </c>
      <c r="X1195">
        <f t="shared" si="255"/>
        <v>0.35149999999999998</v>
      </c>
      <c r="Y1195" s="1">
        <f t="shared" si="256"/>
        <v>41430001</v>
      </c>
      <c r="Z1195">
        <f t="shared" si="257"/>
        <v>51338.291201982654</v>
      </c>
      <c r="AA1195">
        <f t="shared" si="258"/>
        <v>99996</v>
      </c>
      <c r="AB1195">
        <f t="shared" si="259"/>
        <v>5091</v>
      </c>
      <c r="AC1195">
        <f t="shared" si="260"/>
        <v>1091417.2900000007</v>
      </c>
      <c r="AD1195">
        <f t="shared" si="261"/>
        <v>1352.4377819083034</v>
      </c>
      <c r="AE1195">
        <f t="shared" si="262"/>
        <v>0.35149999999999998</v>
      </c>
      <c r="AF1195">
        <f t="shared" si="263"/>
        <v>444107255.59999955</v>
      </c>
      <c r="AG1195" t="str">
        <f t="shared" si="264"/>
        <v>Active</v>
      </c>
      <c r="AH1195">
        <f t="shared" si="265"/>
        <v>14384.28</v>
      </c>
    </row>
    <row r="1196" spans="1:34" x14ac:dyDescent="0.35">
      <c r="A1196" t="s">
        <v>3240</v>
      </c>
      <c r="B1196" t="s">
        <v>3241</v>
      </c>
      <c r="C1196">
        <v>63</v>
      </c>
      <c r="D1196" t="s">
        <v>38</v>
      </c>
      <c r="E1196" t="s">
        <v>23</v>
      </c>
      <c r="F1196" t="s">
        <v>24</v>
      </c>
      <c r="G1196">
        <v>33913</v>
      </c>
      <c r="H1196">
        <v>458</v>
      </c>
      <c r="I1196">
        <v>92638</v>
      </c>
      <c r="J1196">
        <v>6.16</v>
      </c>
      <c r="K1196">
        <v>48</v>
      </c>
      <c r="L1196" t="s">
        <v>86</v>
      </c>
      <c r="M1196">
        <v>15.42</v>
      </c>
      <c r="N1196">
        <v>44591</v>
      </c>
      <c r="O1196">
        <v>135270</v>
      </c>
      <c r="P1196" t="s">
        <v>2109</v>
      </c>
      <c r="Q1196" t="s">
        <v>27</v>
      </c>
      <c r="R1196" t="s">
        <v>48</v>
      </c>
      <c r="S1196" t="s">
        <v>43</v>
      </c>
      <c r="T1196">
        <v>2048.84</v>
      </c>
      <c r="U1196">
        <f t="shared" si="252"/>
        <v>806</v>
      </c>
      <c r="V1196">
        <f t="shared" si="253"/>
        <v>291</v>
      </c>
      <c r="W1196">
        <f t="shared" si="254"/>
        <v>258</v>
      </c>
      <c r="X1196">
        <f t="shared" si="255"/>
        <v>0.35149999999999998</v>
      </c>
      <c r="Y1196" s="1">
        <f t="shared" si="256"/>
        <v>41379245</v>
      </c>
      <c r="Z1196">
        <f t="shared" si="257"/>
        <v>51339.013647642678</v>
      </c>
      <c r="AA1196">
        <f t="shared" si="258"/>
        <v>99996</v>
      </c>
      <c r="AB1196">
        <f t="shared" si="259"/>
        <v>5091</v>
      </c>
      <c r="AC1196">
        <f t="shared" si="260"/>
        <v>1090218.6000000008</v>
      </c>
      <c r="AD1196">
        <f t="shared" si="261"/>
        <v>1352.6285359801498</v>
      </c>
      <c r="AE1196">
        <f t="shared" si="262"/>
        <v>0.35149999999999998</v>
      </c>
      <c r="AF1196">
        <f t="shared" si="263"/>
        <v>443015838.30999953</v>
      </c>
      <c r="AG1196" t="str">
        <f t="shared" si="264"/>
        <v>Active</v>
      </c>
      <c r="AH1196">
        <f t="shared" si="265"/>
        <v>24586.080000000002</v>
      </c>
    </row>
    <row r="1197" spans="1:34" x14ac:dyDescent="0.35">
      <c r="A1197" t="s">
        <v>3242</v>
      </c>
      <c r="B1197" t="s">
        <v>3243</v>
      </c>
      <c r="C1197">
        <v>29</v>
      </c>
      <c r="D1197" t="s">
        <v>22</v>
      </c>
      <c r="E1197" t="s">
        <v>23</v>
      </c>
      <c r="F1197" t="s">
        <v>59</v>
      </c>
      <c r="G1197">
        <v>124818</v>
      </c>
      <c r="H1197">
        <v>556</v>
      </c>
      <c r="I1197">
        <v>73232</v>
      </c>
      <c r="J1197">
        <v>23.15</v>
      </c>
      <c r="K1197">
        <v>48</v>
      </c>
      <c r="L1197" t="s">
        <v>40</v>
      </c>
      <c r="M1197">
        <v>27.09</v>
      </c>
      <c r="N1197">
        <v>56103</v>
      </c>
      <c r="O1197">
        <v>192522</v>
      </c>
      <c r="P1197" t="s">
        <v>1832</v>
      </c>
      <c r="Q1197" t="s">
        <v>27</v>
      </c>
      <c r="R1197" t="s">
        <v>48</v>
      </c>
      <c r="S1197" t="s">
        <v>68</v>
      </c>
      <c r="T1197">
        <v>1878.86</v>
      </c>
      <c r="U1197">
        <f t="shared" si="252"/>
        <v>805</v>
      </c>
      <c r="V1197">
        <f t="shared" si="253"/>
        <v>291</v>
      </c>
      <c r="W1197">
        <f t="shared" si="254"/>
        <v>258</v>
      </c>
      <c r="X1197">
        <f t="shared" si="255"/>
        <v>0.35149999999999998</v>
      </c>
      <c r="Y1197" s="1">
        <f t="shared" si="256"/>
        <v>41286607</v>
      </c>
      <c r="Z1197">
        <f t="shared" si="257"/>
        <v>51287.710559006213</v>
      </c>
      <c r="AA1197">
        <f t="shared" si="258"/>
        <v>99996</v>
      </c>
      <c r="AB1197">
        <f t="shared" si="259"/>
        <v>5091</v>
      </c>
      <c r="AC1197">
        <f t="shared" si="260"/>
        <v>1088169.7600000007</v>
      </c>
      <c r="AD1197">
        <f t="shared" si="261"/>
        <v>1351.7636770186343</v>
      </c>
      <c r="AE1197">
        <f t="shared" si="262"/>
        <v>0.35149999999999998</v>
      </c>
      <c r="AF1197">
        <f t="shared" si="263"/>
        <v>441925619.7099995</v>
      </c>
      <c r="AG1197" t="str">
        <f t="shared" si="264"/>
        <v>Active</v>
      </c>
      <c r="AH1197">
        <f t="shared" si="265"/>
        <v>22546.32</v>
      </c>
    </row>
    <row r="1198" spans="1:34" x14ac:dyDescent="0.35">
      <c r="A1198" t="s">
        <v>3244</v>
      </c>
      <c r="B1198" t="s">
        <v>3245</v>
      </c>
      <c r="C1198">
        <v>32</v>
      </c>
      <c r="D1198" t="s">
        <v>38</v>
      </c>
      <c r="E1198" t="s">
        <v>39</v>
      </c>
      <c r="F1198" t="s">
        <v>46</v>
      </c>
      <c r="G1198">
        <v>28425</v>
      </c>
      <c r="H1198">
        <v>494</v>
      </c>
      <c r="I1198">
        <v>82153</v>
      </c>
      <c r="J1198">
        <v>22.37</v>
      </c>
      <c r="K1198">
        <v>360</v>
      </c>
      <c r="L1198" t="s">
        <v>33</v>
      </c>
      <c r="M1198">
        <v>37.840000000000003</v>
      </c>
      <c r="N1198">
        <v>60444</v>
      </c>
      <c r="O1198">
        <v>171159</v>
      </c>
      <c r="P1198" t="s">
        <v>3246</v>
      </c>
      <c r="Q1198" t="s">
        <v>61</v>
      </c>
      <c r="R1198" t="s">
        <v>28</v>
      </c>
      <c r="S1198" t="s">
        <v>43</v>
      </c>
      <c r="T1198">
        <v>279.25</v>
      </c>
      <c r="U1198">
        <f t="shared" si="252"/>
        <v>804</v>
      </c>
      <c r="V1198">
        <f t="shared" si="253"/>
        <v>291</v>
      </c>
      <c r="W1198">
        <f t="shared" si="254"/>
        <v>258</v>
      </c>
      <c r="X1198">
        <f t="shared" si="255"/>
        <v>0.35149999999999998</v>
      </c>
      <c r="Y1198" s="1">
        <f t="shared" si="256"/>
        <v>41213375</v>
      </c>
      <c r="Z1198">
        <f t="shared" si="257"/>
        <v>51260.416666666664</v>
      </c>
      <c r="AA1198">
        <f t="shared" si="258"/>
        <v>99996</v>
      </c>
      <c r="AB1198">
        <f t="shared" si="259"/>
        <v>5091</v>
      </c>
      <c r="AC1198">
        <f t="shared" si="260"/>
        <v>1086290.9000000006</v>
      </c>
      <c r="AD1198">
        <f t="shared" si="261"/>
        <v>1351.1080845771153</v>
      </c>
      <c r="AE1198">
        <f t="shared" si="262"/>
        <v>0.35149999999999998</v>
      </c>
      <c r="AF1198">
        <f t="shared" si="263"/>
        <v>440837449.94999951</v>
      </c>
      <c r="AG1198" t="str">
        <f t="shared" si="264"/>
        <v>Active</v>
      </c>
      <c r="AH1198">
        <f t="shared" si="265"/>
        <v>3351</v>
      </c>
    </row>
    <row r="1199" spans="1:34" x14ac:dyDescent="0.35">
      <c r="A1199" t="s">
        <v>3247</v>
      </c>
      <c r="B1199" t="s">
        <v>3248</v>
      </c>
      <c r="C1199">
        <v>49</v>
      </c>
      <c r="D1199" t="s">
        <v>22</v>
      </c>
      <c r="E1199" t="s">
        <v>23</v>
      </c>
      <c r="F1199" t="s">
        <v>24</v>
      </c>
      <c r="G1199">
        <v>32407</v>
      </c>
      <c r="H1199">
        <v>550</v>
      </c>
      <c r="I1199">
        <v>47263</v>
      </c>
      <c r="J1199">
        <v>20.22</v>
      </c>
      <c r="K1199">
        <v>12</v>
      </c>
      <c r="L1199" t="s">
        <v>52</v>
      </c>
      <c r="M1199">
        <v>8.89</v>
      </c>
      <c r="N1199">
        <v>1261</v>
      </c>
      <c r="O1199">
        <v>186074</v>
      </c>
      <c r="P1199" t="s">
        <v>598</v>
      </c>
      <c r="Q1199" t="s">
        <v>42</v>
      </c>
      <c r="R1199" t="s">
        <v>28</v>
      </c>
      <c r="S1199" t="s">
        <v>68</v>
      </c>
      <c r="T1199">
        <v>4734.96</v>
      </c>
      <c r="U1199">
        <f t="shared" si="252"/>
        <v>803</v>
      </c>
      <c r="V1199">
        <f t="shared" si="253"/>
        <v>291</v>
      </c>
      <c r="W1199">
        <f t="shared" si="254"/>
        <v>257</v>
      </c>
      <c r="X1199">
        <f t="shared" si="255"/>
        <v>0.35149999999999998</v>
      </c>
      <c r="Y1199" s="1">
        <f t="shared" si="256"/>
        <v>41131222</v>
      </c>
      <c r="Z1199">
        <f t="shared" si="257"/>
        <v>51221.945205479453</v>
      </c>
      <c r="AA1199">
        <f t="shared" si="258"/>
        <v>99996</v>
      </c>
      <c r="AB1199">
        <f t="shared" si="259"/>
        <v>5091</v>
      </c>
      <c r="AC1199">
        <f t="shared" si="260"/>
        <v>1086011.6500000006</v>
      </c>
      <c r="AD1199">
        <f t="shared" si="261"/>
        <v>1352.4429016189297</v>
      </c>
      <c r="AE1199">
        <f t="shared" si="262"/>
        <v>0.35149999999999998</v>
      </c>
      <c r="AF1199">
        <f t="shared" si="263"/>
        <v>439751159.04999948</v>
      </c>
      <c r="AG1199" t="str">
        <f t="shared" si="264"/>
        <v>Active</v>
      </c>
      <c r="AH1199">
        <f t="shared" si="265"/>
        <v>56819.520000000004</v>
      </c>
    </row>
    <row r="1200" spans="1:34" x14ac:dyDescent="0.35">
      <c r="A1200" t="s">
        <v>3249</v>
      </c>
      <c r="B1200" t="s">
        <v>3250</v>
      </c>
      <c r="C1200">
        <v>64</v>
      </c>
      <c r="D1200" t="s">
        <v>22</v>
      </c>
      <c r="E1200" t="s">
        <v>39</v>
      </c>
      <c r="F1200" t="s">
        <v>46</v>
      </c>
      <c r="G1200">
        <v>193869</v>
      </c>
      <c r="H1200">
        <v>829</v>
      </c>
      <c r="I1200">
        <v>61538</v>
      </c>
      <c r="J1200">
        <v>11.49</v>
      </c>
      <c r="K1200">
        <v>12</v>
      </c>
      <c r="L1200" t="s">
        <v>33</v>
      </c>
      <c r="M1200">
        <v>29.11</v>
      </c>
      <c r="N1200">
        <v>40886</v>
      </c>
      <c r="O1200">
        <v>227971</v>
      </c>
      <c r="P1200" t="s">
        <v>1758</v>
      </c>
      <c r="Q1200" t="s">
        <v>61</v>
      </c>
      <c r="R1200" t="s">
        <v>48</v>
      </c>
      <c r="S1200" t="s">
        <v>49</v>
      </c>
      <c r="T1200">
        <v>5717.39</v>
      </c>
      <c r="U1200">
        <f t="shared" si="252"/>
        <v>802</v>
      </c>
      <c r="V1200">
        <f t="shared" si="253"/>
        <v>290</v>
      </c>
      <c r="W1200">
        <f t="shared" si="254"/>
        <v>257</v>
      </c>
      <c r="X1200">
        <f t="shared" si="255"/>
        <v>0.35149999999999998</v>
      </c>
      <c r="Y1200" s="1">
        <f t="shared" si="256"/>
        <v>41083959</v>
      </c>
      <c r="Z1200">
        <f t="shared" si="257"/>
        <v>51226.88154613466</v>
      </c>
      <c r="AA1200">
        <f t="shared" si="258"/>
        <v>99996</v>
      </c>
      <c r="AB1200">
        <f t="shared" si="259"/>
        <v>5091</v>
      </c>
      <c r="AC1200">
        <f t="shared" si="260"/>
        <v>1081276.6900000006</v>
      </c>
      <c r="AD1200">
        <f t="shared" si="261"/>
        <v>1348.2252992518711</v>
      </c>
      <c r="AE1200">
        <f t="shared" si="262"/>
        <v>0.35149999999999998</v>
      </c>
      <c r="AF1200">
        <f t="shared" si="263"/>
        <v>438665147.3999995</v>
      </c>
      <c r="AG1200" t="str">
        <f t="shared" si="264"/>
        <v>Over Paid</v>
      </c>
      <c r="AH1200">
        <f t="shared" si="265"/>
        <v>68608.680000000008</v>
      </c>
    </row>
    <row r="1201" spans="1:34" x14ac:dyDescent="0.35">
      <c r="A1201" t="s">
        <v>3251</v>
      </c>
      <c r="B1201" t="s">
        <v>3252</v>
      </c>
      <c r="C1201">
        <v>64</v>
      </c>
      <c r="D1201" t="s">
        <v>38</v>
      </c>
      <c r="E1201" t="s">
        <v>39</v>
      </c>
      <c r="F1201" t="s">
        <v>59</v>
      </c>
      <c r="G1201">
        <v>76896</v>
      </c>
      <c r="H1201">
        <v>605</v>
      </c>
      <c r="I1201">
        <v>60082</v>
      </c>
      <c r="J1201">
        <v>16.559999999999999</v>
      </c>
      <c r="K1201">
        <v>240</v>
      </c>
      <c r="L1201" t="s">
        <v>52</v>
      </c>
      <c r="M1201">
        <v>59.31</v>
      </c>
      <c r="N1201">
        <v>14301</v>
      </c>
      <c r="O1201">
        <v>158014</v>
      </c>
      <c r="P1201" t="s">
        <v>3253</v>
      </c>
      <c r="Q1201" t="s">
        <v>27</v>
      </c>
      <c r="R1201" t="s">
        <v>28</v>
      </c>
      <c r="S1201" t="s">
        <v>43</v>
      </c>
      <c r="T1201">
        <v>291.8</v>
      </c>
      <c r="U1201">
        <f t="shared" si="252"/>
        <v>801</v>
      </c>
      <c r="V1201">
        <f t="shared" si="253"/>
        <v>290</v>
      </c>
      <c r="W1201">
        <f t="shared" si="254"/>
        <v>256</v>
      </c>
      <c r="X1201">
        <f t="shared" si="255"/>
        <v>0.35149999999999998</v>
      </c>
      <c r="Y1201" s="1">
        <f t="shared" si="256"/>
        <v>41022421</v>
      </c>
      <c r="Z1201">
        <f t="shared" si="257"/>
        <v>51214.008739076155</v>
      </c>
      <c r="AA1201">
        <f t="shared" si="258"/>
        <v>99996</v>
      </c>
      <c r="AB1201">
        <f t="shared" si="259"/>
        <v>5091</v>
      </c>
      <c r="AC1201">
        <f t="shared" si="260"/>
        <v>1075559.3000000003</v>
      </c>
      <c r="AD1201">
        <f t="shared" si="261"/>
        <v>1342.7706616729092</v>
      </c>
      <c r="AE1201">
        <f t="shared" si="262"/>
        <v>0.35149999999999998</v>
      </c>
      <c r="AF1201">
        <f t="shared" si="263"/>
        <v>437583870.7099995</v>
      </c>
      <c r="AG1201" t="str">
        <f t="shared" si="264"/>
        <v>Over Paid</v>
      </c>
      <c r="AH1201">
        <f t="shared" si="265"/>
        <v>3501.6000000000004</v>
      </c>
    </row>
    <row r="1202" spans="1:34" x14ac:dyDescent="0.35">
      <c r="A1202" t="s">
        <v>3254</v>
      </c>
      <c r="B1202" t="s">
        <v>3255</v>
      </c>
      <c r="C1202">
        <v>49</v>
      </c>
      <c r="D1202" t="s">
        <v>38</v>
      </c>
      <c r="E1202" t="s">
        <v>23</v>
      </c>
      <c r="F1202" t="s">
        <v>24</v>
      </c>
      <c r="G1202">
        <v>100691</v>
      </c>
      <c r="H1202">
        <v>703</v>
      </c>
      <c r="I1202">
        <v>32708</v>
      </c>
      <c r="J1202">
        <v>22.19</v>
      </c>
      <c r="K1202">
        <v>24</v>
      </c>
      <c r="L1202" t="s">
        <v>52</v>
      </c>
      <c r="M1202">
        <v>10.73</v>
      </c>
      <c r="N1202">
        <v>32786</v>
      </c>
      <c r="O1202">
        <v>101079</v>
      </c>
      <c r="P1202" t="s">
        <v>3256</v>
      </c>
      <c r="Q1202" t="s">
        <v>27</v>
      </c>
      <c r="R1202" t="s">
        <v>48</v>
      </c>
      <c r="S1202" t="s">
        <v>35</v>
      </c>
      <c r="T1202">
        <v>1665.25</v>
      </c>
      <c r="U1202">
        <f t="shared" si="252"/>
        <v>800</v>
      </c>
      <c r="V1202">
        <f t="shared" si="253"/>
        <v>290</v>
      </c>
      <c r="W1202">
        <f t="shared" si="254"/>
        <v>256</v>
      </c>
      <c r="X1202">
        <f t="shared" si="255"/>
        <v>0.35149999999999998</v>
      </c>
      <c r="Y1202" s="1">
        <f t="shared" si="256"/>
        <v>40962339</v>
      </c>
      <c r="Z1202">
        <f t="shared" si="257"/>
        <v>51202.923750000002</v>
      </c>
      <c r="AA1202">
        <f t="shared" si="258"/>
        <v>99996</v>
      </c>
      <c r="AB1202">
        <f t="shared" si="259"/>
        <v>5091</v>
      </c>
      <c r="AC1202">
        <f t="shared" si="260"/>
        <v>1075267.5000000002</v>
      </c>
      <c r="AD1202">
        <f t="shared" si="261"/>
        <v>1344.0843750000004</v>
      </c>
      <c r="AE1202">
        <f t="shared" si="262"/>
        <v>0.35149999999999998</v>
      </c>
      <c r="AF1202">
        <f t="shared" si="263"/>
        <v>436508311.40999949</v>
      </c>
      <c r="AG1202" t="str">
        <f t="shared" si="264"/>
        <v>Active</v>
      </c>
      <c r="AH1202">
        <f t="shared" si="265"/>
        <v>19983</v>
      </c>
    </row>
    <row r="1203" spans="1:34" x14ac:dyDescent="0.35">
      <c r="A1203" t="s">
        <v>3257</v>
      </c>
      <c r="B1203" t="s">
        <v>3258</v>
      </c>
      <c r="C1203">
        <v>63</v>
      </c>
      <c r="D1203" t="s">
        <v>22</v>
      </c>
      <c r="E1203" t="s">
        <v>32</v>
      </c>
      <c r="F1203" t="s">
        <v>59</v>
      </c>
      <c r="G1203">
        <v>138442</v>
      </c>
      <c r="H1203">
        <v>406</v>
      </c>
      <c r="I1203">
        <v>88529</v>
      </c>
      <c r="J1203">
        <v>15.19</v>
      </c>
      <c r="K1203">
        <v>240</v>
      </c>
      <c r="L1203" t="s">
        <v>33</v>
      </c>
      <c r="M1203">
        <v>40.630000000000003</v>
      </c>
      <c r="N1203">
        <v>17049</v>
      </c>
      <c r="O1203">
        <v>10484</v>
      </c>
      <c r="P1203" t="s">
        <v>3259</v>
      </c>
      <c r="Q1203" t="s">
        <v>42</v>
      </c>
      <c r="R1203" t="s">
        <v>28</v>
      </c>
      <c r="S1203" t="s">
        <v>43</v>
      </c>
      <c r="T1203">
        <v>424.9</v>
      </c>
      <c r="U1203">
        <f t="shared" si="252"/>
        <v>799</v>
      </c>
      <c r="V1203">
        <f t="shared" si="253"/>
        <v>290</v>
      </c>
      <c r="W1203">
        <f t="shared" si="254"/>
        <v>256</v>
      </c>
      <c r="X1203">
        <f t="shared" si="255"/>
        <v>0.35149999999999998</v>
      </c>
      <c r="Y1203" s="1">
        <f t="shared" si="256"/>
        <v>40929631</v>
      </c>
      <c r="Z1203">
        <f t="shared" si="257"/>
        <v>51226.07133917397</v>
      </c>
      <c r="AA1203">
        <f t="shared" si="258"/>
        <v>99996</v>
      </c>
      <c r="AB1203">
        <f t="shared" si="259"/>
        <v>5091</v>
      </c>
      <c r="AC1203">
        <f t="shared" si="260"/>
        <v>1073602.2500000005</v>
      </c>
      <c r="AD1203">
        <f t="shared" si="261"/>
        <v>1343.6824155193999</v>
      </c>
      <c r="AE1203">
        <f t="shared" si="262"/>
        <v>0.35149999999999998</v>
      </c>
      <c r="AF1203">
        <f t="shared" si="263"/>
        <v>435433043.90999955</v>
      </c>
      <c r="AG1203" t="str">
        <f t="shared" si="264"/>
        <v>Active</v>
      </c>
      <c r="AH1203">
        <f t="shared" si="265"/>
        <v>5098.7999999999993</v>
      </c>
    </row>
    <row r="1204" spans="1:34" x14ac:dyDescent="0.35">
      <c r="A1204" t="s">
        <v>3260</v>
      </c>
      <c r="B1204" t="s">
        <v>3261</v>
      </c>
      <c r="C1204">
        <v>36</v>
      </c>
      <c r="D1204" t="s">
        <v>38</v>
      </c>
      <c r="E1204" t="s">
        <v>23</v>
      </c>
      <c r="F1204" t="s">
        <v>59</v>
      </c>
      <c r="G1204">
        <v>34372</v>
      </c>
      <c r="H1204">
        <v>783</v>
      </c>
      <c r="I1204">
        <v>93425</v>
      </c>
      <c r="J1204">
        <v>15.34</v>
      </c>
      <c r="K1204">
        <v>240</v>
      </c>
      <c r="L1204" t="s">
        <v>25</v>
      </c>
      <c r="M1204">
        <v>13.01</v>
      </c>
      <c r="N1204">
        <v>20166</v>
      </c>
      <c r="O1204">
        <v>230655</v>
      </c>
      <c r="P1204" t="s">
        <v>1890</v>
      </c>
      <c r="Q1204" t="s">
        <v>42</v>
      </c>
      <c r="R1204" t="s">
        <v>28</v>
      </c>
      <c r="S1204" t="s">
        <v>43</v>
      </c>
      <c r="T1204">
        <v>448.98</v>
      </c>
      <c r="U1204">
        <f t="shared" si="252"/>
        <v>798</v>
      </c>
      <c r="V1204">
        <f t="shared" si="253"/>
        <v>289</v>
      </c>
      <c r="W1204">
        <f t="shared" si="254"/>
        <v>256</v>
      </c>
      <c r="X1204">
        <f t="shared" si="255"/>
        <v>0.35149999999999998</v>
      </c>
      <c r="Y1204" s="1">
        <f t="shared" si="256"/>
        <v>40841102</v>
      </c>
      <c r="Z1204">
        <f t="shared" si="257"/>
        <v>51179.325814536343</v>
      </c>
      <c r="AA1204">
        <f t="shared" si="258"/>
        <v>99996</v>
      </c>
      <c r="AB1204">
        <f t="shared" si="259"/>
        <v>5091</v>
      </c>
      <c r="AC1204">
        <f t="shared" si="260"/>
        <v>1073177.3500000006</v>
      </c>
      <c r="AD1204">
        <f t="shared" si="261"/>
        <v>1344.8337719298252</v>
      </c>
      <c r="AE1204">
        <f t="shared" si="262"/>
        <v>0.35149999999999998</v>
      </c>
      <c r="AF1204">
        <f t="shared" si="263"/>
        <v>434359441.65999955</v>
      </c>
      <c r="AG1204" t="str">
        <f t="shared" si="264"/>
        <v>Active</v>
      </c>
      <c r="AH1204">
        <f t="shared" si="265"/>
        <v>5387.76</v>
      </c>
    </row>
    <row r="1205" spans="1:34" x14ac:dyDescent="0.35">
      <c r="A1205" t="s">
        <v>3262</v>
      </c>
      <c r="B1205" t="s">
        <v>3263</v>
      </c>
      <c r="C1205">
        <v>59</v>
      </c>
      <c r="D1205" t="s">
        <v>22</v>
      </c>
      <c r="E1205" t="s">
        <v>32</v>
      </c>
      <c r="F1205" t="s">
        <v>59</v>
      </c>
      <c r="G1205">
        <v>179732</v>
      </c>
      <c r="H1205">
        <v>503</v>
      </c>
      <c r="I1205">
        <v>62641</v>
      </c>
      <c r="J1205">
        <v>15.99</v>
      </c>
      <c r="K1205">
        <v>36</v>
      </c>
      <c r="L1205" t="s">
        <v>25</v>
      </c>
      <c r="M1205">
        <v>46.17</v>
      </c>
      <c r="N1205">
        <v>69683</v>
      </c>
      <c r="O1205">
        <v>84163</v>
      </c>
      <c r="P1205" t="s">
        <v>1494</v>
      </c>
      <c r="Q1205" t="s">
        <v>27</v>
      </c>
      <c r="R1205" t="s">
        <v>28</v>
      </c>
      <c r="S1205" t="s">
        <v>43</v>
      </c>
      <c r="T1205">
        <v>2018.26</v>
      </c>
      <c r="U1205">
        <f t="shared" si="252"/>
        <v>797</v>
      </c>
      <c r="V1205">
        <f t="shared" si="253"/>
        <v>288</v>
      </c>
      <c r="W1205">
        <f t="shared" si="254"/>
        <v>256</v>
      </c>
      <c r="X1205">
        <f t="shared" si="255"/>
        <v>0.35149999999999998</v>
      </c>
      <c r="Y1205" s="1">
        <f t="shared" si="256"/>
        <v>40747677</v>
      </c>
      <c r="Z1205">
        <f t="shared" si="257"/>
        <v>51126.319949811797</v>
      </c>
      <c r="AA1205">
        <f t="shared" si="258"/>
        <v>99996</v>
      </c>
      <c r="AB1205">
        <f t="shared" si="259"/>
        <v>5091</v>
      </c>
      <c r="AC1205">
        <f t="shared" si="260"/>
        <v>1072728.3700000003</v>
      </c>
      <c r="AD1205">
        <f t="shared" si="261"/>
        <v>1345.957804265998</v>
      </c>
      <c r="AE1205">
        <f t="shared" si="262"/>
        <v>0.35149999999999998</v>
      </c>
      <c r="AF1205">
        <f t="shared" si="263"/>
        <v>433286264.30999953</v>
      </c>
      <c r="AG1205" t="str">
        <f t="shared" si="264"/>
        <v>Active</v>
      </c>
      <c r="AH1205">
        <f t="shared" si="265"/>
        <v>24219.119999999999</v>
      </c>
    </row>
    <row r="1206" spans="1:34" x14ac:dyDescent="0.35">
      <c r="A1206" t="s">
        <v>3264</v>
      </c>
      <c r="B1206" t="s">
        <v>3265</v>
      </c>
      <c r="C1206">
        <v>40</v>
      </c>
      <c r="D1206" t="s">
        <v>22</v>
      </c>
      <c r="E1206" t="s">
        <v>23</v>
      </c>
      <c r="F1206" t="s">
        <v>46</v>
      </c>
      <c r="G1206">
        <v>138630</v>
      </c>
      <c r="H1206">
        <v>600</v>
      </c>
      <c r="I1206">
        <v>57290</v>
      </c>
      <c r="J1206">
        <v>10.55</v>
      </c>
      <c r="K1206">
        <v>36</v>
      </c>
      <c r="L1206" t="s">
        <v>52</v>
      </c>
      <c r="M1206">
        <v>17.13</v>
      </c>
      <c r="N1206">
        <v>12740</v>
      </c>
      <c r="O1206">
        <v>135557</v>
      </c>
      <c r="P1206" t="s">
        <v>227</v>
      </c>
      <c r="Q1206" t="s">
        <v>42</v>
      </c>
      <c r="R1206" t="s">
        <v>28</v>
      </c>
      <c r="S1206" t="s">
        <v>68</v>
      </c>
      <c r="T1206">
        <v>1759.28</v>
      </c>
      <c r="U1206">
        <f t="shared" si="252"/>
        <v>796</v>
      </c>
      <c r="V1206">
        <f t="shared" si="253"/>
        <v>288</v>
      </c>
      <c r="W1206">
        <f t="shared" si="254"/>
        <v>256</v>
      </c>
      <c r="X1206">
        <f t="shared" si="255"/>
        <v>0.35149999999999998</v>
      </c>
      <c r="Y1206" s="1">
        <f t="shared" si="256"/>
        <v>40685036</v>
      </c>
      <c r="Z1206">
        <f t="shared" si="257"/>
        <v>51111.85427135678</v>
      </c>
      <c r="AA1206">
        <f t="shared" si="258"/>
        <v>99996</v>
      </c>
      <c r="AB1206">
        <f t="shared" si="259"/>
        <v>5091</v>
      </c>
      <c r="AC1206">
        <f t="shared" si="260"/>
        <v>1070710.1100000003</v>
      </c>
      <c r="AD1206">
        <f t="shared" si="261"/>
        <v>1345.1132035175883</v>
      </c>
      <c r="AE1206">
        <f t="shared" si="262"/>
        <v>0.35149999999999998</v>
      </c>
      <c r="AF1206">
        <f t="shared" si="263"/>
        <v>432213535.93999952</v>
      </c>
      <c r="AG1206" t="str">
        <f t="shared" si="264"/>
        <v>Active</v>
      </c>
      <c r="AH1206">
        <f t="shared" si="265"/>
        <v>21111.360000000001</v>
      </c>
    </row>
    <row r="1207" spans="1:34" x14ac:dyDescent="0.35">
      <c r="A1207" t="s">
        <v>3266</v>
      </c>
      <c r="B1207" t="s">
        <v>3267</v>
      </c>
      <c r="C1207">
        <v>49</v>
      </c>
      <c r="D1207" t="s">
        <v>22</v>
      </c>
      <c r="E1207" t="s">
        <v>23</v>
      </c>
      <c r="F1207" t="s">
        <v>24</v>
      </c>
      <c r="G1207">
        <v>109781</v>
      </c>
      <c r="H1207">
        <v>377</v>
      </c>
      <c r="I1207">
        <v>29475</v>
      </c>
      <c r="J1207">
        <v>15.82</v>
      </c>
      <c r="K1207">
        <v>180</v>
      </c>
      <c r="L1207" t="s">
        <v>40</v>
      </c>
      <c r="M1207">
        <v>13.4</v>
      </c>
      <c r="N1207">
        <v>28811</v>
      </c>
      <c r="O1207">
        <v>135821</v>
      </c>
      <c r="P1207" t="s">
        <v>1484</v>
      </c>
      <c r="Q1207" t="s">
        <v>61</v>
      </c>
      <c r="R1207" t="s">
        <v>48</v>
      </c>
      <c r="S1207" t="s">
        <v>68</v>
      </c>
      <c r="T1207">
        <v>189.66</v>
      </c>
      <c r="U1207">
        <f t="shared" si="252"/>
        <v>795</v>
      </c>
      <c r="V1207">
        <f t="shared" si="253"/>
        <v>287</v>
      </c>
      <c r="W1207">
        <f t="shared" si="254"/>
        <v>256</v>
      </c>
      <c r="X1207">
        <f t="shared" si="255"/>
        <v>0.35149999999999998</v>
      </c>
      <c r="Y1207" s="1">
        <f t="shared" si="256"/>
        <v>40627746</v>
      </c>
      <c r="Z1207">
        <f t="shared" si="257"/>
        <v>51104.083018867925</v>
      </c>
      <c r="AA1207">
        <f t="shared" si="258"/>
        <v>99996</v>
      </c>
      <c r="AB1207">
        <f t="shared" si="259"/>
        <v>5091</v>
      </c>
      <c r="AC1207">
        <f t="shared" si="260"/>
        <v>1068950.8300000003</v>
      </c>
      <c r="AD1207">
        <f t="shared" si="261"/>
        <v>1344.5922389937111</v>
      </c>
      <c r="AE1207">
        <f t="shared" si="262"/>
        <v>0.35149999999999998</v>
      </c>
      <c r="AF1207">
        <f t="shared" si="263"/>
        <v>431142825.82999951</v>
      </c>
      <c r="AG1207" t="str">
        <f t="shared" si="264"/>
        <v>Active</v>
      </c>
      <c r="AH1207">
        <f t="shared" si="265"/>
        <v>2275.92</v>
      </c>
    </row>
    <row r="1208" spans="1:34" x14ac:dyDescent="0.35">
      <c r="A1208" t="s">
        <v>3268</v>
      </c>
      <c r="B1208" t="s">
        <v>3269</v>
      </c>
      <c r="C1208">
        <v>47</v>
      </c>
      <c r="D1208" t="s">
        <v>38</v>
      </c>
      <c r="E1208" t="s">
        <v>32</v>
      </c>
      <c r="F1208" t="s">
        <v>59</v>
      </c>
      <c r="G1208">
        <v>33803</v>
      </c>
      <c r="H1208">
        <v>718</v>
      </c>
      <c r="I1208">
        <v>83833</v>
      </c>
      <c r="J1208">
        <v>9.3800000000000008</v>
      </c>
      <c r="K1208">
        <v>24</v>
      </c>
      <c r="L1208" t="s">
        <v>86</v>
      </c>
      <c r="M1208">
        <v>57.81</v>
      </c>
      <c r="N1208">
        <v>58534</v>
      </c>
      <c r="O1208">
        <v>157200</v>
      </c>
      <c r="P1208" t="s">
        <v>3270</v>
      </c>
      <c r="Q1208" t="s">
        <v>61</v>
      </c>
      <c r="R1208" t="s">
        <v>28</v>
      </c>
      <c r="S1208" t="s">
        <v>49</v>
      </c>
      <c r="T1208">
        <v>3820.69</v>
      </c>
      <c r="U1208">
        <f t="shared" si="252"/>
        <v>794</v>
      </c>
      <c r="V1208">
        <f t="shared" si="253"/>
        <v>287</v>
      </c>
      <c r="W1208">
        <f t="shared" si="254"/>
        <v>255</v>
      </c>
      <c r="X1208">
        <f t="shared" si="255"/>
        <v>0.35149999999999998</v>
      </c>
      <c r="Y1208" s="1">
        <f t="shared" si="256"/>
        <v>40598271</v>
      </c>
      <c r="Z1208">
        <f t="shared" si="257"/>
        <v>51131.323677581866</v>
      </c>
      <c r="AA1208">
        <f t="shared" si="258"/>
        <v>99996</v>
      </c>
      <c r="AB1208">
        <f t="shared" si="259"/>
        <v>5091</v>
      </c>
      <c r="AC1208">
        <f t="shared" si="260"/>
        <v>1068761.1700000004</v>
      </c>
      <c r="AD1208">
        <f t="shared" si="261"/>
        <v>1346.0468136020156</v>
      </c>
      <c r="AE1208">
        <f t="shared" si="262"/>
        <v>0.35149999999999998</v>
      </c>
      <c r="AF1208">
        <f t="shared" si="263"/>
        <v>430073874.99999946</v>
      </c>
      <c r="AG1208" t="str">
        <f t="shared" si="264"/>
        <v>Active</v>
      </c>
      <c r="AH1208">
        <f t="shared" si="265"/>
        <v>45848.28</v>
      </c>
    </row>
    <row r="1209" spans="1:34" x14ac:dyDescent="0.35">
      <c r="A1209" t="s">
        <v>3271</v>
      </c>
      <c r="B1209" t="s">
        <v>3272</v>
      </c>
      <c r="C1209">
        <v>61</v>
      </c>
      <c r="D1209" t="s">
        <v>38</v>
      </c>
      <c r="E1209" t="s">
        <v>32</v>
      </c>
      <c r="F1209" t="s">
        <v>46</v>
      </c>
      <c r="G1209">
        <v>51570</v>
      </c>
      <c r="H1209">
        <v>522</v>
      </c>
      <c r="I1209">
        <v>40222</v>
      </c>
      <c r="J1209">
        <v>8.49</v>
      </c>
      <c r="K1209">
        <v>36</v>
      </c>
      <c r="L1209" t="s">
        <v>52</v>
      </c>
      <c r="M1209">
        <v>59.64</v>
      </c>
      <c r="N1209">
        <v>624</v>
      </c>
      <c r="O1209">
        <v>227160</v>
      </c>
      <c r="P1209" t="s">
        <v>144</v>
      </c>
      <c r="Q1209" t="s">
        <v>61</v>
      </c>
      <c r="R1209" t="s">
        <v>48</v>
      </c>
      <c r="S1209" t="s">
        <v>35</v>
      </c>
      <c r="T1209">
        <v>1212.1300000000001</v>
      </c>
      <c r="U1209">
        <f t="shared" si="252"/>
        <v>793</v>
      </c>
      <c r="V1209">
        <f t="shared" si="253"/>
        <v>287</v>
      </c>
      <c r="W1209">
        <f t="shared" si="254"/>
        <v>254</v>
      </c>
      <c r="X1209">
        <f t="shared" si="255"/>
        <v>0.35149999999999998</v>
      </c>
      <c r="Y1209" s="1">
        <f t="shared" si="256"/>
        <v>40514438</v>
      </c>
      <c r="Z1209">
        <f t="shared" si="257"/>
        <v>51090.085750315258</v>
      </c>
      <c r="AA1209">
        <f t="shared" si="258"/>
        <v>99996</v>
      </c>
      <c r="AB1209">
        <f t="shared" si="259"/>
        <v>5091</v>
      </c>
      <c r="AC1209">
        <f t="shared" si="260"/>
        <v>1064940.4800000002</v>
      </c>
      <c r="AD1209">
        <f t="shared" si="261"/>
        <v>1342.9262042875159</v>
      </c>
      <c r="AE1209">
        <f t="shared" si="262"/>
        <v>0.35149999999999998</v>
      </c>
      <c r="AF1209">
        <f t="shared" si="263"/>
        <v>429005113.82999957</v>
      </c>
      <c r="AG1209" t="str">
        <f t="shared" si="264"/>
        <v>Active</v>
      </c>
      <c r="AH1209">
        <f t="shared" si="265"/>
        <v>14545.560000000001</v>
      </c>
    </row>
    <row r="1210" spans="1:34" x14ac:dyDescent="0.35">
      <c r="A1210" t="s">
        <v>3273</v>
      </c>
      <c r="B1210" t="s">
        <v>3274</v>
      </c>
      <c r="C1210">
        <v>60</v>
      </c>
      <c r="D1210" t="s">
        <v>38</v>
      </c>
      <c r="E1210" t="s">
        <v>23</v>
      </c>
      <c r="F1210" t="s">
        <v>46</v>
      </c>
      <c r="G1210">
        <v>168540</v>
      </c>
      <c r="H1210">
        <v>543</v>
      </c>
      <c r="I1210">
        <v>14687</v>
      </c>
      <c r="J1210">
        <v>12.13</v>
      </c>
      <c r="K1210">
        <v>36</v>
      </c>
      <c r="L1210" t="s">
        <v>52</v>
      </c>
      <c r="M1210">
        <v>44.6</v>
      </c>
      <c r="N1210">
        <v>32288</v>
      </c>
      <c r="O1210">
        <v>114378</v>
      </c>
      <c r="P1210" t="s">
        <v>3275</v>
      </c>
      <c r="Q1210" t="s">
        <v>27</v>
      </c>
      <c r="R1210" t="s">
        <v>28</v>
      </c>
      <c r="S1210" t="s">
        <v>49</v>
      </c>
      <c r="T1210">
        <v>457.46</v>
      </c>
      <c r="U1210">
        <f t="shared" si="252"/>
        <v>792</v>
      </c>
      <c r="V1210">
        <f t="shared" si="253"/>
        <v>287</v>
      </c>
      <c r="W1210">
        <f t="shared" si="254"/>
        <v>253</v>
      </c>
      <c r="X1210">
        <f t="shared" si="255"/>
        <v>0.35149999999999998</v>
      </c>
      <c r="Y1210" s="1">
        <f t="shared" si="256"/>
        <v>40474216</v>
      </c>
      <c r="Z1210">
        <f t="shared" si="257"/>
        <v>51103.808080808078</v>
      </c>
      <c r="AA1210">
        <f t="shared" si="258"/>
        <v>99996</v>
      </c>
      <c r="AB1210">
        <f t="shared" si="259"/>
        <v>5091</v>
      </c>
      <c r="AC1210">
        <f t="shared" si="260"/>
        <v>1063728.3500000003</v>
      </c>
      <c r="AD1210">
        <f t="shared" si="261"/>
        <v>1343.0913510101013</v>
      </c>
      <c r="AE1210">
        <f t="shared" si="262"/>
        <v>0.35149999999999998</v>
      </c>
      <c r="AF1210">
        <f t="shared" si="263"/>
        <v>427940173.34999955</v>
      </c>
      <c r="AG1210" t="str">
        <f t="shared" si="264"/>
        <v>Active</v>
      </c>
      <c r="AH1210">
        <f t="shared" si="265"/>
        <v>5489.5199999999995</v>
      </c>
    </row>
    <row r="1211" spans="1:34" x14ac:dyDescent="0.35">
      <c r="A1211" t="s">
        <v>3276</v>
      </c>
      <c r="B1211" t="s">
        <v>3277</v>
      </c>
      <c r="C1211">
        <v>54</v>
      </c>
      <c r="D1211" t="s">
        <v>38</v>
      </c>
      <c r="E1211" t="s">
        <v>23</v>
      </c>
      <c r="F1211" t="s">
        <v>59</v>
      </c>
      <c r="G1211">
        <v>68977</v>
      </c>
      <c r="H1211">
        <v>519</v>
      </c>
      <c r="I1211">
        <v>37561</v>
      </c>
      <c r="J1211">
        <v>16.329999999999998</v>
      </c>
      <c r="K1211">
        <v>240</v>
      </c>
      <c r="L1211" t="s">
        <v>33</v>
      </c>
      <c r="M1211">
        <v>22.8</v>
      </c>
      <c r="N1211">
        <v>55021</v>
      </c>
      <c r="O1211">
        <v>163283</v>
      </c>
      <c r="P1211" t="s">
        <v>1878</v>
      </c>
      <c r="Q1211" t="s">
        <v>42</v>
      </c>
      <c r="R1211" t="s">
        <v>48</v>
      </c>
      <c r="S1211" t="s">
        <v>49</v>
      </c>
      <c r="T1211">
        <v>182.06</v>
      </c>
      <c r="U1211">
        <f t="shared" si="252"/>
        <v>791</v>
      </c>
      <c r="V1211">
        <f t="shared" si="253"/>
        <v>287</v>
      </c>
      <c r="W1211">
        <f t="shared" si="254"/>
        <v>253</v>
      </c>
      <c r="X1211">
        <f t="shared" si="255"/>
        <v>0.35149999999999998</v>
      </c>
      <c r="Y1211" s="1">
        <f t="shared" si="256"/>
        <v>40459529</v>
      </c>
      <c r="Z1211">
        <f t="shared" si="257"/>
        <v>51149.847029077115</v>
      </c>
      <c r="AA1211">
        <f t="shared" si="258"/>
        <v>99996</v>
      </c>
      <c r="AB1211">
        <f t="shared" si="259"/>
        <v>5091</v>
      </c>
      <c r="AC1211">
        <f t="shared" si="260"/>
        <v>1063270.8900000001</v>
      </c>
      <c r="AD1211">
        <f t="shared" si="261"/>
        <v>1344.2109860935527</v>
      </c>
      <c r="AE1211">
        <f t="shared" si="262"/>
        <v>0.35149999999999998</v>
      </c>
      <c r="AF1211">
        <f t="shared" si="263"/>
        <v>426876444.99999958</v>
      </c>
      <c r="AG1211" t="str">
        <f t="shared" si="264"/>
        <v>Active</v>
      </c>
      <c r="AH1211">
        <f t="shared" si="265"/>
        <v>2184.7200000000003</v>
      </c>
    </row>
    <row r="1212" spans="1:34" x14ac:dyDescent="0.35">
      <c r="A1212" t="s">
        <v>3278</v>
      </c>
      <c r="B1212" t="s">
        <v>3279</v>
      </c>
      <c r="C1212">
        <v>25</v>
      </c>
      <c r="D1212" t="s">
        <v>22</v>
      </c>
      <c r="E1212" t="s">
        <v>23</v>
      </c>
      <c r="F1212" t="s">
        <v>24</v>
      </c>
      <c r="G1212">
        <v>171263</v>
      </c>
      <c r="H1212">
        <v>502</v>
      </c>
      <c r="I1212">
        <v>20918</v>
      </c>
      <c r="J1212">
        <v>20.73</v>
      </c>
      <c r="K1212">
        <v>60</v>
      </c>
      <c r="L1212" t="s">
        <v>86</v>
      </c>
      <c r="M1212">
        <v>59.54</v>
      </c>
      <c r="N1212">
        <v>76403</v>
      </c>
      <c r="O1212">
        <v>123069</v>
      </c>
      <c r="P1212" t="s">
        <v>3280</v>
      </c>
      <c r="Q1212" t="s">
        <v>27</v>
      </c>
      <c r="R1212" t="s">
        <v>28</v>
      </c>
      <c r="S1212" t="s">
        <v>68</v>
      </c>
      <c r="T1212">
        <v>420.91</v>
      </c>
      <c r="U1212">
        <f t="shared" si="252"/>
        <v>790</v>
      </c>
      <c r="V1212">
        <f t="shared" si="253"/>
        <v>286</v>
      </c>
      <c r="W1212">
        <f t="shared" si="254"/>
        <v>253</v>
      </c>
      <c r="X1212">
        <f t="shared" si="255"/>
        <v>0.35149999999999998</v>
      </c>
      <c r="Y1212" s="1">
        <f t="shared" si="256"/>
        <v>40421968</v>
      </c>
      <c r="Z1212">
        <f t="shared" si="257"/>
        <v>51167.04810126582</v>
      </c>
      <c r="AA1212">
        <f t="shared" si="258"/>
        <v>99996</v>
      </c>
      <c r="AB1212">
        <f t="shared" si="259"/>
        <v>5091</v>
      </c>
      <c r="AC1212">
        <f t="shared" si="260"/>
        <v>1063088.83</v>
      </c>
      <c r="AD1212">
        <f t="shared" si="261"/>
        <v>1345.6820632911392</v>
      </c>
      <c r="AE1212">
        <f t="shared" si="262"/>
        <v>0.35149999999999998</v>
      </c>
      <c r="AF1212">
        <f t="shared" si="263"/>
        <v>425813174.10999954</v>
      </c>
      <c r="AG1212" t="str">
        <f t="shared" si="264"/>
        <v>Active</v>
      </c>
      <c r="AH1212">
        <f t="shared" si="265"/>
        <v>5050.92</v>
      </c>
    </row>
    <row r="1213" spans="1:34" x14ac:dyDescent="0.35">
      <c r="A1213" t="s">
        <v>3281</v>
      </c>
      <c r="B1213" t="s">
        <v>3282</v>
      </c>
      <c r="C1213">
        <v>39</v>
      </c>
      <c r="D1213" t="s">
        <v>22</v>
      </c>
      <c r="E1213" t="s">
        <v>39</v>
      </c>
      <c r="F1213" t="s">
        <v>46</v>
      </c>
      <c r="G1213">
        <v>43751</v>
      </c>
      <c r="H1213">
        <v>461</v>
      </c>
      <c r="I1213">
        <v>82027</v>
      </c>
      <c r="J1213">
        <v>17.41</v>
      </c>
      <c r="K1213">
        <v>180</v>
      </c>
      <c r="L1213" t="s">
        <v>33</v>
      </c>
      <c r="M1213">
        <v>33.869999999999997</v>
      </c>
      <c r="N1213">
        <v>59064</v>
      </c>
      <c r="O1213">
        <v>18194</v>
      </c>
      <c r="P1213" t="s">
        <v>3283</v>
      </c>
      <c r="Q1213" t="s">
        <v>42</v>
      </c>
      <c r="R1213" t="s">
        <v>48</v>
      </c>
      <c r="S1213" t="s">
        <v>29</v>
      </c>
      <c r="T1213">
        <v>535.04</v>
      </c>
      <c r="U1213">
        <f t="shared" si="252"/>
        <v>789</v>
      </c>
      <c r="V1213">
        <f t="shared" si="253"/>
        <v>286</v>
      </c>
      <c r="W1213">
        <f t="shared" si="254"/>
        <v>253</v>
      </c>
      <c r="X1213">
        <f t="shared" si="255"/>
        <v>0.35149999999999998</v>
      </c>
      <c r="Y1213" s="1">
        <f t="shared" si="256"/>
        <v>40401050</v>
      </c>
      <c r="Z1213">
        <f t="shared" si="257"/>
        <v>51205.3865652725</v>
      </c>
      <c r="AA1213">
        <f t="shared" si="258"/>
        <v>99996</v>
      </c>
      <c r="AB1213">
        <f t="shared" si="259"/>
        <v>5091</v>
      </c>
      <c r="AC1213">
        <f t="shared" si="260"/>
        <v>1062667.9200000002</v>
      </c>
      <c r="AD1213">
        <f t="shared" si="261"/>
        <v>1346.8541444866921</v>
      </c>
      <c r="AE1213">
        <f t="shared" si="262"/>
        <v>0.35149999999999998</v>
      </c>
      <c r="AF1213">
        <f t="shared" si="263"/>
        <v>424750085.27999955</v>
      </c>
      <c r="AG1213" t="str">
        <f t="shared" si="264"/>
        <v>Active</v>
      </c>
      <c r="AH1213">
        <f t="shared" si="265"/>
        <v>6420.48</v>
      </c>
    </row>
    <row r="1214" spans="1:34" x14ac:dyDescent="0.35">
      <c r="A1214" t="s">
        <v>3284</v>
      </c>
      <c r="B1214" t="s">
        <v>3285</v>
      </c>
      <c r="C1214">
        <v>45</v>
      </c>
      <c r="D1214" t="s">
        <v>38</v>
      </c>
      <c r="E1214" t="s">
        <v>23</v>
      </c>
      <c r="F1214" t="s">
        <v>59</v>
      </c>
      <c r="G1214">
        <v>61481</v>
      </c>
      <c r="H1214">
        <v>577</v>
      </c>
      <c r="I1214">
        <v>98956</v>
      </c>
      <c r="J1214">
        <v>17.78</v>
      </c>
      <c r="K1214">
        <v>360</v>
      </c>
      <c r="L1214" t="s">
        <v>40</v>
      </c>
      <c r="M1214">
        <v>24.67</v>
      </c>
      <c r="N1214">
        <v>14183</v>
      </c>
      <c r="O1214">
        <v>126936</v>
      </c>
      <c r="P1214" t="s">
        <v>3286</v>
      </c>
      <c r="Q1214" t="s">
        <v>42</v>
      </c>
      <c r="R1214" t="s">
        <v>48</v>
      </c>
      <c r="S1214" t="s">
        <v>35</v>
      </c>
      <c r="T1214">
        <v>323.75</v>
      </c>
      <c r="U1214">
        <f t="shared" si="252"/>
        <v>788</v>
      </c>
      <c r="V1214">
        <f t="shared" si="253"/>
        <v>285</v>
      </c>
      <c r="W1214">
        <f t="shared" si="254"/>
        <v>253</v>
      </c>
      <c r="X1214">
        <f t="shared" si="255"/>
        <v>0.35149999999999998</v>
      </c>
      <c r="Y1214" s="1">
        <f t="shared" si="256"/>
        <v>40319023</v>
      </c>
      <c r="Z1214">
        <f t="shared" si="257"/>
        <v>51166.272842639592</v>
      </c>
      <c r="AA1214">
        <f t="shared" si="258"/>
        <v>99996</v>
      </c>
      <c r="AB1214">
        <f t="shared" si="259"/>
        <v>5091</v>
      </c>
      <c r="AC1214">
        <f t="shared" si="260"/>
        <v>1062132.8800000001</v>
      </c>
      <c r="AD1214">
        <f t="shared" si="261"/>
        <v>1347.8843654822338</v>
      </c>
      <c r="AE1214">
        <f t="shared" si="262"/>
        <v>0.35149999999999998</v>
      </c>
      <c r="AF1214">
        <f t="shared" si="263"/>
        <v>423687417.3599996</v>
      </c>
      <c r="AG1214" t="str">
        <f t="shared" si="264"/>
        <v>Active</v>
      </c>
      <c r="AH1214">
        <f t="shared" si="265"/>
        <v>3885</v>
      </c>
    </row>
    <row r="1215" spans="1:34" x14ac:dyDescent="0.35">
      <c r="A1215" t="s">
        <v>3287</v>
      </c>
      <c r="B1215" t="s">
        <v>3288</v>
      </c>
      <c r="C1215">
        <v>55</v>
      </c>
      <c r="D1215" t="s">
        <v>22</v>
      </c>
      <c r="E1215" t="s">
        <v>39</v>
      </c>
      <c r="F1215" t="s">
        <v>46</v>
      </c>
      <c r="G1215">
        <v>194035</v>
      </c>
      <c r="H1215">
        <v>823</v>
      </c>
      <c r="I1215">
        <v>17514</v>
      </c>
      <c r="J1215">
        <v>19.62</v>
      </c>
      <c r="K1215">
        <v>60</v>
      </c>
      <c r="L1215" t="s">
        <v>86</v>
      </c>
      <c r="M1215">
        <v>58.18</v>
      </c>
      <c r="N1215">
        <v>43158</v>
      </c>
      <c r="O1215">
        <v>97132</v>
      </c>
      <c r="P1215" t="s">
        <v>391</v>
      </c>
      <c r="Q1215" t="s">
        <v>61</v>
      </c>
      <c r="R1215" t="s">
        <v>28</v>
      </c>
      <c r="S1215" t="s">
        <v>35</v>
      </c>
      <c r="T1215">
        <v>349.17</v>
      </c>
      <c r="U1215">
        <f t="shared" si="252"/>
        <v>787</v>
      </c>
      <c r="V1215">
        <f t="shared" si="253"/>
        <v>284</v>
      </c>
      <c r="W1215">
        <f t="shared" si="254"/>
        <v>253</v>
      </c>
      <c r="X1215">
        <f t="shared" si="255"/>
        <v>0.35149999999999998</v>
      </c>
      <c r="Y1215" s="1">
        <f t="shared" si="256"/>
        <v>40220067</v>
      </c>
      <c r="Z1215">
        <f t="shared" si="257"/>
        <v>51105.548919949171</v>
      </c>
      <c r="AA1215">
        <f t="shared" si="258"/>
        <v>99996</v>
      </c>
      <c r="AB1215">
        <f t="shared" si="259"/>
        <v>5091</v>
      </c>
      <c r="AC1215">
        <f t="shared" si="260"/>
        <v>1061809.1300000001</v>
      </c>
      <c r="AD1215">
        <f t="shared" si="261"/>
        <v>1349.1856797966964</v>
      </c>
      <c r="AE1215">
        <f t="shared" si="262"/>
        <v>0.35149999999999998</v>
      </c>
      <c r="AF1215">
        <f t="shared" si="263"/>
        <v>422625284.4799996</v>
      </c>
      <c r="AG1215" t="str">
        <f t="shared" si="264"/>
        <v>Active</v>
      </c>
      <c r="AH1215">
        <f t="shared" si="265"/>
        <v>4190.04</v>
      </c>
    </row>
    <row r="1216" spans="1:34" x14ac:dyDescent="0.35">
      <c r="A1216" t="s">
        <v>3289</v>
      </c>
      <c r="B1216" t="s">
        <v>3290</v>
      </c>
      <c r="C1216">
        <v>40</v>
      </c>
      <c r="D1216" t="s">
        <v>22</v>
      </c>
      <c r="E1216" t="s">
        <v>32</v>
      </c>
      <c r="F1216" t="s">
        <v>46</v>
      </c>
      <c r="G1216">
        <v>58095</v>
      </c>
      <c r="H1216">
        <v>404</v>
      </c>
      <c r="I1216">
        <v>6798</v>
      </c>
      <c r="J1216">
        <v>13.52</v>
      </c>
      <c r="K1216">
        <v>36</v>
      </c>
      <c r="L1216" t="s">
        <v>52</v>
      </c>
      <c r="M1216">
        <v>16.16</v>
      </c>
      <c r="N1216">
        <v>26684</v>
      </c>
      <c r="O1216">
        <v>18727</v>
      </c>
      <c r="P1216" t="s">
        <v>1294</v>
      </c>
      <c r="Q1216" t="s">
        <v>61</v>
      </c>
      <c r="R1216" t="s">
        <v>48</v>
      </c>
      <c r="S1216" t="s">
        <v>43</v>
      </c>
      <c r="T1216">
        <v>214.36</v>
      </c>
      <c r="U1216">
        <f t="shared" si="252"/>
        <v>786</v>
      </c>
      <c r="V1216">
        <f t="shared" si="253"/>
        <v>284</v>
      </c>
      <c r="W1216">
        <f t="shared" si="254"/>
        <v>252</v>
      </c>
      <c r="X1216">
        <f t="shared" si="255"/>
        <v>0.35149999999999998</v>
      </c>
      <c r="Y1216" s="1">
        <f t="shared" si="256"/>
        <v>40202553</v>
      </c>
      <c r="Z1216">
        <f t="shared" si="257"/>
        <v>51148.286259541987</v>
      </c>
      <c r="AA1216">
        <f t="shared" si="258"/>
        <v>99996</v>
      </c>
      <c r="AB1216">
        <f t="shared" si="259"/>
        <v>5091</v>
      </c>
      <c r="AC1216">
        <f t="shared" si="260"/>
        <v>1061459.9600000002</v>
      </c>
      <c r="AD1216">
        <f t="shared" si="261"/>
        <v>1350.4579643765906</v>
      </c>
      <c r="AE1216">
        <f t="shared" si="262"/>
        <v>0.35149999999999998</v>
      </c>
      <c r="AF1216">
        <f t="shared" si="263"/>
        <v>421563475.34999967</v>
      </c>
      <c r="AG1216" t="str">
        <f t="shared" si="264"/>
        <v>Active</v>
      </c>
      <c r="AH1216">
        <f t="shared" si="265"/>
        <v>2572.3200000000002</v>
      </c>
    </row>
    <row r="1217" spans="1:34" x14ac:dyDescent="0.35">
      <c r="A1217" t="s">
        <v>3291</v>
      </c>
      <c r="B1217" t="s">
        <v>3292</v>
      </c>
      <c r="C1217">
        <v>38</v>
      </c>
      <c r="D1217" t="s">
        <v>38</v>
      </c>
      <c r="E1217" t="s">
        <v>39</v>
      </c>
      <c r="F1217" t="s">
        <v>24</v>
      </c>
      <c r="G1217">
        <v>150648</v>
      </c>
      <c r="H1217">
        <v>432</v>
      </c>
      <c r="I1217">
        <v>95573</v>
      </c>
      <c r="J1217">
        <v>6.25</v>
      </c>
      <c r="K1217">
        <v>36</v>
      </c>
      <c r="L1217" t="s">
        <v>25</v>
      </c>
      <c r="M1217">
        <v>29.32</v>
      </c>
      <c r="N1217">
        <v>59298</v>
      </c>
      <c r="O1217">
        <v>1586</v>
      </c>
      <c r="P1217" t="s">
        <v>3293</v>
      </c>
      <c r="Q1217" t="s">
        <v>61</v>
      </c>
      <c r="R1217" t="s">
        <v>28</v>
      </c>
      <c r="S1217" t="s">
        <v>29</v>
      </c>
      <c r="T1217">
        <v>2820.73</v>
      </c>
      <c r="U1217">
        <f t="shared" si="252"/>
        <v>785</v>
      </c>
      <c r="V1217">
        <f t="shared" si="253"/>
        <v>284</v>
      </c>
      <c r="W1217">
        <f t="shared" si="254"/>
        <v>251</v>
      </c>
      <c r="X1217">
        <f t="shared" si="255"/>
        <v>0.35149999999999998</v>
      </c>
      <c r="Y1217" s="1">
        <f t="shared" si="256"/>
        <v>40195755</v>
      </c>
      <c r="Z1217">
        <f t="shared" si="257"/>
        <v>51204.783439490449</v>
      </c>
      <c r="AA1217">
        <f t="shared" si="258"/>
        <v>99996</v>
      </c>
      <c r="AB1217">
        <f t="shared" si="259"/>
        <v>5091</v>
      </c>
      <c r="AC1217">
        <f t="shared" si="260"/>
        <v>1061245.6000000003</v>
      </c>
      <c r="AD1217">
        <f t="shared" si="261"/>
        <v>1351.9052229299368</v>
      </c>
      <c r="AE1217">
        <f t="shared" si="262"/>
        <v>0.35149999999999998</v>
      </c>
      <c r="AF1217">
        <f t="shared" si="263"/>
        <v>420502015.38999957</v>
      </c>
      <c r="AG1217" t="str">
        <f t="shared" si="264"/>
        <v>Active</v>
      </c>
      <c r="AH1217">
        <f t="shared" si="265"/>
        <v>33848.76</v>
      </c>
    </row>
    <row r="1218" spans="1:34" x14ac:dyDescent="0.35">
      <c r="A1218" t="s">
        <v>3294</v>
      </c>
      <c r="B1218" t="s">
        <v>3295</v>
      </c>
      <c r="C1218">
        <v>55</v>
      </c>
      <c r="D1218" t="s">
        <v>22</v>
      </c>
      <c r="E1218" t="s">
        <v>23</v>
      </c>
      <c r="F1218" t="s">
        <v>46</v>
      </c>
      <c r="G1218">
        <v>109630</v>
      </c>
      <c r="H1218">
        <v>564</v>
      </c>
      <c r="I1218">
        <v>7435</v>
      </c>
      <c r="J1218">
        <v>16.16</v>
      </c>
      <c r="K1218">
        <v>120</v>
      </c>
      <c r="L1218" t="s">
        <v>86</v>
      </c>
      <c r="M1218">
        <v>36.74</v>
      </c>
      <c r="N1218">
        <v>16339</v>
      </c>
      <c r="O1218">
        <v>249096</v>
      </c>
      <c r="P1218" t="s">
        <v>1552</v>
      </c>
      <c r="Q1218" t="s">
        <v>27</v>
      </c>
      <c r="R1218" t="s">
        <v>28</v>
      </c>
      <c r="S1218" t="s">
        <v>49</v>
      </c>
      <c r="T1218">
        <v>71.97</v>
      </c>
      <c r="U1218">
        <f t="shared" ref="U1218:U1281" si="266">COUNTA(A1218:A3217)</f>
        <v>784</v>
      </c>
      <c r="V1218">
        <f t="shared" ref="V1218:V1281" si="267">COUNTIF(Q1218:Q3217,"APPROVED")</f>
        <v>284</v>
      </c>
      <c r="W1218">
        <f t="shared" ref="W1218:W1281" si="268">COUNTIF(Q1218:Q3218,"Rejected")</f>
        <v>250</v>
      </c>
      <c r="X1218">
        <f t="shared" ref="X1218:X1281" si="269">703/2000</f>
        <v>0.35149999999999998</v>
      </c>
      <c r="Y1218" s="1">
        <f t="shared" ref="Y1218:Y1281" si="270">SUM(I1218:I3217)</f>
        <v>40100182</v>
      </c>
      <c r="Z1218">
        <f t="shared" ref="Z1218:Z1281" si="271">AVERAGE(I1218:I21217)</f>
        <v>51148.191326530614</v>
      </c>
      <c r="AA1218">
        <f t="shared" ref="AA1218:AA1281" si="272">MAX(I1218:I3217)</f>
        <v>99996</v>
      </c>
      <c r="AB1218">
        <f t="shared" ref="AB1218:AB1281" si="273">MIN(I1218:I3217)</f>
        <v>5091</v>
      </c>
      <c r="AC1218">
        <f t="shared" ref="AC1218:AC1281" si="274">SUM(T1218:T3217)</f>
        <v>1058424.8700000006</v>
      </c>
      <c r="AD1218">
        <f t="shared" ref="AD1218:AD1281" si="275">AVERAGE(T1218:T3217)</f>
        <v>1350.0317219387762</v>
      </c>
      <c r="AE1218">
        <f t="shared" ref="AE1218:AE1281" si="276">703/2000</f>
        <v>0.35149999999999998</v>
      </c>
      <c r="AF1218">
        <f t="shared" ref="AF1218:AF1281" si="277">SUM(AC1218:AC3217)</f>
        <v>419440769.7899996</v>
      </c>
      <c r="AG1218" t="str">
        <f t="shared" ref="AG1218:AG1281" si="278">IF(AH1218=0,"Bad", IF(AH1217&lt;I1217, "Active", IF(AH1217=I1217, "Good", "Over Paid")))</f>
        <v>Active</v>
      </c>
      <c r="AH1218">
        <f t="shared" ref="AH1218:AH1281" si="279">T1218*12</f>
        <v>863.64</v>
      </c>
    </row>
    <row r="1219" spans="1:34" x14ac:dyDescent="0.35">
      <c r="A1219" t="s">
        <v>3296</v>
      </c>
      <c r="B1219" t="s">
        <v>3297</v>
      </c>
      <c r="C1219">
        <v>42</v>
      </c>
      <c r="D1219" t="s">
        <v>38</v>
      </c>
      <c r="E1219" t="s">
        <v>32</v>
      </c>
      <c r="F1219" t="s">
        <v>59</v>
      </c>
      <c r="G1219">
        <v>81556</v>
      </c>
      <c r="H1219">
        <v>740</v>
      </c>
      <c r="I1219">
        <v>17856</v>
      </c>
      <c r="J1219">
        <v>6.93</v>
      </c>
      <c r="K1219">
        <v>120</v>
      </c>
      <c r="L1219" t="s">
        <v>40</v>
      </c>
      <c r="M1219">
        <v>52.07</v>
      </c>
      <c r="N1219">
        <v>39643</v>
      </c>
      <c r="O1219">
        <v>68315</v>
      </c>
      <c r="P1219" t="s">
        <v>1215</v>
      </c>
      <c r="Q1219" t="s">
        <v>42</v>
      </c>
      <c r="R1219" t="s">
        <v>28</v>
      </c>
      <c r="S1219" t="s">
        <v>43</v>
      </c>
      <c r="T1219">
        <v>159.11000000000001</v>
      </c>
      <c r="U1219">
        <f t="shared" si="266"/>
        <v>783</v>
      </c>
      <c r="V1219">
        <f t="shared" si="267"/>
        <v>284</v>
      </c>
      <c r="W1219">
        <f t="shared" si="268"/>
        <v>250</v>
      </c>
      <c r="X1219">
        <f t="shared" si="269"/>
        <v>0.35149999999999998</v>
      </c>
      <c r="Y1219" s="1">
        <f t="shared" si="270"/>
        <v>40092747</v>
      </c>
      <c r="Z1219">
        <f t="shared" si="271"/>
        <v>51204.019157088122</v>
      </c>
      <c r="AA1219">
        <f t="shared" si="272"/>
        <v>99996</v>
      </c>
      <c r="AB1219">
        <f t="shared" si="273"/>
        <v>5091</v>
      </c>
      <c r="AC1219">
        <f t="shared" si="274"/>
        <v>1058352.9000000004</v>
      </c>
      <c r="AD1219">
        <f t="shared" si="275"/>
        <v>1351.6639846743299</v>
      </c>
      <c r="AE1219">
        <f t="shared" si="276"/>
        <v>0.35149999999999998</v>
      </c>
      <c r="AF1219">
        <f t="shared" si="277"/>
        <v>418382344.9199996</v>
      </c>
      <c r="AG1219" t="str">
        <f t="shared" si="278"/>
        <v>Active</v>
      </c>
      <c r="AH1219">
        <f t="shared" si="279"/>
        <v>1909.3200000000002</v>
      </c>
    </row>
    <row r="1220" spans="1:34" x14ac:dyDescent="0.35">
      <c r="A1220" t="s">
        <v>3298</v>
      </c>
      <c r="B1220" t="s">
        <v>3299</v>
      </c>
      <c r="C1220">
        <v>35</v>
      </c>
      <c r="D1220" t="s">
        <v>22</v>
      </c>
      <c r="E1220" t="s">
        <v>23</v>
      </c>
      <c r="F1220" t="s">
        <v>24</v>
      </c>
      <c r="G1220">
        <v>35618</v>
      </c>
      <c r="H1220">
        <v>481</v>
      </c>
      <c r="I1220">
        <v>23432</v>
      </c>
      <c r="J1220">
        <v>12.36</v>
      </c>
      <c r="K1220">
        <v>360</v>
      </c>
      <c r="L1220" t="s">
        <v>25</v>
      </c>
      <c r="M1220">
        <v>58.84</v>
      </c>
      <c r="N1220">
        <v>27905</v>
      </c>
      <c r="O1220">
        <v>106541</v>
      </c>
      <c r="P1220" t="s">
        <v>3300</v>
      </c>
      <c r="Q1220" t="s">
        <v>27</v>
      </c>
      <c r="R1220" t="s">
        <v>48</v>
      </c>
      <c r="S1220" t="s">
        <v>68</v>
      </c>
      <c r="T1220">
        <v>73.13</v>
      </c>
      <c r="U1220">
        <f t="shared" si="266"/>
        <v>782</v>
      </c>
      <c r="V1220">
        <f t="shared" si="267"/>
        <v>283</v>
      </c>
      <c r="W1220">
        <f t="shared" si="268"/>
        <v>250</v>
      </c>
      <c r="X1220">
        <f t="shared" si="269"/>
        <v>0.35149999999999998</v>
      </c>
      <c r="Y1220" s="1">
        <f t="shared" si="270"/>
        <v>40074891</v>
      </c>
      <c r="Z1220">
        <f t="shared" si="271"/>
        <v>51246.663682864448</v>
      </c>
      <c r="AA1220">
        <f t="shared" si="272"/>
        <v>99996</v>
      </c>
      <c r="AB1220">
        <f t="shared" si="273"/>
        <v>5091</v>
      </c>
      <c r="AC1220">
        <f t="shared" si="274"/>
        <v>1058193.7900000005</v>
      </c>
      <c r="AD1220">
        <f t="shared" si="275"/>
        <v>1353.1889897698215</v>
      </c>
      <c r="AE1220">
        <f t="shared" si="276"/>
        <v>0.35149999999999998</v>
      </c>
      <c r="AF1220">
        <f t="shared" si="277"/>
        <v>417323992.01999956</v>
      </c>
      <c r="AG1220" t="str">
        <f t="shared" si="278"/>
        <v>Active</v>
      </c>
      <c r="AH1220">
        <f t="shared" si="279"/>
        <v>877.56</v>
      </c>
    </row>
    <row r="1221" spans="1:34" x14ac:dyDescent="0.35">
      <c r="A1221" t="s">
        <v>3301</v>
      </c>
      <c r="B1221" t="s">
        <v>3302</v>
      </c>
      <c r="C1221">
        <v>30</v>
      </c>
      <c r="D1221" t="s">
        <v>38</v>
      </c>
      <c r="E1221" t="s">
        <v>39</v>
      </c>
      <c r="F1221" t="s">
        <v>46</v>
      </c>
      <c r="G1221">
        <v>103721</v>
      </c>
      <c r="H1221">
        <v>778</v>
      </c>
      <c r="I1221">
        <v>94229</v>
      </c>
      <c r="J1221">
        <v>6.98</v>
      </c>
      <c r="K1221">
        <v>120</v>
      </c>
      <c r="L1221" t="s">
        <v>40</v>
      </c>
      <c r="M1221">
        <v>8.4600000000000009</v>
      </c>
      <c r="N1221">
        <v>71866</v>
      </c>
      <c r="O1221">
        <v>174160</v>
      </c>
      <c r="P1221" t="s">
        <v>3145</v>
      </c>
      <c r="Q1221" t="s">
        <v>27</v>
      </c>
      <c r="R1221" t="s">
        <v>48</v>
      </c>
      <c r="S1221" t="s">
        <v>49</v>
      </c>
      <c r="T1221">
        <v>840.05</v>
      </c>
      <c r="U1221">
        <f t="shared" si="266"/>
        <v>781</v>
      </c>
      <c r="V1221">
        <f t="shared" si="267"/>
        <v>283</v>
      </c>
      <c r="W1221">
        <f t="shared" si="268"/>
        <v>250</v>
      </c>
      <c r="X1221">
        <f t="shared" si="269"/>
        <v>0.35149999999999998</v>
      </c>
      <c r="Y1221" s="1">
        <f t="shared" si="270"/>
        <v>40051459</v>
      </c>
      <c r="Z1221">
        <f t="shared" si="271"/>
        <v>51282.277848911654</v>
      </c>
      <c r="AA1221">
        <f t="shared" si="272"/>
        <v>99996</v>
      </c>
      <c r="AB1221">
        <f t="shared" si="273"/>
        <v>5091</v>
      </c>
      <c r="AC1221">
        <f t="shared" si="274"/>
        <v>1058120.6600000004</v>
      </c>
      <c r="AD1221">
        <f t="shared" si="275"/>
        <v>1354.8279897567227</v>
      </c>
      <c r="AE1221">
        <f t="shared" si="276"/>
        <v>0.35149999999999998</v>
      </c>
      <c r="AF1221">
        <f t="shared" si="277"/>
        <v>416265798.22999966</v>
      </c>
      <c r="AG1221" t="str">
        <f t="shared" si="278"/>
        <v>Active</v>
      </c>
      <c r="AH1221">
        <f t="shared" si="279"/>
        <v>10080.599999999999</v>
      </c>
    </row>
    <row r="1222" spans="1:34" x14ac:dyDescent="0.35">
      <c r="A1222" t="s">
        <v>3303</v>
      </c>
      <c r="B1222" t="s">
        <v>3304</v>
      </c>
      <c r="C1222">
        <v>32</v>
      </c>
      <c r="D1222" t="s">
        <v>22</v>
      </c>
      <c r="E1222" t="s">
        <v>32</v>
      </c>
      <c r="F1222" t="s">
        <v>24</v>
      </c>
      <c r="G1222">
        <v>196778</v>
      </c>
      <c r="H1222">
        <v>828</v>
      </c>
      <c r="I1222">
        <v>85520</v>
      </c>
      <c r="J1222">
        <v>21.42</v>
      </c>
      <c r="K1222">
        <v>240</v>
      </c>
      <c r="L1222" t="s">
        <v>25</v>
      </c>
      <c r="M1222">
        <v>44.12</v>
      </c>
      <c r="N1222">
        <v>42635</v>
      </c>
      <c r="O1222">
        <v>16416</v>
      </c>
      <c r="P1222" t="s">
        <v>3066</v>
      </c>
      <c r="Q1222" t="s">
        <v>27</v>
      </c>
      <c r="R1222" t="s">
        <v>48</v>
      </c>
      <c r="S1222" t="s">
        <v>49</v>
      </c>
      <c r="T1222">
        <v>432.66</v>
      </c>
      <c r="U1222">
        <f t="shared" si="266"/>
        <v>780</v>
      </c>
      <c r="V1222">
        <f t="shared" si="267"/>
        <v>283</v>
      </c>
      <c r="W1222">
        <f t="shared" si="268"/>
        <v>250</v>
      </c>
      <c r="X1222">
        <f t="shared" si="269"/>
        <v>0.35149999999999998</v>
      </c>
      <c r="Y1222" s="1">
        <f t="shared" si="270"/>
        <v>39957230</v>
      </c>
      <c r="Z1222">
        <f t="shared" si="271"/>
        <v>51227.217948717946</v>
      </c>
      <c r="AA1222">
        <f t="shared" si="272"/>
        <v>99996</v>
      </c>
      <c r="AB1222">
        <f t="shared" si="273"/>
        <v>5091</v>
      </c>
      <c r="AC1222">
        <f t="shared" si="274"/>
        <v>1057280.6100000006</v>
      </c>
      <c r="AD1222">
        <f t="shared" si="275"/>
        <v>1355.4879615384623</v>
      </c>
      <c r="AE1222">
        <f t="shared" si="276"/>
        <v>0.35149999999999998</v>
      </c>
      <c r="AF1222">
        <f t="shared" si="277"/>
        <v>415207677.56999964</v>
      </c>
      <c r="AG1222" t="str">
        <f t="shared" si="278"/>
        <v>Active</v>
      </c>
      <c r="AH1222">
        <f t="shared" si="279"/>
        <v>5191.92</v>
      </c>
    </row>
    <row r="1223" spans="1:34" x14ac:dyDescent="0.35">
      <c r="A1223" t="s">
        <v>3305</v>
      </c>
      <c r="B1223" t="s">
        <v>3306</v>
      </c>
      <c r="C1223">
        <v>38</v>
      </c>
      <c r="D1223" t="s">
        <v>38</v>
      </c>
      <c r="E1223" t="s">
        <v>23</v>
      </c>
      <c r="F1223" t="s">
        <v>24</v>
      </c>
      <c r="G1223">
        <v>47312</v>
      </c>
      <c r="H1223">
        <v>439</v>
      </c>
      <c r="I1223">
        <v>68938</v>
      </c>
      <c r="J1223">
        <v>21.05</v>
      </c>
      <c r="K1223">
        <v>12</v>
      </c>
      <c r="L1223" t="s">
        <v>40</v>
      </c>
      <c r="M1223">
        <v>33.44</v>
      </c>
      <c r="N1223">
        <v>23874</v>
      </c>
      <c r="O1223">
        <v>193238</v>
      </c>
      <c r="P1223" t="s">
        <v>3307</v>
      </c>
      <c r="Q1223" t="s">
        <v>42</v>
      </c>
      <c r="R1223" t="s">
        <v>48</v>
      </c>
      <c r="S1223" t="s">
        <v>35</v>
      </c>
      <c r="T1223">
        <v>6954.12</v>
      </c>
      <c r="U1223">
        <f t="shared" si="266"/>
        <v>779</v>
      </c>
      <c r="V1223">
        <f t="shared" si="267"/>
        <v>283</v>
      </c>
      <c r="W1223">
        <f t="shared" si="268"/>
        <v>250</v>
      </c>
      <c r="X1223">
        <f t="shared" si="269"/>
        <v>0.35149999999999998</v>
      </c>
      <c r="Y1223" s="1">
        <f t="shared" si="270"/>
        <v>39871710</v>
      </c>
      <c r="Z1223">
        <f t="shared" si="271"/>
        <v>51183.196405648268</v>
      </c>
      <c r="AA1223">
        <f t="shared" si="272"/>
        <v>99996</v>
      </c>
      <c r="AB1223">
        <f t="shared" si="273"/>
        <v>5091</v>
      </c>
      <c r="AC1223">
        <f t="shared" si="274"/>
        <v>1056847.9500000004</v>
      </c>
      <c r="AD1223">
        <f t="shared" si="275"/>
        <v>1356.6725930680366</v>
      </c>
      <c r="AE1223">
        <f t="shared" si="276"/>
        <v>0.35149999999999998</v>
      </c>
      <c r="AF1223">
        <f t="shared" si="277"/>
        <v>414150396.95999962</v>
      </c>
      <c r="AG1223" t="str">
        <f t="shared" si="278"/>
        <v>Active</v>
      </c>
      <c r="AH1223">
        <f t="shared" si="279"/>
        <v>83449.440000000002</v>
      </c>
    </row>
    <row r="1224" spans="1:34" x14ac:dyDescent="0.35">
      <c r="A1224" t="s">
        <v>3308</v>
      </c>
      <c r="B1224" t="s">
        <v>3309</v>
      </c>
      <c r="C1224">
        <v>40</v>
      </c>
      <c r="D1224" t="s">
        <v>22</v>
      </c>
      <c r="E1224" t="s">
        <v>39</v>
      </c>
      <c r="F1224" t="s">
        <v>46</v>
      </c>
      <c r="G1224">
        <v>163102</v>
      </c>
      <c r="H1224">
        <v>760</v>
      </c>
      <c r="I1224">
        <v>90685</v>
      </c>
      <c r="J1224">
        <v>4.29</v>
      </c>
      <c r="K1224">
        <v>240</v>
      </c>
      <c r="L1224" t="s">
        <v>25</v>
      </c>
      <c r="M1224">
        <v>19.54</v>
      </c>
      <c r="N1224">
        <v>12497</v>
      </c>
      <c r="O1224">
        <v>153193</v>
      </c>
      <c r="P1224" t="s">
        <v>1719</v>
      </c>
      <c r="Q1224" t="s">
        <v>27</v>
      </c>
      <c r="R1224" t="s">
        <v>28</v>
      </c>
      <c r="S1224" t="s">
        <v>68</v>
      </c>
      <c r="T1224">
        <v>394.06</v>
      </c>
      <c r="U1224">
        <f t="shared" si="266"/>
        <v>778</v>
      </c>
      <c r="V1224">
        <f t="shared" si="267"/>
        <v>282</v>
      </c>
      <c r="W1224">
        <f t="shared" si="268"/>
        <v>250</v>
      </c>
      <c r="X1224">
        <f t="shared" si="269"/>
        <v>0.35149999999999998</v>
      </c>
      <c r="Y1224" s="1">
        <f t="shared" si="270"/>
        <v>39802772</v>
      </c>
      <c r="Z1224">
        <f t="shared" si="271"/>
        <v>51160.37532133676</v>
      </c>
      <c r="AA1224">
        <f t="shared" si="272"/>
        <v>99996</v>
      </c>
      <c r="AB1224">
        <f t="shared" si="273"/>
        <v>5091</v>
      </c>
      <c r="AC1224">
        <f t="shared" si="274"/>
        <v>1049893.8300000005</v>
      </c>
      <c r="AD1224">
        <f t="shared" si="275"/>
        <v>1349.4779305912602</v>
      </c>
      <c r="AE1224">
        <f t="shared" si="276"/>
        <v>0.35149999999999998</v>
      </c>
      <c r="AF1224">
        <f t="shared" si="277"/>
        <v>413093549.00999957</v>
      </c>
      <c r="AG1224" t="str">
        <f t="shared" si="278"/>
        <v>Over Paid</v>
      </c>
      <c r="AH1224">
        <f t="shared" si="279"/>
        <v>4728.72</v>
      </c>
    </row>
    <row r="1225" spans="1:34" x14ac:dyDescent="0.35">
      <c r="A1225" t="s">
        <v>3310</v>
      </c>
      <c r="B1225" t="s">
        <v>3311</v>
      </c>
      <c r="C1225">
        <v>35</v>
      </c>
      <c r="D1225" t="s">
        <v>22</v>
      </c>
      <c r="E1225" t="s">
        <v>39</v>
      </c>
      <c r="F1225" t="s">
        <v>59</v>
      </c>
      <c r="G1225">
        <v>149405</v>
      </c>
      <c r="H1225">
        <v>337</v>
      </c>
      <c r="I1225">
        <v>31527</v>
      </c>
      <c r="J1225">
        <v>6.31</v>
      </c>
      <c r="K1225">
        <v>240</v>
      </c>
      <c r="L1225" t="s">
        <v>86</v>
      </c>
      <c r="M1225">
        <v>16.579999999999998</v>
      </c>
      <c r="N1225">
        <v>61090</v>
      </c>
      <c r="O1225">
        <v>122516</v>
      </c>
      <c r="P1225" t="s">
        <v>2543</v>
      </c>
      <c r="Q1225" t="s">
        <v>27</v>
      </c>
      <c r="R1225" t="s">
        <v>48</v>
      </c>
      <c r="S1225" t="s">
        <v>68</v>
      </c>
      <c r="T1225">
        <v>139.65</v>
      </c>
      <c r="U1225">
        <f t="shared" si="266"/>
        <v>777</v>
      </c>
      <c r="V1225">
        <f t="shared" si="267"/>
        <v>282</v>
      </c>
      <c r="W1225">
        <f t="shared" si="268"/>
        <v>250</v>
      </c>
      <c r="X1225">
        <f t="shared" si="269"/>
        <v>0.35149999999999998</v>
      </c>
      <c r="Y1225" s="1">
        <f t="shared" si="270"/>
        <v>39712087</v>
      </c>
      <c r="Z1225">
        <f t="shared" si="271"/>
        <v>51109.507078507078</v>
      </c>
      <c r="AA1225">
        <f t="shared" si="272"/>
        <v>99996</v>
      </c>
      <c r="AB1225">
        <f t="shared" si="273"/>
        <v>5091</v>
      </c>
      <c r="AC1225">
        <f t="shared" si="274"/>
        <v>1049499.7700000005</v>
      </c>
      <c r="AD1225">
        <f t="shared" si="275"/>
        <v>1350.7075546975552</v>
      </c>
      <c r="AE1225">
        <f t="shared" si="276"/>
        <v>0.35149999999999998</v>
      </c>
      <c r="AF1225">
        <f t="shared" si="277"/>
        <v>412043655.17999959</v>
      </c>
      <c r="AG1225" t="str">
        <f t="shared" si="278"/>
        <v>Active</v>
      </c>
      <c r="AH1225">
        <f t="shared" si="279"/>
        <v>1675.8000000000002</v>
      </c>
    </row>
    <row r="1226" spans="1:34" x14ac:dyDescent="0.35">
      <c r="A1226" t="s">
        <v>3312</v>
      </c>
      <c r="B1226" t="s">
        <v>3313</v>
      </c>
      <c r="C1226">
        <v>46</v>
      </c>
      <c r="D1226" t="s">
        <v>22</v>
      </c>
      <c r="E1226" t="s">
        <v>32</v>
      </c>
      <c r="F1226" t="s">
        <v>59</v>
      </c>
      <c r="G1226">
        <v>153277</v>
      </c>
      <c r="H1226">
        <v>519</v>
      </c>
      <c r="I1226">
        <v>79370</v>
      </c>
      <c r="J1226">
        <v>3.6</v>
      </c>
      <c r="K1226">
        <v>60</v>
      </c>
      <c r="L1226" t="s">
        <v>33</v>
      </c>
      <c r="M1226">
        <v>8.0399999999999991</v>
      </c>
      <c r="N1226">
        <v>53820</v>
      </c>
      <c r="O1226">
        <v>57949</v>
      </c>
      <c r="P1226" t="s">
        <v>1034</v>
      </c>
      <c r="Q1226" t="s">
        <v>27</v>
      </c>
      <c r="R1226" t="s">
        <v>48</v>
      </c>
      <c r="S1226" t="s">
        <v>43</v>
      </c>
      <c r="T1226">
        <v>1370.46</v>
      </c>
      <c r="U1226">
        <f t="shared" si="266"/>
        <v>776</v>
      </c>
      <c r="V1226">
        <f t="shared" si="267"/>
        <v>282</v>
      </c>
      <c r="W1226">
        <f t="shared" si="268"/>
        <v>250</v>
      </c>
      <c r="X1226">
        <f t="shared" si="269"/>
        <v>0.35149999999999998</v>
      </c>
      <c r="Y1226" s="1">
        <f t="shared" si="270"/>
        <v>39680560</v>
      </c>
      <c r="Z1226">
        <f t="shared" si="271"/>
        <v>51134.742268041235</v>
      </c>
      <c r="AA1226">
        <f t="shared" si="272"/>
        <v>99996</v>
      </c>
      <c r="AB1226">
        <f t="shared" si="273"/>
        <v>5091</v>
      </c>
      <c r="AC1226">
        <f t="shared" si="274"/>
        <v>1049360.1200000006</v>
      </c>
      <c r="AD1226">
        <f t="shared" si="275"/>
        <v>1352.2681958762894</v>
      </c>
      <c r="AE1226">
        <f t="shared" si="276"/>
        <v>0.35149999999999998</v>
      </c>
      <c r="AF1226">
        <f t="shared" si="277"/>
        <v>410994155.40999955</v>
      </c>
      <c r="AG1226" t="str">
        <f t="shared" si="278"/>
        <v>Active</v>
      </c>
      <c r="AH1226">
        <f t="shared" si="279"/>
        <v>16445.52</v>
      </c>
    </row>
    <row r="1227" spans="1:34" x14ac:dyDescent="0.35">
      <c r="A1227" t="s">
        <v>3314</v>
      </c>
      <c r="B1227" t="s">
        <v>3315</v>
      </c>
      <c r="C1227">
        <v>38</v>
      </c>
      <c r="D1227" t="s">
        <v>38</v>
      </c>
      <c r="E1227" t="s">
        <v>23</v>
      </c>
      <c r="F1227" t="s">
        <v>59</v>
      </c>
      <c r="G1227">
        <v>121349</v>
      </c>
      <c r="H1227">
        <v>824</v>
      </c>
      <c r="I1227">
        <v>99365</v>
      </c>
      <c r="J1227">
        <v>22.36</v>
      </c>
      <c r="K1227">
        <v>360</v>
      </c>
      <c r="L1227" t="s">
        <v>52</v>
      </c>
      <c r="M1227">
        <v>51.06</v>
      </c>
      <c r="N1227">
        <v>59174</v>
      </c>
      <c r="O1227">
        <v>215255</v>
      </c>
      <c r="P1227" t="s">
        <v>1631</v>
      </c>
      <c r="Q1227" t="s">
        <v>61</v>
      </c>
      <c r="R1227" t="s">
        <v>48</v>
      </c>
      <c r="S1227" t="s">
        <v>68</v>
      </c>
      <c r="T1227">
        <v>337.73</v>
      </c>
      <c r="U1227">
        <f t="shared" si="266"/>
        <v>775</v>
      </c>
      <c r="V1227">
        <f t="shared" si="267"/>
        <v>282</v>
      </c>
      <c r="W1227">
        <f t="shared" si="268"/>
        <v>250</v>
      </c>
      <c r="X1227">
        <f t="shared" si="269"/>
        <v>0.35149999999999998</v>
      </c>
      <c r="Y1227" s="1">
        <f t="shared" si="270"/>
        <v>39601190</v>
      </c>
      <c r="Z1227">
        <f t="shared" si="271"/>
        <v>51098.309677419355</v>
      </c>
      <c r="AA1227">
        <f t="shared" si="272"/>
        <v>99996</v>
      </c>
      <c r="AB1227">
        <f t="shared" si="273"/>
        <v>5091</v>
      </c>
      <c r="AC1227">
        <f t="shared" si="274"/>
        <v>1047989.6600000003</v>
      </c>
      <c r="AD1227">
        <f t="shared" si="275"/>
        <v>1352.2447225806454</v>
      </c>
      <c r="AE1227">
        <f t="shared" si="276"/>
        <v>0.35149999999999998</v>
      </c>
      <c r="AF1227">
        <f t="shared" si="277"/>
        <v>409944795.28999949</v>
      </c>
      <c r="AG1227" t="str">
        <f t="shared" si="278"/>
        <v>Active</v>
      </c>
      <c r="AH1227">
        <f t="shared" si="279"/>
        <v>4052.76</v>
      </c>
    </row>
    <row r="1228" spans="1:34" x14ac:dyDescent="0.35">
      <c r="A1228" t="s">
        <v>3316</v>
      </c>
      <c r="B1228" t="s">
        <v>3317</v>
      </c>
      <c r="C1228">
        <v>30</v>
      </c>
      <c r="D1228" t="s">
        <v>38</v>
      </c>
      <c r="E1228" t="s">
        <v>32</v>
      </c>
      <c r="F1228" t="s">
        <v>24</v>
      </c>
      <c r="G1228">
        <v>109243</v>
      </c>
      <c r="H1228">
        <v>481</v>
      </c>
      <c r="I1228">
        <v>48589</v>
      </c>
      <c r="J1228">
        <v>9.92</v>
      </c>
      <c r="K1228">
        <v>360</v>
      </c>
      <c r="L1228" t="s">
        <v>25</v>
      </c>
      <c r="M1228">
        <v>25.67</v>
      </c>
      <c r="N1228">
        <v>48942</v>
      </c>
      <c r="O1228">
        <v>221264</v>
      </c>
      <c r="P1228" t="s">
        <v>3318</v>
      </c>
      <c r="Q1228" t="s">
        <v>27</v>
      </c>
      <c r="R1228" t="s">
        <v>28</v>
      </c>
      <c r="S1228" t="s">
        <v>43</v>
      </c>
      <c r="T1228">
        <v>148.36000000000001</v>
      </c>
      <c r="U1228">
        <f t="shared" si="266"/>
        <v>774</v>
      </c>
      <c r="V1228">
        <f t="shared" si="267"/>
        <v>282</v>
      </c>
      <c r="W1228">
        <f t="shared" si="268"/>
        <v>249</v>
      </c>
      <c r="X1228">
        <f t="shared" si="269"/>
        <v>0.35149999999999998</v>
      </c>
      <c r="Y1228" s="1">
        <f t="shared" si="270"/>
        <v>39501825</v>
      </c>
      <c r="Z1228">
        <f t="shared" si="271"/>
        <v>51035.949612403099</v>
      </c>
      <c r="AA1228">
        <f t="shared" si="272"/>
        <v>99996</v>
      </c>
      <c r="AB1228">
        <f t="shared" si="273"/>
        <v>5091</v>
      </c>
      <c r="AC1228">
        <f t="shared" si="274"/>
        <v>1047651.9300000003</v>
      </c>
      <c r="AD1228">
        <f t="shared" si="275"/>
        <v>1353.5554651162795</v>
      </c>
      <c r="AE1228">
        <f t="shared" si="276"/>
        <v>0.35149999999999998</v>
      </c>
      <c r="AF1228">
        <f t="shared" si="277"/>
        <v>408896805.62999952</v>
      </c>
      <c r="AG1228" t="str">
        <f t="shared" si="278"/>
        <v>Active</v>
      </c>
      <c r="AH1228">
        <f t="shared" si="279"/>
        <v>1780.3200000000002</v>
      </c>
    </row>
    <row r="1229" spans="1:34" x14ac:dyDescent="0.35">
      <c r="A1229" t="s">
        <v>3319</v>
      </c>
      <c r="B1229" t="s">
        <v>3320</v>
      </c>
      <c r="C1229">
        <v>60</v>
      </c>
      <c r="D1229" t="s">
        <v>22</v>
      </c>
      <c r="E1229" t="s">
        <v>32</v>
      </c>
      <c r="F1229" t="s">
        <v>46</v>
      </c>
      <c r="G1229">
        <v>35758</v>
      </c>
      <c r="H1229">
        <v>651</v>
      </c>
      <c r="I1229">
        <v>66800</v>
      </c>
      <c r="J1229">
        <v>5.83</v>
      </c>
      <c r="K1229">
        <v>48</v>
      </c>
      <c r="L1229" t="s">
        <v>25</v>
      </c>
      <c r="M1229">
        <v>43.44</v>
      </c>
      <c r="N1229">
        <v>55016</v>
      </c>
      <c r="O1229">
        <v>50741</v>
      </c>
      <c r="P1229" t="s">
        <v>1534</v>
      </c>
      <c r="Q1229" t="s">
        <v>27</v>
      </c>
      <c r="R1229" t="s">
        <v>48</v>
      </c>
      <c r="S1229" t="s">
        <v>35</v>
      </c>
      <c r="T1229">
        <v>1472.8</v>
      </c>
      <c r="U1229">
        <f t="shared" si="266"/>
        <v>773</v>
      </c>
      <c r="V1229">
        <f t="shared" si="267"/>
        <v>282</v>
      </c>
      <c r="W1229">
        <f t="shared" si="268"/>
        <v>249</v>
      </c>
      <c r="X1229">
        <f t="shared" si="269"/>
        <v>0.35149999999999998</v>
      </c>
      <c r="Y1229" s="1">
        <f t="shared" si="270"/>
        <v>39453236</v>
      </c>
      <c r="Z1229">
        <f t="shared" si="271"/>
        <v>51039.115135834414</v>
      </c>
      <c r="AA1229">
        <f t="shared" si="272"/>
        <v>99996</v>
      </c>
      <c r="AB1229">
        <f t="shared" si="273"/>
        <v>5091</v>
      </c>
      <c r="AC1229">
        <f t="shared" si="274"/>
        <v>1047503.5700000003</v>
      </c>
      <c r="AD1229">
        <f t="shared" si="275"/>
        <v>1355.1145795601556</v>
      </c>
      <c r="AE1229">
        <f t="shared" si="276"/>
        <v>0.35149999999999998</v>
      </c>
      <c r="AF1229">
        <f t="shared" si="277"/>
        <v>407849153.69999951</v>
      </c>
      <c r="AG1229" t="str">
        <f t="shared" si="278"/>
        <v>Active</v>
      </c>
      <c r="AH1229">
        <f t="shared" si="279"/>
        <v>17673.599999999999</v>
      </c>
    </row>
    <row r="1230" spans="1:34" x14ac:dyDescent="0.35">
      <c r="A1230" t="s">
        <v>3321</v>
      </c>
      <c r="B1230" t="s">
        <v>3322</v>
      </c>
      <c r="C1230">
        <v>39</v>
      </c>
      <c r="D1230" t="s">
        <v>22</v>
      </c>
      <c r="E1230" t="s">
        <v>23</v>
      </c>
      <c r="F1230" t="s">
        <v>59</v>
      </c>
      <c r="G1230">
        <v>163769</v>
      </c>
      <c r="H1230">
        <v>579</v>
      </c>
      <c r="I1230">
        <v>36522</v>
      </c>
      <c r="J1230">
        <v>11.46</v>
      </c>
      <c r="K1230">
        <v>360</v>
      </c>
      <c r="L1230" t="s">
        <v>52</v>
      </c>
      <c r="M1230">
        <v>23.65</v>
      </c>
      <c r="N1230">
        <v>27612</v>
      </c>
      <c r="O1230">
        <v>140169</v>
      </c>
      <c r="P1230" t="s">
        <v>3323</v>
      </c>
      <c r="Q1230" t="s">
        <v>61</v>
      </c>
      <c r="R1230" t="s">
        <v>28</v>
      </c>
      <c r="S1230" t="s">
        <v>29</v>
      </c>
      <c r="T1230">
        <v>113.08</v>
      </c>
      <c r="U1230">
        <f t="shared" si="266"/>
        <v>772</v>
      </c>
      <c r="V1230">
        <f t="shared" si="267"/>
        <v>282</v>
      </c>
      <c r="W1230">
        <f t="shared" si="268"/>
        <v>249</v>
      </c>
      <c r="X1230">
        <f t="shared" si="269"/>
        <v>0.35149999999999998</v>
      </c>
      <c r="Y1230" s="1">
        <f t="shared" si="270"/>
        <v>39386436</v>
      </c>
      <c r="Z1230">
        <f t="shared" si="271"/>
        <v>51018.699481865282</v>
      </c>
      <c r="AA1230">
        <f t="shared" si="272"/>
        <v>99996</v>
      </c>
      <c r="AB1230">
        <f t="shared" si="273"/>
        <v>5091</v>
      </c>
      <c r="AC1230">
        <f t="shared" si="274"/>
        <v>1046030.7700000004</v>
      </c>
      <c r="AD1230">
        <f t="shared" si="275"/>
        <v>1354.9621373057</v>
      </c>
      <c r="AE1230">
        <f t="shared" si="276"/>
        <v>0.35149999999999998</v>
      </c>
      <c r="AF1230">
        <f t="shared" si="277"/>
        <v>406801650.12999946</v>
      </c>
      <c r="AG1230" t="str">
        <f t="shared" si="278"/>
        <v>Active</v>
      </c>
      <c r="AH1230">
        <f t="shared" si="279"/>
        <v>1356.96</v>
      </c>
    </row>
    <row r="1231" spans="1:34" x14ac:dyDescent="0.35">
      <c r="A1231" t="s">
        <v>3324</v>
      </c>
      <c r="B1231" t="s">
        <v>3325</v>
      </c>
      <c r="C1231">
        <v>36</v>
      </c>
      <c r="D1231" t="s">
        <v>38</v>
      </c>
      <c r="E1231" t="s">
        <v>32</v>
      </c>
      <c r="F1231" t="s">
        <v>59</v>
      </c>
      <c r="G1231">
        <v>157460</v>
      </c>
      <c r="H1231">
        <v>375</v>
      </c>
      <c r="I1231">
        <v>37624</v>
      </c>
      <c r="J1231">
        <v>4.58</v>
      </c>
      <c r="K1231">
        <v>60</v>
      </c>
      <c r="L1231" t="s">
        <v>52</v>
      </c>
      <c r="M1231">
        <v>35.49</v>
      </c>
      <c r="N1231">
        <v>71185</v>
      </c>
      <c r="O1231">
        <v>128512</v>
      </c>
      <c r="P1231" t="s">
        <v>3326</v>
      </c>
      <c r="Q1231" t="s">
        <v>61</v>
      </c>
      <c r="R1231" t="s">
        <v>28</v>
      </c>
      <c r="S1231" t="s">
        <v>35</v>
      </c>
      <c r="T1231">
        <v>655.79</v>
      </c>
      <c r="U1231">
        <f t="shared" si="266"/>
        <v>771</v>
      </c>
      <c r="V1231">
        <f t="shared" si="267"/>
        <v>282</v>
      </c>
      <c r="W1231">
        <f t="shared" si="268"/>
        <v>248</v>
      </c>
      <c r="X1231">
        <f t="shared" si="269"/>
        <v>0.35149999999999998</v>
      </c>
      <c r="Y1231" s="1">
        <f t="shared" si="270"/>
        <v>39349914</v>
      </c>
      <c r="Z1231">
        <f t="shared" si="271"/>
        <v>51037.501945525291</v>
      </c>
      <c r="AA1231">
        <f t="shared" si="272"/>
        <v>99996</v>
      </c>
      <c r="AB1231">
        <f t="shared" si="273"/>
        <v>5091</v>
      </c>
      <c r="AC1231">
        <f t="shared" si="274"/>
        <v>1045917.6900000003</v>
      </c>
      <c r="AD1231">
        <f t="shared" si="275"/>
        <v>1356.5728793774324</v>
      </c>
      <c r="AE1231">
        <f t="shared" si="276"/>
        <v>0.35149999999999998</v>
      </c>
      <c r="AF1231">
        <f t="shared" si="277"/>
        <v>405755619.35999948</v>
      </c>
      <c r="AG1231" t="str">
        <f t="shared" si="278"/>
        <v>Active</v>
      </c>
      <c r="AH1231">
        <f t="shared" si="279"/>
        <v>7869.48</v>
      </c>
    </row>
    <row r="1232" spans="1:34" x14ac:dyDescent="0.35">
      <c r="A1232" t="s">
        <v>3327</v>
      </c>
      <c r="B1232" t="s">
        <v>3328</v>
      </c>
      <c r="C1232">
        <v>21</v>
      </c>
      <c r="D1232" t="s">
        <v>22</v>
      </c>
      <c r="E1232" t="s">
        <v>39</v>
      </c>
      <c r="F1232" t="s">
        <v>46</v>
      </c>
      <c r="G1232">
        <v>46565</v>
      </c>
      <c r="H1232">
        <v>784</v>
      </c>
      <c r="I1232">
        <v>94046</v>
      </c>
      <c r="J1232">
        <v>13.19</v>
      </c>
      <c r="K1232">
        <v>180</v>
      </c>
      <c r="L1232" t="s">
        <v>33</v>
      </c>
      <c r="M1232">
        <v>50.9</v>
      </c>
      <c r="N1232">
        <v>70001</v>
      </c>
      <c r="O1232">
        <v>229221</v>
      </c>
      <c r="P1232" t="s">
        <v>3329</v>
      </c>
      <c r="Q1232" t="s">
        <v>61</v>
      </c>
      <c r="R1232" t="s">
        <v>48</v>
      </c>
      <c r="S1232" t="s">
        <v>68</v>
      </c>
      <c r="T1232">
        <v>591.39</v>
      </c>
      <c r="U1232">
        <f t="shared" si="266"/>
        <v>770</v>
      </c>
      <c r="V1232">
        <f t="shared" si="267"/>
        <v>282</v>
      </c>
      <c r="W1232">
        <f t="shared" si="268"/>
        <v>247</v>
      </c>
      <c r="X1232">
        <f t="shared" si="269"/>
        <v>0.35149999999999998</v>
      </c>
      <c r="Y1232" s="1">
        <f t="shared" si="270"/>
        <v>39312290</v>
      </c>
      <c r="Z1232">
        <f t="shared" si="271"/>
        <v>51054.922077922078</v>
      </c>
      <c r="AA1232">
        <f t="shared" si="272"/>
        <v>99996</v>
      </c>
      <c r="AB1232">
        <f t="shared" si="273"/>
        <v>5091</v>
      </c>
      <c r="AC1232">
        <f t="shared" si="274"/>
        <v>1045261.9000000004</v>
      </c>
      <c r="AD1232">
        <f t="shared" si="275"/>
        <v>1357.4829870129875</v>
      </c>
      <c r="AE1232">
        <f t="shared" si="276"/>
        <v>0.35149999999999998</v>
      </c>
      <c r="AF1232">
        <f t="shared" si="277"/>
        <v>404709701.66999954</v>
      </c>
      <c r="AG1232" t="str">
        <f t="shared" si="278"/>
        <v>Active</v>
      </c>
      <c r="AH1232">
        <f t="shared" si="279"/>
        <v>7096.68</v>
      </c>
    </row>
    <row r="1233" spans="1:34" x14ac:dyDescent="0.35">
      <c r="A1233" t="s">
        <v>3330</v>
      </c>
      <c r="B1233" t="s">
        <v>3331</v>
      </c>
      <c r="C1233">
        <v>65</v>
      </c>
      <c r="D1233" t="s">
        <v>22</v>
      </c>
      <c r="E1233" t="s">
        <v>39</v>
      </c>
      <c r="F1233" t="s">
        <v>46</v>
      </c>
      <c r="G1233">
        <v>27385</v>
      </c>
      <c r="H1233">
        <v>321</v>
      </c>
      <c r="I1233">
        <v>64161</v>
      </c>
      <c r="J1233">
        <v>20.72</v>
      </c>
      <c r="K1233">
        <v>120</v>
      </c>
      <c r="L1233" t="s">
        <v>40</v>
      </c>
      <c r="M1233">
        <v>46.34</v>
      </c>
      <c r="N1233">
        <v>59472</v>
      </c>
      <c r="O1233">
        <v>245069</v>
      </c>
      <c r="P1233" t="s">
        <v>3332</v>
      </c>
      <c r="Q1233" t="s">
        <v>42</v>
      </c>
      <c r="R1233" t="s">
        <v>28</v>
      </c>
      <c r="S1233" t="s">
        <v>35</v>
      </c>
      <c r="T1233">
        <v>645.46</v>
      </c>
      <c r="U1233">
        <f t="shared" si="266"/>
        <v>769</v>
      </c>
      <c r="V1233">
        <f t="shared" si="267"/>
        <v>282</v>
      </c>
      <c r="W1233">
        <f t="shared" si="268"/>
        <v>246</v>
      </c>
      <c r="X1233">
        <f t="shared" si="269"/>
        <v>0.35149999999999998</v>
      </c>
      <c r="Y1233" s="1">
        <f t="shared" si="270"/>
        <v>39218244</v>
      </c>
      <c r="Z1233">
        <f t="shared" si="271"/>
        <v>50999.016905071519</v>
      </c>
      <c r="AA1233">
        <f t="shared" si="272"/>
        <v>99996</v>
      </c>
      <c r="AB1233">
        <f t="shared" si="273"/>
        <v>5091</v>
      </c>
      <c r="AC1233">
        <f t="shared" si="274"/>
        <v>1044670.5100000004</v>
      </c>
      <c r="AD1233">
        <f t="shared" si="275"/>
        <v>1358.479206762029</v>
      </c>
      <c r="AE1233">
        <f t="shared" si="276"/>
        <v>0.35149999999999998</v>
      </c>
      <c r="AF1233">
        <f t="shared" si="277"/>
        <v>403664439.7699995</v>
      </c>
      <c r="AG1233" t="str">
        <f t="shared" si="278"/>
        <v>Active</v>
      </c>
      <c r="AH1233">
        <f t="shared" si="279"/>
        <v>7745.52</v>
      </c>
    </row>
    <row r="1234" spans="1:34" x14ac:dyDescent="0.35">
      <c r="A1234" t="s">
        <v>3333</v>
      </c>
      <c r="B1234" t="s">
        <v>3334</v>
      </c>
      <c r="C1234">
        <v>58</v>
      </c>
      <c r="D1234" t="s">
        <v>22</v>
      </c>
      <c r="E1234" t="s">
        <v>32</v>
      </c>
      <c r="F1234" t="s">
        <v>46</v>
      </c>
      <c r="G1234">
        <v>179757</v>
      </c>
      <c r="H1234">
        <v>419</v>
      </c>
      <c r="I1234">
        <v>21975</v>
      </c>
      <c r="J1234">
        <v>11.8</v>
      </c>
      <c r="K1234">
        <v>60</v>
      </c>
      <c r="L1234" t="s">
        <v>40</v>
      </c>
      <c r="M1234">
        <v>18.72</v>
      </c>
      <c r="N1234">
        <v>57811</v>
      </c>
      <c r="O1234">
        <v>54770</v>
      </c>
      <c r="P1234" t="s">
        <v>3335</v>
      </c>
      <c r="Q1234" t="s">
        <v>61</v>
      </c>
      <c r="R1234" t="s">
        <v>28</v>
      </c>
      <c r="S1234" t="s">
        <v>43</v>
      </c>
      <c r="T1234">
        <v>409.47</v>
      </c>
      <c r="U1234">
        <f t="shared" si="266"/>
        <v>768</v>
      </c>
      <c r="V1234">
        <f t="shared" si="267"/>
        <v>281</v>
      </c>
      <c r="W1234">
        <f t="shared" si="268"/>
        <v>246</v>
      </c>
      <c r="X1234">
        <f t="shared" si="269"/>
        <v>0.35149999999999998</v>
      </c>
      <c r="Y1234" s="1">
        <f t="shared" si="270"/>
        <v>39154083</v>
      </c>
      <c r="Z1234">
        <f t="shared" si="271"/>
        <v>50981.87890625</v>
      </c>
      <c r="AA1234">
        <f t="shared" si="272"/>
        <v>99996</v>
      </c>
      <c r="AB1234">
        <f t="shared" si="273"/>
        <v>5091</v>
      </c>
      <c r="AC1234">
        <f t="shared" si="274"/>
        <v>1044025.0500000003</v>
      </c>
      <c r="AD1234">
        <f t="shared" si="275"/>
        <v>1359.4076171875004</v>
      </c>
      <c r="AE1234">
        <f t="shared" si="276"/>
        <v>0.35149999999999998</v>
      </c>
      <c r="AF1234">
        <f t="shared" si="277"/>
        <v>402619769.25999951</v>
      </c>
      <c r="AG1234" t="str">
        <f t="shared" si="278"/>
        <v>Active</v>
      </c>
      <c r="AH1234">
        <f t="shared" si="279"/>
        <v>4913.6400000000003</v>
      </c>
    </row>
    <row r="1235" spans="1:34" x14ac:dyDescent="0.35">
      <c r="A1235" t="s">
        <v>3336</v>
      </c>
      <c r="B1235" t="s">
        <v>3337</v>
      </c>
      <c r="C1235">
        <v>65</v>
      </c>
      <c r="D1235" t="s">
        <v>38</v>
      </c>
      <c r="E1235" t="s">
        <v>23</v>
      </c>
      <c r="F1235" t="s">
        <v>24</v>
      </c>
      <c r="G1235">
        <v>77061</v>
      </c>
      <c r="H1235">
        <v>789</v>
      </c>
      <c r="I1235">
        <v>39478</v>
      </c>
      <c r="J1235">
        <v>16.79</v>
      </c>
      <c r="K1235">
        <v>48</v>
      </c>
      <c r="L1235" t="s">
        <v>33</v>
      </c>
      <c r="M1235">
        <v>40.33</v>
      </c>
      <c r="N1235">
        <v>47413</v>
      </c>
      <c r="O1235">
        <v>175818</v>
      </c>
      <c r="P1235" t="s">
        <v>2057</v>
      </c>
      <c r="Q1235" t="s">
        <v>61</v>
      </c>
      <c r="R1235" t="s">
        <v>28</v>
      </c>
      <c r="S1235" t="s">
        <v>49</v>
      </c>
      <c r="T1235">
        <v>960.55</v>
      </c>
      <c r="U1235">
        <f t="shared" si="266"/>
        <v>767</v>
      </c>
      <c r="V1235">
        <f t="shared" si="267"/>
        <v>281</v>
      </c>
      <c r="W1235">
        <f t="shared" si="268"/>
        <v>245</v>
      </c>
      <c r="X1235">
        <f t="shared" si="269"/>
        <v>0.35149999999999998</v>
      </c>
      <c r="Y1235" s="1">
        <f t="shared" si="270"/>
        <v>39132108</v>
      </c>
      <c r="Z1235">
        <f t="shared" si="271"/>
        <v>51019.697522816168</v>
      </c>
      <c r="AA1235">
        <f t="shared" si="272"/>
        <v>99996</v>
      </c>
      <c r="AB1235">
        <f t="shared" si="273"/>
        <v>5091</v>
      </c>
      <c r="AC1235">
        <f t="shared" si="274"/>
        <v>1043615.5800000003</v>
      </c>
      <c r="AD1235">
        <f t="shared" si="275"/>
        <v>1360.646127770535</v>
      </c>
      <c r="AE1235">
        <f t="shared" si="276"/>
        <v>0.35149999999999998</v>
      </c>
      <c r="AF1235">
        <f t="shared" si="277"/>
        <v>401575744.20999944</v>
      </c>
      <c r="AG1235" t="str">
        <f t="shared" si="278"/>
        <v>Active</v>
      </c>
      <c r="AH1235">
        <f t="shared" si="279"/>
        <v>11526.599999999999</v>
      </c>
    </row>
    <row r="1236" spans="1:34" x14ac:dyDescent="0.35">
      <c r="A1236" t="s">
        <v>3338</v>
      </c>
      <c r="B1236" t="s">
        <v>3339</v>
      </c>
      <c r="C1236">
        <v>26</v>
      </c>
      <c r="D1236" t="s">
        <v>38</v>
      </c>
      <c r="E1236" t="s">
        <v>39</v>
      </c>
      <c r="F1236" t="s">
        <v>24</v>
      </c>
      <c r="G1236">
        <v>135749</v>
      </c>
      <c r="H1236">
        <v>646</v>
      </c>
      <c r="I1236">
        <v>70719</v>
      </c>
      <c r="J1236">
        <v>7.2</v>
      </c>
      <c r="K1236">
        <v>12</v>
      </c>
      <c r="L1236" t="s">
        <v>33</v>
      </c>
      <c r="M1236">
        <v>17.350000000000001</v>
      </c>
      <c r="N1236">
        <v>14907</v>
      </c>
      <c r="O1236">
        <v>186426</v>
      </c>
      <c r="P1236" t="s">
        <v>1924</v>
      </c>
      <c r="Q1236" t="s">
        <v>27</v>
      </c>
      <c r="R1236" t="s">
        <v>28</v>
      </c>
      <c r="S1236" t="s">
        <v>29</v>
      </c>
      <c r="T1236">
        <v>6317.56</v>
      </c>
      <c r="U1236">
        <f t="shared" si="266"/>
        <v>766</v>
      </c>
      <c r="V1236">
        <f t="shared" si="267"/>
        <v>281</v>
      </c>
      <c r="W1236">
        <f t="shared" si="268"/>
        <v>244</v>
      </c>
      <c r="X1236">
        <f t="shared" si="269"/>
        <v>0.35149999999999998</v>
      </c>
      <c r="Y1236" s="1">
        <f t="shared" si="270"/>
        <v>39092630</v>
      </c>
      <c r="Z1236">
        <f t="shared" si="271"/>
        <v>51034.765013054828</v>
      </c>
      <c r="AA1236">
        <f t="shared" si="272"/>
        <v>99996</v>
      </c>
      <c r="AB1236">
        <f t="shared" si="273"/>
        <v>5091</v>
      </c>
      <c r="AC1236">
        <f t="shared" si="274"/>
        <v>1042655.0300000004</v>
      </c>
      <c r="AD1236">
        <f t="shared" si="275"/>
        <v>1361.1684464751963</v>
      </c>
      <c r="AE1236">
        <f t="shared" si="276"/>
        <v>0.35149999999999998</v>
      </c>
      <c r="AF1236">
        <f t="shared" si="277"/>
        <v>400532128.62999946</v>
      </c>
      <c r="AG1236" t="str">
        <f t="shared" si="278"/>
        <v>Active</v>
      </c>
      <c r="AH1236">
        <f t="shared" si="279"/>
        <v>75810.720000000001</v>
      </c>
    </row>
    <row r="1237" spans="1:34" x14ac:dyDescent="0.35">
      <c r="A1237" t="s">
        <v>3340</v>
      </c>
      <c r="B1237" t="s">
        <v>3341</v>
      </c>
      <c r="C1237">
        <v>28</v>
      </c>
      <c r="D1237" t="s">
        <v>38</v>
      </c>
      <c r="E1237" t="s">
        <v>39</v>
      </c>
      <c r="F1237" t="s">
        <v>24</v>
      </c>
      <c r="G1237">
        <v>130291</v>
      </c>
      <c r="H1237">
        <v>532</v>
      </c>
      <c r="I1237">
        <v>83900</v>
      </c>
      <c r="J1237">
        <v>7.87</v>
      </c>
      <c r="K1237">
        <v>180</v>
      </c>
      <c r="L1237" t="s">
        <v>86</v>
      </c>
      <c r="M1237">
        <v>54.93</v>
      </c>
      <c r="N1237">
        <v>29115</v>
      </c>
      <c r="O1237">
        <v>205806</v>
      </c>
      <c r="P1237" t="s">
        <v>3342</v>
      </c>
      <c r="Q1237" t="s">
        <v>61</v>
      </c>
      <c r="R1237" t="s">
        <v>28</v>
      </c>
      <c r="S1237" t="s">
        <v>35</v>
      </c>
      <c r="T1237">
        <v>502.79</v>
      </c>
      <c r="U1237">
        <f t="shared" si="266"/>
        <v>765</v>
      </c>
      <c r="V1237">
        <f t="shared" si="267"/>
        <v>281</v>
      </c>
      <c r="W1237">
        <f t="shared" si="268"/>
        <v>244</v>
      </c>
      <c r="X1237">
        <f t="shared" si="269"/>
        <v>0.35149999999999998</v>
      </c>
      <c r="Y1237" s="1">
        <f t="shared" si="270"/>
        <v>39021911</v>
      </c>
      <c r="Z1237">
        <f t="shared" si="271"/>
        <v>51009.033986928102</v>
      </c>
      <c r="AA1237">
        <f t="shared" si="272"/>
        <v>99996</v>
      </c>
      <c r="AB1237">
        <f t="shared" si="273"/>
        <v>5091</v>
      </c>
      <c r="AC1237">
        <f t="shared" si="274"/>
        <v>1036337.4700000003</v>
      </c>
      <c r="AD1237">
        <f t="shared" si="275"/>
        <v>1354.6895032679743</v>
      </c>
      <c r="AE1237">
        <f t="shared" si="276"/>
        <v>0.35149999999999998</v>
      </c>
      <c r="AF1237">
        <f t="shared" si="277"/>
        <v>399489473.59999949</v>
      </c>
      <c r="AG1237" t="str">
        <f t="shared" si="278"/>
        <v>Over Paid</v>
      </c>
      <c r="AH1237">
        <f t="shared" si="279"/>
        <v>6033.4800000000005</v>
      </c>
    </row>
    <row r="1238" spans="1:34" x14ac:dyDescent="0.35">
      <c r="A1238" t="s">
        <v>3343</v>
      </c>
      <c r="B1238" t="s">
        <v>3344</v>
      </c>
      <c r="C1238">
        <v>45</v>
      </c>
      <c r="D1238" t="s">
        <v>22</v>
      </c>
      <c r="E1238" t="s">
        <v>32</v>
      </c>
      <c r="F1238" t="s">
        <v>24</v>
      </c>
      <c r="G1238">
        <v>192648</v>
      </c>
      <c r="H1238">
        <v>432</v>
      </c>
      <c r="I1238">
        <v>28140</v>
      </c>
      <c r="J1238">
        <v>23.2</v>
      </c>
      <c r="K1238">
        <v>180</v>
      </c>
      <c r="L1238" t="s">
        <v>33</v>
      </c>
      <c r="M1238">
        <v>5.69</v>
      </c>
      <c r="N1238">
        <v>69530</v>
      </c>
      <c r="O1238">
        <v>249706</v>
      </c>
      <c r="P1238" t="s">
        <v>3345</v>
      </c>
      <c r="Q1238" t="s">
        <v>61</v>
      </c>
      <c r="R1238" t="s">
        <v>48</v>
      </c>
      <c r="S1238" t="s">
        <v>43</v>
      </c>
      <c r="T1238">
        <v>192.6</v>
      </c>
      <c r="U1238">
        <f t="shared" si="266"/>
        <v>764</v>
      </c>
      <c r="V1238">
        <f t="shared" si="267"/>
        <v>281</v>
      </c>
      <c r="W1238">
        <f t="shared" si="268"/>
        <v>243</v>
      </c>
      <c r="X1238">
        <f t="shared" si="269"/>
        <v>0.35149999999999998</v>
      </c>
      <c r="Y1238" s="1">
        <f t="shared" si="270"/>
        <v>38938011</v>
      </c>
      <c r="Z1238">
        <f t="shared" si="271"/>
        <v>50965.982984293194</v>
      </c>
      <c r="AA1238">
        <f t="shared" si="272"/>
        <v>99996</v>
      </c>
      <c r="AB1238">
        <f t="shared" si="273"/>
        <v>5091</v>
      </c>
      <c r="AC1238">
        <f t="shared" si="274"/>
        <v>1035834.6800000003</v>
      </c>
      <c r="AD1238">
        <f t="shared" si="275"/>
        <v>1355.8045549738224</v>
      </c>
      <c r="AE1238">
        <f t="shared" si="276"/>
        <v>0.35149999999999998</v>
      </c>
      <c r="AF1238">
        <f t="shared" si="277"/>
        <v>398453136.12999952</v>
      </c>
      <c r="AG1238" t="str">
        <f t="shared" si="278"/>
        <v>Active</v>
      </c>
      <c r="AH1238">
        <f t="shared" si="279"/>
        <v>2311.1999999999998</v>
      </c>
    </row>
    <row r="1239" spans="1:34" x14ac:dyDescent="0.35">
      <c r="A1239" t="s">
        <v>3346</v>
      </c>
      <c r="B1239" t="s">
        <v>3347</v>
      </c>
      <c r="C1239">
        <v>55</v>
      </c>
      <c r="D1239" t="s">
        <v>38</v>
      </c>
      <c r="E1239" t="s">
        <v>23</v>
      </c>
      <c r="F1239" t="s">
        <v>46</v>
      </c>
      <c r="G1239">
        <v>61063</v>
      </c>
      <c r="H1239">
        <v>845</v>
      </c>
      <c r="I1239">
        <v>30164</v>
      </c>
      <c r="J1239">
        <v>15.37</v>
      </c>
      <c r="K1239">
        <v>360</v>
      </c>
      <c r="L1239" t="s">
        <v>52</v>
      </c>
      <c r="M1239">
        <v>5.73</v>
      </c>
      <c r="N1239">
        <v>43806</v>
      </c>
      <c r="O1239">
        <v>174950</v>
      </c>
      <c r="P1239" t="s">
        <v>637</v>
      </c>
      <c r="Q1239" t="s">
        <v>42</v>
      </c>
      <c r="R1239" t="s">
        <v>28</v>
      </c>
      <c r="S1239" t="s">
        <v>29</v>
      </c>
      <c r="T1239">
        <v>96.67</v>
      </c>
      <c r="U1239">
        <f t="shared" si="266"/>
        <v>763</v>
      </c>
      <c r="V1239">
        <f t="shared" si="267"/>
        <v>281</v>
      </c>
      <c r="W1239">
        <f t="shared" si="268"/>
        <v>242</v>
      </c>
      <c r="X1239">
        <f t="shared" si="269"/>
        <v>0.35149999999999998</v>
      </c>
      <c r="Y1239" s="1">
        <f t="shared" si="270"/>
        <v>38909871</v>
      </c>
      <c r="Z1239">
        <f t="shared" si="271"/>
        <v>50995.899082568809</v>
      </c>
      <c r="AA1239">
        <f t="shared" si="272"/>
        <v>99996</v>
      </c>
      <c r="AB1239">
        <f t="shared" si="273"/>
        <v>5091</v>
      </c>
      <c r="AC1239">
        <f t="shared" si="274"/>
        <v>1035642.0800000002</v>
      </c>
      <c r="AD1239">
        <f t="shared" si="275"/>
        <v>1357.3290694626478</v>
      </c>
      <c r="AE1239">
        <f t="shared" si="276"/>
        <v>0.35149999999999998</v>
      </c>
      <c r="AF1239">
        <f t="shared" si="277"/>
        <v>397417301.44999939</v>
      </c>
      <c r="AG1239" t="str">
        <f t="shared" si="278"/>
        <v>Active</v>
      </c>
      <c r="AH1239">
        <f t="shared" si="279"/>
        <v>1160.04</v>
      </c>
    </row>
    <row r="1240" spans="1:34" x14ac:dyDescent="0.35">
      <c r="A1240" t="s">
        <v>3348</v>
      </c>
      <c r="B1240" t="s">
        <v>3349</v>
      </c>
      <c r="C1240">
        <v>48</v>
      </c>
      <c r="D1240" t="s">
        <v>22</v>
      </c>
      <c r="E1240" t="s">
        <v>32</v>
      </c>
      <c r="F1240" t="s">
        <v>46</v>
      </c>
      <c r="G1240">
        <v>179577</v>
      </c>
      <c r="H1240">
        <v>530</v>
      </c>
      <c r="I1240">
        <v>38368</v>
      </c>
      <c r="J1240">
        <v>18.48</v>
      </c>
      <c r="K1240">
        <v>12</v>
      </c>
      <c r="L1240" t="s">
        <v>52</v>
      </c>
      <c r="M1240">
        <v>21.71</v>
      </c>
      <c r="N1240">
        <v>50223</v>
      </c>
      <c r="O1240">
        <v>205968</v>
      </c>
      <c r="P1240" t="s">
        <v>3350</v>
      </c>
      <c r="Q1240" t="s">
        <v>61</v>
      </c>
      <c r="R1240" t="s">
        <v>48</v>
      </c>
      <c r="S1240" t="s">
        <v>43</v>
      </c>
      <c r="T1240">
        <v>3788.2</v>
      </c>
      <c r="U1240">
        <f t="shared" si="266"/>
        <v>762</v>
      </c>
      <c r="V1240">
        <f t="shared" si="267"/>
        <v>280</v>
      </c>
      <c r="W1240">
        <f t="shared" si="268"/>
        <v>242</v>
      </c>
      <c r="X1240">
        <f t="shared" si="269"/>
        <v>0.35149999999999998</v>
      </c>
      <c r="Y1240" s="1">
        <f t="shared" si="270"/>
        <v>38879707</v>
      </c>
      <c r="Z1240">
        <f t="shared" si="271"/>
        <v>51023.237532808402</v>
      </c>
      <c r="AA1240">
        <f t="shared" si="272"/>
        <v>99996</v>
      </c>
      <c r="AB1240">
        <f t="shared" si="273"/>
        <v>5091</v>
      </c>
      <c r="AC1240">
        <f t="shared" si="274"/>
        <v>1035545.4100000003</v>
      </c>
      <c r="AD1240">
        <f t="shared" si="275"/>
        <v>1358.983477690289</v>
      </c>
      <c r="AE1240">
        <f t="shared" si="276"/>
        <v>0.35149999999999998</v>
      </c>
      <c r="AF1240">
        <f t="shared" si="277"/>
        <v>396381659.36999953</v>
      </c>
      <c r="AG1240" t="str">
        <f t="shared" si="278"/>
        <v>Active</v>
      </c>
      <c r="AH1240">
        <f t="shared" si="279"/>
        <v>45458.399999999994</v>
      </c>
    </row>
    <row r="1241" spans="1:34" x14ac:dyDescent="0.35">
      <c r="A1241" t="s">
        <v>3351</v>
      </c>
      <c r="B1241" t="s">
        <v>3352</v>
      </c>
      <c r="C1241">
        <v>61</v>
      </c>
      <c r="D1241" t="s">
        <v>38</v>
      </c>
      <c r="E1241" t="s">
        <v>39</v>
      </c>
      <c r="F1241" t="s">
        <v>59</v>
      </c>
      <c r="G1241">
        <v>56786</v>
      </c>
      <c r="H1241">
        <v>565</v>
      </c>
      <c r="I1241">
        <v>8970</v>
      </c>
      <c r="J1241">
        <v>21.04</v>
      </c>
      <c r="K1241">
        <v>120</v>
      </c>
      <c r="L1241" t="s">
        <v>40</v>
      </c>
      <c r="M1241">
        <v>50.79</v>
      </c>
      <c r="N1241">
        <v>79588</v>
      </c>
      <c r="O1241">
        <v>30940</v>
      </c>
      <c r="P1241" t="s">
        <v>963</v>
      </c>
      <c r="Q1241" t="s">
        <v>27</v>
      </c>
      <c r="R1241" t="s">
        <v>28</v>
      </c>
      <c r="S1241" t="s">
        <v>68</v>
      </c>
      <c r="T1241">
        <v>90.48</v>
      </c>
      <c r="U1241">
        <f t="shared" si="266"/>
        <v>761</v>
      </c>
      <c r="V1241">
        <f t="shared" si="267"/>
        <v>280</v>
      </c>
      <c r="W1241">
        <f t="shared" si="268"/>
        <v>241</v>
      </c>
      <c r="X1241">
        <f t="shared" si="269"/>
        <v>0.35149999999999998</v>
      </c>
      <c r="Y1241" s="1">
        <f t="shared" si="270"/>
        <v>38841339</v>
      </c>
      <c r="Z1241">
        <f t="shared" si="271"/>
        <v>51039.867279894876</v>
      </c>
      <c r="AA1241">
        <f t="shared" si="272"/>
        <v>99996</v>
      </c>
      <c r="AB1241">
        <f t="shared" si="273"/>
        <v>5091</v>
      </c>
      <c r="AC1241">
        <f t="shared" si="274"/>
        <v>1031757.2100000002</v>
      </c>
      <c r="AD1241">
        <f t="shared" si="275"/>
        <v>1355.791340341656</v>
      </c>
      <c r="AE1241">
        <f t="shared" si="276"/>
        <v>0.35149999999999998</v>
      </c>
      <c r="AF1241">
        <f t="shared" si="277"/>
        <v>395346113.95999956</v>
      </c>
      <c r="AG1241" t="str">
        <f t="shared" si="278"/>
        <v>Over Paid</v>
      </c>
      <c r="AH1241">
        <f t="shared" si="279"/>
        <v>1085.76</v>
      </c>
    </row>
    <row r="1242" spans="1:34" x14ac:dyDescent="0.35">
      <c r="A1242" t="s">
        <v>3353</v>
      </c>
      <c r="B1242" t="s">
        <v>3354</v>
      </c>
      <c r="C1242">
        <v>58</v>
      </c>
      <c r="D1242" t="s">
        <v>38</v>
      </c>
      <c r="E1242" t="s">
        <v>32</v>
      </c>
      <c r="F1242" t="s">
        <v>46</v>
      </c>
      <c r="G1242">
        <v>65530</v>
      </c>
      <c r="H1242">
        <v>660</v>
      </c>
      <c r="I1242">
        <v>49307</v>
      </c>
      <c r="J1242">
        <v>10.49</v>
      </c>
      <c r="K1242">
        <v>240</v>
      </c>
      <c r="L1242" t="s">
        <v>40</v>
      </c>
      <c r="M1242">
        <v>20.55</v>
      </c>
      <c r="N1242">
        <v>38818</v>
      </c>
      <c r="O1242">
        <v>81855</v>
      </c>
      <c r="P1242" t="s">
        <v>1054</v>
      </c>
      <c r="Q1242" t="s">
        <v>27</v>
      </c>
      <c r="R1242" t="s">
        <v>28</v>
      </c>
      <c r="S1242" t="s">
        <v>68</v>
      </c>
      <c r="T1242">
        <v>227</v>
      </c>
      <c r="U1242">
        <f t="shared" si="266"/>
        <v>760</v>
      </c>
      <c r="V1242">
        <f t="shared" si="267"/>
        <v>280</v>
      </c>
      <c r="W1242">
        <f t="shared" si="268"/>
        <v>241</v>
      </c>
      <c r="X1242">
        <f t="shared" si="269"/>
        <v>0.35149999999999998</v>
      </c>
      <c r="Y1242" s="1">
        <f t="shared" si="270"/>
        <v>38832369</v>
      </c>
      <c r="Z1242">
        <f t="shared" si="271"/>
        <v>51095.222368421055</v>
      </c>
      <c r="AA1242">
        <f t="shared" si="272"/>
        <v>99996</v>
      </c>
      <c r="AB1242">
        <f t="shared" si="273"/>
        <v>5091</v>
      </c>
      <c r="AC1242">
        <f t="shared" si="274"/>
        <v>1031666.7300000002</v>
      </c>
      <c r="AD1242">
        <f t="shared" si="275"/>
        <v>1357.4562236842107</v>
      </c>
      <c r="AE1242">
        <f t="shared" si="276"/>
        <v>0.35149999999999998</v>
      </c>
      <c r="AF1242">
        <f t="shared" si="277"/>
        <v>394314356.74999958</v>
      </c>
      <c r="AG1242" t="str">
        <f t="shared" si="278"/>
        <v>Active</v>
      </c>
      <c r="AH1242">
        <f t="shared" si="279"/>
        <v>2724</v>
      </c>
    </row>
    <row r="1243" spans="1:34" x14ac:dyDescent="0.35">
      <c r="A1243" t="s">
        <v>3355</v>
      </c>
      <c r="B1243" t="s">
        <v>3356</v>
      </c>
      <c r="C1243">
        <v>49</v>
      </c>
      <c r="D1243" t="s">
        <v>22</v>
      </c>
      <c r="E1243" t="s">
        <v>23</v>
      </c>
      <c r="F1243" t="s">
        <v>59</v>
      </c>
      <c r="G1243">
        <v>79402</v>
      </c>
      <c r="H1243">
        <v>641</v>
      </c>
      <c r="I1243">
        <v>24382</v>
      </c>
      <c r="J1243">
        <v>3.7</v>
      </c>
      <c r="K1243">
        <v>24</v>
      </c>
      <c r="L1243" t="s">
        <v>40</v>
      </c>
      <c r="M1243">
        <v>38.21</v>
      </c>
      <c r="N1243">
        <v>9811</v>
      </c>
      <c r="O1243">
        <v>122199</v>
      </c>
      <c r="P1243" t="s">
        <v>3357</v>
      </c>
      <c r="Q1243" t="s">
        <v>27</v>
      </c>
      <c r="R1243" t="s">
        <v>48</v>
      </c>
      <c r="S1243" t="s">
        <v>29</v>
      </c>
      <c r="T1243">
        <v>1053.51</v>
      </c>
      <c r="U1243">
        <f t="shared" si="266"/>
        <v>759</v>
      </c>
      <c r="V1243">
        <f t="shared" si="267"/>
        <v>280</v>
      </c>
      <c r="W1243">
        <f t="shared" si="268"/>
        <v>241</v>
      </c>
      <c r="X1243">
        <f t="shared" si="269"/>
        <v>0.35149999999999998</v>
      </c>
      <c r="Y1243" s="1">
        <f t="shared" si="270"/>
        <v>38783062</v>
      </c>
      <c r="Z1243">
        <f t="shared" si="271"/>
        <v>51097.578392621872</v>
      </c>
      <c r="AA1243">
        <f t="shared" si="272"/>
        <v>99996</v>
      </c>
      <c r="AB1243">
        <f t="shared" si="273"/>
        <v>5091</v>
      </c>
      <c r="AC1243">
        <f t="shared" si="274"/>
        <v>1031439.7300000002</v>
      </c>
      <c r="AD1243">
        <f t="shared" si="275"/>
        <v>1358.9456258234522</v>
      </c>
      <c r="AE1243">
        <f t="shared" si="276"/>
        <v>0.35149999999999998</v>
      </c>
      <c r="AF1243">
        <f t="shared" si="277"/>
        <v>393282690.01999956</v>
      </c>
      <c r="AG1243" t="str">
        <f t="shared" si="278"/>
        <v>Active</v>
      </c>
      <c r="AH1243">
        <f t="shared" si="279"/>
        <v>12642.119999999999</v>
      </c>
    </row>
    <row r="1244" spans="1:34" x14ac:dyDescent="0.35">
      <c r="A1244" t="s">
        <v>3358</v>
      </c>
      <c r="B1244" t="s">
        <v>3359</v>
      </c>
      <c r="C1244">
        <v>40</v>
      </c>
      <c r="D1244" t="s">
        <v>22</v>
      </c>
      <c r="E1244" t="s">
        <v>39</v>
      </c>
      <c r="F1244" t="s">
        <v>24</v>
      </c>
      <c r="G1244">
        <v>109501</v>
      </c>
      <c r="H1244">
        <v>549</v>
      </c>
      <c r="I1244">
        <v>38454</v>
      </c>
      <c r="J1244">
        <v>6.64</v>
      </c>
      <c r="K1244">
        <v>60</v>
      </c>
      <c r="L1244" t="s">
        <v>40</v>
      </c>
      <c r="M1244">
        <v>27.24</v>
      </c>
      <c r="N1244">
        <v>2769</v>
      </c>
      <c r="O1244">
        <v>229561</v>
      </c>
      <c r="P1244" t="s">
        <v>2415</v>
      </c>
      <c r="Q1244" t="s">
        <v>27</v>
      </c>
      <c r="R1244" t="s">
        <v>48</v>
      </c>
      <c r="S1244" t="s">
        <v>43</v>
      </c>
      <c r="T1244">
        <v>683.46</v>
      </c>
      <c r="U1244">
        <f t="shared" si="266"/>
        <v>758</v>
      </c>
      <c r="V1244">
        <f t="shared" si="267"/>
        <v>280</v>
      </c>
      <c r="W1244">
        <f t="shared" si="268"/>
        <v>241</v>
      </c>
      <c r="X1244">
        <f t="shared" si="269"/>
        <v>0.35149999999999998</v>
      </c>
      <c r="Y1244" s="1">
        <f t="shared" si="270"/>
        <v>38758680</v>
      </c>
      <c r="Z1244">
        <f t="shared" si="271"/>
        <v>51132.823218997364</v>
      </c>
      <c r="AA1244">
        <f t="shared" si="272"/>
        <v>99996</v>
      </c>
      <c r="AB1244">
        <f t="shared" si="273"/>
        <v>5091</v>
      </c>
      <c r="AC1244">
        <f t="shared" si="274"/>
        <v>1030386.2200000003</v>
      </c>
      <c r="AD1244">
        <f t="shared" si="275"/>
        <v>1359.3485751978897</v>
      </c>
      <c r="AE1244">
        <f t="shared" si="276"/>
        <v>0.35149999999999998</v>
      </c>
      <c r="AF1244">
        <f t="shared" si="277"/>
        <v>392251250.28999954</v>
      </c>
      <c r="AG1244" t="str">
        <f t="shared" si="278"/>
        <v>Active</v>
      </c>
      <c r="AH1244">
        <f t="shared" si="279"/>
        <v>8201.52</v>
      </c>
    </row>
    <row r="1245" spans="1:34" x14ac:dyDescent="0.35">
      <c r="A1245" t="s">
        <v>3360</v>
      </c>
      <c r="B1245" t="s">
        <v>3361</v>
      </c>
      <c r="C1245">
        <v>60</v>
      </c>
      <c r="D1245" t="s">
        <v>38</v>
      </c>
      <c r="E1245" t="s">
        <v>23</v>
      </c>
      <c r="F1245" t="s">
        <v>59</v>
      </c>
      <c r="G1245">
        <v>61900</v>
      </c>
      <c r="H1245">
        <v>666</v>
      </c>
      <c r="I1245">
        <v>93173</v>
      </c>
      <c r="J1245">
        <v>6.69</v>
      </c>
      <c r="K1245">
        <v>60</v>
      </c>
      <c r="L1245" t="s">
        <v>33</v>
      </c>
      <c r="M1245">
        <v>24.22</v>
      </c>
      <c r="N1245">
        <v>8493</v>
      </c>
      <c r="O1245">
        <v>101422</v>
      </c>
      <c r="P1245" t="s">
        <v>165</v>
      </c>
      <c r="Q1245" t="s">
        <v>61</v>
      </c>
      <c r="R1245" t="s">
        <v>48</v>
      </c>
      <c r="S1245" t="s">
        <v>68</v>
      </c>
      <c r="T1245">
        <v>1656.77</v>
      </c>
      <c r="U1245">
        <f t="shared" si="266"/>
        <v>757</v>
      </c>
      <c r="V1245">
        <f t="shared" si="267"/>
        <v>280</v>
      </c>
      <c r="W1245">
        <f t="shared" si="268"/>
        <v>241</v>
      </c>
      <c r="X1245">
        <f t="shared" si="269"/>
        <v>0.35149999999999998</v>
      </c>
      <c r="Y1245" s="1">
        <f t="shared" si="270"/>
        <v>38720226</v>
      </c>
      <c r="Z1245">
        <f t="shared" si="271"/>
        <v>51149.571994715981</v>
      </c>
      <c r="AA1245">
        <f t="shared" si="272"/>
        <v>99996</v>
      </c>
      <c r="AB1245">
        <f t="shared" si="273"/>
        <v>5091</v>
      </c>
      <c r="AC1245">
        <f t="shared" si="274"/>
        <v>1029702.7600000004</v>
      </c>
      <c r="AD1245">
        <f t="shared" si="275"/>
        <v>1360.2414266842804</v>
      </c>
      <c r="AE1245">
        <f t="shared" si="276"/>
        <v>0.35149999999999998</v>
      </c>
      <c r="AF1245">
        <f t="shared" si="277"/>
        <v>391220864.06999958</v>
      </c>
      <c r="AG1245" t="str">
        <f t="shared" si="278"/>
        <v>Active</v>
      </c>
      <c r="AH1245">
        <f t="shared" si="279"/>
        <v>19881.239999999998</v>
      </c>
    </row>
    <row r="1246" spans="1:34" x14ac:dyDescent="0.35">
      <c r="A1246" t="s">
        <v>3362</v>
      </c>
      <c r="B1246" t="s">
        <v>3363</v>
      </c>
      <c r="C1246">
        <v>57</v>
      </c>
      <c r="D1246" t="s">
        <v>38</v>
      </c>
      <c r="E1246" t="s">
        <v>32</v>
      </c>
      <c r="F1246" t="s">
        <v>24</v>
      </c>
      <c r="G1246">
        <v>99587</v>
      </c>
      <c r="H1246">
        <v>332</v>
      </c>
      <c r="I1246">
        <v>51552</v>
      </c>
      <c r="J1246">
        <v>18.89</v>
      </c>
      <c r="K1246">
        <v>240</v>
      </c>
      <c r="L1246" t="s">
        <v>86</v>
      </c>
      <c r="M1246">
        <v>59.86</v>
      </c>
      <c r="N1246">
        <v>26169</v>
      </c>
      <c r="O1246">
        <v>198072</v>
      </c>
      <c r="P1246" t="s">
        <v>3364</v>
      </c>
      <c r="Q1246" t="s">
        <v>42</v>
      </c>
      <c r="R1246" t="s">
        <v>48</v>
      </c>
      <c r="S1246" t="s">
        <v>68</v>
      </c>
      <c r="T1246">
        <v>255.38</v>
      </c>
      <c r="U1246">
        <f t="shared" si="266"/>
        <v>756</v>
      </c>
      <c r="V1246">
        <f t="shared" si="267"/>
        <v>280</v>
      </c>
      <c r="W1246">
        <f t="shared" si="268"/>
        <v>240</v>
      </c>
      <c r="X1246">
        <f t="shared" si="269"/>
        <v>0.35149999999999998</v>
      </c>
      <c r="Y1246" s="1">
        <f t="shared" si="270"/>
        <v>38627053</v>
      </c>
      <c r="Z1246">
        <f t="shared" si="271"/>
        <v>51093.985449735446</v>
      </c>
      <c r="AA1246">
        <f t="shared" si="272"/>
        <v>99996</v>
      </c>
      <c r="AB1246">
        <f t="shared" si="273"/>
        <v>5091</v>
      </c>
      <c r="AC1246">
        <f t="shared" si="274"/>
        <v>1028045.9900000003</v>
      </c>
      <c r="AD1246">
        <f t="shared" si="275"/>
        <v>1359.8491931216936</v>
      </c>
      <c r="AE1246">
        <f t="shared" si="276"/>
        <v>0.35149999999999998</v>
      </c>
      <c r="AF1246">
        <f t="shared" si="277"/>
        <v>390191161.30999953</v>
      </c>
      <c r="AG1246" t="str">
        <f t="shared" si="278"/>
        <v>Active</v>
      </c>
      <c r="AH1246">
        <f t="shared" si="279"/>
        <v>3064.56</v>
      </c>
    </row>
    <row r="1247" spans="1:34" x14ac:dyDescent="0.35">
      <c r="A1247" t="s">
        <v>3365</v>
      </c>
      <c r="B1247" t="s">
        <v>3366</v>
      </c>
      <c r="C1247">
        <v>26</v>
      </c>
      <c r="D1247" t="s">
        <v>38</v>
      </c>
      <c r="E1247" t="s">
        <v>39</v>
      </c>
      <c r="F1247" t="s">
        <v>59</v>
      </c>
      <c r="G1247">
        <v>198264</v>
      </c>
      <c r="H1247">
        <v>409</v>
      </c>
      <c r="I1247">
        <v>31827</v>
      </c>
      <c r="J1247">
        <v>9.44</v>
      </c>
      <c r="K1247">
        <v>120</v>
      </c>
      <c r="L1247" t="s">
        <v>86</v>
      </c>
      <c r="M1247">
        <v>23.57</v>
      </c>
      <c r="N1247">
        <v>57317</v>
      </c>
      <c r="O1247">
        <v>62856</v>
      </c>
      <c r="P1247" t="s">
        <v>3367</v>
      </c>
      <c r="Q1247" t="s">
        <v>27</v>
      </c>
      <c r="R1247" t="s">
        <v>28</v>
      </c>
      <c r="S1247" t="s">
        <v>49</v>
      </c>
      <c r="T1247">
        <v>290.26</v>
      </c>
      <c r="U1247">
        <f t="shared" si="266"/>
        <v>755</v>
      </c>
      <c r="V1247">
        <f t="shared" si="267"/>
        <v>279</v>
      </c>
      <c r="W1247">
        <f t="shared" si="268"/>
        <v>240</v>
      </c>
      <c r="X1247">
        <f t="shared" si="269"/>
        <v>0.35149999999999998</v>
      </c>
      <c r="Y1247" s="1">
        <f t="shared" si="270"/>
        <v>38575501</v>
      </c>
      <c r="Z1247">
        <f t="shared" si="271"/>
        <v>51093.378807947018</v>
      </c>
      <c r="AA1247">
        <f t="shared" si="272"/>
        <v>99996</v>
      </c>
      <c r="AB1247">
        <f t="shared" si="273"/>
        <v>5091</v>
      </c>
      <c r="AC1247">
        <f t="shared" si="274"/>
        <v>1027790.6100000003</v>
      </c>
      <c r="AD1247">
        <f t="shared" si="275"/>
        <v>1361.3120662251661</v>
      </c>
      <c r="AE1247">
        <f t="shared" si="276"/>
        <v>0.35149999999999998</v>
      </c>
      <c r="AF1247">
        <f t="shared" si="277"/>
        <v>389163115.31999958</v>
      </c>
      <c r="AG1247" t="str">
        <f t="shared" si="278"/>
        <v>Active</v>
      </c>
      <c r="AH1247">
        <f t="shared" si="279"/>
        <v>3483.12</v>
      </c>
    </row>
    <row r="1248" spans="1:34" x14ac:dyDescent="0.35">
      <c r="A1248" t="s">
        <v>3368</v>
      </c>
      <c r="B1248" t="s">
        <v>3369</v>
      </c>
      <c r="C1248">
        <v>50</v>
      </c>
      <c r="D1248" t="s">
        <v>38</v>
      </c>
      <c r="E1248" t="s">
        <v>32</v>
      </c>
      <c r="F1248" t="s">
        <v>46</v>
      </c>
      <c r="G1248">
        <v>162591</v>
      </c>
      <c r="H1248">
        <v>662</v>
      </c>
      <c r="I1248">
        <v>22969</v>
      </c>
      <c r="J1248">
        <v>21.36</v>
      </c>
      <c r="K1248">
        <v>12</v>
      </c>
      <c r="L1248" t="s">
        <v>52</v>
      </c>
      <c r="M1248">
        <v>12.64</v>
      </c>
      <c r="N1248">
        <v>20004</v>
      </c>
      <c r="O1248">
        <v>52543</v>
      </c>
      <c r="P1248" t="s">
        <v>3370</v>
      </c>
      <c r="Q1248" t="s">
        <v>42</v>
      </c>
      <c r="R1248" t="s">
        <v>28</v>
      </c>
      <c r="S1248" t="s">
        <v>43</v>
      </c>
      <c r="T1248">
        <v>2322.9299999999998</v>
      </c>
      <c r="U1248">
        <f t="shared" si="266"/>
        <v>754</v>
      </c>
      <c r="V1248">
        <f t="shared" si="267"/>
        <v>279</v>
      </c>
      <c r="W1248">
        <f t="shared" si="268"/>
        <v>240</v>
      </c>
      <c r="X1248">
        <f t="shared" si="269"/>
        <v>0.35149999999999998</v>
      </c>
      <c r="Y1248" s="1">
        <f t="shared" si="270"/>
        <v>38543674</v>
      </c>
      <c r="Z1248">
        <f t="shared" si="271"/>
        <v>51118.931034482761</v>
      </c>
      <c r="AA1248">
        <f t="shared" si="272"/>
        <v>99996</v>
      </c>
      <c r="AB1248">
        <f t="shared" si="273"/>
        <v>5091</v>
      </c>
      <c r="AC1248">
        <f t="shared" si="274"/>
        <v>1027500.3500000003</v>
      </c>
      <c r="AD1248">
        <f t="shared" si="275"/>
        <v>1362.7325596816981</v>
      </c>
      <c r="AE1248">
        <f t="shared" si="276"/>
        <v>0.35149999999999998</v>
      </c>
      <c r="AF1248">
        <f t="shared" si="277"/>
        <v>388135324.70999956</v>
      </c>
      <c r="AG1248" t="str">
        <f t="shared" si="278"/>
        <v>Active</v>
      </c>
      <c r="AH1248">
        <f t="shared" si="279"/>
        <v>27875.159999999996</v>
      </c>
    </row>
    <row r="1249" spans="1:34" x14ac:dyDescent="0.35">
      <c r="A1249" t="s">
        <v>3371</v>
      </c>
      <c r="B1249" t="s">
        <v>3372</v>
      </c>
      <c r="C1249">
        <v>21</v>
      </c>
      <c r="D1249" t="s">
        <v>38</v>
      </c>
      <c r="E1249" t="s">
        <v>23</v>
      </c>
      <c r="F1249" t="s">
        <v>24</v>
      </c>
      <c r="G1249">
        <v>155620</v>
      </c>
      <c r="H1249">
        <v>404</v>
      </c>
      <c r="I1249">
        <v>48997</v>
      </c>
      <c r="J1249">
        <v>23.79</v>
      </c>
      <c r="K1249">
        <v>36</v>
      </c>
      <c r="L1249" t="s">
        <v>52</v>
      </c>
      <c r="M1249">
        <v>54.44</v>
      </c>
      <c r="N1249">
        <v>46638</v>
      </c>
      <c r="O1249">
        <v>99167</v>
      </c>
      <c r="P1249" t="s">
        <v>3373</v>
      </c>
      <c r="Q1249" t="s">
        <v>61</v>
      </c>
      <c r="R1249" t="s">
        <v>48</v>
      </c>
      <c r="S1249" t="s">
        <v>35</v>
      </c>
      <c r="T1249">
        <v>1684.82</v>
      </c>
      <c r="U1249">
        <f t="shared" si="266"/>
        <v>753</v>
      </c>
      <c r="V1249">
        <f t="shared" si="267"/>
        <v>278</v>
      </c>
      <c r="W1249">
        <f t="shared" si="268"/>
        <v>240</v>
      </c>
      <c r="X1249">
        <f t="shared" si="269"/>
        <v>0.35149999999999998</v>
      </c>
      <c r="Y1249" s="1">
        <f t="shared" si="270"/>
        <v>38520705</v>
      </c>
      <c r="Z1249">
        <f t="shared" si="271"/>
        <v>51156.314741035858</v>
      </c>
      <c r="AA1249">
        <f t="shared" si="272"/>
        <v>99996</v>
      </c>
      <c r="AB1249">
        <f t="shared" si="273"/>
        <v>5091</v>
      </c>
      <c r="AC1249">
        <f t="shared" si="274"/>
        <v>1025177.4200000003</v>
      </c>
      <c r="AD1249">
        <f t="shared" si="275"/>
        <v>1361.4573970783536</v>
      </c>
      <c r="AE1249">
        <f t="shared" si="276"/>
        <v>0.35149999999999998</v>
      </c>
      <c r="AF1249">
        <f t="shared" si="277"/>
        <v>387107824.3599996</v>
      </c>
      <c r="AG1249" t="str">
        <f t="shared" si="278"/>
        <v>Over Paid</v>
      </c>
      <c r="AH1249">
        <f t="shared" si="279"/>
        <v>20217.84</v>
      </c>
    </row>
    <row r="1250" spans="1:34" x14ac:dyDescent="0.35">
      <c r="A1250" t="s">
        <v>3374</v>
      </c>
      <c r="B1250" t="s">
        <v>3375</v>
      </c>
      <c r="C1250">
        <v>59</v>
      </c>
      <c r="D1250" t="s">
        <v>22</v>
      </c>
      <c r="E1250" t="s">
        <v>39</v>
      </c>
      <c r="F1250" t="s">
        <v>46</v>
      </c>
      <c r="G1250">
        <v>158714</v>
      </c>
      <c r="H1250">
        <v>445</v>
      </c>
      <c r="I1250">
        <v>7112</v>
      </c>
      <c r="J1250">
        <v>12.2</v>
      </c>
      <c r="K1250">
        <v>36</v>
      </c>
      <c r="L1250" t="s">
        <v>40</v>
      </c>
      <c r="M1250">
        <v>11.66</v>
      </c>
      <c r="N1250">
        <v>38155</v>
      </c>
      <c r="O1250">
        <v>229092</v>
      </c>
      <c r="P1250" t="s">
        <v>909</v>
      </c>
      <c r="Q1250" t="s">
        <v>42</v>
      </c>
      <c r="R1250" t="s">
        <v>28</v>
      </c>
      <c r="S1250" t="s">
        <v>29</v>
      </c>
      <c r="T1250">
        <v>221.66</v>
      </c>
      <c r="U1250">
        <f t="shared" si="266"/>
        <v>752</v>
      </c>
      <c r="V1250">
        <f t="shared" si="267"/>
        <v>278</v>
      </c>
      <c r="W1250">
        <f t="shared" si="268"/>
        <v>239</v>
      </c>
      <c r="X1250">
        <f t="shared" si="269"/>
        <v>0.35149999999999998</v>
      </c>
      <c r="Y1250" s="1">
        <f t="shared" si="270"/>
        <v>38471708</v>
      </c>
      <c r="Z1250">
        <f t="shared" si="271"/>
        <v>51159.186170212764</v>
      </c>
      <c r="AA1250">
        <f t="shared" si="272"/>
        <v>99996</v>
      </c>
      <c r="AB1250">
        <f t="shared" si="273"/>
        <v>5091</v>
      </c>
      <c r="AC1250">
        <f t="shared" si="274"/>
        <v>1023492.6000000002</v>
      </c>
      <c r="AD1250">
        <f t="shared" si="275"/>
        <v>1361.0273936170215</v>
      </c>
      <c r="AE1250">
        <f t="shared" si="276"/>
        <v>0.35149999999999998</v>
      </c>
      <c r="AF1250">
        <f t="shared" si="277"/>
        <v>386082646.93999964</v>
      </c>
      <c r="AG1250" t="str">
        <f t="shared" si="278"/>
        <v>Active</v>
      </c>
      <c r="AH1250">
        <f t="shared" si="279"/>
        <v>2659.92</v>
      </c>
    </row>
    <row r="1251" spans="1:34" x14ac:dyDescent="0.35">
      <c r="A1251" t="s">
        <v>3376</v>
      </c>
      <c r="B1251" t="s">
        <v>3377</v>
      </c>
      <c r="C1251">
        <v>41</v>
      </c>
      <c r="D1251" t="s">
        <v>38</v>
      </c>
      <c r="E1251" t="s">
        <v>39</v>
      </c>
      <c r="F1251" t="s">
        <v>59</v>
      </c>
      <c r="G1251">
        <v>192838</v>
      </c>
      <c r="H1251">
        <v>593</v>
      </c>
      <c r="I1251">
        <v>11966</v>
      </c>
      <c r="J1251">
        <v>15.05</v>
      </c>
      <c r="K1251">
        <v>60</v>
      </c>
      <c r="L1251" t="s">
        <v>25</v>
      </c>
      <c r="M1251">
        <v>49</v>
      </c>
      <c r="N1251">
        <v>28450</v>
      </c>
      <c r="O1251">
        <v>9065</v>
      </c>
      <c r="P1251" t="s">
        <v>3378</v>
      </c>
      <c r="Q1251" t="s">
        <v>27</v>
      </c>
      <c r="R1251" t="s">
        <v>48</v>
      </c>
      <c r="S1251" t="s">
        <v>35</v>
      </c>
      <c r="T1251">
        <v>229.45</v>
      </c>
      <c r="U1251">
        <f t="shared" si="266"/>
        <v>751</v>
      </c>
      <c r="V1251">
        <f t="shared" si="267"/>
        <v>277</v>
      </c>
      <c r="W1251">
        <f t="shared" si="268"/>
        <v>239</v>
      </c>
      <c r="X1251">
        <f t="shared" si="269"/>
        <v>0.35149999999999998</v>
      </c>
      <c r="Y1251" s="1">
        <f t="shared" si="270"/>
        <v>38464596</v>
      </c>
      <c r="Z1251">
        <f t="shared" si="271"/>
        <v>51217.837549933422</v>
      </c>
      <c r="AA1251">
        <f t="shared" si="272"/>
        <v>99996</v>
      </c>
      <c r="AB1251">
        <f t="shared" si="273"/>
        <v>5091</v>
      </c>
      <c r="AC1251">
        <f t="shared" si="274"/>
        <v>1023270.9400000003</v>
      </c>
      <c r="AD1251">
        <f t="shared" si="275"/>
        <v>1362.5445272969378</v>
      </c>
      <c r="AE1251">
        <f t="shared" si="276"/>
        <v>0.35149999999999998</v>
      </c>
      <c r="AF1251">
        <f t="shared" si="277"/>
        <v>385059154.33999962</v>
      </c>
      <c r="AG1251" t="str">
        <f t="shared" si="278"/>
        <v>Active</v>
      </c>
      <c r="AH1251">
        <f t="shared" si="279"/>
        <v>2753.3999999999996</v>
      </c>
    </row>
    <row r="1252" spans="1:34" x14ac:dyDescent="0.35">
      <c r="A1252" t="s">
        <v>3379</v>
      </c>
      <c r="B1252" t="s">
        <v>3380</v>
      </c>
      <c r="C1252">
        <v>51</v>
      </c>
      <c r="D1252" t="s">
        <v>38</v>
      </c>
      <c r="E1252" t="s">
        <v>39</v>
      </c>
      <c r="F1252" t="s">
        <v>46</v>
      </c>
      <c r="G1252">
        <v>133606</v>
      </c>
      <c r="H1252">
        <v>658</v>
      </c>
      <c r="I1252">
        <v>22024</v>
      </c>
      <c r="J1252">
        <v>18.46</v>
      </c>
      <c r="K1252">
        <v>24</v>
      </c>
      <c r="L1252" t="s">
        <v>52</v>
      </c>
      <c r="M1252">
        <v>35.520000000000003</v>
      </c>
      <c r="N1252">
        <v>18113</v>
      </c>
      <c r="O1252">
        <v>222140</v>
      </c>
      <c r="P1252" t="s">
        <v>3381</v>
      </c>
      <c r="Q1252" t="s">
        <v>27</v>
      </c>
      <c r="R1252" t="s">
        <v>28</v>
      </c>
      <c r="S1252" t="s">
        <v>35</v>
      </c>
      <c r="T1252">
        <v>1087.07</v>
      </c>
      <c r="U1252">
        <f t="shared" si="266"/>
        <v>750</v>
      </c>
      <c r="V1252">
        <f t="shared" si="267"/>
        <v>277</v>
      </c>
      <c r="W1252">
        <f t="shared" si="268"/>
        <v>239</v>
      </c>
      <c r="X1252">
        <f t="shared" si="269"/>
        <v>0.35149999999999998</v>
      </c>
      <c r="Y1252" s="1">
        <f t="shared" si="270"/>
        <v>38452630</v>
      </c>
      <c r="Z1252">
        <f t="shared" si="271"/>
        <v>51270.173333333332</v>
      </c>
      <c r="AA1252">
        <f t="shared" si="272"/>
        <v>99996</v>
      </c>
      <c r="AB1252">
        <f t="shared" si="273"/>
        <v>5091</v>
      </c>
      <c r="AC1252">
        <f t="shared" si="274"/>
        <v>1023041.4900000002</v>
      </c>
      <c r="AD1252">
        <f t="shared" si="275"/>
        <v>1364.0553200000004</v>
      </c>
      <c r="AE1252">
        <f t="shared" si="276"/>
        <v>0.35149999999999998</v>
      </c>
      <c r="AF1252">
        <f t="shared" si="277"/>
        <v>384035883.39999968</v>
      </c>
      <c r="AG1252" t="str">
        <f t="shared" si="278"/>
        <v>Active</v>
      </c>
      <c r="AH1252">
        <f t="shared" si="279"/>
        <v>13044.84</v>
      </c>
    </row>
    <row r="1253" spans="1:34" x14ac:dyDescent="0.35">
      <c r="A1253" t="s">
        <v>3382</v>
      </c>
      <c r="B1253" t="s">
        <v>3383</v>
      </c>
      <c r="C1253">
        <v>35</v>
      </c>
      <c r="D1253" t="s">
        <v>22</v>
      </c>
      <c r="E1253" t="s">
        <v>23</v>
      </c>
      <c r="F1253" t="s">
        <v>24</v>
      </c>
      <c r="G1253">
        <v>50448</v>
      </c>
      <c r="H1253">
        <v>707</v>
      </c>
      <c r="I1253">
        <v>10906</v>
      </c>
      <c r="J1253">
        <v>17.48</v>
      </c>
      <c r="K1253">
        <v>36</v>
      </c>
      <c r="L1253" t="s">
        <v>40</v>
      </c>
      <c r="M1253">
        <v>53.55</v>
      </c>
      <c r="N1253">
        <v>79645</v>
      </c>
      <c r="O1253">
        <v>122870</v>
      </c>
      <c r="P1253" t="s">
        <v>3154</v>
      </c>
      <c r="Q1253" t="s">
        <v>27</v>
      </c>
      <c r="R1253" t="s">
        <v>28</v>
      </c>
      <c r="S1253" t="s">
        <v>35</v>
      </c>
      <c r="T1253">
        <v>355.9</v>
      </c>
      <c r="U1253">
        <f t="shared" si="266"/>
        <v>749</v>
      </c>
      <c r="V1253">
        <f t="shared" si="267"/>
        <v>277</v>
      </c>
      <c r="W1253">
        <f t="shared" si="268"/>
        <v>239</v>
      </c>
      <c r="X1253">
        <f t="shared" si="269"/>
        <v>0.35149999999999998</v>
      </c>
      <c r="Y1253" s="1">
        <f t="shared" si="270"/>
        <v>38430606</v>
      </c>
      <c r="Z1253">
        <f t="shared" si="271"/>
        <v>51309.220293724968</v>
      </c>
      <c r="AA1253">
        <f t="shared" si="272"/>
        <v>99996</v>
      </c>
      <c r="AB1253">
        <f t="shared" si="273"/>
        <v>5091</v>
      </c>
      <c r="AC1253">
        <f t="shared" si="274"/>
        <v>1021954.4200000003</v>
      </c>
      <c r="AD1253">
        <f t="shared" si="275"/>
        <v>1364.4251268357814</v>
      </c>
      <c r="AE1253">
        <f t="shared" si="276"/>
        <v>0.35149999999999998</v>
      </c>
      <c r="AF1253">
        <f t="shared" si="277"/>
        <v>383012841.90999967</v>
      </c>
      <c r="AG1253" t="str">
        <f t="shared" si="278"/>
        <v>Active</v>
      </c>
      <c r="AH1253">
        <f t="shared" si="279"/>
        <v>4270.7999999999993</v>
      </c>
    </row>
    <row r="1254" spans="1:34" x14ac:dyDescent="0.35">
      <c r="A1254" t="s">
        <v>3384</v>
      </c>
      <c r="B1254" t="s">
        <v>3385</v>
      </c>
      <c r="C1254">
        <v>57</v>
      </c>
      <c r="D1254" t="s">
        <v>22</v>
      </c>
      <c r="E1254" t="s">
        <v>32</v>
      </c>
      <c r="F1254" t="s">
        <v>59</v>
      </c>
      <c r="G1254">
        <v>109084</v>
      </c>
      <c r="H1254">
        <v>768</v>
      </c>
      <c r="I1254">
        <v>47932</v>
      </c>
      <c r="J1254">
        <v>12.17</v>
      </c>
      <c r="K1254">
        <v>60</v>
      </c>
      <c r="L1254" t="s">
        <v>40</v>
      </c>
      <c r="M1254">
        <v>37.979999999999997</v>
      </c>
      <c r="N1254">
        <v>45507</v>
      </c>
      <c r="O1254">
        <v>63026</v>
      </c>
      <c r="P1254" t="s">
        <v>2976</v>
      </c>
      <c r="Q1254" t="s">
        <v>27</v>
      </c>
      <c r="R1254" t="s">
        <v>48</v>
      </c>
      <c r="S1254" t="s">
        <v>35</v>
      </c>
      <c r="T1254">
        <v>896.09</v>
      </c>
      <c r="U1254">
        <f t="shared" si="266"/>
        <v>748</v>
      </c>
      <c r="V1254">
        <f t="shared" si="267"/>
        <v>277</v>
      </c>
      <c r="W1254">
        <f t="shared" si="268"/>
        <v>239</v>
      </c>
      <c r="X1254">
        <f t="shared" si="269"/>
        <v>0.35149999999999998</v>
      </c>
      <c r="Y1254" s="1">
        <f t="shared" si="270"/>
        <v>38419700</v>
      </c>
      <c r="Z1254">
        <f t="shared" si="271"/>
        <v>51363.23529411765</v>
      </c>
      <c r="AA1254">
        <f t="shared" si="272"/>
        <v>99996</v>
      </c>
      <c r="AB1254">
        <f t="shared" si="273"/>
        <v>5091</v>
      </c>
      <c r="AC1254">
        <f t="shared" si="274"/>
        <v>1021598.5200000003</v>
      </c>
      <c r="AD1254">
        <f t="shared" si="275"/>
        <v>1365.7734224598935</v>
      </c>
      <c r="AE1254">
        <f t="shared" si="276"/>
        <v>0.35149999999999998</v>
      </c>
      <c r="AF1254">
        <f t="shared" si="277"/>
        <v>381990887.48999965</v>
      </c>
      <c r="AG1254" t="str">
        <f t="shared" si="278"/>
        <v>Active</v>
      </c>
      <c r="AH1254">
        <f t="shared" si="279"/>
        <v>10753.08</v>
      </c>
    </row>
    <row r="1255" spans="1:34" x14ac:dyDescent="0.35">
      <c r="A1255" t="s">
        <v>3386</v>
      </c>
      <c r="B1255" t="s">
        <v>3387</v>
      </c>
      <c r="C1255">
        <v>48</v>
      </c>
      <c r="D1255" t="s">
        <v>38</v>
      </c>
      <c r="E1255" t="s">
        <v>32</v>
      </c>
      <c r="F1255" t="s">
        <v>46</v>
      </c>
      <c r="G1255">
        <v>89318</v>
      </c>
      <c r="H1255">
        <v>607</v>
      </c>
      <c r="I1255">
        <v>32630</v>
      </c>
      <c r="J1255">
        <v>6.87</v>
      </c>
      <c r="K1255">
        <v>36</v>
      </c>
      <c r="L1255" t="s">
        <v>86</v>
      </c>
      <c r="M1255">
        <v>46.88</v>
      </c>
      <c r="N1255">
        <v>35587</v>
      </c>
      <c r="O1255">
        <v>207939</v>
      </c>
      <c r="P1255" t="s">
        <v>3388</v>
      </c>
      <c r="Q1255" t="s">
        <v>42</v>
      </c>
      <c r="R1255" t="s">
        <v>28</v>
      </c>
      <c r="S1255" t="s">
        <v>43</v>
      </c>
      <c r="T1255">
        <v>968.66</v>
      </c>
      <c r="U1255">
        <f t="shared" si="266"/>
        <v>747</v>
      </c>
      <c r="V1255">
        <f t="shared" si="267"/>
        <v>277</v>
      </c>
      <c r="W1255">
        <f t="shared" si="268"/>
        <v>239</v>
      </c>
      <c r="X1255">
        <f t="shared" si="269"/>
        <v>0.35149999999999998</v>
      </c>
      <c r="Y1255" s="1">
        <f t="shared" si="270"/>
        <v>38371768</v>
      </c>
      <c r="Z1255">
        <f t="shared" si="271"/>
        <v>51367.828647925031</v>
      </c>
      <c r="AA1255">
        <f t="shared" si="272"/>
        <v>99996</v>
      </c>
      <c r="AB1255">
        <f t="shared" si="273"/>
        <v>5091</v>
      </c>
      <c r="AC1255">
        <f t="shared" si="274"/>
        <v>1020702.4300000003</v>
      </c>
      <c r="AD1255">
        <f t="shared" si="275"/>
        <v>1366.4021820615801</v>
      </c>
      <c r="AE1255">
        <f t="shared" si="276"/>
        <v>0.35149999999999998</v>
      </c>
      <c r="AF1255">
        <f t="shared" si="277"/>
        <v>380969288.96999967</v>
      </c>
      <c r="AG1255" t="str">
        <f t="shared" si="278"/>
        <v>Active</v>
      </c>
      <c r="AH1255">
        <f t="shared" si="279"/>
        <v>11623.92</v>
      </c>
    </row>
    <row r="1256" spans="1:34" x14ac:dyDescent="0.35">
      <c r="A1256" t="s">
        <v>3389</v>
      </c>
      <c r="B1256" t="s">
        <v>3390</v>
      </c>
      <c r="C1256">
        <v>27</v>
      </c>
      <c r="D1256" t="s">
        <v>22</v>
      </c>
      <c r="E1256" t="s">
        <v>32</v>
      </c>
      <c r="F1256" t="s">
        <v>59</v>
      </c>
      <c r="G1256">
        <v>161173</v>
      </c>
      <c r="H1256">
        <v>551</v>
      </c>
      <c r="I1256">
        <v>53022</v>
      </c>
      <c r="J1256">
        <v>10.93</v>
      </c>
      <c r="K1256">
        <v>60</v>
      </c>
      <c r="L1256" t="s">
        <v>40</v>
      </c>
      <c r="M1256">
        <v>25.01</v>
      </c>
      <c r="N1256">
        <v>71007</v>
      </c>
      <c r="O1256">
        <v>12000</v>
      </c>
      <c r="P1256" t="s">
        <v>3391</v>
      </c>
      <c r="Q1256" t="s">
        <v>42</v>
      </c>
      <c r="R1256" t="s">
        <v>48</v>
      </c>
      <c r="S1256" t="s">
        <v>29</v>
      </c>
      <c r="T1256">
        <v>980.29</v>
      </c>
      <c r="U1256">
        <f t="shared" si="266"/>
        <v>746</v>
      </c>
      <c r="V1256">
        <f t="shared" si="267"/>
        <v>276</v>
      </c>
      <c r="W1256">
        <f t="shared" si="268"/>
        <v>239</v>
      </c>
      <c r="X1256">
        <f t="shared" si="269"/>
        <v>0.35149999999999998</v>
      </c>
      <c r="Y1256" s="1">
        <f t="shared" si="270"/>
        <v>38339138</v>
      </c>
      <c r="Z1256">
        <f t="shared" si="271"/>
        <v>51392.946380697053</v>
      </c>
      <c r="AA1256">
        <f t="shared" si="272"/>
        <v>99996</v>
      </c>
      <c r="AB1256">
        <f t="shared" si="273"/>
        <v>5091</v>
      </c>
      <c r="AC1256">
        <f t="shared" si="274"/>
        <v>1019733.7700000003</v>
      </c>
      <c r="AD1256">
        <f t="shared" si="275"/>
        <v>1366.9353485254694</v>
      </c>
      <c r="AE1256">
        <f t="shared" si="276"/>
        <v>0.35149999999999998</v>
      </c>
      <c r="AF1256">
        <f t="shared" si="277"/>
        <v>379948586.53999966</v>
      </c>
      <c r="AG1256" t="str">
        <f t="shared" si="278"/>
        <v>Active</v>
      </c>
      <c r="AH1256">
        <f t="shared" si="279"/>
        <v>11763.48</v>
      </c>
    </row>
    <row r="1257" spans="1:34" x14ac:dyDescent="0.35">
      <c r="A1257" t="s">
        <v>3392</v>
      </c>
      <c r="B1257" t="s">
        <v>3393</v>
      </c>
      <c r="C1257">
        <v>44</v>
      </c>
      <c r="D1257" t="s">
        <v>38</v>
      </c>
      <c r="E1257" t="s">
        <v>23</v>
      </c>
      <c r="F1257" t="s">
        <v>59</v>
      </c>
      <c r="G1257">
        <v>195494</v>
      </c>
      <c r="H1257">
        <v>606</v>
      </c>
      <c r="I1257">
        <v>56909</v>
      </c>
      <c r="J1257">
        <v>12.13</v>
      </c>
      <c r="K1257">
        <v>36</v>
      </c>
      <c r="L1257" t="s">
        <v>52</v>
      </c>
      <c r="M1257">
        <v>18.68</v>
      </c>
      <c r="N1257">
        <v>1442</v>
      </c>
      <c r="O1257">
        <v>167943</v>
      </c>
      <c r="P1257" t="s">
        <v>921</v>
      </c>
      <c r="Q1257" t="s">
        <v>61</v>
      </c>
      <c r="R1257" t="s">
        <v>28</v>
      </c>
      <c r="S1257" t="s">
        <v>68</v>
      </c>
      <c r="T1257">
        <v>1772.56</v>
      </c>
      <c r="U1257">
        <f t="shared" si="266"/>
        <v>745</v>
      </c>
      <c r="V1257">
        <f t="shared" si="267"/>
        <v>275</v>
      </c>
      <c r="W1257">
        <f t="shared" si="268"/>
        <v>239</v>
      </c>
      <c r="X1257">
        <f t="shared" si="269"/>
        <v>0.35149999999999998</v>
      </c>
      <c r="Y1257" s="1">
        <f t="shared" si="270"/>
        <v>38286116</v>
      </c>
      <c r="Z1257">
        <f t="shared" si="271"/>
        <v>51390.759731543621</v>
      </c>
      <c r="AA1257">
        <f t="shared" si="272"/>
        <v>99996</v>
      </c>
      <c r="AB1257">
        <f t="shared" si="273"/>
        <v>5091</v>
      </c>
      <c r="AC1257">
        <f t="shared" si="274"/>
        <v>1018753.4800000003</v>
      </c>
      <c r="AD1257">
        <f t="shared" si="275"/>
        <v>1367.4543355704702</v>
      </c>
      <c r="AE1257">
        <f t="shared" si="276"/>
        <v>0.35149999999999998</v>
      </c>
      <c r="AF1257">
        <f t="shared" si="277"/>
        <v>378928852.76999968</v>
      </c>
      <c r="AG1257" t="str">
        <f t="shared" si="278"/>
        <v>Active</v>
      </c>
      <c r="AH1257">
        <f t="shared" si="279"/>
        <v>21270.720000000001</v>
      </c>
    </row>
    <row r="1258" spans="1:34" x14ac:dyDescent="0.35">
      <c r="A1258" t="s">
        <v>3394</v>
      </c>
      <c r="B1258" t="s">
        <v>3395</v>
      </c>
      <c r="C1258">
        <v>47</v>
      </c>
      <c r="D1258" t="s">
        <v>22</v>
      </c>
      <c r="E1258" t="s">
        <v>32</v>
      </c>
      <c r="F1258" t="s">
        <v>24</v>
      </c>
      <c r="G1258">
        <v>179206</v>
      </c>
      <c r="H1258">
        <v>735</v>
      </c>
      <c r="I1258">
        <v>48588</v>
      </c>
      <c r="J1258">
        <v>15.9</v>
      </c>
      <c r="K1258">
        <v>24</v>
      </c>
      <c r="L1258" t="s">
        <v>86</v>
      </c>
      <c r="M1258">
        <v>29.36</v>
      </c>
      <c r="N1258">
        <v>6501</v>
      </c>
      <c r="O1258">
        <v>87547</v>
      </c>
      <c r="P1258" t="s">
        <v>2840</v>
      </c>
      <c r="Q1258" t="s">
        <v>27</v>
      </c>
      <c r="R1258" t="s">
        <v>48</v>
      </c>
      <c r="S1258" t="s">
        <v>49</v>
      </c>
      <c r="T1258">
        <v>2346.4</v>
      </c>
      <c r="U1258">
        <f t="shared" si="266"/>
        <v>744</v>
      </c>
      <c r="V1258">
        <f t="shared" si="267"/>
        <v>275</v>
      </c>
      <c r="W1258">
        <f t="shared" si="268"/>
        <v>238</v>
      </c>
      <c r="X1258">
        <f t="shared" si="269"/>
        <v>0.35149999999999998</v>
      </c>
      <c r="Y1258" s="1">
        <f t="shared" si="270"/>
        <v>38229207</v>
      </c>
      <c r="Z1258">
        <f t="shared" si="271"/>
        <v>51383.342741935485</v>
      </c>
      <c r="AA1258">
        <f t="shared" si="272"/>
        <v>99996</v>
      </c>
      <c r="AB1258">
        <f t="shared" si="273"/>
        <v>5091</v>
      </c>
      <c r="AC1258">
        <f t="shared" si="274"/>
        <v>1016980.9200000004</v>
      </c>
      <c r="AD1258">
        <f t="shared" si="275"/>
        <v>1366.9098387096778</v>
      </c>
      <c r="AE1258">
        <f t="shared" si="276"/>
        <v>0.35149999999999998</v>
      </c>
      <c r="AF1258">
        <f t="shared" si="277"/>
        <v>377910099.28999966</v>
      </c>
      <c r="AG1258" t="str">
        <f t="shared" si="278"/>
        <v>Active</v>
      </c>
      <c r="AH1258">
        <f t="shared" si="279"/>
        <v>28156.800000000003</v>
      </c>
    </row>
    <row r="1259" spans="1:34" x14ac:dyDescent="0.35">
      <c r="A1259" t="s">
        <v>3396</v>
      </c>
      <c r="B1259" t="s">
        <v>3397</v>
      </c>
      <c r="C1259">
        <v>25</v>
      </c>
      <c r="D1259" t="s">
        <v>22</v>
      </c>
      <c r="E1259" t="s">
        <v>23</v>
      </c>
      <c r="F1259" t="s">
        <v>24</v>
      </c>
      <c r="G1259">
        <v>128024</v>
      </c>
      <c r="H1259">
        <v>541</v>
      </c>
      <c r="I1259">
        <v>45097</v>
      </c>
      <c r="J1259">
        <v>11.81</v>
      </c>
      <c r="K1259">
        <v>36</v>
      </c>
      <c r="L1259" t="s">
        <v>52</v>
      </c>
      <c r="M1259">
        <v>16.93</v>
      </c>
      <c r="N1259">
        <v>11740</v>
      </c>
      <c r="O1259">
        <v>49408</v>
      </c>
      <c r="P1259" t="s">
        <v>3398</v>
      </c>
      <c r="Q1259" t="s">
        <v>61</v>
      </c>
      <c r="R1259" t="s">
        <v>48</v>
      </c>
      <c r="S1259" t="s">
        <v>68</v>
      </c>
      <c r="T1259">
        <v>1400.64</v>
      </c>
      <c r="U1259">
        <f t="shared" si="266"/>
        <v>743</v>
      </c>
      <c r="V1259">
        <f t="shared" si="267"/>
        <v>275</v>
      </c>
      <c r="W1259">
        <f t="shared" si="268"/>
        <v>238</v>
      </c>
      <c r="X1259">
        <f t="shared" si="269"/>
        <v>0.35149999999999998</v>
      </c>
      <c r="Y1259" s="1">
        <f t="shared" si="270"/>
        <v>38180619</v>
      </c>
      <c r="Z1259">
        <f t="shared" si="271"/>
        <v>51387.104979811578</v>
      </c>
      <c r="AA1259">
        <f t="shared" si="272"/>
        <v>99996</v>
      </c>
      <c r="AB1259">
        <f t="shared" si="273"/>
        <v>5091</v>
      </c>
      <c r="AC1259">
        <f t="shared" si="274"/>
        <v>1014634.5200000003</v>
      </c>
      <c r="AD1259">
        <f t="shared" si="275"/>
        <v>1365.5915477792735</v>
      </c>
      <c r="AE1259">
        <f t="shared" si="276"/>
        <v>0.35149999999999998</v>
      </c>
      <c r="AF1259">
        <f t="shared" si="277"/>
        <v>376893118.36999965</v>
      </c>
      <c r="AG1259" t="str">
        <f t="shared" si="278"/>
        <v>Active</v>
      </c>
      <c r="AH1259">
        <f t="shared" si="279"/>
        <v>16807.68</v>
      </c>
    </row>
    <row r="1260" spans="1:34" x14ac:dyDescent="0.35">
      <c r="A1260" t="s">
        <v>3399</v>
      </c>
      <c r="B1260" t="s">
        <v>3400</v>
      </c>
      <c r="C1260">
        <v>52</v>
      </c>
      <c r="D1260" t="s">
        <v>22</v>
      </c>
      <c r="E1260" t="s">
        <v>23</v>
      </c>
      <c r="F1260" t="s">
        <v>59</v>
      </c>
      <c r="G1260">
        <v>58624</v>
      </c>
      <c r="H1260">
        <v>327</v>
      </c>
      <c r="I1260">
        <v>87423</v>
      </c>
      <c r="J1260">
        <v>11.83</v>
      </c>
      <c r="K1260">
        <v>36</v>
      </c>
      <c r="L1260" t="s">
        <v>25</v>
      </c>
      <c r="M1260">
        <v>8.01</v>
      </c>
      <c r="N1260">
        <v>60637</v>
      </c>
      <c r="O1260">
        <v>221507</v>
      </c>
      <c r="P1260" t="s">
        <v>1999</v>
      </c>
      <c r="Q1260" t="s">
        <v>27</v>
      </c>
      <c r="R1260" t="s">
        <v>48</v>
      </c>
      <c r="S1260" t="s">
        <v>35</v>
      </c>
      <c r="T1260">
        <v>2715.7</v>
      </c>
      <c r="U1260">
        <f t="shared" si="266"/>
        <v>742</v>
      </c>
      <c r="V1260">
        <f t="shared" si="267"/>
        <v>275</v>
      </c>
      <c r="W1260">
        <f t="shared" si="268"/>
        <v>237</v>
      </c>
      <c r="X1260">
        <f t="shared" si="269"/>
        <v>0.35149999999999998</v>
      </c>
      <c r="Y1260" s="1">
        <f t="shared" si="270"/>
        <v>38135522</v>
      </c>
      <c r="Z1260">
        <f t="shared" si="271"/>
        <v>51395.582210242588</v>
      </c>
      <c r="AA1260">
        <f t="shared" si="272"/>
        <v>99996</v>
      </c>
      <c r="AB1260">
        <f t="shared" si="273"/>
        <v>5091</v>
      </c>
      <c r="AC1260">
        <f t="shared" si="274"/>
        <v>1013233.8800000002</v>
      </c>
      <c r="AD1260">
        <f t="shared" si="275"/>
        <v>1365.544312668464</v>
      </c>
      <c r="AE1260">
        <f t="shared" si="276"/>
        <v>0.35149999999999998</v>
      </c>
      <c r="AF1260">
        <f t="shared" si="277"/>
        <v>375878483.84999967</v>
      </c>
      <c r="AG1260" t="str">
        <f t="shared" si="278"/>
        <v>Active</v>
      </c>
      <c r="AH1260">
        <f t="shared" si="279"/>
        <v>32588.399999999998</v>
      </c>
    </row>
    <row r="1261" spans="1:34" x14ac:dyDescent="0.35">
      <c r="A1261" t="s">
        <v>3401</v>
      </c>
      <c r="B1261" t="s">
        <v>3402</v>
      </c>
      <c r="C1261">
        <v>31</v>
      </c>
      <c r="D1261" t="s">
        <v>38</v>
      </c>
      <c r="E1261" t="s">
        <v>32</v>
      </c>
      <c r="F1261" t="s">
        <v>24</v>
      </c>
      <c r="G1261">
        <v>149061</v>
      </c>
      <c r="H1261">
        <v>365</v>
      </c>
      <c r="I1261">
        <v>43106</v>
      </c>
      <c r="J1261">
        <v>10.31</v>
      </c>
      <c r="K1261">
        <v>48</v>
      </c>
      <c r="L1261" t="s">
        <v>25</v>
      </c>
      <c r="M1261">
        <v>25.81</v>
      </c>
      <c r="N1261">
        <v>76757</v>
      </c>
      <c r="O1261">
        <v>208359</v>
      </c>
      <c r="P1261" t="s">
        <v>2124</v>
      </c>
      <c r="Q1261" t="s">
        <v>27</v>
      </c>
      <c r="R1261" t="s">
        <v>48</v>
      </c>
      <c r="S1261" t="s">
        <v>43</v>
      </c>
      <c r="T1261">
        <v>990.63</v>
      </c>
      <c r="U1261">
        <f t="shared" si="266"/>
        <v>741</v>
      </c>
      <c r="V1261">
        <f t="shared" si="267"/>
        <v>275</v>
      </c>
      <c r="W1261">
        <f t="shared" si="268"/>
        <v>237</v>
      </c>
      <c r="X1261">
        <f t="shared" si="269"/>
        <v>0.35149999999999998</v>
      </c>
      <c r="Y1261" s="1">
        <f t="shared" si="270"/>
        <v>38048099</v>
      </c>
      <c r="Z1261">
        <f t="shared" si="271"/>
        <v>51346.962213225372</v>
      </c>
      <c r="AA1261">
        <f t="shared" si="272"/>
        <v>99996</v>
      </c>
      <c r="AB1261">
        <f t="shared" si="273"/>
        <v>5091</v>
      </c>
      <c r="AC1261">
        <f t="shared" si="274"/>
        <v>1010518.1800000003</v>
      </c>
      <c r="AD1261">
        <f t="shared" si="275"/>
        <v>1363.7222402159248</v>
      </c>
      <c r="AE1261">
        <f t="shared" si="276"/>
        <v>0.35149999999999998</v>
      </c>
      <c r="AF1261">
        <f t="shared" si="277"/>
        <v>374865249.96999973</v>
      </c>
      <c r="AG1261" t="str">
        <f t="shared" si="278"/>
        <v>Active</v>
      </c>
      <c r="AH1261">
        <f t="shared" si="279"/>
        <v>11887.56</v>
      </c>
    </row>
    <row r="1262" spans="1:34" x14ac:dyDescent="0.35">
      <c r="A1262" t="s">
        <v>3403</v>
      </c>
      <c r="B1262" t="s">
        <v>3404</v>
      </c>
      <c r="C1262">
        <v>57</v>
      </c>
      <c r="D1262" t="s">
        <v>22</v>
      </c>
      <c r="E1262" t="s">
        <v>23</v>
      </c>
      <c r="F1262" t="s">
        <v>59</v>
      </c>
      <c r="G1262">
        <v>99850</v>
      </c>
      <c r="H1262">
        <v>453</v>
      </c>
      <c r="I1262">
        <v>70917</v>
      </c>
      <c r="J1262">
        <v>9.23</v>
      </c>
      <c r="K1262">
        <v>60</v>
      </c>
      <c r="L1262" t="s">
        <v>86</v>
      </c>
      <c r="M1262">
        <v>50.89</v>
      </c>
      <c r="N1262">
        <v>9101</v>
      </c>
      <c r="O1262">
        <v>203689</v>
      </c>
      <c r="P1262" t="s">
        <v>1253</v>
      </c>
      <c r="Q1262" t="s">
        <v>61</v>
      </c>
      <c r="R1262" t="s">
        <v>48</v>
      </c>
      <c r="S1262" t="s">
        <v>35</v>
      </c>
      <c r="T1262">
        <v>1291.04</v>
      </c>
      <c r="U1262">
        <f t="shared" si="266"/>
        <v>740</v>
      </c>
      <c r="V1262">
        <f t="shared" si="267"/>
        <v>275</v>
      </c>
      <c r="W1262">
        <f t="shared" si="268"/>
        <v>237</v>
      </c>
      <c r="X1262">
        <f t="shared" si="269"/>
        <v>0.35149999999999998</v>
      </c>
      <c r="Y1262" s="1">
        <f t="shared" si="270"/>
        <v>38004993</v>
      </c>
      <c r="Z1262">
        <f t="shared" si="271"/>
        <v>51358.098648648651</v>
      </c>
      <c r="AA1262">
        <f t="shared" si="272"/>
        <v>99996</v>
      </c>
      <c r="AB1262">
        <f t="shared" si="273"/>
        <v>5091</v>
      </c>
      <c r="AC1262">
        <f t="shared" si="274"/>
        <v>1009527.5500000003</v>
      </c>
      <c r="AD1262">
        <f t="shared" si="275"/>
        <v>1364.2264189189193</v>
      </c>
      <c r="AE1262">
        <f t="shared" si="276"/>
        <v>0.35149999999999998</v>
      </c>
      <c r="AF1262">
        <f t="shared" si="277"/>
        <v>373854731.78999978</v>
      </c>
      <c r="AG1262" t="str">
        <f t="shared" si="278"/>
        <v>Active</v>
      </c>
      <c r="AH1262">
        <f t="shared" si="279"/>
        <v>15492.48</v>
      </c>
    </row>
    <row r="1263" spans="1:34" x14ac:dyDescent="0.35">
      <c r="A1263" t="s">
        <v>3405</v>
      </c>
      <c r="B1263" t="s">
        <v>3406</v>
      </c>
      <c r="C1263">
        <v>57</v>
      </c>
      <c r="D1263" t="s">
        <v>38</v>
      </c>
      <c r="E1263" t="s">
        <v>32</v>
      </c>
      <c r="F1263" t="s">
        <v>46</v>
      </c>
      <c r="G1263">
        <v>146682</v>
      </c>
      <c r="H1263">
        <v>415</v>
      </c>
      <c r="I1263">
        <v>96364</v>
      </c>
      <c r="J1263">
        <v>4.72</v>
      </c>
      <c r="K1263">
        <v>120</v>
      </c>
      <c r="L1263" t="s">
        <v>25</v>
      </c>
      <c r="M1263">
        <v>35.270000000000003</v>
      </c>
      <c r="N1263">
        <v>2802</v>
      </c>
      <c r="O1263">
        <v>27655</v>
      </c>
      <c r="P1263" t="s">
        <v>657</v>
      </c>
      <c r="Q1263" t="s">
        <v>42</v>
      </c>
      <c r="R1263" t="s">
        <v>28</v>
      </c>
      <c r="S1263" t="s">
        <v>43</v>
      </c>
      <c r="T1263">
        <v>840.94</v>
      </c>
      <c r="U1263">
        <f t="shared" si="266"/>
        <v>739</v>
      </c>
      <c r="V1263">
        <f t="shared" si="267"/>
        <v>275</v>
      </c>
      <c r="W1263">
        <f t="shared" si="268"/>
        <v>236</v>
      </c>
      <c r="X1263">
        <f t="shared" si="269"/>
        <v>0.35149999999999998</v>
      </c>
      <c r="Y1263" s="1">
        <f t="shared" si="270"/>
        <v>37934076</v>
      </c>
      <c r="Z1263">
        <f t="shared" si="271"/>
        <v>51331.631935047364</v>
      </c>
      <c r="AA1263">
        <f t="shared" si="272"/>
        <v>99996</v>
      </c>
      <c r="AB1263">
        <f t="shared" si="273"/>
        <v>5091</v>
      </c>
      <c r="AC1263">
        <f t="shared" si="274"/>
        <v>1008236.5100000002</v>
      </c>
      <c r="AD1263">
        <f t="shared" si="275"/>
        <v>1364.3254533152913</v>
      </c>
      <c r="AE1263">
        <f t="shared" si="276"/>
        <v>0.35149999999999998</v>
      </c>
      <c r="AF1263">
        <f t="shared" si="277"/>
        <v>372845204.23999977</v>
      </c>
      <c r="AG1263" t="str">
        <f t="shared" si="278"/>
        <v>Active</v>
      </c>
      <c r="AH1263">
        <f t="shared" si="279"/>
        <v>10091.280000000001</v>
      </c>
    </row>
    <row r="1264" spans="1:34" x14ac:dyDescent="0.35">
      <c r="A1264" t="s">
        <v>3407</v>
      </c>
      <c r="B1264" t="s">
        <v>3408</v>
      </c>
      <c r="C1264">
        <v>41</v>
      </c>
      <c r="D1264" t="s">
        <v>22</v>
      </c>
      <c r="E1264" t="s">
        <v>32</v>
      </c>
      <c r="F1264" t="s">
        <v>24</v>
      </c>
      <c r="G1264">
        <v>22833</v>
      </c>
      <c r="H1264">
        <v>579</v>
      </c>
      <c r="I1264">
        <v>23856</v>
      </c>
      <c r="J1264">
        <v>6.7</v>
      </c>
      <c r="K1264">
        <v>48</v>
      </c>
      <c r="L1264" t="s">
        <v>86</v>
      </c>
      <c r="M1264">
        <v>13.89</v>
      </c>
      <c r="N1264">
        <v>78789</v>
      </c>
      <c r="O1264">
        <v>160500</v>
      </c>
      <c r="P1264" t="s">
        <v>623</v>
      </c>
      <c r="Q1264" t="s">
        <v>61</v>
      </c>
      <c r="R1264" t="s">
        <v>28</v>
      </c>
      <c r="S1264" t="s">
        <v>29</v>
      </c>
      <c r="T1264">
        <v>530.29999999999995</v>
      </c>
      <c r="U1264">
        <f t="shared" si="266"/>
        <v>738</v>
      </c>
      <c r="V1264">
        <f t="shared" si="267"/>
        <v>274</v>
      </c>
      <c r="W1264">
        <f t="shared" si="268"/>
        <v>236</v>
      </c>
      <c r="X1264">
        <f t="shared" si="269"/>
        <v>0.35149999999999998</v>
      </c>
      <c r="Y1264" s="1">
        <f t="shared" si="270"/>
        <v>37837712</v>
      </c>
      <c r="Z1264">
        <f t="shared" si="271"/>
        <v>51270.612466124658</v>
      </c>
      <c r="AA1264">
        <f t="shared" si="272"/>
        <v>99996</v>
      </c>
      <c r="AB1264">
        <f t="shared" si="273"/>
        <v>5091</v>
      </c>
      <c r="AC1264">
        <f t="shared" si="274"/>
        <v>1007395.5700000003</v>
      </c>
      <c r="AD1264">
        <f t="shared" si="275"/>
        <v>1365.0346476964774</v>
      </c>
      <c r="AE1264">
        <f t="shared" si="276"/>
        <v>0.35149999999999998</v>
      </c>
      <c r="AF1264">
        <f t="shared" si="277"/>
        <v>371836967.72999972</v>
      </c>
      <c r="AG1264" t="str">
        <f t="shared" si="278"/>
        <v>Active</v>
      </c>
      <c r="AH1264">
        <f t="shared" si="279"/>
        <v>6363.5999999999995</v>
      </c>
    </row>
    <row r="1265" spans="1:34" x14ac:dyDescent="0.35">
      <c r="A1265" t="s">
        <v>3409</v>
      </c>
      <c r="B1265" t="s">
        <v>3410</v>
      </c>
      <c r="C1265">
        <v>24</v>
      </c>
      <c r="D1265" t="s">
        <v>38</v>
      </c>
      <c r="E1265" t="s">
        <v>32</v>
      </c>
      <c r="F1265" t="s">
        <v>46</v>
      </c>
      <c r="G1265">
        <v>38272</v>
      </c>
      <c r="H1265">
        <v>521</v>
      </c>
      <c r="I1265">
        <v>51378</v>
      </c>
      <c r="J1265">
        <v>19.309999999999999</v>
      </c>
      <c r="K1265">
        <v>120</v>
      </c>
      <c r="L1265" t="s">
        <v>25</v>
      </c>
      <c r="M1265">
        <v>10.3</v>
      </c>
      <c r="N1265">
        <v>43857</v>
      </c>
      <c r="O1265">
        <v>56411</v>
      </c>
      <c r="P1265" t="s">
        <v>3116</v>
      </c>
      <c r="Q1265" t="s">
        <v>61</v>
      </c>
      <c r="R1265" t="s">
        <v>48</v>
      </c>
      <c r="S1265" t="s">
        <v>29</v>
      </c>
      <c r="T1265">
        <v>510.83</v>
      </c>
      <c r="U1265">
        <f t="shared" si="266"/>
        <v>737</v>
      </c>
      <c r="V1265">
        <f t="shared" si="267"/>
        <v>274</v>
      </c>
      <c r="W1265">
        <f t="shared" si="268"/>
        <v>235</v>
      </c>
      <c r="X1265">
        <f t="shared" si="269"/>
        <v>0.35149999999999998</v>
      </c>
      <c r="Y1265" s="1">
        <f t="shared" si="270"/>
        <v>37813856</v>
      </c>
      <c r="Z1265">
        <f t="shared" si="271"/>
        <v>51307.810040705561</v>
      </c>
      <c r="AA1265">
        <f t="shared" si="272"/>
        <v>99996</v>
      </c>
      <c r="AB1265">
        <f t="shared" si="273"/>
        <v>5091</v>
      </c>
      <c r="AC1265">
        <f t="shared" si="274"/>
        <v>1006865.2700000003</v>
      </c>
      <c r="AD1265">
        <f t="shared" si="275"/>
        <v>1366.1672591587521</v>
      </c>
      <c r="AE1265">
        <f t="shared" si="276"/>
        <v>0.35149999999999998</v>
      </c>
      <c r="AF1265">
        <f t="shared" si="277"/>
        <v>370829572.15999979</v>
      </c>
      <c r="AG1265" t="str">
        <f t="shared" si="278"/>
        <v>Active</v>
      </c>
      <c r="AH1265">
        <f t="shared" si="279"/>
        <v>6129.96</v>
      </c>
    </row>
    <row r="1266" spans="1:34" x14ac:dyDescent="0.35">
      <c r="A1266" t="s">
        <v>3411</v>
      </c>
      <c r="B1266" t="s">
        <v>3412</v>
      </c>
      <c r="C1266">
        <v>24</v>
      </c>
      <c r="D1266" t="s">
        <v>38</v>
      </c>
      <c r="E1266" t="s">
        <v>39</v>
      </c>
      <c r="F1266" t="s">
        <v>46</v>
      </c>
      <c r="G1266">
        <v>164175</v>
      </c>
      <c r="H1266">
        <v>715</v>
      </c>
      <c r="I1266">
        <v>82810</v>
      </c>
      <c r="J1266">
        <v>18.39</v>
      </c>
      <c r="K1266">
        <v>60</v>
      </c>
      <c r="L1266" t="s">
        <v>33</v>
      </c>
      <c r="M1266">
        <v>41.95</v>
      </c>
      <c r="N1266">
        <v>47134</v>
      </c>
      <c r="O1266">
        <v>107951</v>
      </c>
      <c r="P1266" t="s">
        <v>2243</v>
      </c>
      <c r="Q1266" t="s">
        <v>27</v>
      </c>
      <c r="R1266" t="s">
        <v>48</v>
      </c>
      <c r="S1266" t="s">
        <v>43</v>
      </c>
      <c r="T1266">
        <v>1633.98</v>
      </c>
      <c r="U1266">
        <f t="shared" si="266"/>
        <v>736</v>
      </c>
      <c r="V1266">
        <f t="shared" si="267"/>
        <v>274</v>
      </c>
      <c r="W1266">
        <f t="shared" si="268"/>
        <v>234</v>
      </c>
      <c r="X1266">
        <f t="shared" si="269"/>
        <v>0.35149999999999998</v>
      </c>
      <c r="Y1266" s="1">
        <f t="shared" si="270"/>
        <v>37762478</v>
      </c>
      <c r="Z1266">
        <f t="shared" si="271"/>
        <v>51307.71467391304</v>
      </c>
      <c r="AA1266">
        <f t="shared" si="272"/>
        <v>99996</v>
      </c>
      <c r="AB1266">
        <f t="shared" si="273"/>
        <v>5091</v>
      </c>
      <c r="AC1266">
        <f t="shared" si="274"/>
        <v>1006354.4400000003</v>
      </c>
      <c r="AD1266">
        <f t="shared" si="275"/>
        <v>1367.3294021739134</v>
      </c>
      <c r="AE1266">
        <f t="shared" si="276"/>
        <v>0.35149999999999998</v>
      </c>
      <c r="AF1266">
        <f t="shared" si="277"/>
        <v>369822706.88999987</v>
      </c>
      <c r="AG1266" t="str">
        <f t="shared" si="278"/>
        <v>Active</v>
      </c>
      <c r="AH1266">
        <f t="shared" si="279"/>
        <v>19607.760000000002</v>
      </c>
    </row>
    <row r="1267" spans="1:34" x14ac:dyDescent="0.35">
      <c r="A1267" t="s">
        <v>3413</v>
      </c>
      <c r="B1267" t="s">
        <v>3414</v>
      </c>
      <c r="C1267">
        <v>59</v>
      </c>
      <c r="D1267" t="s">
        <v>22</v>
      </c>
      <c r="E1267" t="s">
        <v>32</v>
      </c>
      <c r="F1267" t="s">
        <v>46</v>
      </c>
      <c r="G1267">
        <v>160323</v>
      </c>
      <c r="H1267">
        <v>786</v>
      </c>
      <c r="I1267">
        <v>44603</v>
      </c>
      <c r="J1267">
        <v>5.67</v>
      </c>
      <c r="K1267">
        <v>180</v>
      </c>
      <c r="L1267" t="s">
        <v>33</v>
      </c>
      <c r="M1267">
        <v>57.13</v>
      </c>
      <c r="N1267">
        <v>15858</v>
      </c>
      <c r="O1267">
        <v>47336</v>
      </c>
      <c r="P1267" t="s">
        <v>3300</v>
      </c>
      <c r="Q1267" t="s">
        <v>61</v>
      </c>
      <c r="R1267" t="s">
        <v>48</v>
      </c>
      <c r="S1267" t="s">
        <v>68</v>
      </c>
      <c r="T1267">
        <v>261.83999999999997</v>
      </c>
      <c r="U1267">
        <f t="shared" si="266"/>
        <v>735</v>
      </c>
      <c r="V1267">
        <f t="shared" si="267"/>
        <v>274</v>
      </c>
      <c r="W1267">
        <f t="shared" si="268"/>
        <v>234</v>
      </c>
      <c r="X1267">
        <f t="shared" si="269"/>
        <v>0.35149999999999998</v>
      </c>
      <c r="Y1267" s="1">
        <f t="shared" si="270"/>
        <v>37679668</v>
      </c>
      <c r="Z1267">
        <f t="shared" si="271"/>
        <v>51264.854421768709</v>
      </c>
      <c r="AA1267">
        <f t="shared" si="272"/>
        <v>99996</v>
      </c>
      <c r="AB1267">
        <f t="shared" si="273"/>
        <v>5091</v>
      </c>
      <c r="AC1267">
        <f t="shared" si="274"/>
        <v>1004720.4600000003</v>
      </c>
      <c r="AD1267">
        <f t="shared" si="275"/>
        <v>1366.9666122448984</v>
      </c>
      <c r="AE1267">
        <f t="shared" si="276"/>
        <v>0.35149999999999998</v>
      </c>
      <c r="AF1267">
        <f t="shared" si="277"/>
        <v>368816352.44999987</v>
      </c>
      <c r="AG1267" t="str">
        <f t="shared" si="278"/>
        <v>Active</v>
      </c>
      <c r="AH1267">
        <f t="shared" si="279"/>
        <v>3142.08</v>
      </c>
    </row>
    <row r="1268" spans="1:34" x14ac:dyDescent="0.35">
      <c r="A1268" t="s">
        <v>3415</v>
      </c>
      <c r="B1268" t="s">
        <v>3416</v>
      </c>
      <c r="C1268">
        <v>42</v>
      </c>
      <c r="D1268" t="s">
        <v>22</v>
      </c>
      <c r="E1268" t="s">
        <v>39</v>
      </c>
      <c r="F1268" t="s">
        <v>59</v>
      </c>
      <c r="G1268">
        <v>132160</v>
      </c>
      <c r="H1268">
        <v>685</v>
      </c>
      <c r="I1268">
        <v>52647</v>
      </c>
      <c r="J1268">
        <v>20.54</v>
      </c>
      <c r="K1268">
        <v>180</v>
      </c>
      <c r="L1268" t="s">
        <v>33</v>
      </c>
      <c r="M1268">
        <v>34.450000000000003</v>
      </c>
      <c r="N1268">
        <v>38140</v>
      </c>
      <c r="O1268">
        <v>184403</v>
      </c>
      <c r="P1268" t="s">
        <v>3417</v>
      </c>
      <c r="Q1268" t="s">
        <v>27</v>
      </c>
      <c r="R1268" t="s">
        <v>28</v>
      </c>
      <c r="S1268" t="s">
        <v>43</v>
      </c>
      <c r="T1268">
        <v>352.56</v>
      </c>
      <c r="U1268">
        <f t="shared" si="266"/>
        <v>734</v>
      </c>
      <c r="V1268">
        <f t="shared" si="267"/>
        <v>274</v>
      </c>
      <c r="W1268">
        <f t="shared" si="268"/>
        <v>233</v>
      </c>
      <c r="X1268">
        <f t="shared" si="269"/>
        <v>0.35149999999999998</v>
      </c>
      <c r="Y1268" s="1">
        <f t="shared" si="270"/>
        <v>37635065</v>
      </c>
      <c r="Z1268">
        <f t="shared" si="271"/>
        <v>51273.930517711175</v>
      </c>
      <c r="AA1268">
        <f t="shared" si="272"/>
        <v>99996</v>
      </c>
      <c r="AB1268">
        <f t="shared" si="273"/>
        <v>5091</v>
      </c>
      <c r="AC1268">
        <f t="shared" si="274"/>
        <v>1004458.6200000002</v>
      </c>
      <c r="AD1268">
        <f t="shared" si="275"/>
        <v>1368.4722343324254</v>
      </c>
      <c r="AE1268">
        <f t="shared" si="276"/>
        <v>0.35149999999999998</v>
      </c>
      <c r="AF1268">
        <f t="shared" si="277"/>
        <v>367811631.98999977</v>
      </c>
      <c r="AG1268" t="str">
        <f t="shared" si="278"/>
        <v>Active</v>
      </c>
      <c r="AH1268">
        <f t="shared" si="279"/>
        <v>4230.72</v>
      </c>
    </row>
    <row r="1269" spans="1:34" x14ac:dyDescent="0.35">
      <c r="A1269" t="s">
        <v>3418</v>
      </c>
      <c r="B1269" t="s">
        <v>3419</v>
      </c>
      <c r="C1269">
        <v>24</v>
      </c>
      <c r="D1269" t="s">
        <v>22</v>
      </c>
      <c r="E1269" t="s">
        <v>23</v>
      </c>
      <c r="F1269" t="s">
        <v>59</v>
      </c>
      <c r="G1269">
        <v>45298</v>
      </c>
      <c r="H1269">
        <v>649</v>
      </c>
      <c r="I1269">
        <v>87623</v>
      </c>
      <c r="J1269">
        <v>17.2</v>
      </c>
      <c r="K1269">
        <v>48</v>
      </c>
      <c r="L1269" t="s">
        <v>52</v>
      </c>
      <c r="M1269">
        <v>15.48</v>
      </c>
      <c r="N1269">
        <v>9414</v>
      </c>
      <c r="O1269">
        <v>115455</v>
      </c>
      <c r="P1269" t="s">
        <v>2048</v>
      </c>
      <c r="Q1269" t="s">
        <v>61</v>
      </c>
      <c r="R1269" t="s">
        <v>28</v>
      </c>
      <c r="S1269" t="s">
        <v>68</v>
      </c>
      <c r="T1269">
        <v>2139.46</v>
      </c>
      <c r="U1269">
        <f t="shared" si="266"/>
        <v>733</v>
      </c>
      <c r="V1269">
        <f t="shared" si="267"/>
        <v>274</v>
      </c>
      <c r="W1269">
        <f t="shared" si="268"/>
        <v>233</v>
      </c>
      <c r="X1269">
        <f t="shared" si="269"/>
        <v>0.35149999999999998</v>
      </c>
      <c r="Y1269" s="1">
        <f t="shared" si="270"/>
        <v>37582418</v>
      </c>
      <c r="Z1269">
        <f t="shared" si="271"/>
        <v>51272.057298772168</v>
      </c>
      <c r="AA1269">
        <f t="shared" si="272"/>
        <v>99996</v>
      </c>
      <c r="AB1269">
        <f t="shared" si="273"/>
        <v>5091</v>
      </c>
      <c r="AC1269">
        <f t="shared" si="274"/>
        <v>1004106.0600000003</v>
      </c>
      <c r="AD1269">
        <f t="shared" si="275"/>
        <v>1369.8581991814465</v>
      </c>
      <c r="AE1269">
        <f t="shared" si="276"/>
        <v>0.35149999999999998</v>
      </c>
      <c r="AF1269">
        <f t="shared" si="277"/>
        <v>366807173.36999977</v>
      </c>
      <c r="AG1269" t="str">
        <f t="shared" si="278"/>
        <v>Active</v>
      </c>
      <c r="AH1269">
        <f t="shared" si="279"/>
        <v>25673.52</v>
      </c>
    </row>
    <row r="1270" spans="1:34" x14ac:dyDescent="0.35">
      <c r="A1270" t="s">
        <v>3420</v>
      </c>
      <c r="B1270" t="s">
        <v>3421</v>
      </c>
      <c r="C1270">
        <v>23</v>
      </c>
      <c r="D1270" t="s">
        <v>38</v>
      </c>
      <c r="E1270" t="s">
        <v>32</v>
      </c>
      <c r="F1270" t="s">
        <v>59</v>
      </c>
      <c r="G1270">
        <v>124558</v>
      </c>
      <c r="H1270">
        <v>599</v>
      </c>
      <c r="I1270">
        <v>7841</v>
      </c>
      <c r="J1270">
        <v>6.96</v>
      </c>
      <c r="K1270">
        <v>36</v>
      </c>
      <c r="L1270" t="s">
        <v>25</v>
      </c>
      <c r="M1270">
        <v>32.909999999999997</v>
      </c>
      <c r="N1270">
        <v>32885</v>
      </c>
      <c r="O1270">
        <v>153401</v>
      </c>
      <c r="P1270" t="s">
        <v>3422</v>
      </c>
      <c r="Q1270" t="s">
        <v>42</v>
      </c>
      <c r="R1270" t="s">
        <v>48</v>
      </c>
      <c r="S1270" t="s">
        <v>29</v>
      </c>
      <c r="T1270">
        <v>232.96</v>
      </c>
      <c r="U1270">
        <f t="shared" si="266"/>
        <v>732</v>
      </c>
      <c r="V1270">
        <f t="shared" si="267"/>
        <v>274</v>
      </c>
      <c r="W1270">
        <f t="shared" si="268"/>
        <v>232</v>
      </c>
      <c r="X1270">
        <f t="shared" si="269"/>
        <v>0.35149999999999998</v>
      </c>
      <c r="Y1270" s="1">
        <f t="shared" si="270"/>
        <v>37494795</v>
      </c>
      <c r="Z1270">
        <f t="shared" si="271"/>
        <v>51222.397540983606</v>
      </c>
      <c r="AA1270">
        <f t="shared" si="272"/>
        <v>99996</v>
      </c>
      <c r="AB1270">
        <f t="shared" si="273"/>
        <v>5091</v>
      </c>
      <c r="AC1270">
        <f t="shared" si="274"/>
        <v>1001966.6000000002</v>
      </c>
      <c r="AD1270">
        <f t="shared" si="275"/>
        <v>1368.8068306010932</v>
      </c>
      <c r="AE1270">
        <f t="shared" si="276"/>
        <v>0.35149999999999998</v>
      </c>
      <c r="AF1270">
        <f t="shared" si="277"/>
        <v>365803067.30999982</v>
      </c>
      <c r="AG1270" t="str">
        <f t="shared" si="278"/>
        <v>Active</v>
      </c>
      <c r="AH1270">
        <f t="shared" si="279"/>
        <v>2795.52</v>
      </c>
    </row>
    <row r="1271" spans="1:34" x14ac:dyDescent="0.35">
      <c r="A1271" t="s">
        <v>3423</v>
      </c>
      <c r="B1271" t="s">
        <v>3424</v>
      </c>
      <c r="C1271">
        <v>63</v>
      </c>
      <c r="D1271" t="s">
        <v>22</v>
      </c>
      <c r="E1271" t="s">
        <v>32</v>
      </c>
      <c r="F1271" t="s">
        <v>24</v>
      </c>
      <c r="G1271">
        <v>99275</v>
      </c>
      <c r="H1271">
        <v>520</v>
      </c>
      <c r="I1271">
        <v>78458</v>
      </c>
      <c r="J1271">
        <v>13.8</v>
      </c>
      <c r="K1271">
        <v>36</v>
      </c>
      <c r="L1271" t="s">
        <v>40</v>
      </c>
      <c r="M1271">
        <v>12.19</v>
      </c>
      <c r="N1271">
        <v>5040</v>
      </c>
      <c r="O1271">
        <v>120201</v>
      </c>
      <c r="P1271" t="s">
        <v>3425</v>
      </c>
      <c r="Q1271" t="s">
        <v>42</v>
      </c>
      <c r="R1271" t="s">
        <v>28</v>
      </c>
      <c r="S1271" t="s">
        <v>43</v>
      </c>
      <c r="T1271">
        <v>2480.14</v>
      </c>
      <c r="U1271">
        <f t="shared" si="266"/>
        <v>731</v>
      </c>
      <c r="V1271">
        <f t="shared" si="267"/>
        <v>273</v>
      </c>
      <c r="W1271">
        <f t="shared" si="268"/>
        <v>232</v>
      </c>
      <c r="X1271">
        <f t="shared" si="269"/>
        <v>0.35149999999999998</v>
      </c>
      <c r="Y1271" s="1">
        <f t="shared" si="270"/>
        <v>37486954</v>
      </c>
      <c r="Z1271">
        <f t="shared" si="271"/>
        <v>51281.742818057457</v>
      </c>
      <c r="AA1271">
        <f t="shared" si="272"/>
        <v>99996</v>
      </c>
      <c r="AB1271">
        <f t="shared" si="273"/>
        <v>5091</v>
      </c>
      <c r="AC1271">
        <f t="shared" si="274"/>
        <v>1001733.6400000002</v>
      </c>
      <c r="AD1271">
        <f t="shared" si="275"/>
        <v>1370.3606566347473</v>
      </c>
      <c r="AE1271">
        <f t="shared" si="276"/>
        <v>0.35149999999999998</v>
      </c>
      <c r="AF1271">
        <f t="shared" si="277"/>
        <v>364801100.7099998</v>
      </c>
      <c r="AG1271" t="str">
        <f t="shared" si="278"/>
        <v>Active</v>
      </c>
      <c r="AH1271">
        <f t="shared" si="279"/>
        <v>29761.68</v>
      </c>
    </row>
    <row r="1272" spans="1:34" x14ac:dyDescent="0.35">
      <c r="A1272" t="s">
        <v>3426</v>
      </c>
      <c r="B1272" t="s">
        <v>3427</v>
      </c>
      <c r="C1272">
        <v>36</v>
      </c>
      <c r="D1272" t="s">
        <v>38</v>
      </c>
      <c r="E1272" t="s">
        <v>32</v>
      </c>
      <c r="F1272" t="s">
        <v>46</v>
      </c>
      <c r="G1272">
        <v>164825</v>
      </c>
      <c r="H1272">
        <v>569</v>
      </c>
      <c r="I1272">
        <v>50758</v>
      </c>
      <c r="J1272">
        <v>18.489999999999998</v>
      </c>
      <c r="K1272">
        <v>180</v>
      </c>
      <c r="L1272" t="s">
        <v>40</v>
      </c>
      <c r="M1272">
        <v>52.36</v>
      </c>
      <c r="N1272">
        <v>30496</v>
      </c>
      <c r="O1272">
        <v>69341</v>
      </c>
      <c r="P1272" t="s">
        <v>1185</v>
      </c>
      <c r="Q1272" t="s">
        <v>61</v>
      </c>
      <c r="R1272" t="s">
        <v>48</v>
      </c>
      <c r="S1272" t="s">
        <v>68</v>
      </c>
      <c r="T1272">
        <v>334.13</v>
      </c>
      <c r="U1272">
        <f t="shared" si="266"/>
        <v>730</v>
      </c>
      <c r="V1272">
        <f t="shared" si="267"/>
        <v>272</v>
      </c>
      <c r="W1272">
        <f t="shared" si="268"/>
        <v>232</v>
      </c>
      <c r="X1272">
        <f t="shared" si="269"/>
        <v>0.35149999999999998</v>
      </c>
      <c r="Y1272" s="1">
        <f t="shared" si="270"/>
        <v>37408496</v>
      </c>
      <c r="Z1272">
        <f t="shared" si="271"/>
        <v>51244.51506849315</v>
      </c>
      <c r="AA1272">
        <f t="shared" si="272"/>
        <v>99996</v>
      </c>
      <c r="AB1272">
        <f t="shared" si="273"/>
        <v>5091</v>
      </c>
      <c r="AC1272">
        <f t="shared" si="274"/>
        <v>999253.50000000023</v>
      </c>
      <c r="AD1272">
        <f t="shared" si="275"/>
        <v>1368.8404109589044</v>
      </c>
      <c r="AE1272">
        <f t="shared" si="276"/>
        <v>0.35149999999999998</v>
      </c>
      <c r="AF1272">
        <f t="shared" si="277"/>
        <v>363799367.06999981</v>
      </c>
      <c r="AG1272" t="str">
        <f t="shared" si="278"/>
        <v>Active</v>
      </c>
      <c r="AH1272">
        <f t="shared" si="279"/>
        <v>4009.56</v>
      </c>
    </row>
    <row r="1273" spans="1:34" x14ac:dyDescent="0.35">
      <c r="A1273" t="s">
        <v>3428</v>
      </c>
      <c r="B1273" t="s">
        <v>3429</v>
      </c>
      <c r="C1273">
        <v>29</v>
      </c>
      <c r="D1273" t="s">
        <v>38</v>
      </c>
      <c r="E1273" t="s">
        <v>32</v>
      </c>
      <c r="F1273" t="s">
        <v>46</v>
      </c>
      <c r="G1273">
        <v>34683</v>
      </c>
      <c r="H1273">
        <v>334</v>
      </c>
      <c r="I1273">
        <v>8621</v>
      </c>
      <c r="J1273">
        <v>13.16</v>
      </c>
      <c r="K1273">
        <v>60</v>
      </c>
      <c r="L1273" t="s">
        <v>25</v>
      </c>
      <c r="M1273">
        <v>28.44</v>
      </c>
      <c r="N1273">
        <v>50457</v>
      </c>
      <c r="O1273">
        <v>171044</v>
      </c>
      <c r="P1273" t="s">
        <v>1849</v>
      </c>
      <c r="Q1273" t="s">
        <v>42</v>
      </c>
      <c r="R1273" t="s">
        <v>48</v>
      </c>
      <c r="S1273" t="s">
        <v>68</v>
      </c>
      <c r="T1273">
        <v>162.59</v>
      </c>
      <c r="U1273">
        <f t="shared" si="266"/>
        <v>729</v>
      </c>
      <c r="V1273">
        <f t="shared" si="267"/>
        <v>272</v>
      </c>
      <c r="W1273">
        <f t="shared" si="268"/>
        <v>231</v>
      </c>
      <c r="X1273">
        <f t="shared" si="269"/>
        <v>0.35149999999999998</v>
      </c>
      <c r="Y1273" s="1">
        <f t="shared" si="270"/>
        <v>37357738</v>
      </c>
      <c r="Z1273">
        <f t="shared" si="271"/>
        <v>51245.182441700963</v>
      </c>
      <c r="AA1273">
        <f t="shared" si="272"/>
        <v>99996</v>
      </c>
      <c r="AB1273">
        <f t="shared" si="273"/>
        <v>5091</v>
      </c>
      <c r="AC1273">
        <f t="shared" si="274"/>
        <v>998919.37000000023</v>
      </c>
      <c r="AD1273">
        <f t="shared" si="275"/>
        <v>1370.2597668038411</v>
      </c>
      <c r="AE1273">
        <f t="shared" si="276"/>
        <v>0.35149999999999998</v>
      </c>
      <c r="AF1273">
        <f t="shared" si="277"/>
        <v>362800113.56999981</v>
      </c>
      <c r="AG1273" t="str">
        <f t="shared" si="278"/>
        <v>Active</v>
      </c>
      <c r="AH1273">
        <f t="shared" si="279"/>
        <v>1951.08</v>
      </c>
    </row>
    <row r="1274" spans="1:34" x14ac:dyDescent="0.35">
      <c r="A1274" t="s">
        <v>3430</v>
      </c>
      <c r="B1274" t="s">
        <v>3431</v>
      </c>
      <c r="C1274">
        <v>60</v>
      </c>
      <c r="D1274" t="s">
        <v>22</v>
      </c>
      <c r="E1274" t="s">
        <v>32</v>
      </c>
      <c r="F1274" t="s">
        <v>24</v>
      </c>
      <c r="G1274">
        <v>93629</v>
      </c>
      <c r="H1274">
        <v>568</v>
      </c>
      <c r="I1274">
        <v>49132</v>
      </c>
      <c r="J1274">
        <v>14.91</v>
      </c>
      <c r="K1274">
        <v>360</v>
      </c>
      <c r="L1274" t="s">
        <v>25</v>
      </c>
      <c r="M1274">
        <v>44.28</v>
      </c>
      <c r="N1274">
        <v>66588</v>
      </c>
      <c r="O1274">
        <v>238309</v>
      </c>
      <c r="P1274" t="s">
        <v>1613</v>
      </c>
      <c r="Q1274" t="s">
        <v>42</v>
      </c>
      <c r="R1274" t="s">
        <v>28</v>
      </c>
      <c r="S1274" t="s">
        <v>43</v>
      </c>
      <c r="T1274">
        <v>156.83000000000001</v>
      </c>
      <c r="U1274">
        <f t="shared" si="266"/>
        <v>728</v>
      </c>
      <c r="V1274">
        <f t="shared" si="267"/>
        <v>271</v>
      </c>
      <c r="W1274">
        <f t="shared" si="268"/>
        <v>231</v>
      </c>
      <c r="X1274">
        <f t="shared" si="269"/>
        <v>0.35149999999999998</v>
      </c>
      <c r="Y1274" s="1">
        <f t="shared" si="270"/>
        <v>37349117</v>
      </c>
      <c r="Z1274">
        <f t="shared" si="271"/>
        <v>51303.732142857145</v>
      </c>
      <c r="AA1274">
        <f t="shared" si="272"/>
        <v>99996</v>
      </c>
      <c r="AB1274">
        <f t="shared" si="273"/>
        <v>5091</v>
      </c>
      <c r="AC1274">
        <f t="shared" si="274"/>
        <v>998756.78000000014</v>
      </c>
      <c r="AD1274">
        <f t="shared" si="275"/>
        <v>1371.918653846154</v>
      </c>
      <c r="AE1274">
        <f t="shared" si="276"/>
        <v>0.35149999999999998</v>
      </c>
      <c r="AF1274">
        <f t="shared" si="277"/>
        <v>361801194.19999981</v>
      </c>
      <c r="AG1274" t="str">
        <f t="shared" si="278"/>
        <v>Active</v>
      </c>
      <c r="AH1274">
        <f t="shared" si="279"/>
        <v>1881.96</v>
      </c>
    </row>
    <row r="1275" spans="1:34" x14ac:dyDescent="0.35">
      <c r="A1275" t="s">
        <v>3432</v>
      </c>
      <c r="B1275" t="s">
        <v>3433</v>
      </c>
      <c r="C1275">
        <v>23</v>
      </c>
      <c r="D1275" t="s">
        <v>22</v>
      </c>
      <c r="E1275" t="s">
        <v>32</v>
      </c>
      <c r="F1275" t="s">
        <v>59</v>
      </c>
      <c r="G1275">
        <v>135295</v>
      </c>
      <c r="H1275">
        <v>611</v>
      </c>
      <c r="I1275">
        <v>65587</v>
      </c>
      <c r="J1275">
        <v>6.08</v>
      </c>
      <c r="K1275">
        <v>120</v>
      </c>
      <c r="L1275" t="s">
        <v>52</v>
      </c>
      <c r="M1275">
        <v>13.59</v>
      </c>
      <c r="N1275">
        <v>17119</v>
      </c>
      <c r="O1275">
        <v>232159</v>
      </c>
      <c r="P1275" t="s">
        <v>120</v>
      </c>
      <c r="Q1275" t="s">
        <v>61</v>
      </c>
      <c r="R1275" t="s">
        <v>28</v>
      </c>
      <c r="S1275" t="s">
        <v>68</v>
      </c>
      <c r="T1275">
        <v>579.79</v>
      </c>
      <c r="U1275">
        <f t="shared" si="266"/>
        <v>727</v>
      </c>
      <c r="V1275">
        <f t="shared" si="267"/>
        <v>270</v>
      </c>
      <c r="W1275">
        <f t="shared" si="268"/>
        <v>231</v>
      </c>
      <c r="X1275">
        <f t="shared" si="269"/>
        <v>0.35149999999999998</v>
      </c>
      <c r="Y1275" s="1">
        <f t="shared" si="270"/>
        <v>37299985</v>
      </c>
      <c r="Z1275">
        <f t="shared" si="271"/>
        <v>51306.719394773041</v>
      </c>
      <c r="AA1275">
        <f t="shared" si="272"/>
        <v>99996</v>
      </c>
      <c r="AB1275">
        <f t="shared" si="273"/>
        <v>5091</v>
      </c>
      <c r="AC1275">
        <f t="shared" si="274"/>
        <v>998599.95000000007</v>
      </c>
      <c r="AD1275">
        <f t="shared" si="275"/>
        <v>1373.5900275103165</v>
      </c>
      <c r="AE1275">
        <f t="shared" si="276"/>
        <v>0.35149999999999998</v>
      </c>
      <c r="AF1275">
        <f t="shared" si="277"/>
        <v>360802437.41999984</v>
      </c>
      <c r="AG1275" t="str">
        <f t="shared" si="278"/>
        <v>Active</v>
      </c>
      <c r="AH1275">
        <f t="shared" si="279"/>
        <v>6957.48</v>
      </c>
    </row>
    <row r="1276" spans="1:34" x14ac:dyDescent="0.35">
      <c r="A1276" t="s">
        <v>3434</v>
      </c>
      <c r="B1276" t="s">
        <v>3435</v>
      </c>
      <c r="C1276">
        <v>22</v>
      </c>
      <c r="D1276" t="s">
        <v>38</v>
      </c>
      <c r="E1276" t="s">
        <v>32</v>
      </c>
      <c r="F1276" t="s">
        <v>46</v>
      </c>
      <c r="G1276">
        <v>71784</v>
      </c>
      <c r="H1276">
        <v>542</v>
      </c>
      <c r="I1276">
        <v>19793</v>
      </c>
      <c r="J1276">
        <v>23.78</v>
      </c>
      <c r="K1276">
        <v>240</v>
      </c>
      <c r="L1276" t="s">
        <v>40</v>
      </c>
      <c r="M1276">
        <v>36.299999999999997</v>
      </c>
      <c r="N1276">
        <v>6482</v>
      </c>
      <c r="O1276">
        <v>82273</v>
      </c>
      <c r="P1276" t="s">
        <v>3436</v>
      </c>
      <c r="Q1276" t="s">
        <v>42</v>
      </c>
      <c r="R1276" t="s">
        <v>48</v>
      </c>
      <c r="S1276" t="s">
        <v>29</v>
      </c>
      <c r="T1276">
        <v>102.08</v>
      </c>
      <c r="U1276">
        <f t="shared" si="266"/>
        <v>726</v>
      </c>
      <c r="V1276">
        <f t="shared" si="267"/>
        <v>270</v>
      </c>
      <c r="W1276">
        <f t="shared" si="268"/>
        <v>230</v>
      </c>
      <c r="X1276">
        <f t="shared" si="269"/>
        <v>0.35149999999999998</v>
      </c>
      <c r="Y1276" s="1">
        <f t="shared" si="270"/>
        <v>37234398</v>
      </c>
      <c r="Z1276">
        <f t="shared" si="271"/>
        <v>51287.049586776862</v>
      </c>
      <c r="AA1276">
        <f t="shared" si="272"/>
        <v>99996</v>
      </c>
      <c r="AB1276">
        <f t="shared" si="273"/>
        <v>5091</v>
      </c>
      <c r="AC1276">
        <f t="shared" si="274"/>
        <v>998020.16000000015</v>
      </c>
      <c r="AD1276">
        <f t="shared" si="275"/>
        <v>1374.6834159779617</v>
      </c>
      <c r="AE1276">
        <f t="shared" si="276"/>
        <v>0.35149999999999998</v>
      </c>
      <c r="AF1276">
        <f t="shared" si="277"/>
        <v>359803837.46999979</v>
      </c>
      <c r="AG1276" t="str">
        <f t="shared" si="278"/>
        <v>Active</v>
      </c>
      <c r="AH1276">
        <f t="shared" si="279"/>
        <v>1224.96</v>
      </c>
    </row>
    <row r="1277" spans="1:34" x14ac:dyDescent="0.35">
      <c r="A1277" t="s">
        <v>3437</v>
      </c>
      <c r="B1277" t="s">
        <v>3438</v>
      </c>
      <c r="C1277">
        <v>61</v>
      </c>
      <c r="D1277" t="s">
        <v>22</v>
      </c>
      <c r="E1277" t="s">
        <v>39</v>
      </c>
      <c r="F1277" t="s">
        <v>46</v>
      </c>
      <c r="G1277">
        <v>198255</v>
      </c>
      <c r="H1277">
        <v>680</v>
      </c>
      <c r="I1277">
        <v>71777</v>
      </c>
      <c r="J1277">
        <v>20.399999999999999</v>
      </c>
      <c r="K1277">
        <v>24</v>
      </c>
      <c r="L1277" t="s">
        <v>25</v>
      </c>
      <c r="M1277">
        <v>13.55</v>
      </c>
      <c r="N1277">
        <v>71653</v>
      </c>
      <c r="O1277">
        <v>101990</v>
      </c>
      <c r="P1277" t="s">
        <v>3439</v>
      </c>
      <c r="Q1277" t="s">
        <v>42</v>
      </c>
      <c r="R1277" t="s">
        <v>48</v>
      </c>
      <c r="S1277" t="s">
        <v>29</v>
      </c>
      <c r="T1277">
        <v>3600.81</v>
      </c>
      <c r="U1277">
        <f t="shared" si="266"/>
        <v>725</v>
      </c>
      <c r="V1277">
        <f t="shared" si="267"/>
        <v>269</v>
      </c>
      <c r="W1277">
        <f t="shared" si="268"/>
        <v>230</v>
      </c>
      <c r="X1277">
        <f t="shared" si="269"/>
        <v>0.35149999999999998</v>
      </c>
      <c r="Y1277" s="1">
        <f t="shared" si="270"/>
        <v>37214605</v>
      </c>
      <c r="Z1277">
        <f t="shared" si="271"/>
        <v>51330.489655172416</v>
      </c>
      <c r="AA1277">
        <f t="shared" si="272"/>
        <v>99996</v>
      </c>
      <c r="AB1277">
        <f t="shared" si="273"/>
        <v>5091</v>
      </c>
      <c r="AC1277">
        <f t="shared" si="274"/>
        <v>997918.08000000019</v>
      </c>
      <c r="AD1277">
        <f t="shared" si="275"/>
        <v>1376.438731034483</v>
      </c>
      <c r="AE1277">
        <f t="shared" si="276"/>
        <v>0.35149999999999998</v>
      </c>
      <c r="AF1277">
        <f t="shared" si="277"/>
        <v>358805817.30999982</v>
      </c>
      <c r="AG1277" t="str">
        <f t="shared" si="278"/>
        <v>Active</v>
      </c>
      <c r="AH1277">
        <f t="shared" si="279"/>
        <v>43209.72</v>
      </c>
    </row>
    <row r="1278" spans="1:34" x14ac:dyDescent="0.35">
      <c r="A1278" t="s">
        <v>3440</v>
      </c>
      <c r="B1278" t="s">
        <v>3441</v>
      </c>
      <c r="C1278">
        <v>64</v>
      </c>
      <c r="D1278" t="s">
        <v>38</v>
      </c>
      <c r="E1278" t="s">
        <v>39</v>
      </c>
      <c r="F1278" t="s">
        <v>24</v>
      </c>
      <c r="G1278">
        <v>57443</v>
      </c>
      <c r="H1278">
        <v>425</v>
      </c>
      <c r="I1278">
        <v>29237</v>
      </c>
      <c r="J1278">
        <v>20.49</v>
      </c>
      <c r="K1278">
        <v>240</v>
      </c>
      <c r="L1278" t="s">
        <v>33</v>
      </c>
      <c r="M1278">
        <v>30.3</v>
      </c>
      <c r="N1278">
        <v>63320</v>
      </c>
      <c r="O1278">
        <v>214880</v>
      </c>
      <c r="P1278" t="s">
        <v>731</v>
      </c>
      <c r="Q1278" t="s">
        <v>27</v>
      </c>
      <c r="R1278" t="s">
        <v>28</v>
      </c>
      <c r="S1278" t="s">
        <v>43</v>
      </c>
      <c r="T1278">
        <v>146.78</v>
      </c>
      <c r="U1278">
        <f t="shared" si="266"/>
        <v>724</v>
      </c>
      <c r="V1278">
        <f t="shared" si="267"/>
        <v>268</v>
      </c>
      <c r="W1278">
        <f t="shared" si="268"/>
        <v>230</v>
      </c>
      <c r="X1278">
        <f t="shared" si="269"/>
        <v>0.35149999999999998</v>
      </c>
      <c r="Y1278" s="1">
        <f t="shared" si="270"/>
        <v>37142828</v>
      </c>
      <c r="Z1278">
        <f t="shared" si="271"/>
        <v>51302.248618784528</v>
      </c>
      <c r="AA1278">
        <f t="shared" si="272"/>
        <v>99996</v>
      </c>
      <c r="AB1278">
        <f t="shared" si="273"/>
        <v>5091</v>
      </c>
      <c r="AC1278">
        <f t="shared" si="274"/>
        <v>994317.27000000014</v>
      </c>
      <c r="AD1278">
        <f t="shared" si="275"/>
        <v>1373.3663950276245</v>
      </c>
      <c r="AE1278">
        <f t="shared" si="276"/>
        <v>0.35149999999999998</v>
      </c>
      <c r="AF1278">
        <f t="shared" si="277"/>
        <v>357807899.22999984</v>
      </c>
      <c r="AG1278" t="str">
        <f t="shared" si="278"/>
        <v>Active</v>
      </c>
      <c r="AH1278">
        <f t="shared" si="279"/>
        <v>1761.3600000000001</v>
      </c>
    </row>
    <row r="1279" spans="1:34" x14ac:dyDescent="0.35">
      <c r="A1279" t="s">
        <v>3442</v>
      </c>
      <c r="B1279" t="s">
        <v>3443</v>
      </c>
      <c r="C1279">
        <v>65</v>
      </c>
      <c r="D1279" t="s">
        <v>22</v>
      </c>
      <c r="E1279" t="s">
        <v>32</v>
      </c>
      <c r="F1279" t="s">
        <v>46</v>
      </c>
      <c r="G1279">
        <v>64794</v>
      </c>
      <c r="H1279">
        <v>512</v>
      </c>
      <c r="I1279">
        <v>71362</v>
      </c>
      <c r="J1279">
        <v>8</v>
      </c>
      <c r="K1279">
        <v>24</v>
      </c>
      <c r="L1279" t="s">
        <v>25</v>
      </c>
      <c r="M1279">
        <v>50.62</v>
      </c>
      <c r="N1279">
        <v>15357</v>
      </c>
      <c r="O1279">
        <v>69432</v>
      </c>
      <c r="P1279" t="s">
        <v>3444</v>
      </c>
      <c r="Q1279" t="s">
        <v>27</v>
      </c>
      <c r="R1279" t="s">
        <v>28</v>
      </c>
      <c r="S1279" t="s">
        <v>49</v>
      </c>
      <c r="T1279">
        <v>3211.29</v>
      </c>
      <c r="U1279">
        <f t="shared" si="266"/>
        <v>723</v>
      </c>
      <c r="V1279">
        <f t="shared" si="267"/>
        <v>268</v>
      </c>
      <c r="W1279">
        <f t="shared" si="268"/>
        <v>230</v>
      </c>
      <c r="X1279">
        <f t="shared" si="269"/>
        <v>0.35149999999999998</v>
      </c>
      <c r="Y1279" s="1">
        <f t="shared" si="270"/>
        <v>37113591</v>
      </c>
      <c r="Z1279">
        <f t="shared" si="271"/>
        <v>51332.767634854768</v>
      </c>
      <c r="AA1279">
        <f t="shared" si="272"/>
        <v>99996</v>
      </c>
      <c r="AB1279">
        <f t="shared" si="273"/>
        <v>5091</v>
      </c>
      <c r="AC1279">
        <f t="shared" si="274"/>
        <v>994170.49000000022</v>
      </c>
      <c r="AD1279">
        <f t="shared" si="275"/>
        <v>1375.0629183955743</v>
      </c>
      <c r="AE1279">
        <f t="shared" si="276"/>
        <v>0.35149999999999998</v>
      </c>
      <c r="AF1279">
        <f t="shared" si="277"/>
        <v>356813581.9599998</v>
      </c>
      <c r="AG1279" t="str">
        <f t="shared" si="278"/>
        <v>Active</v>
      </c>
      <c r="AH1279">
        <f t="shared" si="279"/>
        <v>38535.479999999996</v>
      </c>
    </row>
    <row r="1280" spans="1:34" x14ac:dyDescent="0.35">
      <c r="A1280" t="s">
        <v>3445</v>
      </c>
      <c r="B1280" t="s">
        <v>3446</v>
      </c>
      <c r="C1280">
        <v>22</v>
      </c>
      <c r="D1280" t="s">
        <v>38</v>
      </c>
      <c r="E1280" t="s">
        <v>32</v>
      </c>
      <c r="F1280" t="s">
        <v>46</v>
      </c>
      <c r="G1280">
        <v>198252</v>
      </c>
      <c r="H1280">
        <v>345</v>
      </c>
      <c r="I1280">
        <v>8954</v>
      </c>
      <c r="J1280">
        <v>3.78</v>
      </c>
      <c r="K1280">
        <v>180</v>
      </c>
      <c r="L1280" t="s">
        <v>86</v>
      </c>
      <c r="M1280">
        <v>15.73</v>
      </c>
      <c r="N1280">
        <v>14378</v>
      </c>
      <c r="O1280">
        <v>153069</v>
      </c>
      <c r="P1280" t="s">
        <v>3066</v>
      </c>
      <c r="Q1280" t="s">
        <v>27</v>
      </c>
      <c r="R1280" t="s">
        <v>28</v>
      </c>
      <c r="S1280" t="s">
        <v>68</v>
      </c>
      <c r="T1280">
        <v>51.62</v>
      </c>
      <c r="U1280">
        <f t="shared" si="266"/>
        <v>722</v>
      </c>
      <c r="V1280">
        <f t="shared" si="267"/>
        <v>268</v>
      </c>
      <c r="W1280">
        <f t="shared" si="268"/>
        <v>230</v>
      </c>
      <c r="X1280">
        <f t="shared" si="269"/>
        <v>0.35149999999999998</v>
      </c>
      <c r="Y1280" s="1">
        <f t="shared" si="270"/>
        <v>37042229</v>
      </c>
      <c r="Z1280">
        <f t="shared" si="271"/>
        <v>51305.026315789473</v>
      </c>
      <c r="AA1280">
        <f t="shared" si="272"/>
        <v>99996</v>
      </c>
      <c r="AB1280">
        <f t="shared" si="273"/>
        <v>5091</v>
      </c>
      <c r="AC1280">
        <f t="shared" si="274"/>
        <v>990959.20000000007</v>
      </c>
      <c r="AD1280">
        <f t="shared" si="275"/>
        <v>1372.5196675900279</v>
      </c>
      <c r="AE1280">
        <f t="shared" si="276"/>
        <v>0.35149999999999998</v>
      </c>
      <c r="AF1280">
        <f t="shared" si="277"/>
        <v>355819411.46999979</v>
      </c>
      <c r="AG1280" t="str">
        <f t="shared" si="278"/>
        <v>Active</v>
      </c>
      <c r="AH1280">
        <f t="shared" si="279"/>
        <v>619.43999999999994</v>
      </c>
    </row>
    <row r="1281" spans="1:34" x14ac:dyDescent="0.35">
      <c r="A1281" t="s">
        <v>3447</v>
      </c>
      <c r="B1281" t="s">
        <v>3448</v>
      </c>
      <c r="C1281">
        <v>41</v>
      </c>
      <c r="D1281" t="s">
        <v>38</v>
      </c>
      <c r="E1281" t="s">
        <v>39</v>
      </c>
      <c r="F1281" t="s">
        <v>24</v>
      </c>
      <c r="G1281">
        <v>30902</v>
      </c>
      <c r="H1281">
        <v>540</v>
      </c>
      <c r="I1281">
        <v>32821</v>
      </c>
      <c r="J1281">
        <v>21.4</v>
      </c>
      <c r="K1281">
        <v>240</v>
      </c>
      <c r="L1281" t="s">
        <v>52</v>
      </c>
      <c r="M1281">
        <v>22.99</v>
      </c>
      <c r="N1281">
        <v>51677</v>
      </c>
      <c r="O1281">
        <v>234573</v>
      </c>
      <c r="P1281" t="s">
        <v>1126</v>
      </c>
      <c r="Q1281" t="s">
        <v>61</v>
      </c>
      <c r="R1281" t="s">
        <v>28</v>
      </c>
      <c r="S1281" t="s">
        <v>29</v>
      </c>
      <c r="T1281">
        <v>166.02</v>
      </c>
      <c r="U1281">
        <f t="shared" si="266"/>
        <v>721</v>
      </c>
      <c r="V1281">
        <f t="shared" si="267"/>
        <v>268</v>
      </c>
      <c r="W1281">
        <f t="shared" si="268"/>
        <v>230</v>
      </c>
      <c r="X1281">
        <f t="shared" si="269"/>
        <v>0.35149999999999998</v>
      </c>
      <c r="Y1281" s="1">
        <f t="shared" si="270"/>
        <v>37033275</v>
      </c>
      <c r="Z1281">
        <f t="shared" si="271"/>
        <v>51363.765603328713</v>
      </c>
      <c r="AA1281">
        <f t="shared" si="272"/>
        <v>99996</v>
      </c>
      <c r="AB1281">
        <f t="shared" si="273"/>
        <v>5091</v>
      </c>
      <c r="AC1281">
        <f t="shared" si="274"/>
        <v>990907.58000000007</v>
      </c>
      <c r="AD1281">
        <f t="shared" si="275"/>
        <v>1374.3517059639391</v>
      </c>
      <c r="AE1281">
        <f t="shared" si="276"/>
        <v>0.35149999999999998</v>
      </c>
      <c r="AF1281">
        <f t="shared" si="277"/>
        <v>354828452.2699998</v>
      </c>
      <c r="AG1281" t="str">
        <f t="shared" si="278"/>
        <v>Active</v>
      </c>
      <c r="AH1281">
        <f t="shared" si="279"/>
        <v>1992.2400000000002</v>
      </c>
    </row>
    <row r="1282" spans="1:34" x14ac:dyDescent="0.35">
      <c r="A1282" t="s">
        <v>3449</v>
      </c>
      <c r="B1282" t="s">
        <v>3450</v>
      </c>
      <c r="C1282">
        <v>60</v>
      </c>
      <c r="D1282" t="s">
        <v>22</v>
      </c>
      <c r="E1282" t="s">
        <v>32</v>
      </c>
      <c r="F1282" t="s">
        <v>24</v>
      </c>
      <c r="G1282">
        <v>126276</v>
      </c>
      <c r="H1282">
        <v>732</v>
      </c>
      <c r="I1282">
        <v>94834</v>
      </c>
      <c r="J1282">
        <v>4.04</v>
      </c>
      <c r="K1282">
        <v>240</v>
      </c>
      <c r="L1282" t="s">
        <v>25</v>
      </c>
      <c r="M1282">
        <v>57.11</v>
      </c>
      <c r="N1282">
        <v>71255</v>
      </c>
      <c r="O1282">
        <v>178679</v>
      </c>
      <c r="P1282" t="s">
        <v>2913</v>
      </c>
      <c r="Q1282" t="s">
        <v>42</v>
      </c>
      <c r="R1282" t="s">
        <v>28</v>
      </c>
      <c r="S1282" t="s">
        <v>29</v>
      </c>
      <c r="T1282">
        <v>411.11</v>
      </c>
      <c r="U1282">
        <f t="shared" ref="U1282:U1345" si="280">COUNTA(A1282:A3281)</f>
        <v>720</v>
      </c>
      <c r="V1282">
        <f t="shared" ref="V1282:V1345" si="281">COUNTIF(Q1282:Q3281,"APPROVED")</f>
        <v>268</v>
      </c>
      <c r="W1282">
        <f t="shared" ref="W1282:W1345" si="282">COUNTIF(Q1282:Q3282,"Rejected")</f>
        <v>229</v>
      </c>
      <c r="X1282">
        <f t="shared" ref="X1282:X1345" si="283">703/2000</f>
        <v>0.35149999999999998</v>
      </c>
      <c r="Y1282" s="1">
        <f t="shared" ref="Y1282:Y1345" si="284">SUM(I1282:I3281)</f>
        <v>37000454</v>
      </c>
      <c r="Z1282">
        <f t="shared" ref="Z1282:Z1345" si="285">AVERAGE(I1282:I21281)</f>
        <v>51389.519444444442</v>
      </c>
      <c r="AA1282">
        <f t="shared" ref="AA1282:AA1345" si="286">MAX(I1282:I3281)</f>
        <v>99996</v>
      </c>
      <c r="AB1282">
        <f t="shared" ref="AB1282:AB1345" si="287">MIN(I1282:I3281)</f>
        <v>5091</v>
      </c>
      <c r="AC1282">
        <f t="shared" ref="AC1282:AC1345" si="288">SUM(T1282:T3281)</f>
        <v>990741.56000000017</v>
      </c>
      <c r="AD1282">
        <f t="shared" ref="AD1282:AD1345" si="289">AVERAGE(T1282:T3281)</f>
        <v>1376.0299444444447</v>
      </c>
      <c r="AE1282">
        <f t="shared" ref="AE1282:AE1345" si="290">703/2000</f>
        <v>0.35149999999999998</v>
      </c>
      <c r="AF1282">
        <f t="shared" ref="AF1282:AF1345" si="291">SUM(AC1282:AC3281)</f>
        <v>353837544.68999988</v>
      </c>
      <c r="AG1282" t="str">
        <f t="shared" ref="AG1282:AG1345" si="292">IF(AH1282=0,"Bad", IF(AH1281&lt;I1281, "Active", IF(AH1281=I1281, "Good", "Over Paid")))</f>
        <v>Active</v>
      </c>
      <c r="AH1282">
        <f t="shared" ref="AH1282:AH1345" si="293">T1282*12</f>
        <v>4933.32</v>
      </c>
    </row>
    <row r="1283" spans="1:34" x14ac:dyDescent="0.35">
      <c r="A1283" t="s">
        <v>3451</v>
      </c>
      <c r="B1283" t="s">
        <v>3452</v>
      </c>
      <c r="C1283">
        <v>28</v>
      </c>
      <c r="D1283" t="s">
        <v>22</v>
      </c>
      <c r="E1283" t="s">
        <v>39</v>
      </c>
      <c r="F1283" t="s">
        <v>46</v>
      </c>
      <c r="G1283">
        <v>69141</v>
      </c>
      <c r="H1283">
        <v>490</v>
      </c>
      <c r="I1283">
        <v>95017</v>
      </c>
      <c r="J1283">
        <v>9.73</v>
      </c>
      <c r="K1283">
        <v>36</v>
      </c>
      <c r="L1283" t="s">
        <v>40</v>
      </c>
      <c r="M1283">
        <v>6.65</v>
      </c>
      <c r="N1283">
        <v>15603</v>
      </c>
      <c r="O1283">
        <v>79763</v>
      </c>
      <c r="P1283" t="s">
        <v>224</v>
      </c>
      <c r="Q1283" t="s">
        <v>42</v>
      </c>
      <c r="R1283" t="s">
        <v>28</v>
      </c>
      <c r="S1283" t="s">
        <v>35</v>
      </c>
      <c r="T1283">
        <v>2896.17</v>
      </c>
      <c r="U1283">
        <f t="shared" si="280"/>
        <v>719</v>
      </c>
      <c r="V1283">
        <f t="shared" si="281"/>
        <v>267</v>
      </c>
      <c r="W1283">
        <f t="shared" si="282"/>
        <v>229</v>
      </c>
      <c r="X1283">
        <f t="shared" si="283"/>
        <v>0.35149999999999998</v>
      </c>
      <c r="Y1283" s="1">
        <f t="shared" si="284"/>
        <v>36905620</v>
      </c>
      <c r="Z1283">
        <f t="shared" si="285"/>
        <v>51329.095966620305</v>
      </c>
      <c r="AA1283">
        <f t="shared" si="286"/>
        <v>99996</v>
      </c>
      <c r="AB1283">
        <f t="shared" si="287"/>
        <v>5091</v>
      </c>
      <c r="AC1283">
        <f t="shared" si="288"/>
        <v>990330.45000000007</v>
      </c>
      <c r="AD1283">
        <f t="shared" si="289"/>
        <v>1377.3719749652296</v>
      </c>
      <c r="AE1283">
        <f t="shared" si="290"/>
        <v>0.35149999999999998</v>
      </c>
      <c r="AF1283">
        <f t="shared" si="291"/>
        <v>352846803.12999994</v>
      </c>
      <c r="AG1283" t="str">
        <f t="shared" si="292"/>
        <v>Active</v>
      </c>
      <c r="AH1283">
        <f t="shared" si="293"/>
        <v>34754.04</v>
      </c>
    </row>
    <row r="1284" spans="1:34" x14ac:dyDescent="0.35">
      <c r="A1284" t="s">
        <v>3453</v>
      </c>
      <c r="B1284" t="s">
        <v>3454</v>
      </c>
      <c r="C1284">
        <v>53</v>
      </c>
      <c r="D1284" t="s">
        <v>38</v>
      </c>
      <c r="E1284" t="s">
        <v>23</v>
      </c>
      <c r="F1284" t="s">
        <v>24</v>
      </c>
      <c r="G1284">
        <v>41206</v>
      </c>
      <c r="H1284">
        <v>490</v>
      </c>
      <c r="I1284">
        <v>53203</v>
      </c>
      <c r="J1284">
        <v>8.23</v>
      </c>
      <c r="K1284">
        <v>36</v>
      </c>
      <c r="L1284" t="s">
        <v>40</v>
      </c>
      <c r="M1284">
        <v>6.53</v>
      </c>
      <c r="N1284">
        <v>13902</v>
      </c>
      <c r="O1284">
        <v>27763</v>
      </c>
      <c r="P1284" t="s">
        <v>3455</v>
      </c>
      <c r="Q1284" t="s">
        <v>61</v>
      </c>
      <c r="R1284" t="s">
        <v>28</v>
      </c>
      <c r="S1284" t="s">
        <v>49</v>
      </c>
      <c r="T1284">
        <v>1599.49</v>
      </c>
      <c r="U1284">
        <f t="shared" si="280"/>
        <v>718</v>
      </c>
      <c r="V1284">
        <f t="shared" si="281"/>
        <v>266</v>
      </c>
      <c r="W1284">
        <f t="shared" si="282"/>
        <v>229</v>
      </c>
      <c r="X1284">
        <f t="shared" si="283"/>
        <v>0.35149999999999998</v>
      </c>
      <c r="Y1284" s="1">
        <f t="shared" si="284"/>
        <v>36810603</v>
      </c>
      <c r="Z1284">
        <f t="shared" si="285"/>
        <v>51268.249303621167</v>
      </c>
      <c r="AA1284">
        <f t="shared" si="286"/>
        <v>99996</v>
      </c>
      <c r="AB1284">
        <f t="shared" si="287"/>
        <v>5091</v>
      </c>
      <c r="AC1284">
        <f t="shared" si="288"/>
        <v>987434.28</v>
      </c>
      <c r="AD1284">
        <f t="shared" si="289"/>
        <v>1375.2566573816157</v>
      </c>
      <c r="AE1284">
        <f t="shared" si="290"/>
        <v>0.35149999999999998</v>
      </c>
      <c r="AF1284">
        <f t="shared" si="291"/>
        <v>351856472.67999989</v>
      </c>
      <c r="AG1284" t="str">
        <f t="shared" si="292"/>
        <v>Active</v>
      </c>
      <c r="AH1284">
        <f t="shared" si="293"/>
        <v>19193.88</v>
      </c>
    </row>
    <row r="1285" spans="1:34" x14ac:dyDescent="0.35">
      <c r="A1285" t="s">
        <v>3456</v>
      </c>
      <c r="B1285" t="s">
        <v>3457</v>
      </c>
      <c r="C1285">
        <v>49</v>
      </c>
      <c r="D1285" t="s">
        <v>38</v>
      </c>
      <c r="E1285" t="s">
        <v>39</v>
      </c>
      <c r="F1285" t="s">
        <v>59</v>
      </c>
      <c r="G1285">
        <v>152835</v>
      </c>
      <c r="H1285">
        <v>538</v>
      </c>
      <c r="I1285">
        <v>93740</v>
      </c>
      <c r="J1285">
        <v>16.03</v>
      </c>
      <c r="K1285">
        <v>48</v>
      </c>
      <c r="L1285" t="s">
        <v>86</v>
      </c>
      <c r="M1285">
        <v>12.28</v>
      </c>
      <c r="N1285">
        <v>59603</v>
      </c>
      <c r="O1285">
        <v>139729</v>
      </c>
      <c r="P1285" t="s">
        <v>1642</v>
      </c>
      <c r="Q1285" t="s">
        <v>42</v>
      </c>
      <c r="R1285" t="s">
        <v>28</v>
      </c>
      <c r="S1285" t="s">
        <v>49</v>
      </c>
      <c r="T1285">
        <v>2265.9699999999998</v>
      </c>
      <c r="U1285">
        <f t="shared" si="280"/>
        <v>717</v>
      </c>
      <c r="V1285">
        <f t="shared" si="281"/>
        <v>266</v>
      </c>
      <c r="W1285">
        <f t="shared" si="282"/>
        <v>228</v>
      </c>
      <c r="X1285">
        <f t="shared" si="283"/>
        <v>0.35149999999999998</v>
      </c>
      <c r="Y1285" s="1">
        <f t="shared" si="284"/>
        <v>36757400</v>
      </c>
      <c r="Z1285">
        <f t="shared" si="285"/>
        <v>51265.550906555094</v>
      </c>
      <c r="AA1285">
        <f t="shared" si="286"/>
        <v>99996</v>
      </c>
      <c r="AB1285">
        <f t="shared" si="287"/>
        <v>5091</v>
      </c>
      <c r="AC1285">
        <f t="shared" si="288"/>
        <v>985834.79</v>
      </c>
      <c r="AD1285">
        <f t="shared" si="289"/>
        <v>1374.943919107392</v>
      </c>
      <c r="AE1285">
        <f t="shared" si="290"/>
        <v>0.35149999999999998</v>
      </c>
      <c r="AF1285">
        <f t="shared" si="291"/>
        <v>350869038.39999986</v>
      </c>
      <c r="AG1285" t="str">
        <f t="shared" si="292"/>
        <v>Active</v>
      </c>
      <c r="AH1285">
        <f t="shared" si="293"/>
        <v>27191.64</v>
      </c>
    </row>
    <row r="1286" spans="1:34" x14ac:dyDescent="0.35">
      <c r="A1286" t="s">
        <v>3458</v>
      </c>
      <c r="B1286" t="s">
        <v>3459</v>
      </c>
      <c r="C1286">
        <v>61</v>
      </c>
      <c r="D1286" t="s">
        <v>22</v>
      </c>
      <c r="E1286" t="s">
        <v>32</v>
      </c>
      <c r="F1286" t="s">
        <v>59</v>
      </c>
      <c r="G1286">
        <v>22033</v>
      </c>
      <c r="H1286">
        <v>365</v>
      </c>
      <c r="I1286">
        <v>12210</v>
      </c>
      <c r="J1286">
        <v>22.61</v>
      </c>
      <c r="K1286">
        <v>180</v>
      </c>
      <c r="L1286" t="s">
        <v>40</v>
      </c>
      <c r="M1286">
        <v>35.840000000000003</v>
      </c>
      <c r="N1286">
        <v>47875</v>
      </c>
      <c r="O1286">
        <v>85734</v>
      </c>
      <c r="P1286" t="s">
        <v>230</v>
      </c>
      <c r="Q1286" t="s">
        <v>61</v>
      </c>
      <c r="R1286" t="s">
        <v>28</v>
      </c>
      <c r="S1286" t="s">
        <v>68</v>
      </c>
      <c r="T1286">
        <v>83.17</v>
      </c>
      <c r="U1286">
        <f t="shared" si="280"/>
        <v>716</v>
      </c>
      <c r="V1286">
        <f t="shared" si="281"/>
        <v>265</v>
      </c>
      <c r="W1286">
        <f t="shared" si="282"/>
        <v>228</v>
      </c>
      <c r="X1286">
        <f t="shared" si="283"/>
        <v>0.35149999999999998</v>
      </c>
      <c r="Y1286" s="1">
        <f t="shared" si="284"/>
        <v>36663660</v>
      </c>
      <c r="Z1286">
        <f t="shared" si="285"/>
        <v>51206.229050279333</v>
      </c>
      <c r="AA1286">
        <f t="shared" si="286"/>
        <v>99996</v>
      </c>
      <c r="AB1286">
        <f t="shared" si="287"/>
        <v>5091</v>
      </c>
      <c r="AC1286">
        <f t="shared" si="288"/>
        <v>983568.82000000007</v>
      </c>
      <c r="AD1286">
        <f t="shared" si="289"/>
        <v>1373.699469273743</v>
      </c>
      <c r="AE1286">
        <f t="shared" si="290"/>
        <v>0.35149999999999998</v>
      </c>
      <c r="AF1286">
        <f t="shared" si="291"/>
        <v>349883203.60999984</v>
      </c>
      <c r="AG1286" t="str">
        <f t="shared" si="292"/>
        <v>Active</v>
      </c>
      <c r="AH1286">
        <f t="shared" si="293"/>
        <v>998.04</v>
      </c>
    </row>
    <row r="1287" spans="1:34" x14ac:dyDescent="0.35">
      <c r="A1287" t="s">
        <v>3460</v>
      </c>
      <c r="B1287" t="s">
        <v>3461</v>
      </c>
      <c r="C1287">
        <v>28</v>
      </c>
      <c r="D1287" t="s">
        <v>22</v>
      </c>
      <c r="E1287" t="s">
        <v>32</v>
      </c>
      <c r="F1287" t="s">
        <v>24</v>
      </c>
      <c r="G1287">
        <v>178546</v>
      </c>
      <c r="H1287">
        <v>615</v>
      </c>
      <c r="I1287">
        <v>8850</v>
      </c>
      <c r="J1287">
        <v>6.69</v>
      </c>
      <c r="K1287">
        <v>120</v>
      </c>
      <c r="L1287" t="s">
        <v>86</v>
      </c>
      <c r="M1287">
        <v>39.26</v>
      </c>
      <c r="N1287">
        <v>77074</v>
      </c>
      <c r="O1287">
        <v>154088</v>
      </c>
      <c r="P1287" t="s">
        <v>2045</v>
      </c>
      <c r="Q1287" t="s">
        <v>61</v>
      </c>
      <c r="R1287" t="s">
        <v>48</v>
      </c>
      <c r="S1287" t="s">
        <v>43</v>
      </c>
      <c r="T1287">
        <v>78.680000000000007</v>
      </c>
      <c r="U1287">
        <f t="shared" si="280"/>
        <v>715</v>
      </c>
      <c r="V1287">
        <f t="shared" si="281"/>
        <v>265</v>
      </c>
      <c r="W1287">
        <f t="shared" si="282"/>
        <v>227</v>
      </c>
      <c r="X1287">
        <f t="shared" si="283"/>
        <v>0.35149999999999998</v>
      </c>
      <c r="Y1287" s="1">
        <f t="shared" si="284"/>
        <v>36651450</v>
      </c>
      <c r="Z1287">
        <f t="shared" si="285"/>
        <v>51260.769230769234</v>
      </c>
      <c r="AA1287">
        <f t="shared" si="286"/>
        <v>99996</v>
      </c>
      <c r="AB1287">
        <f t="shared" si="287"/>
        <v>5091</v>
      </c>
      <c r="AC1287">
        <f t="shared" si="288"/>
        <v>983485.65</v>
      </c>
      <c r="AD1287">
        <f t="shared" si="289"/>
        <v>1375.5044055944056</v>
      </c>
      <c r="AE1287">
        <f t="shared" si="290"/>
        <v>0.35149999999999998</v>
      </c>
      <c r="AF1287">
        <f t="shared" si="291"/>
        <v>348899634.78999984</v>
      </c>
      <c r="AG1287" t="str">
        <f t="shared" si="292"/>
        <v>Active</v>
      </c>
      <c r="AH1287">
        <f t="shared" si="293"/>
        <v>944.16000000000008</v>
      </c>
    </row>
    <row r="1288" spans="1:34" x14ac:dyDescent="0.35">
      <c r="A1288" t="s">
        <v>3462</v>
      </c>
      <c r="B1288" t="s">
        <v>3463</v>
      </c>
      <c r="C1288">
        <v>53</v>
      </c>
      <c r="D1288" t="s">
        <v>38</v>
      </c>
      <c r="E1288" t="s">
        <v>23</v>
      </c>
      <c r="F1288" t="s">
        <v>46</v>
      </c>
      <c r="G1288">
        <v>122138</v>
      </c>
      <c r="H1288">
        <v>310</v>
      </c>
      <c r="I1288">
        <v>62521</v>
      </c>
      <c r="J1288">
        <v>11.63</v>
      </c>
      <c r="K1288">
        <v>180</v>
      </c>
      <c r="L1288" t="s">
        <v>40</v>
      </c>
      <c r="M1288">
        <v>23.65</v>
      </c>
      <c r="N1288">
        <v>7925</v>
      </c>
      <c r="O1288">
        <v>71692</v>
      </c>
      <c r="P1288" t="s">
        <v>3464</v>
      </c>
      <c r="Q1288" t="s">
        <v>27</v>
      </c>
      <c r="R1288" t="s">
        <v>28</v>
      </c>
      <c r="S1288" t="s">
        <v>49</v>
      </c>
      <c r="T1288">
        <v>387.73</v>
      </c>
      <c r="U1288">
        <f t="shared" si="280"/>
        <v>714</v>
      </c>
      <c r="V1288">
        <f t="shared" si="281"/>
        <v>265</v>
      </c>
      <c r="W1288">
        <f t="shared" si="282"/>
        <v>226</v>
      </c>
      <c r="X1288">
        <f t="shared" si="283"/>
        <v>0.35149999999999998</v>
      </c>
      <c r="Y1288" s="1">
        <f t="shared" si="284"/>
        <v>36642600</v>
      </c>
      <c r="Z1288">
        <f t="shared" si="285"/>
        <v>51320.168067226892</v>
      </c>
      <c r="AA1288">
        <f t="shared" si="286"/>
        <v>99996</v>
      </c>
      <c r="AB1288">
        <f t="shared" si="287"/>
        <v>5091</v>
      </c>
      <c r="AC1288">
        <f t="shared" si="288"/>
        <v>983406.97000000009</v>
      </c>
      <c r="AD1288">
        <f t="shared" si="289"/>
        <v>1377.3206862745099</v>
      </c>
      <c r="AE1288">
        <f t="shared" si="290"/>
        <v>0.35149999999999998</v>
      </c>
      <c r="AF1288">
        <f t="shared" si="291"/>
        <v>347916149.13999981</v>
      </c>
      <c r="AG1288" t="str">
        <f t="shared" si="292"/>
        <v>Active</v>
      </c>
      <c r="AH1288">
        <f t="shared" si="293"/>
        <v>4652.76</v>
      </c>
    </row>
    <row r="1289" spans="1:34" x14ac:dyDescent="0.35">
      <c r="A1289" t="s">
        <v>3465</v>
      </c>
      <c r="B1289" t="s">
        <v>3466</v>
      </c>
      <c r="C1289">
        <v>38</v>
      </c>
      <c r="D1289" t="s">
        <v>22</v>
      </c>
      <c r="E1289" t="s">
        <v>23</v>
      </c>
      <c r="F1289" t="s">
        <v>46</v>
      </c>
      <c r="G1289">
        <v>164644</v>
      </c>
      <c r="H1289">
        <v>731</v>
      </c>
      <c r="I1289">
        <v>96812</v>
      </c>
      <c r="J1289">
        <v>15.6</v>
      </c>
      <c r="K1289">
        <v>360</v>
      </c>
      <c r="L1289" t="s">
        <v>52</v>
      </c>
      <c r="M1289">
        <v>32.950000000000003</v>
      </c>
      <c r="N1289">
        <v>6454</v>
      </c>
      <c r="O1289">
        <v>66502</v>
      </c>
      <c r="P1289" t="s">
        <v>3467</v>
      </c>
      <c r="Q1289" t="s">
        <v>27</v>
      </c>
      <c r="R1289" t="s">
        <v>48</v>
      </c>
      <c r="S1289" t="s">
        <v>29</v>
      </c>
      <c r="T1289">
        <v>310.87</v>
      </c>
      <c r="U1289">
        <f t="shared" si="280"/>
        <v>713</v>
      </c>
      <c r="V1289">
        <f t="shared" si="281"/>
        <v>265</v>
      </c>
      <c r="W1289">
        <f t="shared" si="282"/>
        <v>226</v>
      </c>
      <c r="X1289">
        <f t="shared" si="283"/>
        <v>0.35149999999999998</v>
      </c>
      <c r="Y1289" s="1">
        <f t="shared" si="284"/>
        <v>36580079</v>
      </c>
      <c r="Z1289">
        <f t="shared" si="285"/>
        <v>51304.458625525949</v>
      </c>
      <c r="AA1289">
        <f t="shared" si="286"/>
        <v>99996</v>
      </c>
      <c r="AB1289">
        <f t="shared" si="287"/>
        <v>5091</v>
      </c>
      <c r="AC1289">
        <f t="shared" si="288"/>
        <v>983019.24</v>
      </c>
      <c r="AD1289">
        <f t="shared" si="289"/>
        <v>1378.7086115007012</v>
      </c>
      <c r="AE1289">
        <f t="shared" si="290"/>
        <v>0.35149999999999998</v>
      </c>
      <c r="AF1289">
        <f t="shared" si="291"/>
        <v>346932742.16999978</v>
      </c>
      <c r="AG1289" t="str">
        <f t="shared" si="292"/>
        <v>Active</v>
      </c>
      <c r="AH1289">
        <f t="shared" si="293"/>
        <v>3730.44</v>
      </c>
    </row>
    <row r="1290" spans="1:34" x14ac:dyDescent="0.35">
      <c r="A1290" t="s">
        <v>3468</v>
      </c>
      <c r="B1290" t="s">
        <v>3469</v>
      </c>
      <c r="C1290">
        <v>24</v>
      </c>
      <c r="D1290" t="s">
        <v>38</v>
      </c>
      <c r="E1290" t="s">
        <v>23</v>
      </c>
      <c r="F1290" t="s">
        <v>24</v>
      </c>
      <c r="G1290">
        <v>195376</v>
      </c>
      <c r="H1290">
        <v>339</v>
      </c>
      <c r="I1290">
        <v>66007</v>
      </c>
      <c r="J1290">
        <v>6.62</v>
      </c>
      <c r="K1290">
        <v>36</v>
      </c>
      <c r="L1290" t="s">
        <v>86</v>
      </c>
      <c r="M1290">
        <v>58.41</v>
      </c>
      <c r="N1290">
        <v>13772</v>
      </c>
      <c r="O1290">
        <v>33477</v>
      </c>
      <c r="P1290" t="s">
        <v>811</v>
      </c>
      <c r="Q1290" t="s">
        <v>61</v>
      </c>
      <c r="R1290" t="s">
        <v>48</v>
      </c>
      <c r="S1290" t="s">
        <v>29</v>
      </c>
      <c r="T1290">
        <v>1954.91</v>
      </c>
      <c r="U1290">
        <f t="shared" si="280"/>
        <v>712</v>
      </c>
      <c r="V1290">
        <f t="shared" si="281"/>
        <v>265</v>
      </c>
      <c r="W1290">
        <f t="shared" si="282"/>
        <v>226</v>
      </c>
      <c r="X1290">
        <f t="shared" si="283"/>
        <v>0.35149999999999998</v>
      </c>
      <c r="Y1290" s="1">
        <f t="shared" si="284"/>
        <v>36483267</v>
      </c>
      <c r="Z1290">
        <f t="shared" si="285"/>
        <v>51240.543539325845</v>
      </c>
      <c r="AA1290">
        <f t="shared" si="286"/>
        <v>99996</v>
      </c>
      <c r="AB1290">
        <f t="shared" si="287"/>
        <v>5091</v>
      </c>
      <c r="AC1290">
        <f t="shared" si="288"/>
        <v>982708.37</v>
      </c>
      <c r="AD1290">
        <f t="shared" si="289"/>
        <v>1380.2083848314608</v>
      </c>
      <c r="AE1290">
        <f t="shared" si="290"/>
        <v>0.35149999999999998</v>
      </c>
      <c r="AF1290">
        <f t="shared" si="291"/>
        <v>345949722.92999977</v>
      </c>
      <c r="AG1290" t="str">
        <f t="shared" si="292"/>
        <v>Active</v>
      </c>
      <c r="AH1290">
        <f t="shared" si="293"/>
        <v>23458.920000000002</v>
      </c>
    </row>
    <row r="1291" spans="1:34" x14ac:dyDescent="0.35">
      <c r="A1291" t="s">
        <v>3470</v>
      </c>
      <c r="B1291" t="s">
        <v>3471</v>
      </c>
      <c r="C1291">
        <v>57</v>
      </c>
      <c r="D1291" t="s">
        <v>38</v>
      </c>
      <c r="E1291" t="s">
        <v>23</v>
      </c>
      <c r="F1291" t="s">
        <v>59</v>
      </c>
      <c r="G1291">
        <v>57131</v>
      </c>
      <c r="H1291">
        <v>779</v>
      </c>
      <c r="I1291">
        <v>6985</v>
      </c>
      <c r="J1291">
        <v>19.97</v>
      </c>
      <c r="K1291">
        <v>24</v>
      </c>
      <c r="L1291" t="s">
        <v>52</v>
      </c>
      <c r="M1291">
        <v>23.07</v>
      </c>
      <c r="N1291">
        <v>32930</v>
      </c>
      <c r="O1291">
        <v>47901</v>
      </c>
      <c r="P1291" t="s">
        <v>3472</v>
      </c>
      <c r="Q1291" t="s">
        <v>42</v>
      </c>
      <c r="R1291" t="s">
        <v>48</v>
      </c>
      <c r="S1291" t="s">
        <v>49</v>
      </c>
      <c r="T1291">
        <v>349.16</v>
      </c>
      <c r="U1291">
        <f t="shared" si="280"/>
        <v>711</v>
      </c>
      <c r="V1291">
        <f t="shared" si="281"/>
        <v>265</v>
      </c>
      <c r="W1291">
        <f t="shared" si="282"/>
        <v>225</v>
      </c>
      <c r="X1291">
        <f t="shared" si="283"/>
        <v>0.35149999999999998</v>
      </c>
      <c r="Y1291" s="1">
        <f t="shared" si="284"/>
        <v>36417260</v>
      </c>
      <c r="Z1291">
        <f t="shared" si="285"/>
        <v>51219.774964838252</v>
      </c>
      <c r="AA1291">
        <f t="shared" si="286"/>
        <v>99996</v>
      </c>
      <c r="AB1291">
        <f t="shared" si="287"/>
        <v>5091</v>
      </c>
      <c r="AC1291">
        <f t="shared" si="288"/>
        <v>980753.45999999985</v>
      </c>
      <c r="AD1291">
        <f t="shared" si="289"/>
        <v>1379.4000843881854</v>
      </c>
      <c r="AE1291">
        <f t="shared" si="290"/>
        <v>0.35149999999999998</v>
      </c>
      <c r="AF1291">
        <f t="shared" si="291"/>
        <v>344967014.55999976</v>
      </c>
      <c r="AG1291" t="str">
        <f t="shared" si="292"/>
        <v>Active</v>
      </c>
      <c r="AH1291">
        <f t="shared" si="293"/>
        <v>4189.92</v>
      </c>
    </row>
    <row r="1292" spans="1:34" x14ac:dyDescent="0.35">
      <c r="A1292" t="s">
        <v>3473</v>
      </c>
      <c r="B1292" t="s">
        <v>3474</v>
      </c>
      <c r="C1292">
        <v>60</v>
      </c>
      <c r="D1292" t="s">
        <v>22</v>
      </c>
      <c r="E1292" t="s">
        <v>32</v>
      </c>
      <c r="F1292" t="s">
        <v>46</v>
      </c>
      <c r="G1292">
        <v>178544</v>
      </c>
      <c r="H1292">
        <v>403</v>
      </c>
      <c r="I1292">
        <v>36580</v>
      </c>
      <c r="J1292">
        <v>8.51</v>
      </c>
      <c r="K1292">
        <v>48</v>
      </c>
      <c r="L1292" t="s">
        <v>86</v>
      </c>
      <c r="M1292">
        <v>46.29</v>
      </c>
      <c r="N1292">
        <v>30615</v>
      </c>
      <c r="O1292">
        <v>187628</v>
      </c>
      <c r="P1292" t="s">
        <v>1272</v>
      </c>
      <c r="Q1292" t="s">
        <v>27</v>
      </c>
      <c r="R1292" t="s">
        <v>28</v>
      </c>
      <c r="S1292" t="s">
        <v>68</v>
      </c>
      <c r="T1292">
        <v>826.94</v>
      </c>
      <c r="U1292">
        <f t="shared" si="280"/>
        <v>710</v>
      </c>
      <c r="V1292">
        <f t="shared" si="281"/>
        <v>264</v>
      </c>
      <c r="W1292">
        <f t="shared" si="282"/>
        <v>225</v>
      </c>
      <c r="X1292">
        <f t="shared" si="283"/>
        <v>0.35149999999999998</v>
      </c>
      <c r="Y1292" s="1">
        <f t="shared" si="284"/>
        <v>36410275</v>
      </c>
      <c r="Z1292">
        <f t="shared" si="285"/>
        <v>51282.07746478873</v>
      </c>
      <c r="AA1292">
        <f t="shared" si="286"/>
        <v>99996</v>
      </c>
      <c r="AB1292">
        <f t="shared" si="287"/>
        <v>5091</v>
      </c>
      <c r="AC1292">
        <f t="shared" si="288"/>
        <v>980404.29999999993</v>
      </c>
      <c r="AD1292">
        <f t="shared" si="289"/>
        <v>1380.8511267605634</v>
      </c>
      <c r="AE1292">
        <f t="shared" si="290"/>
        <v>0.35149999999999998</v>
      </c>
      <c r="AF1292">
        <f t="shared" si="291"/>
        <v>343986261.09999973</v>
      </c>
      <c r="AG1292" t="str">
        <f t="shared" si="292"/>
        <v>Active</v>
      </c>
      <c r="AH1292">
        <f t="shared" si="293"/>
        <v>9923.2800000000007</v>
      </c>
    </row>
    <row r="1293" spans="1:34" x14ac:dyDescent="0.35">
      <c r="A1293" t="s">
        <v>3475</v>
      </c>
      <c r="B1293" t="s">
        <v>3476</v>
      </c>
      <c r="C1293">
        <v>62</v>
      </c>
      <c r="D1293" t="s">
        <v>22</v>
      </c>
      <c r="E1293" t="s">
        <v>32</v>
      </c>
      <c r="F1293" t="s">
        <v>24</v>
      </c>
      <c r="G1293">
        <v>41273</v>
      </c>
      <c r="H1293">
        <v>396</v>
      </c>
      <c r="I1293">
        <v>82915</v>
      </c>
      <c r="J1293">
        <v>22.46</v>
      </c>
      <c r="K1293">
        <v>180</v>
      </c>
      <c r="L1293" t="s">
        <v>52</v>
      </c>
      <c r="M1293">
        <v>32.9</v>
      </c>
      <c r="N1293">
        <v>8298</v>
      </c>
      <c r="O1293">
        <v>244537</v>
      </c>
      <c r="P1293" t="s">
        <v>2267</v>
      </c>
      <c r="Q1293" t="s">
        <v>61</v>
      </c>
      <c r="R1293" t="s">
        <v>28</v>
      </c>
      <c r="S1293" t="s">
        <v>43</v>
      </c>
      <c r="T1293">
        <v>564.1</v>
      </c>
      <c r="U1293">
        <f t="shared" si="280"/>
        <v>709</v>
      </c>
      <c r="V1293">
        <f t="shared" si="281"/>
        <v>264</v>
      </c>
      <c r="W1293">
        <f t="shared" si="282"/>
        <v>225</v>
      </c>
      <c r="X1293">
        <f t="shared" si="283"/>
        <v>0.35149999999999998</v>
      </c>
      <c r="Y1293" s="1">
        <f t="shared" si="284"/>
        <v>36373695</v>
      </c>
      <c r="Z1293">
        <f t="shared" si="285"/>
        <v>51302.813822284908</v>
      </c>
      <c r="AA1293">
        <f t="shared" si="286"/>
        <v>99996</v>
      </c>
      <c r="AB1293">
        <f t="shared" si="287"/>
        <v>5091</v>
      </c>
      <c r="AC1293">
        <f t="shared" si="288"/>
        <v>979577.35999999987</v>
      </c>
      <c r="AD1293">
        <f t="shared" si="289"/>
        <v>1381.6323836389279</v>
      </c>
      <c r="AE1293">
        <f t="shared" si="290"/>
        <v>0.35149999999999998</v>
      </c>
      <c r="AF1293">
        <f t="shared" si="291"/>
        <v>343005856.79999977</v>
      </c>
      <c r="AG1293" t="str">
        <f t="shared" si="292"/>
        <v>Active</v>
      </c>
      <c r="AH1293">
        <f t="shared" si="293"/>
        <v>6769.2000000000007</v>
      </c>
    </row>
    <row r="1294" spans="1:34" x14ac:dyDescent="0.35">
      <c r="A1294" t="s">
        <v>3477</v>
      </c>
      <c r="B1294" t="s">
        <v>3478</v>
      </c>
      <c r="C1294">
        <v>25</v>
      </c>
      <c r="D1294" t="s">
        <v>22</v>
      </c>
      <c r="E1294" t="s">
        <v>23</v>
      </c>
      <c r="F1294" t="s">
        <v>46</v>
      </c>
      <c r="G1294">
        <v>65255</v>
      </c>
      <c r="H1294">
        <v>418</v>
      </c>
      <c r="I1294">
        <v>91777</v>
      </c>
      <c r="J1294">
        <v>10.8</v>
      </c>
      <c r="K1294">
        <v>240</v>
      </c>
      <c r="L1294" t="s">
        <v>25</v>
      </c>
      <c r="M1294">
        <v>16.36</v>
      </c>
      <c r="N1294">
        <v>59293</v>
      </c>
      <c r="O1294">
        <v>244923</v>
      </c>
      <c r="P1294" t="s">
        <v>2934</v>
      </c>
      <c r="Q1294" t="s">
        <v>42</v>
      </c>
      <c r="R1294" t="s">
        <v>28</v>
      </c>
      <c r="S1294" t="s">
        <v>68</v>
      </c>
      <c r="T1294">
        <v>423.7</v>
      </c>
      <c r="U1294">
        <f t="shared" si="280"/>
        <v>708</v>
      </c>
      <c r="V1294">
        <f t="shared" si="281"/>
        <v>264</v>
      </c>
      <c r="W1294">
        <f t="shared" si="282"/>
        <v>224</v>
      </c>
      <c r="X1294">
        <f t="shared" si="283"/>
        <v>0.35149999999999998</v>
      </c>
      <c r="Y1294" s="1">
        <f t="shared" si="284"/>
        <v>36290780</v>
      </c>
      <c r="Z1294">
        <f t="shared" si="285"/>
        <v>51258.163841807909</v>
      </c>
      <c r="AA1294">
        <f t="shared" si="286"/>
        <v>99996</v>
      </c>
      <c r="AB1294">
        <f t="shared" si="287"/>
        <v>5091</v>
      </c>
      <c r="AC1294">
        <f t="shared" si="288"/>
        <v>979013.25999999989</v>
      </c>
      <c r="AD1294">
        <f t="shared" si="289"/>
        <v>1382.7870903954802</v>
      </c>
      <c r="AE1294">
        <f t="shared" si="290"/>
        <v>0.35149999999999998</v>
      </c>
      <c r="AF1294">
        <f t="shared" si="291"/>
        <v>342026279.43999976</v>
      </c>
      <c r="AG1294" t="str">
        <f t="shared" si="292"/>
        <v>Active</v>
      </c>
      <c r="AH1294">
        <f t="shared" si="293"/>
        <v>5084.3999999999996</v>
      </c>
    </row>
    <row r="1295" spans="1:34" x14ac:dyDescent="0.35">
      <c r="A1295" t="s">
        <v>3479</v>
      </c>
      <c r="B1295" t="s">
        <v>3480</v>
      </c>
      <c r="C1295">
        <v>51</v>
      </c>
      <c r="D1295" t="s">
        <v>38</v>
      </c>
      <c r="E1295" t="s">
        <v>39</v>
      </c>
      <c r="F1295" t="s">
        <v>46</v>
      </c>
      <c r="G1295">
        <v>44558</v>
      </c>
      <c r="H1295">
        <v>771</v>
      </c>
      <c r="I1295">
        <v>70890</v>
      </c>
      <c r="J1295">
        <v>18.47</v>
      </c>
      <c r="K1295">
        <v>240</v>
      </c>
      <c r="L1295" t="s">
        <v>33</v>
      </c>
      <c r="M1295">
        <v>25.05</v>
      </c>
      <c r="N1295">
        <v>29937</v>
      </c>
      <c r="O1295">
        <v>201969</v>
      </c>
      <c r="P1295" t="s">
        <v>1555</v>
      </c>
      <c r="Q1295" t="s">
        <v>27</v>
      </c>
      <c r="R1295" t="s">
        <v>48</v>
      </c>
      <c r="S1295" t="s">
        <v>35</v>
      </c>
      <c r="T1295">
        <v>349.93</v>
      </c>
      <c r="U1295">
        <f t="shared" si="280"/>
        <v>707</v>
      </c>
      <c r="V1295">
        <f t="shared" si="281"/>
        <v>263</v>
      </c>
      <c r="W1295">
        <f t="shared" si="282"/>
        <v>224</v>
      </c>
      <c r="X1295">
        <f t="shared" si="283"/>
        <v>0.35149999999999998</v>
      </c>
      <c r="Y1295" s="1">
        <f t="shared" si="284"/>
        <v>36199003</v>
      </c>
      <c r="Z1295">
        <f t="shared" si="285"/>
        <v>51200.852899575671</v>
      </c>
      <c r="AA1295">
        <f t="shared" si="286"/>
        <v>99996</v>
      </c>
      <c r="AB1295">
        <f t="shared" si="287"/>
        <v>5091</v>
      </c>
      <c r="AC1295">
        <f t="shared" si="288"/>
        <v>978589.55999999982</v>
      </c>
      <c r="AD1295">
        <f t="shared" si="289"/>
        <v>1384.1436492220648</v>
      </c>
      <c r="AE1295">
        <f t="shared" si="290"/>
        <v>0.35149999999999998</v>
      </c>
      <c r="AF1295">
        <f t="shared" si="291"/>
        <v>341047266.17999971</v>
      </c>
      <c r="AG1295" t="str">
        <f t="shared" si="292"/>
        <v>Active</v>
      </c>
      <c r="AH1295">
        <f t="shared" si="293"/>
        <v>4199.16</v>
      </c>
    </row>
    <row r="1296" spans="1:34" x14ac:dyDescent="0.35">
      <c r="A1296" t="s">
        <v>3481</v>
      </c>
      <c r="B1296" t="s">
        <v>3482</v>
      </c>
      <c r="C1296">
        <v>37</v>
      </c>
      <c r="D1296" t="s">
        <v>38</v>
      </c>
      <c r="E1296" t="s">
        <v>39</v>
      </c>
      <c r="F1296" t="s">
        <v>24</v>
      </c>
      <c r="G1296">
        <v>191705</v>
      </c>
      <c r="H1296">
        <v>436</v>
      </c>
      <c r="I1296">
        <v>99492</v>
      </c>
      <c r="J1296">
        <v>11.14</v>
      </c>
      <c r="K1296">
        <v>12</v>
      </c>
      <c r="L1296" t="s">
        <v>33</v>
      </c>
      <c r="M1296">
        <v>55.4</v>
      </c>
      <c r="N1296">
        <v>76981</v>
      </c>
      <c r="O1296">
        <v>137336</v>
      </c>
      <c r="P1296" t="s">
        <v>3483</v>
      </c>
      <c r="Q1296" t="s">
        <v>27</v>
      </c>
      <c r="R1296" t="s">
        <v>48</v>
      </c>
      <c r="S1296" t="s">
        <v>35</v>
      </c>
      <c r="T1296">
        <v>9214.6200000000008</v>
      </c>
      <c r="U1296">
        <f t="shared" si="280"/>
        <v>706</v>
      </c>
      <c r="V1296">
        <f t="shared" si="281"/>
        <v>263</v>
      </c>
      <c r="W1296">
        <f t="shared" si="282"/>
        <v>224</v>
      </c>
      <c r="X1296">
        <f t="shared" si="283"/>
        <v>0.35149999999999998</v>
      </c>
      <c r="Y1296" s="1">
        <f t="shared" si="284"/>
        <v>36128113</v>
      </c>
      <c r="Z1296">
        <f t="shared" si="285"/>
        <v>51172.964589235125</v>
      </c>
      <c r="AA1296">
        <f t="shared" si="286"/>
        <v>99996</v>
      </c>
      <c r="AB1296">
        <f t="shared" si="287"/>
        <v>5091</v>
      </c>
      <c r="AC1296">
        <f t="shared" si="288"/>
        <v>978239.62999999977</v>
      </c>
      <c r="AD1296">
        <f t="shared" si="289"/>
        <v>1385.608541076487</v>
      </c>
      <c r="AE1296">
        <f t="shared" si="290"/>
        <v>0.35149999999999998</v>
      </c>
      <c r="AF1296">
        <f t="shared" si="291"/>
        <v>340068676.61999971</v>
      </c>
      <c r="AG1296" t="str">
        <f t="shared" si="292"/>
        <v>Active</v>
      </c>
      <c r="AH1296">
        <f t="shared" si="293"/>
        <v>110575.44</v>
      </c>
    </row>
    <row r="1297" spans="1:34" x14ac:dyDescent="0.35">
      <c r="A1297" t="s">
        <v>3484</v>
      </c>
      <c r="B1297" t="s">
        <v>3485</v>
      </c>
      <c r="C1297">
        <v>43</v>
      </c>
      <c r="D1297" t="s">
        <v>22</v>
      </c>
      <c r="E1297" t="s">
        <v>23</v>
      </c>
      <c r="F1297" t="s">
        <v>24</v>
      </c>
      <c r="G1297">
        <v>34344</v>
      </c>
      <c r="H1297">
        <v>788</v>
      </c>
      <c r="I1297">
        <v>19684</v>
      </c>
      <c r="J1297">
        <v>17.100000000000001</v>
      </c>
      <c r="K1297">
        <v>36</v>
      </c>
      <c r="L1297" t="s">
        <v>33</v>
      </c>
      <c r="M1297">
        <v>9.9</v>
      </c>
      <c r="N1297">
        <v>23317</v>
      </c>
      <c r="O1297">
        <v>192790</v>
      </c>
      <c r="P1297" t="s">
        <v>3486</v>
      </c>
      <c r="Q1297" t="s">
        <v>61</v>
      </c>
      <c r="R1297" t="s">
        <v>28</v>
      </c>
      <c r="S1297" t="s">
        <v>49</v>
      </c>
      <c r="T1297">
        <v>640.28</v>
      </c>
      <c r="U1297">
        <f t="shared" si="280"/>
        <v>705</v>
      </c>
      <c r="V1297">
        <f t="shared" si="281"/>
        <v>263</v>
      </c>
      <c r="W1297">
        <f t="shared" si="282"/>
        <v>224</v>
      </c>
      <c r="X1297">
        <f t="shared" si="283"/>
        <v>0.35149999999999998</v>
      </c>
      <c r="Y1297" s="1">
        <f t="shared" si="284"/>
        <v>36028621</v>
      </c>
      <c r="Z1297">
        <f t="shared" si="285"/>
        <v>51104.426950354609</v>
      </c>
      <c r="AA1297">
        <f t="shared" si="286"/>
        <v>99996</v>
      </c>
      <c r="AB1297">
        <f t="shared" si="287"/>
        <v>5091</v>
      </c>
      <c r="AC1297">
        <f t="shared" si="288"/>
        <v>969025.00999999966</v>
      </c>
      <c r="AD1297">
        <f t="shared" si="289"/>
        <v>1374.5035602836874</v>
      </c>
      <c r="AE1297">
        <f t="shared" si="290"/>
        <v>0.35149999999999998</v>
      </c>
      <c r="AF1297">
        <f t="shared" si="291"/>
        <v>339090436.98999971</v>
      </c>
      <c r="AG1297" t="str">
        <f t="shared" si="292"/>
        <v>Over Paid</v>
      </c>
      <c r="AH1297">
        <f t="shared" si="293"/>
        <v>7683.36</v>
      </c>
    </row>
    <row r="1298" spans="1:34" x14ac:dyDescent="0.35">
      <c r="A1298" t="s">
        <v>3487</v>
      </c>
      <c r="B1298" t="s">
        <v>3488</v>
      </c>
      <c r="C1298">
        <v>27</v>
      </c>
      <c r="D1298" t="s">
        <v>22</v>
      </c>
      <c r="E1298" t="s">
        <v>23</v>
      </c>
      <c r="F1298" t="s">
        <v>59</v>
      </c>
      <c r="G1298">
        <v>28010</v>
      </c>
      <c r="H1298">
        <v>796</v>
      </c>
      <c r="I1298">
        <v>82217</v>
      </c>
      <c r="J1298">
        <v>16.64</v>
      </c>
      <c r="K1298">
        <v>24</v>
      </c>
      <c r="L1298" t="s">
        <v>25</v>
      </c>
      <c r="M1298">
        <v>31.86</v>
      </c>
      <c r="N1298">
        <v>32572</v>
      </c>
      <c r="O1298">
        <v>31634</v>
      </c>
      <c r="P1298" t="s">
        <v>3157</v>
      </c>
      <c r="Q1298" t="s">
        <v>27</v>
      </c>
      <c r="R1298" t="s">
        <v>48</v>
      </c>
      <c r="S1298" t="s">
        <v>49</v>
      </c>
      <c r="T1298">
        <v>3995.75</v>
      </c>
      <c r="U1298">
        <f t="shared" si="280"/>
        <v>704</v>
      </c>
      <c r="V1298">
        <f t="shared" si="281"/>
        <v>263</v>
      </c>
      <c r="W1298">
        <f t="shared" si="282"/>
        <v>223</v>
      </c>
      <c r="X1298">
        <f t="shared" si="283"/>
        <v>0.35149999999999998</v>
      </c>
      <c r="Y1298" s="1">
        <f t="shared" si="284"/>
        <v>36008937</v>
      </c>
      <c r="Z1298">
        <f t="shared" si="285"/>
        <v>51149.05823863636</v>
      </c>
      <c r="AA1298">
        <f t="shared" si="286"/>
        <v>99996</v>
      </c>
      <c r="AB1298">
        <f t="shared" si="287"/>
        <v>5091</v>
      </c>
      <c r="AC1298">
        <f t="shared" si="288"/>
        <v>968384.72999999963</v>
      </c>
      <c r="AD1298">
        <f t="shared" si="289"/>
        <v>1375.5464914772722</v>
      </c>
      <c r="AE1298">
        <f t="shared" si="290"/>
        <v>0.35149999999999998</v>
      </c>
      <c r="AF1298">
        <f t="shared" si="291"/>
        <v>338121411.97999972</v>
      </c>
      <c r="AG1298" t="str">
        <f t="shared" si="292"/>
        <v>Active</v>
      </c>
      <c r="AH1298">
        <f t="shared" si="293"/>
        <v>47949</v>
      </c>
    </row>
    <row r="1299" spans="1:34" x14ac:dyDescent="0.35">
      <c r="A1299" t="s">
        <v>3489</v>
      </c>
      <c r="B1299" t="s">
        <v>3490</v>
      </c>
      <c r="C1299">
        <v>26</v>
      </c>
      <c r="D1299" t="s">
        <v>22</v>
      </c>
      <c r="E1299" t="s">
        <v>23</v>
      </c>
      <c r="F1299" t="s">
        <v>24</v>
      </c>
      <c r="G1299">
        <v>103395</v>
      </c>
      <c r="H1299">
        <v>345</v>
      </c>
      <c r="I1299">
        <v>42452</v>
      </c>
      <c r="J1299">
        <v>11.68</v>
      </c>
      <c r="K1299">
        <v>36</v>
      </c>
      <c r="L1299" t="s">
        <v>40</v>
      </c>
      <c r="M1299">
        <v>28.03</v>
      </c>
      <c r="N1299">
        <v>34550</v>
      </c>
      <c r="O1299">
        <v>165973</v>
      </c>
      <c r="P1299" t="s">
        <v>826</v>
      </c>
      <c r="Q1299" t="s">
        <v>61</v>
      </c>
      <c r="R1299" t="s">
        <v>28</v>
      </c>
      <c r="S1299" t="s">
        <v>29</v>
      </c>
      <c r="T1299">
        <v>1316.96</v>
      </c>
      <c r="U1299">
        <f t="shared" si="280"/>
        <v>703</v>
      </c>
      <c r="V1299">
        <f t="shared" si="281"/>
        <v>263</v>
      </c>
      <c r="W1299">
        <f t="shared" si="282"/>
        <v>223</v>
      </c>
      <c r="X1299">
        <f t="shared" si="283"/>
        <v>0.35149999999999998</v>
      </c>
      <c r="Y1299" s="1">
        <f t="shared" si="284"/>
        <v>35926720</v>
      </c>
      <c r="Z1299">
        <f t="shared" si="285"/>
        <v>51104.864864864867</v>
      </c>
      <c r="AA1299">
        <f t="shared" si="286"/>
        <v>99996</v>
      </c>
      <c r="AB1299">
        <f t="shared" si="287"/>
        <v>5091</v>
      </c>
      <c r="AC1299">
        <f t="shared" si="288"/>
        <v>964388.97999999963</v>
      </c>
      <c r="AD1299">
        <f t="shared" si="289"/>
        <v>1371.8193172119484</v>
      </c>
      <c r="AE1299">
        <f t="shared" si="290"/>
        <v>0.35149999999999998</v>
      </c>
      <c r="AF1299">
        <f t="shared" si="291"/>
        <v>337153027.24999964</v>
      </c>
      <c r="AG1299" t="str">
        <f t="shared" si="292"/>
        <v>Active</v>
      </c>
      <c r="AH1299">
        <f t="shared" si="293"/>
        <v>15803.52</v>
      </c>
    </row>
    <row r="1300" spans="1:34" x14ac:dyDescent="0.35">
      <c r="A1300" t="s">
        <v>3491</v>
      </c>
      <c r="B1300" t="s">
        <v>3492</v>
      </c>
      <c r="C1300">
        <v>37</v>
      </c>
      <c r="D1300" t="s">
        <v>38</v>
      </c>
      <c r="E1300" t="s">
        <v>32</v>
      </c>
      <c r="F1300" t="s">
        <v>46</v>
      </c>
      <c r="G1300">
        <v>20228</v>
      </c>
      <c r="H1300">
        <v>326</v>
      </c>
      <c r="I1300">
        <v>23308</v>
      </c>
      <c r="J1300">
        <v>14.82</v>
      </c>
      <c r="K1300">
        <v>36</v>
      </c>
      <c r="L1300" t="s">
        <v>33</v>
      </c>
      <c r="M1300">
        <v>16.41</v>
      </c>
      <c r="N1300">
        <v>9402</v>
      </c>
      <c r="O1300">
        <v>35325</v>
      </c>
      <c r="P1300" t="s">
        <v>2710</v>
      </c>
      <c r="Q1300" t="s">
        <v>42</v>
      </c>
      <c r="R1300" t="s">
        <v>48</v>
      </c>
      <c r="S1300" t="s">
        <v>35</v>
      </c>
      <c r="T1300">
        <v>743.4</v>
      </c>
      <c r="U1300">
        <f t="shared" si="280"/>
        <v>702</v>
      </c>
      <c r="V1300">
        <f t="shared" si="281"/>
        <v>263</v>
      </c>
      <c r="W1300">
        <f t="shared" si="282"/>
        <v>222</v>
      </c>
      <c r="X1300">
        <f t="shared" si="283"/>
        <v>0.35149999999999998</v>
      </c>
      <c r="Y1300" s="1">
        <f t="shared" si="284"/>
        <v>35884268</v>
      </c>
      <c r="Z1300">
        <f t="shared" si="285"/>
        <v>51117.19088319088</v>
      </c>
      <c r="AA1300">
        <f t="shared" si="286"/>
        <v>99996</v>
      </c>
      <c r="AB1300">
        <f t="shared" si="287"/>
        <v>5091</v>
      </c>
      <c r="AC1300">
        <f t="shared" si="288"/>
        <v>963072.01999999955</v>
      </c>
      <c r="AD1300">
        <f t="shared" si="289"/>
        <v>1371.8974643874637</v>
      </c>
      <c r="AE1300">
        <f t="shared" si="290"/>
        <v>0.35149999999999998</v>
      </c>
      <c r="AF1300">
        <f t="shared" si="291"/>
        <v>336188638.26999962</v>
      </c>
      <c r="AG1300" t="str">
        <f t="shared" si="292"/>
        <v>Active</v>
      </c>
      <c r="AH1300">
        <f t="shared" si="293"/>
        <v>8920.7999999999993</v>
      </c>
    </row>
    <row r="1301" spans="1:34" x14ac:dyDescent="0.35">
      <c r="A1301" t="s">
        <v>3493</v>
      </c>
      <c r="B1301" t="s">
        <v>3494</v>
      </c>
      <c r="C1301">
        <v>46</v>
      </c>
      <c r="D1301" t="s">
        <v>22</v>
      </c>
      <c r="E1301" t="s">
        <v>23</v>
      </c>
      <c r="F1301" t="s">
        <v>59</v>
      </c>
      <c r="G1301">
        <v>175514</v>
      </c>
      <c r="H1301">
        <v>347</v>
      </c>
      <c r="I1301">
        <v>53005</v>
      </c>
      <c r="J1301">
        <v>11.74</v>
      </c>
      <c r="K1301">
        <v>60</v>
      </c>
      <c r="L1301" t="s">
        <v>86</v>
      </c>
      <c r="M1301">
        <v>57.59</v>
      </c>
      <c r="N1301">
        <v>43848</v>
      </c>
      <c r="O1301">
        <v>169855</v>
      </c>
      <c r="P1301" t="s">
        <v>725</v>
      </c>
      <c r="Q1301" t="s">
        <v>61</v>
      </c>
      <c r="R1301" t="s">
        <v>28</v>
      </c>
      <c r="S1301" t="s">
        <v>43</v>
      </c>
      <c r="T1301">
        <v>987.13</v>
      </c>
      <c r="U1301">
        <f t="shared" si="280"/>
        <v>701</v>
      </c>
      <c r="V1301">
        <f t="shared" si="281"/>
        <v>262</v>
      </c>
      <c r="W1301">
        <f t="shared" si="282"/>
        <v>222</v>
      </c>
      <c r="X1301">
        <f t="shared" si="283"/>
        <v>0.35149999999999998</v>
      </c>
      <c r="Y1301" s="1">
        <f t="shared" si="284"/>
        <v>35860960</v>
      </c>
      <c r="Z1301">
        <f t="shared" si="285"/>
        <v>51156.861626248217</v>
      </c>
      <c r="AA1301">
        <f t="shared" si="286"/>
        <v>99996</v>
      </c>
      <c r="AB1301">
        <f t="shared" si="287"/>
        <v>5091</v>
      </c>
      <c r="AC1301">
        <f t="shared" si="288"/>
        <v>962328.61999999965</v>
      </c>
      <c r="AD1301">
        <f t="shared" si="289"/>
        <v>1372.7940370898712</v>
      </c>
      <c r="AE1301">
        <f t="shared" si="290"/>
        <v>0.35149999999999998</v>
      </c>
      <c r="AF1301">
        <f t="shared" si="291"/>
        <v>335225566.24999958</v>
      </c>
      <c r="AG1301" t="str">
        <f t="shared" si="292"/>
        <v>Active</v>
      </c>
      <c r="AH1301">
        <f t="shared" si="293"/>
        <v>11845.56</v>
      </c>
    </row>
    <row r="1302" spans="1:34" x14ac:dyDescent="0.35">
      <c r="A1302" t="s">
        <v>3495</v>
      </c>
      <c r="B1302" t="s">
        <v>3496</v>
      </c>
      <c r="C1302">
        <v>27</v>
      </c>
      <c r="D1302" t="s">
        <v>22</v>
      </c>
      <c r="E1302" t="s">
        <v>39</v>
      </c>
      <c r="F1302" t="s">
        <v>46</v>
      </c>
      <c r="G1302">
        <v>71065</v>
      </c>
      <c r="H1302">
        <v>704</v>
      </c>
      <c r="I1302">
        <v>58671</v>
      </c>
      <c r="J1302">
        <v>3.69</v>
      </c>
      <c r="K1302">
        <v>12</v>
      </c>
      <c r="L1302" t="s">
        <v>25</v>
      </c>
      <c r="M1302">
        <v>11.51</v>
      </c>
      <c r="N1302">
        <v>49542</v>
      </c>
      <c r="O1302">
        <v>194926</v>
      </c>
      <c r="P1302" t="s">
        <v>994</v>
      </c>
      <c r="Q1302" t="s">
        <v>61</v>
      </c>
      <c r="R1302" t="s">
        <v>28</v>
      </c>
      <c r="S1302" t="s">
        <v>68</v>
      </c>
      <c r="T1302">
        <v>5069.66</v>
      </c>
      <c r="U1302">
        <f t="shared" si="280"/>
        <v>700</v>
      </c>
      <c r="V1302">
        <f t="shared" si="281"/>
        <v>262</v>
      </c>
      <c r="W1302">
        <f t="shared" si="282"/>
        <v>221</v>
      </c>
      <c r="X1302">
        <f t="shared" si="283"/>
        <v>0.35149999999999998</v>
      </c>
      <c r="Y1302" s="1">
        <f t="shared" si="284"/>
        <v>35807955</v>
      </c>
      <c r="Z1302">
        <f t="shared" si="285"/>
        <v>51154.221428571429</v>
      </c>
      <c r="AA1302">
        <f t="shared" si="286"/>
        <v>99996</v>
      </c>
      <c r="AB1302">
        <f t="shared" si="287"/>
        <v>5091</v>
      </c>
      <c r="AC1302">
        <f t="shared" si="288"/>
        <v>961341.48999999953</v>
      </c>
      <c r="AD1302">
        <f t="shared" si="289"/>
        <v>1373.344985714285</v>
      </c>
      <c r="AE1302">
        <f t="shared" si="290"/>
        <v>0.35149999999999998</v>
      </c>
      <c r="AF1302">
        <f t="shared" si="291"/>
        <v>334263237.62999958</v>
      </c>
      <c r="AG1302" t="str">
        <f t="shared" si="292"/>
        <v>Active</v>
      </c>
      <c r="AH1302">
        <f t="shared" si="293"/>
        <v>60835.92</v>
      </c>
    </row>
    <row r="1303" spans="1:34" x14ac:dyDescent="0.35">
      <c r="A1303" t="s">
        <v>3497</v>
      </c>
      <c r="B1303" t="s">
        <v>3498</v>
      </c>
      <c r="C1303">
        <v>46</v>
      </c>
      <c r="D1303" t="s">
        <v>38</v>
      </c>
      <c r="E1303" t="s">
        <v>23</v>
      </c>
      <c r="F1303" t="s">
        <v>59</v>
      </c>
      <c r="G1303">
        <v>131039</v>
      </c>
      <c r="H1303">
        <v>746</v>
      </c>
      <c r="I1303">
        <v>27520</v>
      </c>
      <c r="J1303">
        <v>10.18</v>
      </c>
      <c r="K1303">
        <v>12</v>
      </c>
      <c r="L1303" t="s">
        <v>33</v>
      </c>
      <c r="M1303">
        <v>42.4</v>
      </c>
      <c r="N1303">
        <v>32731</v>
      </c>
      <c r="O1303">
        <v>105500</v>
      </c>
      <c r="P1303" t="s">
        <v>3499</v>
      </c>
      <c r="Q1303" t="s">
        <v>27</v>
      </c>
      <c r="R1303" t="s">
        <v>28</v>
      </c>
      <c r="S1303" t="s">
        <v>68</v>
      </c>
      <c r="T1303">
        <v>2526.79</v>
      </c>
      <c r="U1303">
        <f t="shared" si="280"/>
        <v>699</v>
      </c>
      <c r="V1303">
        <f t="shared" si="281"/>
        <v>262</v>
      </c>
      <c r="W1303">
        <f t="shared" si="282"/>
        <v>220</v>
      </c>
      <c r="X1303">
        <f t="shared" si="283"/>
        <v>0.35149999999999998</v>
      </c>
      <c r="Y1303" s="1">
        <f t="shared" si="284"/>
        <v>35749284</v>
      </c>
      <c r="Z1303">
        <f t="shared" si="285"/>
        <v>51143.4678111588</v>
      </c>
      <c r="AA1303">
        <f t="shared" si="286"/>
        <v>99996</v>
      </c>
      <c r="AB1303">
        <f t="shared" si="287"/>
        <v>5091</v>
      </c>
      <c r="AC1303">
        <f t="shared" si="288"/>
        <v>956271.82999999938</v>
      </c>
      <c r="AD1303">
        <f t="shared" si="289"/>
        <v>1368.0569814020021</v>
      </c>
      <c r="AE1303">
        <f t="shared" si="290"/>
        <v>0.35149999999999998</v>
      </c>
      <c r="AF1303">
        <f t="shared" si="291"/>
        <v>333301896.13999957</v>
      </c>
      <c r="AG1303" t="str">
        <f t="shared" si="292"/>
        <v>Over Paid</v>
      </c>
      <c r="AH1303">
        <f t="shared" si="293"/>
        <v>30321.48</v>
      </c>
    </row>
    <row r="1304" spans="1:34" x14ac:dyDescent="0.35">
      <c r="A1304" t="s">
        <v>3500</v>
      </c>
      <c r="B1304" t="s">
        <v>3501</v>
      </c>
      <c r="C1304">
        <v>35</v>
      </c>
      <c r="D1304" t="s">
        <v>38</v>
      </c>
      <c r="E1304" t="s">
        <v>39</v>
      </c>
      <c r="F1304" t="s">
        <v>46</v>
      </c>
      <c r="G1304">
        <v>192155</v>
      </c>
      <c r="H1304">
        <v>336</v>
      </c>
      <c r="I1304">
        <v>82378</v>
      </c>
      <c r="J1304">
        <v>21.09</v>
      </c>
      <c r="K1304">
        <v>12</v>
      </c>
      <c r="L1304" t="s">
        <v>86</v>
      </c>
      <c r="M1304">
        <v>24.67</v>
      </c>
      <c r="N1304">
        <v>14318</v>
      </c>
      <c r="O1304">
        <v>125674</v>
      </c>
      <c r="P1304" t="s">
        <v>1816</v>
      </c>
      <c r="Q1304" t="s">
        <v>42</v>
      </c>
      <c r="R1304" t="s">
        <v>28</v>
      </c>
      <c r="S1304" t="s">
        <v>43</v>
      </c>
      <c r="T1304">
        <v>8312.6299999999992</v>
      </c>
      <c r="U1304">
        <f t="shared" si="280"/>
        <v>698</v>
      </c>
      <c r="V1304">
        <f t="shared" si="281"/>
        <v>262</v>
      </c>
      <c r="W1304">
        <f t="shared" si="282"/>
        <v>220</v>
      </c>
      <c r="X1304">
        <f t="shared" si="283"/>
        <v>0.35149999999999998</v>
      </c>
      <c r="Y1304" s="1">
        <f t="shared" si="284"/>
        <v>35721764</v>
      </c>
      <c r="Z1304">
        <f t="shared" si="285"/>
        <v>51177.312320916906</v>
      </c>
      <c r="AA1304">
        <f t="shared" si="286"/>
        <v>99996</v>
      </c>
      <c r="AB1304">
        <f t="shared" si="287"/>
        <v>5091</v>
      </c>
      <c r="AC1304">
        <f t="shared" si="288"/>
        <v>953745.03999999934</v>
      </c>
      <c r="AD1304">
        <f t="shared" si="289"/>
        <v>1366.3969054441252</v>
      </c>
      <c r="AE1304">
        <f t="shared" si="290"/>
        <v>0.35149999999999998</v>
      </c>
      <c r="AF1304">
        <f t="shared" si="291"/>
        <v>332345624.30999964</v>
      </c>
      <c r="AG1304" t="str">
        <f t="shared" si="292"/>
        <v>Over Paid</v>
      </c>
      <c r="AH1304">
        <f t="shared" si="293"/>
        <v>99751.56</v>
      </c>
    </row>
    <row r="1305" spans="1:34" x14ac:dyDescent="0.35">
      <c r="A1305" t="s">
        <v>3502</v>
      </c>
      <c r="B1305" t="s">
        <v>3503</v>
      </c>
      <c r="C1305">
        <v>65</v>
      </c>
      <c r="D1305" t="s">
        <v>22</v>
      </c>
      <c r="E1305" t="s">
        <v>39</v>
      </c>
      <c r="F1305" t="s">
        <v>59</v>
      </c>
      <c r="G1305">
        <v>59373</v>
      </c>
      <c r="H1305">
        <v>503</v>
      </c>
      <c r="I1305">
        <v>51462</v>
      </c>
      <c r="J1305">
        <v>4.38</v>
      </c>
      <c r="K1305">
        <v>48</v>
      </c>
      <c r="L1305" t="s">
        <v>33</v>
      </c>
      <c r="M1305">
        <v>45.75</v>
      </c>
      <c r="N1305">
        <v>18588</v>
      </c>
      <c r="O1305">
        <v>167944</v>
      </c>
      <c r="P1305" t="s">
        <v>3486</v>
      </c>
      <c r="Q1305" t="s">
        <v>61</v>
      </c>
      <c r="R1305" t="s">
        <v>48</v>
      </c>
      <c r="S1305" t="s">
        <v>43</v>
      </c>
      <c r="T1305">
        <v>1119.08</v>
      </c>
      <c r="U1305">
        <f t="shared" si="280"/>
        <v>697</v>
      </c>
      <c r="V1305">
        <f t="shared" si="281"/>
        <v>261</v>
      </c>
      <c r="W1305">
        <f t="shared" si="282"/>
        <v>220</v>
      </c>
      <c r="X1305">
        <f t="shared" si="283"/>
        <v>0.35149999999999998</v>
      </c>
      <c r="Y1305" s="1">
        <f t="shared" si="284"/>
        <v>35639386</v>
      </c>
      <c r="Z1305">
        <f t="shared" si="285"/>
        <v>51132.548063127688</v>
      </c>
      <c r="AA1305">
        <f t="shared" si="286"/>
        <v>99996</v>
      </c>
      <c r="AB1305">
        <f t="shared" si="287"/>
        <v>5091</v>
      </c>
      <c r="AC1305">
        <f t="shared" si="288"/>
        <v>945432.40999999957</v>
      </c>
      <c r="AD1305">
        <f t="shared" si="289"/>
        <v>1356.4310043041601</v>
      </c>
      <c r="AE1305">
        <f t="shared" si="290"/>
        <v>0.35149999999999998</v>
      </c>
      <c r="AF1305">
        <f t="shared" si="291"/>
        <v>331391879.26999962</v>
      </c>
      <c r="AG1305" t="str">
        <f t="shared" si="292"/>
        <v>Over Paid</v>
      </c>
      <c r="AH1305">
        <f t="shared" si="293"/>
        <v>13428.96</v>
      </c>
    </row>
    <row r="1306" spans="1:34" x14ac:dyDescent="0.35">
      <c r="A1306" t="s">
        <v>3504</v>
      </c>
      <c r="B1306" t="s">
        <v>3505</v>
      </c>
      <c r="C1306">
        <v>23</v>
      </c>
      <c r="D1306" t="s">
        <v>38</v>
      </c>
      <c r="E1306" t="s">
        <v>32</v>
      </c>
      <c r="F1306" t="s">
        <v>24</v>
      </c>
      <c r="G1306">
        <v>118064</v>
      </c>
      <c r="H1306">
        <v>667</v>
      </c>
      <c r="I1306">
        <v>70316</v>
      </c>
      <c r="J1306">
        <v>5.47</v>
      </c>
      <c r="K1306">
        <v>120</v>
      </c>
      <c r="L1306" t="s">
        <v>52</v>
      </c>
      <c r="M1306">
        <v>55.22</v>
      </c>
      <c r="N1306">
        <v>3727</v>
      </c>
      <c r="O1306">
        <v>177609</v>
      </c>
      <c r="P1306" t="s">
        <v>1201</v>
      </c>
      <c r="Q1306" t="s">
        <v>42</v>
      </c>
      <c r="R1306" t="s">
        <v>28</v>
      </c>
      <c r="S1306" t="s">
        <v>68</v>
      </c>
      <c r="T1306">
        <v>618.02</v>
      </c>
      <c r="U1306">
        <f t="shared" si="280"/>
        <v>696</v>
      </c>
      <c r="V1306">
        <f t="shared" si="281"/>
        <v>261</v>
      </c>
      <c r="W1306">
        <f t="shared" si="282"/>
        <v>219</v>
      </c>
      <c r="X1306">
        <f t="shared" si="283"/>
        <v>0.35149999999999998</v>
      </c>
      <c r="Y1306" s="1">
        <f t="shared" si="284"/>
        <v>35587924</v>
      </c>
      <c r="Z1306">
        <f t="shared" si="285"/>
        <v>51132.074712643676</v>
      </c>
      <c r="AA1306">
        <f t="shared" si="286"/>
        <v>99996</v>
      </c>
      <c r="AB1306">
        <f t="shared" si="287"/>
        <v>5091</v>
      </c>
      <c r="AC1306">
        <f t="shared" si="288"/>
        <v>944313.32999999961</v>
      </c>
      <c r="AD1306">
        <f t="shared" si="289"/>
        <v>1356.7720258620684</v>
      </c>
      <c r="AE1306">
        <f t="shared" si="290"/>
        <v>0.35149999999999998</v>
      </c>
      <c r="AF1306">
        <f t="shared" si="291"/>
        <v>330446446.8599996</v>
      </c>
      <c r="AG1306" t="str">
        <f t="shared" si="292"/>
        <v>Active</v>
      </c>
      <c r="AH1306">
        <f t="shared" si="293"/>
        <v>7416.24</v>
      </c>
    </row>
    <row r="1307" spans="1:34" x14ac:dyDescent="0.35">
      <c r="A1307" t="s">
        <v>3506</v>
      </c>
      <c r="B1307" t="s">
        <v>3507</v>
      </c>
      <c r="C1307">
        <v>47</v>
      </c>
      <c r="D1307" t="s">
        <v>38</v>
      </c>
      <c r="E1307" t="s">
        <v>32</v>
      </c>
      <c r="F1307" t="s">
        <v>46</v>
      </c>
      <c r="G1307">
        <v>182556</v>
      </c>
      <c r="H1307">
        <v>309</v>
      </c>
      <c r="I1307">
        <v>61683</v>
      </c>
      <c r="J1307">
        <v>9.09</v>
      </c>
      <c r="K1307">
        <v>36</v>
      </c>
      <c r="L1307" t="s">
        <v>52</v>
      </c>
      <c r="M1307">
        <v>53.6</v>
      </c>
      <c r="N1307">
        <v>4851</v>
      </c>
      <c r="O1307">
        <v>139539</v>
      </c>
      <c r="P1307" t="s">
        <v>526</v>
      </c>
      <c r="Q1307" t="s">
        <v>42</v>
      </c>
      <c r="R1307" t="s">
        <v>28</v>
      </c>
      <c r="S1307" t="s">
        <v>35</v>
      </c>
      <c r="T1307">
        <v>1869.17</v>
      </c>
      <c r="U1307">
        <f t="shared" si="280"/>
        <v>695</v>
      </c>
      <c r="V1307">
        <f t="shared" si="281"/>
        <v>260</v>
      </c>
      <c r="W1307">
        <f t="shared" si="282"/>
        <v>219</v>
      </c>
      <c r="X1307">
        <f t="shared" si="283"/>
        <v>0.35149999999999998</v>
      </c>
      <c r="Y1307" s="1">
        <f t="shared" si="284"/>
        <v>35517608</v>
      </c>
      <c r="Z1307">
        <f t="shared" si="285"/>
        <v>51104.471942446042</v>
      </c>
      <c r="AA1307">
        <f t="shared" si="286"/>
        <v>99996</v>
      </c>
      <c r="AB1307">
        <f t="shared" si="287"/>
        <v>5091</v>
      </c>
      <c r="AC1307">
        <f t="shared" si="288"/>
        <v>943695.30999999959</v>
      </c>
      <c r="AD1307">
        <f t="shared" si="289"/>
        <v>1357.8349784172656</v>
      </c>
      <c r="AE1307">
        <f t="shared" si="290"/>
        <v>0.35149999999999998</v>
      </c>
      <c r="AF1307">
        <f t="shared" si="291"/>
        <v>329502133.52999961</v>
      </c>
      <c r="AG1307" t="str">
        <f t="shared" si="292"/>
        <v>Active</v>
      </c>
      <c r="AH1307">
        <f t="shared" si="293"/>
        <v>22430.04</v>
      </c>
    </row>
    <row r="1308" spans="1:34" x14ac:dyDescent="0.35">
      <c r="A1308" t="s">
        <v>3508</v>
      </c>
      <c r="B1308" t="s">
        <v>3509</v>
      </c>
      <c r="C1308">
        <v>28</v>
      </c>
      <c r="D1308" t="s">
        <v>38</v>
      </c>
      <c r="E1308" t="s">
        <v>39</v>
      </c>
      <c r="F1308" t="s">
        <v>59</v>
      </c>
      <c r="G1308">
        <v>193830</v>
      </c>
      <c r="H1308">
        <v>709</v>
      </c>
      <c r="I1308">
        <v>98680</v>
      </c>
      <c r="J1308">
        <v>21.29</v>
      </c>
      <c r="K1308">
        <v>240</v>
      </c>
      <c r="L1308" t="s">
        <v>52</v>
      </c>
      <c r="M1308">
        <v>33.47</v>
      </c>
      <c r="N1308">
        <v>18777</v>
      </c>
      <c r="O1308">
        <v>240519</v>
      </c>
      <c r="P1308" t="s">
        <v>1380</v>
      </c>
      <c r="Q1308" t="s">
        <v>61</v>
      </c>
      <c r="R1308" t="s">
        <v>48</v>
      </c>
      <c r="S1308" t="s">
        <v>43</v>
      </c>
      <c r="T1308">
        <v>498.7</v>
      </c>
      <c r="U1308">
        <f t="shared" si="280"/>
        <v>694</v>
      </c>
      <c r="V1308">
        <f t="shared" si="281"/>
        <v>259</v>
      </c>
      <c r="W1308">
        <f t="shared" si="282"/>
        <v>219</v>
      </c>
      <c r="X1308">
        <f t="shared" si="283"/>
        <v>0.35149999999999998</v>
      </c>
      <c r="Y1308" s="1">
        <f t="shared" si="284"/>
        <v>35455925</v>
      </c>
      <c r="Z1308">
        <f t="shared" si="285"/>
        <v>51089.229106628241</v>
      </c>
      <c r="AA1308">
        <f t="shared" si="286"/>
        <v>99996</v>
      </c>
      <c r="AB1308">
        <f t="shared" si="287"/>
        <v>5091</v>
      </c>
      <c r="AC1308">
        <f t="shared" si="288"/>
        <v>941826.13999999955</v>
      </c>
      <c r="AD1308">
        <f t="shared" si="289"/>
        <v>1357.0981844380397</v>
      </c>
      <c r="AE1308">
        <f t="shared" si="290"/>
        <v>0.35149999999999998</v>
      </c>
      <c r="AF1308">
        <f t="shared" si="291"/>
        <v>328558438.21999967</v>
      </c>
      <c r="AG1308" t="str">
        <f t="shared" si="292"/>
        <v>Active</v>
      </c>
      <c r="AH1308">
        <f t="shared" si="293"/>
        <v>5984.4</v>
      </c>
    </row>
    <row r="1309" spans="1:34" x14ac:dyDescent="0.35">
      <c r="A1309" t="s">
        <v>3510</v>
      </c>
      <c r="B1309" t="s">
        <v>3511</v>
      </c>
      <c r="C1309">
        <v>47</v>
      </c>
      <c r="D1309" t="s">
        <v>38</v>
      </c>
      <c r="E1309" t="s">
        <v>32</v>
      </c>
      <c r="F1309" t="s">
        <v>24</v>
      </c>
      <c r="G1309">
        <v>184342</v>
      </c>
      <c r="H1309">
        <v>695</v>
      </c>
      <c r="I1309">
        <v>7312</v>
      </c>
      <c r="J1309">
        <v>18.350000000000001</v>
      </c>
      <c r="K1309">
        <v>48</v>
      </c>
      <c r="L1309" t="s">
        <v>33</v>
      </c>
      <c r="M1309">
        <v>43.07</v>
      </c>
      <c r="N1309">
        <v>13008</v>
      </c>
      <c r="O1309">
        <v>175199</v>
      </c>
      <c r="P1309" t="s">
        <v>3212</v>
      </c>
      <c r="Q1309" t="s">
        <v>61</v>
      </c>
      <c r="R1309" t="s">
        <v>48</v>
      </c>
      <c r="S1309" t="s">
        <v>29</v>
      </c>
      <c r="T1309">
        <v>180.29</v>
      </c>
      <c r="U1309">
        <f t="shared" si="280"/>
        <v>693</v>
      </c>
      <c r="V1309">
        <f t="shared" si="281"/>
        <v>259</v>
      </c>
      <c r="W1309">
        <f t="shared" si="282"/>
        <v>218</v>
      </c>
      <c r="X1309">
        <f t="shared" si="283"/>
        <v>0.35149999999999998</v>
      </c>
      <c r="Y1309" s="1">
        <f t="shared" si="284"/>
        <v>35357245</v>
      </c>
      <c r="Z1309">
        <f t="shared" si="285"/>
        <v>51020.555555555555</v>
      </c>
      <c r="AA1309">
        <f t="shared" si="286"/>
        <v>99996</v>
      </c>
      <c r="AB1309">
        <f t="shared" si="287"/>
        <v>5091</v>
      </c>
      <c r="AC1309">
        <f t="shared" si="288"/>
        <v>941327.43999999959</v>
      </c>
      <c r="AD1309">
        <f t="shared" si="289"/>
        <v>1358.3368542568537</v>
      </c>
      <c r="AE1309">
        <f t="shared" si="290"/>
        <v>0.35149999999999998</v>
      </c>
      <c r="AF1309">
        <f t="shared" si="291"/>
        <v>327616612.07999969</v>
      </c>
      <c r="AG1309" t="str">
        <f t="shared" si="292"/>
        <v>Active</v>
      </c>
      <c r="AH1309">
        <f t="shared" si="293"/>
        <v>2163.48</v>
      </c>
    </row>
    <row r="1310" spans="1:34" x14ac:dyDescent="0.35">
      <c r="A1310" t="s">
        <v>3512</v>
      </c>
      <c r="B1310" t="s">
        <v>3513</v>
      </c>
      <c r="C1310">
        <v>31</v>
      </c>
      <c r="D1310" t="s">
        <v>38</v>
      </c>
      <c r="E1310" t="s">
        <v>39</v>
      </c>
      <c r="F1310" t="s">
        <v>24</v>
      </c>
      <c r="G1310">
        <v>125322</v>
      </c>
      <c r="H1310">
        <v>569</v>
      </c>
      <c r="I1310">
        <v>36751</v>
      </c>
      <c r="J1310">
        <v>13.55</v>
      </c>
      <c r="K1310">
        <v>12</v>
      </c>
      <c r="L1310" t="s">
        <v>86</v>
      </c>
      <c r="M1310">
        <v>18.45</v>
      </c>
      <c r="N1310">
        <v>37179</v>
      </c>
      <c r="O1310">
        <v>166181</v>
      </c>
      <c r="P1310" t="s">
        <v>3514</v>
      </c>
      <c r="Q1310" t="s">
        <v>61</v>
      </c>
      <c r="R1310" t="s">
        <v>48</v>
      </c>
      <c r="S1310" t="s">
        <v>43</v>
      </c>
      <c r="T1310">
        <v>3477.56</v>
      </c>
      <c r="U1310">
        <f t="shared" si="280"/>
        <v>692</v>
      </c>
      <c r="V1310">
        <f t="shared" si="281"/>
        <v>259</v>
      </c>
      <c r="W1310">
        <f t="shared" si="282"/>
        <v>217</v>
      </c>
      <c r="X1310">
        <f t="shared" si="283"/>
        <v>0.35149999999999998</v>
      </c>
      <c r="Y1310" s="1">
        <f t="shared" si="284"/>
        <v>35349933</v>
      </c>
      <c r="Z1310">
        <f t="shared" si="285"/>
        <v>51083.718208092483</v>
      </c>
      <c r="AA1310">
        <f t="shared" si="286"/>
        <v>99996</v>
      </c>
      <c r="AB1310">
        <f t="shared" si="287"/>
        <v>5091</v>
      </c>
      <c r="AC1310">
        <f t="shared" si="288"/>
        <v>941147.14999999956</v>
      </c>
      <c r="AD1310">
        <f t="shared" si="289"/>
        <v>1360.0392341040456</v>
      </c>
      <c r="AE1310">
        <f t="shared" si="290"/>
        <v>0.35149999999999998</v>
      </c>
      <c r="AF1310">
        <f t="shared" si="291"/>
        <v>326675284.63999975</v>
      </c>
      <c r="AG1310" t="str">
        <f t="shared" si="292"/>
        <v>Active</v>
      </c>
      <c r="AH1310">
        <f t="shared" si="293"/>
        <v>41730.720000000001</v>
      </c>
    </row>
    <row r="1311" spans="1:34" x14ac:dyDescent="0.35">
      <c r="A1311" t="s">
        <v>3515</v>
      </c>
      <c r="B1311" t="s">
        <v>3516</v>
      </c>
      <c r="C1311">
        <v>37</v>
      </c>
      <c r="D1311" t="s">
        <v>38</v>
      </c>
      <c r="E1311" t="s">
        <v>23</v>
      </c>
      <c r="F1311" t="s">
        <v>24</v>
      </c>
      <c r="G1311">
        <v>167284</v>
      </c>
      <c r="H1311">
        <v>696</v>
      </c>
      <c r="I1311">
        <v>97290</v>
      </c>
      <c r="J1311">
        <v>4.4400000000000004</v>
      </c>
      <c r="K1311">
        <v>48</v>
      </c>
      <c r="L1311" t="s">
        <v>40</v>
      </c>
      <c r="M1311">
        <v>41.64</v>
      </c>
      <c r="N1311">
        <v>53179</v>
      </c>
      <c r="O1311">
        <v>171605</v>
      </c>
      <c r="P1311" t="s">
        <v>1414</v>
      </c>
      <c r="Q1311" t="s">
        <v>61</v>
      </c>
      <c r="R1311" t="s">
        <v>48</v>
      </c>
      <c r="S1311" t="s">
        <v>49</v>
      </c>
      <c r="T1311">
        <v>2116.87</v>
      </c>
      <c r="U1311">
        <f t="shared" si="280"/>
        <v>691</v>
      </c>
      <c r="V1311">
        <f t="shared" si="281"/>
        <v>259</v>
      </c>
      <c r="W1311">
        <f t="shared" si="282"/>
        <v>216</v>
      </c>
      <c r="X1311">
        <f t="shared" si="283"/>
        <v>0.35149999999999998</v>
      </c>
      <c r="Y1311" s="1">
        <f t="shared" si="284"/>
        <v>35313182</v>
      </c>
      <c r="Z1311">
        <f t="shared" si="285"/>
        <v>51104.460202604918</v>
      </c>
      <c r="AA1311">
        <f t="shared" si="286"/>
        <v>99996</v>
      </c>
      <c r="AB1311">
        <f t="shared" si="287"/>
        <v>5091</v>
      </c>
      <c r="AC1311">
        <f t="shared" si="288"/>
        <v>937669.5899999995</v>
      </c>
      <c r="AD1311">
        <f t="shared" si="289"/>
        <v>1356.9748046309689</v>
      </c>
      <c r="AE1311">
        <f t="shared" si="290"/>
        <v>0.35149999999999998</v>
      </c>
      <c r="AF1311">
        <f t="shared" si="291"/>
        <v>325734137.48999971</v>
      </c>
      <c r="AG1311" t="str">
        <f t="shared" si="292"/>
        <v>Over Paid</v>
      </c>
      <c r="AH1311">
        <f t="shared" si="293"/>
        <v>25402.44</v>
      </c>
    </row>
    <row r="1312" spans="1:34" x14ac:dyDescent="0.35">
      <c r="A1312" t="s">
        <v>3517</v>
      </c>
      <c r="B1312" t="s">
        <v>3518</v>
      </c>
      <c r="C1312">
        <v>50</v>
      </c>
      <c r="D1312" t="s">
        <v>38</v>
      </c>
      <c r="E1312" t="s">
        <v>39</v>
      </c>
      <c r="F1312" t="s">
        <v>24</v>
      </c>
      <c r="G1312">
        <v>24271</v>
      </c>
      <c r="H1312">
        <v>618</v>
      </c>
      <c r="I1312">
        <v>64255</v>
      </c>
      <c r="J1312">
        <v>16.28</v>
      </c>
      <c r="K1312">
        <v>12</v>
      </c>
      <c r="L1312" t="s">
        <v>25</v>
      </c>
      <c r="M1312">
        <v>18.82</v>
      </c>
      <c r="N1312">
        <v>54025</v>
      </c>
      <c r="O1312">
        <v>89666</v>
      </c>
      <c r="P1312" t="s">
        <v>1283</v>
      </c>
      <c r="Q1312" t="s">
        <v>61</v>
      </c>
      <c r="R1312" t="s">
        <v>48</v>
      </c>
      <c r="S1312" t="s">
        <v>35</v>
      </c>
      <c r="T1312">
        <v>6226.31</v>
      </c>
      <c r="U1312">
        <f t="shared" si="280"/>
        <v>690</v>
      </c>
      <c r="V1312">
        <f t="shared" si="281"/>
        <v>259</v>
      </c>
      <c r="W1312">
        <f t="shared" si="282"/>
        <v>215</v>
      </c>
      <c r="X1312">
        <f t="shared" si="283"/>
        <v>0.35149999999999998</v>
      </c>
      <c r="Y1312" s="1">
        <f t="shared" si="284"/>
        <v>35215892</v>
      </c>
      <c r="Z1312">
        <f t="shared" si="285"/>
        <v>51037.524637681163</v>
      </c>
      <c r="AA1312">
        <f t="shared" si="286"/>
        <v>99996</v>
      </c>
      <c r="AB1312">
        <f t="shared" si="287"/>
        <v>5091</v>
      </c>
      <c r="AC1312">
        <f t="shared" si="288"/>
        <v>935552.71999999962</v>
      </c>
      <c r="AD1312">
        <f t="shared" si="289"/>
        <v>1355.8735072463762</v>
      </c>
      <c r="AE1312">
        <f t="shared" si="290"/>
        <v>0.35149999999999998</v>
      </c>
      <c r="AF1312">
        <f t="shared" si="291"/>
        <v>324796467.89999974</v>
      </c>
      <c r="AG1312" t="str">
        <f t="shared" si="292"/>
        <v>Active</v>
      </c>
      <c r="AH1312">
        <f t="shared" si="293"/>
        <v>74715.72</v>
      </c>
    </row>
    <row r="1313" spans="1:34" x14ac:dyDescent="0.35">
      <c r="A1313" t="s">
        <v>3519</v>
      </c>
      <c r="B1313" t="s">
        <v>3520</v>
      </c>
      <c r="C1313">
        <v>58</v>
      </c>
      <c r="D1313" t="s">
        <v>22</v>
      </c>
      <c r="E1313" t="s">
        <v>39</v>
      </c>
      <c r="F1313" t="s">
        <v>24</v>
      </c>
      <c r="G1313">
        <v>47030</v>
      </c>
      <c r="H1313">
        <v>429</v>
      </c>
      <c r="I1313">
        <v>85248</v>
      </c>
      <c r="J1313">
        <v>22.04</v>
      </c>
      <c r="K1313">
        <v>180</v>
      </c>
      <c r="L1313" t="s">
        <v>52</v>
      </c>
      <c r="M1313">
        <v>24.69</v>
      </c>
      <c r="N1313">
        <v>59297</v>
      </c>
      <c r="O1313">
        <v>236423</v>
      </c>
      <c r="P1313" t="s">
        <v>2713</v>
      </c>
      <c r="Q1313" t="s">
        <v>61</v>
      </c>
      <c r="R1313" t="s">
        <v>28</v>
      </c>
      <c r="S1313" t="s">
        <v>49</v>
      </c>
      <c r="T1313">
        <v>577.98</v>
      </c>
      <c r="U1313">
        <f t="shared" si="280"/>
        <v>689</v>
      </c>
      <c r="V1313">
        <f t="shared" si="281"/>
        <v>259</v>
      </c>
      <c r="W1313">
        <f t="shared" si="282"/>
        <v>214</v>
      </c>
      <c r="X1313">
        <f t="shared" si="283"/>
        <v>0.35149999999999998</v>
      </c>
      <c r="Y1313" s="1">
        <f t="shared" si="284"/>
        <v>35151637</v>
      </c>
      <c r="Z1313">
        <f t="shared" si="285"/>
        <v>51018.341074020318</v>
      </c>
      <c r="AA1313">
        <f t="shared" si="286"/>
        <v>99996</v>
      </c>
      <c r="AB1313">
        <f t="shared" si="287"/>
        <v>5091</v>
      </c>
      <c r="AC1313">
        <f t="shared" si="288"/>
        <v>929326.40999999957</v>
      </c>
      <c r="AD1313">
        <f t="shared" si="289"/>
        <v>1348.8046589259791</v>
      </c>
      <c r="AE1313">
        <f t="shared" si="290"/>
        <v>0.35149999999999998</v>
      </c>
      <c r="AF1313">
        <f t="shared" si="291"/>
        <v>323860915.17999977</v>
      </c>
      <c r="AG1313" t="str">
        <f t="shared" si="292"/>
        <v>Over Paid</v>
      </c>
      <c r="AH1313">
        <f t="shared" si="293"/>
        <v>6935.76</v>
      </c>
    </row>
    <row r="1314" spans="1:34" x14ac:dyDescent="0.35">
      <c r="A1314" t="s">
        <v>3521</v>
      </c>
      <c r="B1314" t="s">
        <v>3522</v>
      </c>
      <c r="C1314">
        <v>29</v>
      </c>
      <c r="D1314" t="s">
        <v>38</v>
      </c>
      <c r="E1314" t="s">
        <v>39</v>
      </c>
      <c r="F1314" t="s">
        <v>59</v>
      </c>
      <c r="G1314">
        <v>25697</v>
      </c>
      <c r="H1314">
        <v>428</v>
      </c>
      <c r="I1314">
        <v>84061</v>
      </c>
      <c r="J1314">
        <v>3.81</v>
      </c>
      <c r="K1314">
        <v>240</v>
      </c>
      <c r="L1314" t="s">
        <v>25</v>
      </c>
      <c r="M1314">
        <v>49.14</v>
      </c>
      <c r="N1314">
        <v>14175</v>
      </c>
      <c r="O1314">
        <v>140679</v>
      </c>
      <c r="P1314" t="s">
        <v>1878</v>
      </c>
      <c r="Q1314" t="s">
        <v>42</v>
      </c>
      <c r="R1314" t="s">
        <v>48</v>
      </c>
      <c r="S1314" t="s">
        <v>68</v>
      </c>
      <c r="T1314">
        <v>363.6</v>
      </c>
      <c r="U1314">
        <f t="shared" si="280"/>
        <v>688</v>
      </c>
      <c r="V1314">
        <f t="shared" si="281"/>
        <v>259</v>
      </c>
      <c r="W1314">
        <f t="shared" si="282"/>
        <v>213</v>
      </c>
      <c r="X1314">
        <f t="shared" si="283"/>
        <v>0.35149999999999998</v>
      </c>
      <c r="Y1314" s="1">
        <f t="shared" si="284"/>
        <v>35066389</v>
      </c>
      <c r="Z1314">
        <f t="shared" si="285"/>
        <v>50968.588662790695</v>
      </c>
      <c r="AA1314">
        <f t="shared" si="286"/>
        <v>99996</v>
      </c>
      <c r="AB1314">
        <f t="shared" si="287"/>
        <v>5091</v>
      </c>
      <c r="AC1314">
        <f t="shared" si="288"/>
        <v>928748.42999999959</v>
      </c>
      <c r="AD1314">
        <f t="shared" si="289"/>
        <v>1349.9250436046505</v>
      </c>
      <c r="AE1314">
        <f t="shared" si="290"/>
        <v>0.35149999999999998</v>
      </c>
      <c r="AF1314">
        <f t="shared" si="291"/>
        <v>322931588.76999974</v>
      </c>
      <c r="AG1314" t="str">
        <f t="shared" si="292"/>
        <v>Active</v>
      </c>
      <c r="AH1314">
        <f t="shared" si="293"/>
        <v>4363.2000000000007</v>
      </c>
    </row>
    <row r="1315" spans="1:34" x14ac:dyDescent="0.35">
      <c r="A1315" t="s">
        <v>3523</v>
      </c>
      <c r="B1315" t="s">
        <v>3524</v>
      </c>
      <c r="C1315">
        <v>40</v>
      </c>
      <c r="D1315" t="s">
        <v>22</v>
      </c>
      <c r="E1315" t="s">
        <v>32</v>
      </c>
      <c r="F1315" t="s">
        <v>24</v>
      </c>
      <c r="G1315">
        <v>112257</v>
      </c>
      <c r="H1315">
        <v>447</v>
      </c>
      <c r="I1315">
        <v>63628</v>
      </c>
      <c r="J1315">
        <v>4.3</v>
      </c>
      <c r="K1315">
        <v>60</v>
      </c>
      <c r="L1315" t="s">
        <v>33</v>
      </c>
      <c r="M1315">
        <v>10.64</v>
      </c>
      <c r="N1315">
        <v>34577</v>
      </c>
      <c r="O1315">
        <v>26402</v>
      </c>
      <c r="P1315" t="s">
        <v>884</v>
      </c>
      <c r="Q1315" t="s">
        <v>42</v>
      </c>
      <c r="R1315" t="s">
        <v>28</v>
      </c>
      <c r="S1315" t="s">
        <v>29</v>
      </c>
      <c r="T1315">
        <v>1106.07</v>
      </c>
      <c r="U1315">
        <f t="shared" si="280"/>
        <v>687</v>
      </c>
      <c r="V1315">
        <f t="shared" si="281"/>
        <v>258</v>
      </c>
      <c r="W1315">
        <f t="shared" si="282"/>
        <v>213</v>
      </c>
      <c r="X1315">
        <f t="shared" si="283"/>
        <v>0.35149999999999998</v>
      </c>
      <c r="Y1315" s="1">
        <f t="shared" si="284"/>
        <v>34982328</v>
      </c>
      <c r="Z1315">
        <f t="shared" si="285"/>
        <v>50920.419213973801</v>
      </c>
      <c r="AA1315">
        <f t="shared" si="286"/>
        <v>99996</v>
      </c>
      <c r="AB1315">
        <f t="shared" si="287"/>
        <v>5091</v>
      </c>
      <c r="AC1315">
        <f t="shared" si="288"/>
        <v>928384.82999999949</v>
      </c>
      <c r="AD1315">
        <f t="shared" si="289"/>
        <v>1351.3607423580779</v>
      </c>
      <c r="AE1315">
        <f t="shared" si="290"/>
        <v>0.35149999999999998</v>
      </c>
      <c r="AF1315">
        <f t="shared" si="291"/>
        <v>322002840.33999974</v>
      </c>
      <c r="AG1315" t="str">
        <f t="shared" si="292"/>
        <v>Active</v>
      </c>
      <c r="AH1315">
        <f t="shared" si="293"/>
        <v>13272.84</v>
      </c>
    </row>
    <row r="1316" spans="1:34" x14ac:dyDescent="0.35">
      <c r="A1316" t="s">
        <v>3525</v>
      </c>
      <c r="B1316" t="s">
        <v>3526</v>
      </c>
      <c r="C1316">
        <v>27</v>
      </c>
      <c r="D1316" t="s">
        <v>22</v>
      </c>
      <c r="E1316" t="s">
        <v>39</v>
      </c>
      <c r="F1316" t="s">
        <v>24</v>
      </c>
      <c r="G1316">
        <v>47261</v>
      </c>
      <c r="H1316">
        <v>562</v>
      </c>
      <c r="I1316">
        <v>74741</v>
      </c>
      <c r="J1316">
        <v>8.09</v>
      </c>
      <c r="K1316">
        <v>48</v>
      </c>
      <c r="L1316" t="s">
        <v>40</v>
      </c>
      <c r="M1316">
        <v>46.25</v>
      </c>
      <c r="N1316">
        <v>22612</v>
      </c>
      <c r="O1316">
        <v>70935</v>
      </c>
      <c r="P1316" t="s">
        <v>2136</v>
      </c>
      <c r="Q1316" t="s">
        <v>27</v>
      </c>
      <c r="R1316" t="s">
        <v>28</v>
      </c>
      <c r="S1316" t="s">
        <v>49</v>
      </c>
      <c r="T1316">
        <v>1683.07</v>
      </c>
      <c r="U1316">
        <f t="shared" si="280"/>
        <v>686</v>
      </c>
      <c r="V1316">
        <f t="shared" si="281"/>
        <v>257</v>
      </c>
      <c r="W1316">
        <f t="shared" si="282"/>
        <v>213</v>
      </c>
      <c r="X1316">
        <f t="shared" si="283"/>
        <v>0.35149999999999998</v>
      </c>
      <c r="Y1316" s="1">
        <f t="shared" si="284"/>
        <v>34918700</v>
      </c>
      <c r="Z1316">
        <f t="shared" si="285"/>
        <v>50901.895043731776</v>
      </c>
      <c r="AA1316">
        <f t="shared" si="286"/>
        <v>99996</v>
      </c>
      <c r="AB1316">
        <f t="shared" si="287"/>
        <v>5091</v>
      </c>
      <c r="AC1316">
        <f t="shared" si="288"/>
        <v>927278.75999999954</v>
      </c>
      <c r="AD1316">
        <f t="shared" si="289"/>
        <v>1351.7183090379001</v>
      </c>
      <c r="AE1316">
        <f t="shared" si="290"/>
        <v>0.35149999999999998</v>
      </c>
      <c r="AF1316">
        <f t="shared" si="291"/>
        <v>321074455.50999969</v>
      </c>
      <c r="AG1316" t="str">
        <f t="shared" si="292"/>
        <v>Active</v>
      </c>
      <c r="AH1316">
        <f t="shared" si="293"/>
        <v>20196.84</v>
      </c>
    </row>
    <row r="1317" spans="1:34" x14ac:dyDescent="0.35">
      <c r="A1317" t="s">
        <v>3527</v>
      </c>
      <c r="B1317" t="s">
        <v>3528</v>
      </c>
      <c r="C1317">
        <v>45</v>
      </c>
      <c r="D1317" t="s">
        <v>38</v>
      </c>
      <c r="E1317" t="s">
        <v>23</v>
      </c>
      <c r="F1317" t="s">
        <v>46</v>
      </c>
      <c r="G1317">
        <v>102613</v>
      </c>
      <c r="H1317">
        <v>821</v>
      </c>
      <c r="I1317">
        <v>93201</v>
      </c>
      <c r="J1317">
        <v>10.220000000000001</v>
      </c>
      <c r="K1317">
        <v>180</v>
      </c>
      <c r="L1317" t="s">
        <v>86</v>
      </c>
      <c r="M1317">
        <v>23.11</v>
      </c>
      <c r="N1317">
        <v>31684</v>
      </c>
      <c r="O1317">
        <v>64690</v>
      </c>
      <c r="P1317" t="s">
        <v>3529</v>
      </c>
      <c r="Q1317" t="s">
        <v>27</v>
      </c>
      <c r="R1317" t="s">
        <v>28</v>
      </c>
      <c r="S1317" t="s">
        <v>29</v>
      </c>
      <c r="T1317">
        <v>570.70000000000005</v>
      </c>
      <c r="U1317">
        <f t="shared" si="280"/>
        <v>685</v>
      </c>
      <c r="V1317">
        <f t="shared" si="281"/>
        <v>257</v>
      </c>
      <c r="W1317">
        <f t="shared" si="282"/>
        <v>213</v>
      </c>
      <c r="X1317">
        <f t="shared" si="283"/>
        <v>0.35149999999999998</v>
      </c>
      <c r="Y1317" s="1">
        <f t="shared" si="284"/>
        <v>34843959</v>
      </c>
      <c r="Z1317">
        <f t="shared" si="285"/>
        <v>50867.093430656932</v>
      </c>
      <c r="AA1317">
        <f t="shared" si="286"/>
        <v>99996</v>
      </c>
      <c r="AB1317">
        <f t="shared" si="287"/>
        <v>5091</v>
      </c>
      <c r="AC1317">
        <f t="shared" si="288"/>
        <v>925595.68999999948</v>
      </c>
      <c r="AD1317">
        <f t="shared" si="289"/>
        <v>1351.234583941605</v>
      </c>
      <c r="AE1317">
        <f t="shared" si="290"/>
        <v>0.35149999999999998</v>
      </c>
      <c r="AF1317">
        <f t="shared" si="291"/>
        <v>320147176.7499997</v>
      </c>
      <c r="AG1317" t="str">
        <f t="shared" si="292"/>
        <v>Active</v>
      </c>
      <c r="AH1317">
        <f t="shared" si="293"/>
        <v>6848.4000000000005</v>
      </c>
    </row>
    <row r="1318" spans="1:34" x14ac:dyDescent="0.35">
      <c r="A1318" t="s">
        <v>3530</v>
      </c>
      <c r="B1318" t="s">
        <v>3531</v>
      </c>
      <c r="C1318">
        <v>32</v>
      </c>
      <c r="D1318" t="s">
        <v>22</v>
      </c>
      <c r="E1318" t="s">
        <v>32</v>
      </c>
      <c r="F1318" t="s">
        <v>46</v>
      </c>
      <c r="G1318">
        <v>198896</v>
      </c>
      <c r="H1318">
        <v>626</v>
      </c>
      <c r="I1318">
        <v>15237</v>
      </c>
      <c r="J1318">
        <v>6.68</v>
      </c>
      <c r="K1318">
        <v>180</v>
      </c>
      <c r="L1318" t="s">
        <v>25</v>
      </c>
      <c r="M1318">
        <v>48.7</v>
      </c>
      <c r="N1318">
        <v>57733</v>
      </c>
      <c r="O1318">
        <v>243570</v>
      </c>
      <c r="P1318" t="s">
        <v>3391</v>
      </c>
      <c r="Q1318" t="s">
        <v>61</v>
      </c>
      <c r="R1318" t="s">
        <v>48</v>
      </c>
      <c r="S1318" t="s">
        <v>29</v>
      </c>
      <c r="T1318">
        <v>90.3</v>
      </c>
      <c r="U1318">
        <f t="shared" si="280"/>
        <v>684</v>
      </c>
      <c r="V1318">
        <f t="shared" si="281"/>
        <v>257</v>
      </c>
      <c r="W1318">
        <f t="shared" si="282"/>
        <v>213</v>
      </c>
      <c r="X1318">
        <f t="shared" si="283"/>
        <v>0.35149999999999998</v>
      </c>
      <c r="Y1318" s="1">
        <f t="shared" si="284"/>
        <v>34750758</v>
      </c>
      <c r="Z1318">
        <f t="shared" si="285"/>
        <v>50805.201754385962</v>
      </c>
      <c r="AA1318">
        <f t="shared" si="286"/>
        <v>99996</v>
      </c>
      <c r="AB1318">
        <f t="shared" si="287"/>
        <v>5091</v>
      </c>
      <c r="AC1318">
        <f t="shared" si="288"/>
        <v>925024.98999999953</v>
      </c>
      <c r="AD1318">
        <f t="shared" si="289"/>
        <v>1352.3757163742682</v>
      </c>
      <c r="AE1318">
        <f t="shared" si="290"/>
        <v>0.35149999999999998</v>
      </c>
      <c r="AF1318">
        <f t="shared" si="291"/>
        <v>319221581.0599997</v>
      </c>
      <c r="AG1318" t="str">
        <f t="shared" si="292"/>
        <v>Active</v>
      </c>
      <c r="AH1318">
        <f t="shared" si="293"/>
        <v>1083.5999999999999</v>
      </c>
    </row>
    <row r="1319" spans="1:34" x14ac:dyDescent="0.35">
      <c r="A1319" t="s">
        <v>3532</v>
      </c>
      <c r="B1319" t="s">
        <v>3533</v>
      </c>
      <c r="C1319">
        <v>46</v>
      </c>
      <c r="D1319" t="s">
        <v>38</v>
      </c>
      <c r="E1319" t="s">
        <v>39</v>
      </c>
      <c r="F1319" t="s">
        <v>46</v>
      </c>
      <c r="G1319">
        <v>22243</v>
      </c>
      <c r="H1319">
        <v>687</v>
      </c>
      <c r="I1319">
        <v>66229</v>
      </c>
      <c r="J1319">
        <v>16.190000000000001</v>
      </c>
      <c r="K1319">
        <v>60</v>
      </c>
      <c r="L1319" t="s">
        <v>40</v>
      </c>
      <c r="M1319">
        <v>17.27</v>
      </c>
      <c r="N1319">
        <v>58106</v>
      </c>
      <c r="O1319">
        <v>67633</v>
      </c>
      <c r="P1319" t="s">
        <v>3534</v>
      </c>
      <c r="Q1319" t="s">
        <v>27</v>
      </c>
      <c r="R1319" t="s">
        <v>48</v>
      </c>
      <c r="S1319" t="s">
        <v>29</v>
      </c>
      <c r="T1319">
        <v>1282.52</v>
      </c>
      <c r="U1319">
        <f t="shared" si="280"/>
        <v>683</v>
      </c>
      <c r="V1319">
        <f t="shared" si="281"/>
        <v>257</v>
      </c>
      <c r="W1319">
        <f t="shared" si="282"/>
        <v>212</v>
      </c>
      <c r="X1319">
        <f t="shared" si="283"/>
        <v>0.35149999999999998</v>
      </c>
      <c r="Y1319" s="1">
        <f t="shared" si="284"/>
        <v>34735521</v>
      </c>
      <c r="Z1319">
        <f t="shared" si="285"/>
        <v>50857.278184480238</v>
      </c>
      <c r="AA1319">
        <f t="shared" si="286"/>
        <v>99996</v>
      </c>
      <c r="AB1319">
        <f t="shared" si="287"/>
        <v>5091</v>
      </c>
      <c r="AC1319">
        <f t="shared" si="288"/>
        <v>924934.68999999948</v>
      </c>
      <c r="AD1319">
        <f t="shared" si="289"/>
        <v>1354.2235578330885</v>
      </c>
      <c r="AE1319">
        <f t="shared" si="290"/>
        <v>0.35149999999999998</v>
      </c>
      <c r="AF1319">
        <f t="shared" si="291"/>
        <v>318296556.06999969</v>
      </c>
      <c r="AG1319" t="str">
        <f t="shared" si="292"/>
        <v>Active</v>
      </c>
      <c r="AH1319">
        <f t="shared" si="293"/>
        <v>15390.24</v>
      </c>
    </row>
    <row r="1320" spans="1:34" x14ac:dyDescent="0.35">
      <c r="A1320" t="s">
        <v>3535</v>
      </c>
      <c r="B1320" t="s">
        <v>3536</v>
      </c>
      <c r="C1320">
        <v>40</v>
      </c>
      <c r="D1320" t="s">
        <v>38</v>
      </c>
      <c r="E1320" t="s">
        <v>32</v>
      </c>
      <c r="F1320" t="s">
        <v>24</v>
      </c>
      <c r="G1320">
        <v>141337</v>
      </c>
      <c r="H1320">
        <v>474</v>
      </c>
      <c r="I1320">
        <v>19741</v>
      </c>
      <c r="J1320">
        <v>21.09</v>
      </c>
      <c r="K1320">
        <v>12</v>
      </c>
      <c r="L1320" t="s">
        <v>33</v>
      </c>
      <c r="M1320">
        <v>21.79</v>
      </c>
      <c r="N1320">
        <v>58145</v>
      </c>
      <c r="O1320">
        <v>20752</v>
      </c>
      <c r="P1320" t="s">
        <v>3537</v>
      </c>
      <c r="Q1320" t="s">
        <v>61</v>
      </c>
      <c r="R1320" t="s">
        <v>48</v>
      </c>
      <c r="S1320" t="s">
        <v>35</v>
      </c>
      <c r="T1320">
        <v>1992.03</v>
      </c>
      <c r="U1320">
        <f t="shared" si="280"/>
        <v>682</v>
      </c>
      <c r="V1320">
        <f t="shared" si="281"/>
        <v>257</v>
      </c>
      <c r="W1320">
        <f t="shared" si="282"/>
        <v>212</v>
      </c>
      <c r="X1320">
        <f t="shared" si="283"/>
        <v>0.35149999999999998</v>
      </c>
      <c r="Y1320" s="1">
        <f t="shared" si="284"/>
        <v>34669292</v>
      </c>
      <c r="Z1320">
        <f t="shared" si="285"/>
        <v>50834.739002932554</v>
      </c>
      <c r="AA1320">
        <f t="shared" si="286"/>
        <v>99996</v>
      </c>
      <c r="AB1320">
        <f t="shared" si="287"/>
        <v>5091</v>
      </c>
      <c r="AC1320">
        <f t="shared" si="288"/>
        <v>923652.16999999946</v>
      </c>
      <c r="AD1320">
        <f t="shared" si="289"/>
        <v>1354.3286950146619</v>
      </c>
      <c r="AE1320">
        <f t="shared" si="290"/>
        <v>0.35149999999999998</v>
      </c>
      <c r="AF1320">
        <f t="shared" si="291"/>
        <v>317371621.37999976</v>
      </c>
      <c r="AG1320" t="str">
        <f t="shared" si="292"/>
        <v>Active</v>
      </c>
      <c r="AH1320">
        <f t="shared" si="293"/>
        <v>23904.36</v>
      </c>
    </row>
    <row r="1321" spans="1:34" x14ac:dyDescent="0.35">
      <c r="A1321" t="s">
        <v>3538</v>
      </c>
      <c r="B1321" t="s">
        <v>3539</v>
      </c>
      <c r="C1321">
        <v>63</v>
      </c>
      <c r="D1321" t="s">
        <v>22</v>
      </c>
      <c r="E1321" t="s">
        <v>32</v>
      </c>
      <c r="F1321" t="s">
        <v>59</v>
      </c>
      <c r="G1321">
        <v>133414</v>
      </c>
      <c r="H1321">
        <v>573</v>
      </c>
      <c r="I1321">
        <v>33608</v>
      </c>
      <c r="J1321">
        <v>21.43</v>
      </c>
      <c r="K1321">
        <v>240</v>
      </c>
      <c r="L1321" t="s">
        <v>33</v>
      </c>
      <c r="M1321">
        <v>33.340000000000003</v>
      </c>
      <c r="N1321">
        <v>71216</v>
      </c>
      <c r="O1321">
        <v>19431</v>
      </c>
      <c r="P1321" t="s">
        <v>3540</v>
      </c>
      <c r="Q1321" t="s">
        <v>42</v>
      </c>
      <c r="R1321" t="s">
        <v>28</v>
      </c>
      <c r="S1321" t="s">
        <v>43</v>
      </c>
      <c r="T1321">
        <v>170.04</v>
      </c>
      <c r="U1321">
        <f t="shared" si="280"/>
        <v>681</v>
      </c>
      <c r="V1321">
        <f t="shared" si="281"/>
        <v>257</v>
      </c>
      <c r="W1321">
        <f t="shared" si="282"/>
        <v>211</v>
      </c>
      <c r="X1321">
        <f t="shared" si="283"/>
        <v>0.35149999999999998</v>
      </c>
      <c r="Y1321" s="1">
        <f t="shared" si="284"/>
        <v>34649551</v>
      </c>
      <c r="Z1321">
        <f t="shared" si="285"/>
        <v>50880.397944199707</v>
      </c>
      <c r="AA1321">
        <f t="shared" si="286"/>
        <v>99996</v>
      </c>
      <c r="AB1321">
        <f t="shared" si="287"/>
        <v>5091</v>
      </c>
      <c r="AC1321">
        <f t="shared" si="288"/>
        <v>921660.13999999955</v>
      </c>
      <c r="AD1321">
        <f t="shared" si="289"/>
        <v>1353.3922760646103</v>
      </c>
      <c r="AE1321">
        <f t="shared" si="290"/>
        <v>0.35149999999999998</v>
      </c>
      <c r="AF1321">
        <f t="shared" si="291"/>
        <v>316447969.2099998</v>
      </c>
      <c r="AG1321" t="str">
        <f t="shared" si="292"/>
        <v>Over Paid</v>
      </c>
      <c r="AH1321">
        <f t="shared" si="293"/>
        <v>2040.48</v>
      </c>
    </row>
    <row r="1322" spans="1:34" x14ac:dyDescent="0.35">
      <c r="A1322" t="s">
        <v>3541</v>
      </c>
      <c r="B1322" t="s">
        <v>3542</v>
      </c>
      <c r="C1322">
        <v>64</v>
      </c>
      <c r="D1322" t="s">
        <v>38</v>
      </c>
      <c r="E1322" t="s">
        <v>32</v>
      </c>
      <c r="F1322" t="s">
        <v>59</v>
      </c>
      <c r="G1322">
        <v>141214</v>
      </c>
      <c r="H1322">
        <v>431</v>
      </c>
      <c r="I1322">
        <v>16824</v>
      </c>
      <c r="J1322">
        <v>11.46</v>
      </c>
      <c r="K1322">
        <v>180</v>
      </c>
      <c r="L1322" t="s">
        <v>52</v>
      </c>
      <c r="M1322">
        <v>51.83</v>
      </c>
      <c r="N1322">
        <v>65600</v>
      </c>
      <c r="O1322">
        <v>83383</v>
      </c>
      <c r="P1322" t="s">
        <v>1046</v>
      </c>
      <c r="Q1322" t="s">
        <v>42</v>
      </c>
      <c r="R1322" t="s">
        <v>28</v>
      </c>
      <c r="S1322" t="s">
        <v>35</v>
      </c>
      <c r="T1322">
        <v>104.18</v>
      </c>
      <c r="U1322">
        <f t="shared" si="280"/>
        <v>680</v>
      </c>
      <c r="V1322">
        <f t="shared" si="281"/>
        <v>256</v>
      </c>
      <c r="W1322">
        <f t="shared" si="282"/>
        <v>211</v>
      </c>
      <c r="X1322">
        <f t="shared" si="283"/>
        <v>0.35149999999999998</v>
      </c>
      <c r="Y1322" s="1">
        <f t="shared" si="284"/>
        <v>34615943</v>
      </c>
      <c r="Z1322">
        <f t="shared" si="285"/>
        <v>50905.798529411768</v>
      </c>
      <c r="AA1322">
        <f t="shared" si="286"/>
        <v>99996</v>
      </c>
      <c r="AB1322">
        <f t="shared" si="287"/>
        <v>5091</v>
      </c>
      <c r="AC1322">
        <f t="shared" si="288"/>
        <v>921490.09999999951</v>
      </c>
      <c r="AD1322">
        <f t="shared" si="289"/>
        <v>1355.1324999999993</v>
      </c>
      <c r="AE1322">
        <f t="shared" si="290"/>
        <v>0.35149999999999998</v>
      </c>
      <c r="AF1322">
        <f t="shared" si="291"/>
        <v>315526309.06999987</v>
      </c>
      <c r="AG1322" t="str">
        <f t="shared" si="292"/>
        <v>Active</v>
      </c>
      <c r="AH1322">
        <f t="shared" si="293"/>
        <v>1250.1600000000001</v>
      </c>
    </row>
    <row r="1323" spans="1:34" x14ac:dyDescent="0.35">
      <c r="A1323" t="s">
        <v>3543</v>
      </c>
      <c r="B1323" t="s">
        <v>3544</v>
      </c>
      <c r="C1323">
        <v>64</v>
      </c>
      <c r="D1323" t="s">
        <v>22</v>
      </c>
      <c r="E1323" t="s">
        <v>32</v>
      </c>
      <c r="F1323" t="s">
        <v>46</v>
      </c>
      <c r="G1323">
        <v>141435</v>
      </c>
      <c r="H1323">
        <v>449</v>
      </c>
      <c r="I1323">
        <v>57021</v>
      </c>
      <c r="J1323">
        <v>3.87</v>
      </c>
      <c r="K1323">
        <v>360</v>
      </c>
      <c r="L1323" t="s">
        <v>25</v>
      </c>
      <c r="M1323">
        <v>48.36</v>
      </c>
      <c r="N1323">
        <v>78903</v>
      </c>
      <c r="O1323">
        <v>6874</v>
      </c>
      <c r="P1323" t="s">
        <v>2045</v>
      </c>
      <c r="Q1323" t="s">
        <v>27</v>
      </c>
      <c r="R1323" t="s">
        <v>28</v>
      </c>
      <c r="S1323" t="s">
        <v>49</v>
      </c>
      <c r="T1323">
        <v>164.52</v>
      </c>
      <c r="U1323">
        <f t="shared" si="280"/>
        <v>679</v>
      </c>
      <c r="V1323">
        <f t="shared" si="281"/>
        <v>255</v>
      </c>
      <c r="W1323">
        <f t="shared" si="282"/>
        <v>211</v>
      </c>
      <c r="X1323">
        <f t="shared" si="283"/>
        <v>0.35149999999999998</v>
      </c>
      <c r="Y1323" s="1">
        <f t="shared" si="284"/>
        <v>34599119</v>
      </c>
      <c r="Z1323">
        <f t="shared" si="285"/>
        <v>50955.992636229748</v>
      </c>
      <c r="AA1323">
        <f t="shared" si="286"/>
        <v>99996</v>
      </c>
      <c r="AB1323">
        <f t="shared" si="287"/>
        <v>5091</v>
      </c>
      <c r="AC1323">
        <f t="shared" si="288"/>
        <v>921385.91999999946</v>
      </c>
      <c r="AD1323">
        <f t="shared" si="289"/>
        <v>1356.974845360824</v>
      </c>
      <c r="AE1323">
        <f t="shared" si="290"/>
        <v>0.35149999999999998</v>
      </c>
      <c r="AF1323">
        <f t="shared" si="291"/>
        <v>314604818.96999979</v>
      </c>
      <c r="AG1323" t="str">
        <f t="shared" si="292"/>
        <v>Active</v>
      </c>
      <c r="AH1323">
        <f t="shared" si="293"/>
        <v>1974.2400000000002</v>
      </c>
    </row>
    <row r="1324" spans="1:34" x14ac:dyDescent="0.35">
      <c r="A1324" t="s">
        <v>3545</v>
      </c>
      <c r="B1324" t="s">
        <v>3546</v>
      </c>
      <c r="C1324">
        <v>43</v>
      </c>
      <c r="D1324" t="s">
        <v>38</v>
      </c>
      <c r="E1324" t="s">
        <v>39</v>
      </c>
      <c r="F1324" t="s">
        <v>59</v>
      </c>
      <c r="G1324">
        <v>126734</v>
      </c>
      <c r="H1324">
        <v>808</v>
      </c>
      <c r="I1324">
        <v>34631</v>
      </c>
      <c r="J1324">
        <v>19.739999999999998</v>
      </c>
      <c r="K1324">
        <v>48</v>
      </c>
      <c r="L1324" t="s">
        <v>25</v>
      </c>
      <c r="M1324">
        <v>22.2</v>
      </c>
      <c r="N1324">
        <v>49408</v>
      </c>
      <c r="O1324">
        <v>197142</v>
      </c>
      <c r="P1324" t="s">
        <v>3547</v>
      </c>
      <c r="Q1324" t="s">
        <v>61</v>
      </c>
      <c r="R1324" t="s">
        <v>48</v>
      </c>
      <c r="S1324" t="s">
        <v>68</v>
      </c>
      <c r="T1324">
        <v>863.9</v>
      </c>
      <c r="U1324">
        <f t="shared" si="280"/>
        <v>678</v>
      </c>
      <c r="V1324">
        <f t="shared" si="281"/>
        <v>255</v>
      </c>
      <c r="W1324">
        <f t="shared" si="282"/>
        <v>211</v>
      </c>
      <c r="X1324">
        <f t="shared" si="283"/>
        <v>0.35149999999999998</v>
      </c>
      <c r="Y1324" s="1">
        <f t="shared" si="284"/>
        <v>34542098</v>
      </c>
      <c r="Z1324">
        <f t="shared" si="285"/>
        <v>50947.047197640117</v>
      </c>
      <c r="AA1324">
        <f t="shared" si="286"/>
        <v>99996</v>
      </c>
      <c r="AB1324">
        <f t="shared" si="287"/>
        <v>5091</v>
      </c>
      <c r="AC1324">
        <f t="shared" si="288"/>
        <v>921221.39999999944</v>
      </c>
      <c r="AD1324">
        <f t="shared" si="289"/>
        <v>1358.7336283185832</v>
      </c>
      <c r="AE1324">
        <f t="shared" si="290"/>
        <v>0.35149999999999998</v>
      </c>
      <c r="AF1324">
        <f t="shared" si="291"/>
        <v>313683433.04999983</v>
      </c>
      <c r="AG1324" t="str">
        <f t="shared" si="292"/>
        <v>Active</v>
      </c>
      <c r="AH1324">
        <f t="shared" si="293"/>
        <v>10366.799999999999</v>
      </c>
    </row>
    <row r="1325" spans="1:34" x14ac:dyDescent="0.35">
      <c r="A1325" t="s">
        <v>3548</v>
      </c>
      <c r="B1325" t="s">
        <v>3549</v>
      </c>
      <c r="C1325">
        <v>25</v>
      </c>
      <c r="D1325" t="s">
        <v>22</v>
      </c>
      <c r="E1325" t="s">
        <v>23</v>
      </c>
      <c r="F1325" t="s">
        <v>59</v>
      </c>
      <c r="G1325">
        <v>73770</v>
      </c>
      <c r="H1325">
        <v>457</v>
      </c>
      <c r="I1325">
        <v>99475</v>
      </c>
      <c r="J1325">
        <v>13.91</v>
      </c>
      <c r="K1325">
        <v>12</v>
      </c>
      <c r="L1325" t="s">
        <v>40</v>
      </c>
      <c r="M1325">
        <v>49.56</v>
      </c>
      <c r="N1325">
        <v>56553</v>
      </c>
      <c r="O1325">
        <v>111969</v>
      </c>
      <c r="P1325" t="s">
        <v>3550</v>
      </c>
      <c r="Q1325" t="s">
        <v>42</v>
      </c>
      <c r="R1325" t="s">
        <v>28</v>
      </c>
      <c r="S1325" t="s">
        <v>49</v>
      </c>
      <c r="T1325">
        <v>9442.66</v>
      </c>
      <c r="U1325">
        <f t="shared" si="280"/>
        <v>677</v>
      </c>
      <c r="V1325">
        <f t="shared" si="281"/>
        <v>255</v>
      </c>
      <c r="W1325">
        <f t="shared" si="282"/>
        <v>210</v>
      </c>
      <c r="X1325">
        <f t="shared" si="283"/>
        <v>0.35149999999999998</v>
      </c>
      <c r="Y1325" s="1">
        <f t="shared" si="284"/>
        <v>34507467</v>
      </c>
      <c r="Z1325">
        <f t="shared" si="285"/>
        <v>50971.147710487443</v>
      </c>
      <c r="AA1325">
        <f t="shared" si="286"/>
        <v>99996</v>
      </c>
      <c r="AB1325">
        <f t="shared" si="287"/>
        <v>5091</v>
      </c>
      <c r="AC1325">
        <f t="shared" si="288"/>
        <v>920357.49999999953</v>
      </c>
      <c r="AD1325">
        <f t="shared" si="289"/>
        <v>1359.4645494830127</v>
      </c>
      <c r="AE1325">
        <f t="shared" si="290"/>
        <v>0.35149999999999998</v>
      </c>
      <c r="AF1325">
        <f t="shared" si="291"/>
        <v>312762211.64999986</v>
      </c>
      <c r="AG1325" t="str">
        <f t="shared" si="292"/>
        <v>Active</v>
      </c>
      <c r="AH1325">
        <f t="shared" si="293"/>
        <v>113311.92</v>
      </c>
    </row>
    <row r="1326" spans="1:34" x14ac:dyDescent="0.35">
      <c r="A1326" t="s">
        <v>3551</v>
      </c>
      <c r="B1326" t="s">
        <v>3552</v>
      </c>
      <c r="C1326">
        <v>49</v>
      </c>
      <c r="D1326" t="s">
        <v>22</v>
      </c>
      <c r="E1326" t="s">
        <v>39</v>
      </c>
      <c r="F1326" t="s">
        <v>24</v>
      </c>
      <c r="G1326">
        <v>123975</v>
      </c>
      <c r="H1326">
        <v>804</v>
      </c>
      <c r="I1326">
        <v>36599</v>
      </c>
      <c r="J1326">
        <v>16.98</v>
      </c>
      <c r="K1326">
        <v>180</v>
      </c>
      <c r="L1326" t="s">
        <v>33</v>
      </c>
      <c r="M1326">
        <v>57.73</v>
      </c>
      <c r="N1326">
        <v>76738</v>
      </c>
      <c r="O1326">
        <v>97761</v>
      </c>
      <c r="P1326" t="s">
        <v>3553</v>
      </c>
      <c r="Q1326" t="s">
        <v>27</v>
      </c>
      <c r="R1326" t="s">
        <v>28</v>
      </c>
      <c r="S1326" t="s">
        <v>68</v>
      </c>
      <c r="T1326">
        <v>237.85</v>
      </c>
      <c r="U1326">
        <f t="shared" si="280"/>
        <v>676</v>
      </c>
      <c r="V1326">
        <f t="shared" si="281"/>
        <v>254</v>
      </c>
      <c r="W1326">
        <f t="shared" si="282"/>
        <v>210</v>
      </c>
      <c r="X1326">
        <f t="shared" si="283"/>
        <v>0.35149999999999998</v>
      </c>
      <c r="Y1326" s="1">
        <f t="shared" si="284"/>
        <v>34407992</v>
      </c>
      <c r="Z1326">
        <f t="shared" si="285"/>
        <v>50899.396449704145</v>
      </c>
      <c r="AA1326">
        <f t="shared" si="286"/>
        <v>99996</v>
      </c>
      <c r="AB1326">
        <f t="shared" si="287"/>
        <v>5091</v>
      </c>
      <c r="AC1326">
        <f t="shared" si="288"/>
        <v>910914.8399999995</v>
      </c>
      <c r="AD1326">
        <f t="shared" si="289"/>
        <v>1347.507159763313</v>
      </c>
      <c r="AE1326">
        <f t="shared" si="290"/>
        <v>0.35149999999999998</v>
      </c>
      <c r="AF1326">
        <f t="shared" si="291"/>
        <v>311841854.14999986</v>
      </c>
      <c r="AG1326" t="str">
        <f t="shared" si="292"/>
        <v>Over Paid</v>
      </c>
      <c r="AH1326">
        <f t="shared" si="293"/>
        <v>2854.2</v>
      </c>
    </row>
    <row r="1327" spans="1:34" x14ac:dyDescent="0.35">
      <c r="A1327" t="s">
        <v>3554</v>
      </c>
      <c r="B1327" t="s">
        <v>3555</v>
      </c>
      <c r="C1327">
        <v>26</v>
      </c>
      <c r="D1327" t="s">
        <v>22</v>
      </c>
      <c r="E1327" t="s">
        <v>23</v>
      </c>
      <c r="F1327" t="s">
        <v>59</v>
      </c>
      <c r="G1327">
        <v>172681</v>
      </c>
      <c r="H1327">
        <v>456</v>
      </c>
      <c r="I1327">
        <v>22457</v>
      </c>
      <c r="J1327">
        <v>8.43</v>
      </c>
      <c r="K1327">
        <v>360</v>
      </c>
      <c r="L1327" t="s">
        <v>40</v>
      </c>
      <c r="M1327">
        <v>23.64</v>
      </c>
      <c r="N1327">
        <v>15194</v>
      </c>
      <c r="O1327">
        <v>45980</v>
      </c>
      <c r="P1327" t="s">
        <v>2243</v>
      </c>
      <c r="Q1327" t="s">
        <v>61</v>
      </c>
      <c r="R1327" t="s">
        <v>28</v>
      </c>
      <c r="S1327" t="s">
        <v>29</v>
      </c>
      <c r="T1327">
        <v>67.64</v>
      </c>
      <c r="U1327">
        <f t="shared" si="280"/>
        <v>675</v>
      </c>
      <c r="V1327">
        <f t="shared" si="281"/>
        <v>254</v>
      </c>
      <c r="W1327">
        <f t="shared" si="282"/>
        <v>210</v>
      </c>
      <c r="X1327">
        <f t="shared" si="283"/>
        <v>0.35149999999999998</v>
      </c>
      <c r="Y1327" s="1">
        <f t="shared" si="284"/>
        <v>34371393</v>
      </c>
      <c r="Z1327">
        <f t="shared" si="285"/>
        <v>50920.58222222222</v>
      </c>
      <c r="AA1327">
        <f t="shared" si="286"/>
        <v>99996</v>
      </c>
      <c r="AB1327">
        <f t="shared" si="287"/>
        <v>5091</v>
      </c>
      <c r="AC1327">
        <f t="shared" si="288"/>
        <v>910676.98999999953</v>
      </c>
      <c r="AD1327">
        <f t="shared" si="289"/>
        <v>1349.1510962962957</v>
      </c>
      <c r="AE1327">
        <f t="shared" si="290"/>
        <v>0.35149999999999998</v>
      </c>
      <c r="AF1327">
        <f t="shared" si="291"/>
        <v>310930939.30999982</v>
      </c>
      <c r="AG1327" t="str">
        <f t="shared" si="292"/>
        <v>Active</v>
      </c>
      <c r="AH1327">
        <f t="shared" si="293"/>
        <v>811.68000000000006</v>
      </c>
    </row>
    <row r="1328" spans="1:34" x14ac:dyDescent="0.35">
      <c r="A1328" t="s">
        <v>3556</v>
      </c>
      <c r="B1328" t="s">
        <v>3557</v>
      </c>
      <c r="C1328">
        <v>47</v>
      </c>
      <c r="D1328" t="s">
        <v>38</v>
      </c>
      <c r="E1328" t="s">
        <v>39</v>
      </c>
      <c r="F1328" t="s">
        <v>46</v>
      </c>
      <c r="G1328">
        <v>177361</v>
      </c>
      <c r="H1328">
        <v>586</v>
      </c>
      <c r="I1328">
        <v>50041</v>
      </c>
      <c r="J1328">
        <v>15.66</v>
      </c>
      <c r="K1328">
        <v>120</v>
      </c>
      <c r="L1328" t="s">
        <v>25</v>
      </c>
      <c r="M1328">
        <v>14.12</v>
      </c>
      <c r="N1328">
        <v>33707</v>
      </c>
      <c r="O1328">
        <v>157943</v>
      </c>
      <c r="P1328" t="s">
        <v>117</v>
      </c>
      <c r="Q1328" t="s">
        <v>42</v>
      </c>
      <c r="R1328" t="s">
        <v>28</v>
      </c>
      <c r="S1328" t="s">
        <v>68</v>
      </c>
      <c r="T1328">
        <v>482.31</v>
      </c>
      <c r="U1328">
        <f t="shared" si="280"/>
        <v>674</v>
      </c>
      <c r="V1328">
        <f t="shared" si="281"/>
        <v>254</v>
      </c>
      <c r="W1328">
        <f t="shared" si="282"/>
        <v>209</v>
      </c>
      <c r="X1328">
        <f t="shared" si="283"/>
        <v>0.35149999999999998</v>
      </c>
      <c r="Y1328" s="1">
        <f t="shared" si="284"/>
        <v>34348936</v>
      </c>
      <c r="Z1328">
        <f t="shared" si="285"/>
        <v>50962.813056379819</v>
      </c>
      <c r="AA1328">
        <f t="shared" si="286"/>
        <v>99996</v>
      </c>
      <c r="AB1328">
        <f t="shared" si="287"/>
        <v>5091</v>
      </c>
      <c r="AC1328">
        <f t="shared" si="288"/>
        <v>910609.34999999951</v>
      </c>
      <c r="AD1328">
        <f t="shared" si="289"/>
        <v>1351.0524480712158</v>
      </c>
      <c r="AE1328">
        <f t="shared" si="290"/>
        <v>0.35149999999999998</v>
      </c>
      <c r="AF1328">
        <f t="shared" si="291"/>
        <v>310020262.31999981</v>
      </c>
      <c r="AG1328" t="str">
        <f t="shared" si="292"/>
        <v>Active</v>
      </c>
      <c r="AH1328">
        <f t="shared" si="293"/>
        <v>5787.72</v>
      </c>
    </row>
    <row r="1329" spans="1:34" x14ac:dyDescent="0.35">
      <c r="A1329" t="s">
        <v>3558</v>
      </c>
      <c r="B1329" t="s">
        <v>3559</v>
      </c>
      <c r="C1329">
        <v>45</v>
      </c>
      <c r="D1329" t="s">
        <v>22</v>
      </c>
      <c r="E1329" t="s">
        <v>39</v>
      </c>
      <c r="F1329" t="s">
        <v>46</v>
      </c>
      <c r="G1329">
        <v>169998</v>
      </c>
      <c r="H1329">
        <v>414</v>
      </c>
      <c r="I1329">
        <v>19741</v>
      </c>
      <c r="J1329">
        <v>17.649999999999999</v>
      </c>
      <c r="K1329">
        <v>180</v>
      </c>
      <c r="L1329" t="s">
        <v>52</v>
      </c>
      <c r="M1329">
        <v>12.22</v>
      </c>
      <c r="N1329">
        <v>37592</v>
      </c>
      <c r="O1329">
        <v>70757</v>
      </c>
      <c r="P1329" t="s">
        <v>814</v>
      </c>
      <c r="Q1329" t="s">
        <v>27</v>
      </c>
      <c r="R1329" t="s">
        <v>48</v>
      </c>
      <c r="S1329" t="s">
        <v>68</v>
      </c>
      <c r="T1329">
        <v>129.03</v>
      </c>
      <c r="U1329">
        <f t="shared" si="280"/>
        <v>673</v>
      </c>
      <c r="V1329">
        <f t="shared" si="281"/>
        <v>253</v>
      </c>
      <c r="W1329">
        <f t="shared" si="282"/>
        <v>209</v>
      </c>
      <c r="X1329">
        <f t="shared" si="283"/>
        <v>0.35149999999999998</v>
      </c>
      <c r="Y1329" s="1">
        <f t="shared" si="284"/>
        <v>34298895</v>
      </c>
      <c r="Z1329">
        <f t="shared" si="285"/>
        <v>50964.182763744429</v>
      </c>
      <c r="AA1329">
        <f t="shared" si="286"/>
        <v>99996</v>
      </c>
      <c r="AB1329">
        <f t="shared" si="287"/>
        <v>5091</v>
      </c>
      <c r="AC1329">
        <f t="shared" si="288"/>
        <v>910127.03999999957</v>
      </c>
      <c r="AD1329">
        <f t="shared" si="289"/>
        <v>1352.3432986627038</v>
      </c>
      <c r="AE1329">
        <f t="shared" si="290"/>
        <v>0.35149999999999998</v>
      </c>
      <c r="AF1329">
        <f t="shared" si="291"/>
        <v>309109652.96999973</v>
      </c>
      <c r="AG1329" t="str">
        <f t="shared" si="292"/>
        <v>Active</v>
      </c>
      <c r="AH1329">
        <f t="shared" si="293"/>
        <v>1548.3600000000001</v>
      </c>
    </row>
    <row r="1330" spans="1:34" x14ac:dyDescent="0.35">
      <c r="A1330" t="s">
        <v>3560</v>
      </c>
      <c r="B1330" t="s">
        <v>3561</v>
      </c>
      <c r="C1330">
        <v>22</v>
      </c>
      <c r="D1330" t="s">
        <v>22</v>
      </c>
      <c r="E1330" t="s">
        <v>39</v>
      </c>
      <c r="F1330" t="s">
        <v>59</v>
      </c>
      <c r="G1330">
        <v>83883</v>
      </c>
      <c r="H1330">
        <v>378</v>
      </c>
      <c r="I1330">
        <v>47999</v>
      </c>
      <c r="J1330">
        <v>19.010000000000002</v>
      </c>
      <c r="K1330">
        <v>240</v>
      </c>
      <c r="L1330" t="s">
        <v>52</v>
      </c>
      <c r="M1330">
        <v>23.84</v>
      </c>
      <c r="N1330">
        <v>63105</v>
      </c>
      <c r="O1330">
        <v>162187</v>
      </c>
      <c r="P1330" t="s">
        <v>3562</v>
      </c>
      <c r="Q1330" t="s">
        <v>27</v>
      </c>
      <c r="R1330" t="s">
        <v>28</v>
      </c>
      <c r="S1330" t="s">
        <v>43</v>
      </c>
      <c r="T1330">
        <v>238.02</v>
      </c>
      <c r="U1330">
        <f t="shared" si="280"/>
        <v>672</v>
      </c>
      <c r="V1330">
        <f t="shared" si="281"/>
        <v>253</v>
      </c>
      <c r="W1330">
        <f t="shared" si="282"/>
        <v>209</v>
      </c>
      <c r="X1330">
        <f t="shared" si="283"/>
        <v>0.35149999999999998</v>
      </c>
      <c r="Y1330" s="1">
        <f t="shared" si="284"/>
        <v>34279154</v>
      </c>
      <c r="Z1330">
        <f t="shared" si="285"/>
        <v>51010.645833333336</v>
      </c>
      <c r="AA1330">
        <f t="shared" si="286"/>
        <v>99996</v>
      </c>
      <c r="AB1330">
        <f t="shared" si="287"/>
        <v>5091</v>
      </c>
      <c r="AC1330">
        <f t="shared" si="288"/>
        <v>909998.00999999954</v>
      </c>
      <c r="AD1330">
        <f t="shared" si="289"/>
        <v>1354.1637053571421</v>
      </c>
      <c r="AE1330">
        <f t="shared" si="290"/>
        <v>0.35149999999999998</v>
      </c>
      <c r="AF1330">
        <f t="shared" si="291"/>
        <v>308199525.92999977</v>
      </c>
      <c r="AG1330" t="str">
        <f t="shared" si="292"/>
        <v>Active</v>
      </c>
      <c r="AH1330">
        <f t="shared" si="293"/>
        <v>2856.2400000000002</v>
      </c>
    </row>
    <row r="1331" spans="1:34" x14ac:dyDescent="0.35">
      <c r="A1331" t="s">
        <v>3563</v>
      </c>
      <c r="B1331" t="s">
        <v>3564</v>
      </c>
      <c r="C1331">
        <v>22</v>
      </c>
      <c r="D1331" t="s">
        <v>38</v>
      </c>
      <c r="E1331" t="s">
        <v>32</v>
      </c>
      <c r="F1331" t="s">
        <v>24</v>
      </c>
      <c r="G1331">
        <v>149046</v>
      </c>
      <c r="H1331">
        <v>591</v>
      </c>
      <c r="I1331">
        <v>75844</v>
      </c>
      <c r="J1331">
        <v>18.850000000000001</v>
      </c>
      <c r="K1331">
        <v>24</v>
      </c>
      <c r="L1331" t="s">
        <v>25</v>
      </c>
      <c r="M1331">
        <v>45.43</v>
      </c>
      <c r="N1331">
        <v>70759</v>
      </c>
      <c r="O1331">
        <v>161058</v>
      </c>
      <c r="P1331" t="s">
        <v>3565</v>
      </c>
      <c r="Q1331" t="s">
        <v>61</v>
      </c>
      <c r="R1331" t="s">
        <v>28</v>
      </c>
      <c r="S1331" t="s">
        <v>35</v>
      </c>
      <c r="T1331">
        <v>3755.86</v>
      </c>
      <c r="U1331">
        <f t="shared" si="280"/>
        <v>671</v>
      </c>
      <c r="V1331">
        <f t="shared" si="281"/>
        <v>253</v>
      </c>
      <c r="W1331">
        <f t="shared" si="282"/>
        <v>209</v>
      </c>
      <c r="X1331">
        <f t="shared" si="283"/>
        <v>0.35149999999999998</v>
      </c>
      <c r="Y1331" s="1">
        <f t="shared" si="284"/>
        <v>34231155</v>
      </c>
      <c r="Z1331">
        <f t="shared" si="285"/>
        <v>51015.134128166916</v>
      </c>
      <c r="AA1331">
        <f t="shared" si="286"/>
        <v>99996</v>
      </c>
      <c r="AB1331">
        <f t="shared" si="287"/>
        <v>5091</v>
      </c>
      <c r="AC1331">
        <f t="shared" si="288"/>
        <v>909759.98999999953</v>
      </c>
      <c r="AD1331">
        <f t="shared" si="289"/>
        <v>1355.8271087928458</v>
      </c>
      <c r="AE1331">
        <f t="shared" si="290"/>
        <v>0.35149999999999998</v>
      </c>
      <c r="AF1331">
        <f t="shared" si="291"/>
        <v>307289527.91999972</v>
      </c>
      <c r="AG1331" t="str">
        <f t="shared" si="292"/>
        <v>Active</v>
      </c>
      <c r="AH1331">
        <f t="shared" si="293"/>
        <v>45070.32</v>
      </c>
    </row>
    <row r="1332" spans="1:34" x14ac:dyDescent="0.35">
      <c r="A1332" t="s">
        <v>3566</v>
      </c>
      <c r="B1332" t="s">
        <v>3567</v>
      </c>
      <c r="C1332">
        <v>27</v>
      </c>
      <c r="D1332" t="s">
        <v>22</v>
      </c>
      <c r="E1332" t="s">
        <v>23</v>
      </c>
      <c r="F1332" t="s">
        <v>59</v>
      </c>
      <c r="G1332">
        <v>46726</v>
      </c>
      <c r="H1332">
        <v>816</v>
      </c>
      <c r="I1332">
        <v>14550</v>
      </c>
      <c r="J1332">
        <v>4.13</v>
      </c>
      <c r="K1332">
        <v>360</v>
      </c>
      <c r="L1332" t="s">
        <v>52</v>
      </c>
      <c r="M1332">
        <v>7.07</v>
      </c>
      <c r="N1332">
        <v>348</v>
      </c>
      <c r="O1332">
        <v>180716</v>
      </c>
      <c r="P1332" t="s">
        <v>90</v>
      </c>
      <c r="Q1332" t="s">
        <v>61</v>
      </c>
      <c r="R1332" t="s">
        <v>28</v>
      </c>
      <c r="S1332" t="s">
        <v>43</v>
      </c>
      <c r="T1332">
        <v>42.09</v>
      </c>
      <c r="U1332">
        <f t="shared" si="280"/>
        <v>670</v>
      </c>
      <c r="V1332">
        <f t="shared" si="281"/>
        <v>253</v>
      </c>
      <c r="W1332">
        <f t="shared" si="282"/>
        <v>208</v>
      </c>
      <c r="X1332">
        <f t="shared" si="283"/>
        <v>0.35149999999999998</v>
      </c>
      <c r="Y1332" s="1">
        <f t="shared" si="284"/>
        <v>34155311</v>
      </c>
      <c r="Z1332">
        <f t="shared" si="285"/>
        <v>50978.076119402984</v>
      </c>
      <c r="AA1332">
        <f t="shared" si="286"/>
        <v>99996</v>
      </c>
      <c r="AB1332">
        <f t="shared" si="287"/>
        <v>5091</v>
      </c>
      <c r="AC1332">
        <f t="shared" si="288"/>
        <v>906004.12999999966</v>
      </c>
      <c r="AD1332">
        <f t="shared" si="289"/>
        <v>1352.2449701492533</v>
      </c>
      <c r="AE1332">
        <f t="shared" si="290"/>
        <v>0.35149999999999998</v>
      </c>
      <c r="AF1332">
        <f t="shared" si="291"/>
        <v>306379767.92999977</v>
      </c>
      <c r="AG1332" t="str">
        <f t="shared" si="292"/>
        <v>Active</v>
      </c>
      <c r="AH1332">
        <f t="shared" si="293"/>
        <v>505.08000000000004</v>
      </c>
    </row>
    <row r="1333" spans="1:34" x14ac:dyDescent="0.35">
      <c r="A1333" t="s">
        <v>3568</v>
      </c>
      <c r="B1333" t="s">
        <v>3569</v>
      </c>
      <c r="C1333">
        <v>43</v>
      </c>
      <c r="D1333" t="s">
        <v>38</v>
      </c>
      <c r="E1333" t="s">
        <v>39</v>
      </c>
      <c r="F1333" t="s">
        <v>59</v>
      </c>
      <c r="G1333">
        <v>123260</v>
      </c>
      <c r="H1333">
        <v>729</v>
      </c>
      <c r="I1333">
        <v>35469</v>
      </c>
      <c r="J1333">
        <v>7.18</v>
      </c>
      <c r="K1333">
        <v>360</v>
      </c>
      <c r="L1333" t="s">
        <v>40</v>
      </c>
      <c r="M1333">
        <v>36.96</v>
      </c>
      <c r="N1333">
        <v>47726</v>
      </c>
      <c r="O1333">
        <v>11606</v>
      </c>
      <c r="P1333" t="s">
        <v>3570</v>
      </c>
      <c r="Q1333" t="s">
        <v>27</v>
      </c>
      <c r="R1333" t="s">
        <v>48</v>
      </c>
      <c r="S1333" t="s">
        <v>43</v>
      </c>
      <c r="T1333">
        <v>105.6</v>
      </c>
      <c r="U1333">
        <f t="shared" si="280"/>
        <v>669</v>
      </c>
      <c r="V1333">
        <f t="shared" si="281"/>
        <v>253</v>
      </c>
      <c r="W1333">
        <f t="shared" si="282"/>
        <v>207</v>
      </c>
      <c r="X1333">
        <f t="shared" si="283"/>
        <v>0.35149999999999998</v>
      </c>
      <c r="Y1333" s="1">
        <f t="shared" si="284"/>
        <v>34140761</v>
      </c>
      <c r="Z1333">
        <f t="shared" si="285"/>
        <v>51032.52765321375</v>
      </c>
      <c r="AA1333">
        <f t="shared" si="286"/>
        <v>99996</v>
      </c>
      <c r="AB1333">
        <f t="shared" si="287"/>
        <v>5091</v>
      </c>
      <c r="AC1333">
        <f t="shared" si="288"/>
        <v>905962.03999999957</v>
      </c>
      <c r="AD1333">
        <f t="shared" si="289"/>
        <v>1354.2033482810159</v>
      </c>
      <c r="AE1333">
        <f t="shared" si="290"/>
        <v>0.35149999999999998</v>
      </c>
      <c r="AF1333">
        <f t="shared" si="291"/>
        <v>305473763.79999971</v>
      </c>
      <c r="AG1333" t="str">
        <f t="shared" si="292"/>
        <v>Active</v>
      </c>
      <c r="AH1333">
        <f t="shared" si="293"/>
        <v>1267.1999999999998</v>
      </c>
    </row>
    <row r="1334" spans="1:34" x14ac:dyDescent="0.35">
      <c r="A1334" t="s">
        <v>3571</v>
      </c>
      <c r="B1334" t="s">
        <v>3572</v>
      </c>
      <c r="C1334">
        <v>36</v>
      </c>
      <c r="D1334" t="s">
        <v>38</v>
      </c>
      <c r="E1334" t="s">
        <v>39</v>
      </c>
      <c r="F1334" t="s">
        <v>46</v>
      </c>
      <c r="G1334">
        <v>93198</v>
      </c>
      <c r="H1334">
        <v>355</v>
      </c>
      <c r="I1334">
        <v>39160</v>
      </c>
      <c r="J1334">
        <v>4.3899999999999997</v>
      </c>
      <c r="K1334">
        <v>360</v>
      </c>
      <c r="L1334" t="s">
        <v>52</v>
      </c>
      <c r="M1334">
        <v>34</v>
      </c>
      <c r="N1334">
        <v>37109</v>
      </c>
      <c r="O1334">
        <v>99951</v>
      </c>
      <c r="P1334" t="s">
        <v>3573</v>
      </c>
      <c r="Q1334" t="s">
        <v>61</v>
      </c>
      <c r="R1334" t="s">
        <v>48</v>
      </c>
      <c r="S1334" t="s">
        <v>49</v>
      </c>
      <c r="T1334">
        <v>113.55</v>
      </c>
      <c r="U1334">
        <f t="shared" si="280"/>
        <v>668</v>
      </c>
      <c r="V1334">
        <f t="shared" si="281"/>
        <v>253</v>
      </c>
      <c r="W1334">
        <f t="shared" si="282"/>
        <v>207</v>
      </c>
      <c r="X1334">
        <f t="shared" si="283"/>
        <v>0.35149999999999998</v>
      </c>
      <c r="Y1334" s="1">
        <f t="shared" si="284"/>
        <v>34105292</v>
      </c>
      <c r="Z1334">
        <f t="shared" si="285"/>
        <v>51055.826347305388</v>
      </c>
      <c r="AA1334">
        <f t="shared" si="286"/>
        <v>99996</v>
      </c>
      <c r="AB1334">
        <f t="shared" si="287"/>
        <v>5091</v>
      </c>
      <c r="AC1334">
        <f t="shared" si="288"/>
        <v>905856.43999999959</v>
      </c>
      <c r="AD1334">
        <f t="shared" si="289"/>
        <v>1356.0725149700593</v>
      </c>
      <c r="AE1334">
        <f t="shared" si="290"/>
        <v>0.35149999999999998</v>
      </c>
      <c r="AF1334">
        <f t="shared" si="291"/>
        <v>304567801.75999981</v>
      </c>
      <c r="AG1334" t="str">
        <f t="shared" si="292"/>
        <v>Active</v>
      </c>
      <c r="AH1334">
        <f t="shared" si="293"/>
        <v>1362.6</v>
      </c>
    </row>
    <row r="1335" spans="1:34" x14ac:dyDescent="0.35">
      <c r="A1335" t="s">
        <v>3574</v>
      </c>
      <c r="B1335" t="s">
        <v>3575</v>
      </c>
      <c r="C1335">
        <v>25</v>
      </c>
      <c r="D1335" t="s">
        <v>38</v>
      </c>
      <c r="E1335" t="s">
        <v>39</v>
      </c>
      <c r="F1335" t="s">
        <v>59</v>
      </c>
      <c r="G1335">
        <v>23430</v>
      </c>
      <c r="H1335">
        <v>408</v>
      </c>
      <c r="I1335">
        <v>18842</v>
      </c>
      <c r="J1335">
        <v>9.74</v>
      </c>
      <c r="K1335">
        <v>24</v>
      </c>
      <c r="L1335" t="s">
        <v>86</v>
      </c>
      <c r="M1335">
        <v>11.9</v>
      </c>
      <c r="N1335">
        <v>40493</v>
      </c>
      <c r="O1335">
        <v>36763</v>
      </c>
      <c r="P1335" t="s">
        <v>3576</v>
      </c>
      <c r="Q1335" t="s">
        <v>42</v>
      </c>
      <c r="R1335" t="s">
        <v>48</v>
      </c>
      <c r="S1335" t="s">
        <v>29</v>
      </c>
      <c r="T1335">
        <v>861.55</v>
      </c>
      <c r="U1335">
        <f t="shared" si="280"/>
        <v>667</v>
      </c>
      <c r="V1335">
        <f t="shared" si="281"/>
        <v>253</v>
      </c>
      <c r="W1335">
        <f t="shared" si="282"/>
        <v>206</v>
      </c>
      <c r="X1335">
        <f t="shared" si="283"/>
        <v>0.35149999999999998</v>
      </c>
      <c r="Y1335" s="1">
        <f t="shared" si="284"/>
        <v>34066132</v>
      </c>
      <c r="Z1335">
        <f t="shared" si="285"/>
        <v>51073.661169415289</v>
      </c>
      <c r="AA1335">
        <f t="shared" si="286"/>
        <v>99996</v>
      </c>
      <c r="AB1335">
        <f t="shared" si="287"/>
        <v>5091</v>
      </c>
      <c r="AC1335">
        <f t="shared" si="288"/>
        <v>905742.88999999955</v>
      </c>
      <c r="AD1335">
        <f t="shared" si="289"/>
        <v>1357.9353673163412</v>
      </c>
      <c r="AE1335">
        <f t="shared" si="290"/>
        <v>0.35149999999999998</v>
      </c>
      <c r="AF1335">
        <f t="shared" si="291"/>
        <v>303661945.31999975</v>
      </c>
      <c r="AG1335" t="str">
        <f t="shared" si="292"/>
        <v>Active</v>
      </c>
      <c r="AH1335">
        <f t="shared" si="293"/>
        <v>10338.599999999999</v>
      </c>
    </row>
    <row r="1336" spans="1:34" x14ac:dyDescent="0.35">
      <c r="A1336" t="s">
        <v>3577</v>
      </c>
      <c r="B1336" t="s">
        <v>3578</v>
      </c>
      <c r="C1336">
        <v>38</v>
      </c>
      <c r="D1336" t="s">
        <v>38</v>
      </c>
      <c r="E1336" t="s">
        <v>32</v>
      </c>
      <c r="F1336" t="s">
        <v>46</v>
      </c>
      <c r="G1336">
        <v>140972</v>
      </c>
      <c r="H1336">
        <v>763</v>
      </c>
      <c r="I1336">
        <v>81658</v>
      </c>
      <c r="J1336">
        <v>10.82</v>
      </c>
      <c r="K1336">
        <v>240</v>
      </c>
      <c r="L1336" t="s">
        <v>40</v>
      </c>
      <c r="M1336">
        <v>23.14</v>
      </c>
      <c r="N1336">
        <v>45988</v>
      </c>
      <c r="O1336">
        <v>30900</v>
      </c>
      <c r="P1336" t="s">
        <v>218</v>
      </c>
      <c r="Q1336" t="s">
        <v>42</v>
      </c>
      <c r="R1336" t="s">
        <v>48</v>
      </c>
      <c r="S1336" t="s">
        <v>35</v>
      </c>
      <c r="T1336">
        <v>377.06</v>
      </c>
      <c r="U1336">
        <f t="shared" si="280"/>
        <v>666</v>
      </c>
      <c r="V1336">
        <f t="shared" si="281"/>
        <v>252</v>
      </c>
      <c r="W1336">
        <f t="shared" si="282"/>
        <v>206</v>
      </c>
      <c r="X1336">
        <f t="shared" si="283"/>
        <v>0.35149999999999998</v>
      </c>
      <c r="Y1336" s="1">
        <f t="shared" si="284"/>
        <v>34047290</v>
      </c>
      <c r="Z1336">
        <f t="shared" si="285"/>
        <v>51122.057057057056</v>
      </c>
      <c r="AA1336">
        <f t="shared" si="286"/>
        <v>99996</v>
      </c>
      <c r="AB1336">
        <f t="shared" si="287"/>
        <v>5091</v>
      </c>
      <c r="AC1336">
        <f t="shared" si="288"/>
        <v>904881.33999999973</v>
      </c>
      <c r="AD1336">
        <f t="shared" si="289"/>
        <v>1358.6806906906902</v>
      </c>
      <c r="AE1336">
        <f t="shared" si="290"/>
        <v>0.35149999999999998</v>
      </c>
      <c r="AF1336">
        <f t="shared" si="291"/>
        <v>302756202.42999977</v>
      </c>
      <c r="AG1336" t="str">
        <f t="shared" si="292"/>
        <v>Active</v>
      </c>
      <c r="AH1336">
        <f t="shared" si="293"/>
        <v>4524.72</v>
      </c>
    </row>
    <row r="1337" spans="1:34" x14ac:dyDescent="0.35">
      <c r="A1337" t="s">
        <v>3579</v>
      </c>
      <c r="B1337" t="s">
        <v>3580</v>
      </c>
      <c r="C1337">
        <v>53</v>
      </c>
      <c r="D1337" t="s">
        <v>22</v>
      </c>
      <c r="E1337" t="s">
        <v>39</v>
      </c>
      <c r="F1337" t="s">
        <v>59</v>
      </c>
      <c r="G1337">
        <v>199128</v>
      </c>
      <c r="H1337">
        <v>320</v>
      </c>
      <c r="I1337">
        <v>37836</v>
      </c>
      <c r="J1337">
        <v>11.46</v>
      </c>
      <c r="K1337">
        <v>360</v>
      </c>
      <c r="L1337" t="s">
        <v>40</v>
      </c>
      <c r="M1337">
        <v>30.63</v>
      </c>
      <c r="N1337">
        <v>75839</v>
      </c>
      <c r="O1337">
        <v>213540</v>
      </c>
      <c r="P1337" t="s">
        <v>3581</v>
      </c>
      <c r="Q1337" t="s">
        <v>61</v>
      </c>
      <c r="R1337" t="s">
        <v>48</v>
      </c>
      <c r="S1337" t="s">
        <v>49</v>
      </c>
      <c r="T1337">
        <v>117.14</v>
      </c>
      <c r="U1337">
        <f t="shared" si="280"/>
        <v>665</v>
      </c>
      <c r="V1337">
        <f t="shared" si="281"/>
        <v>251</v>
      </c>
      <c r="W1337">
        <f t="shared" si="282"/>
        <v>206</v>
      </c>
      <c r="X1337">
        <f t="shared" si="283"/>
        <v>0.35149999999999998</v>
      </c>
      <c r="Y1337" s="1">
        <f t="shared" si="284"/>
        <v>33965632</v>
      </c>
      <c r="Z1337">
        <f t="shared" si="285"/>
        <v>51076.13834586466</v>
      </c>
      <c r="AA1337">
        <f t="shared" si="286"/>
        <v>99996</v>
      </c>
      <c r="AB1337">
        <f t="shared" si="287"/>
        <v>5091</v>
      </c>
      <c r="AC1337">
        <f t="shared" si="288"/>
        <v>904504.27999999968</v>
      </c>
      <c r="AD1337">
        <f t="shared" si="289"/>
        <v>1360.1568120300747</v>
      </c>
      <c r="AE1337">
        <f t="shared" si="290"/>
        <v>0.35149999999999998</v>
      </c>
      <c r="AF1337">
        <f t="shared" si="291"/>
        <v>301851321.08999979</v>
      </c>
      <c r="AG1337" t="str">
        <f t="shared" si="292"/>
        <v>Active</v>
      </c>
      <c r="AH1337">
        <f t="shared" si="293"/>
        <v>1405.68</v>
      </c>
    </row>
    <row r="1338" spans="1:34" x14ac:dyDescent="0.35">
      <c r="A1338" t="s">
        <v>3582</v>
      </c>
      <c r="B1338" t="s">
        <v>3583</v>
      </c>
      <c r="C1338">
        <v>43</v>
      </c>
      <c r="D1338" t="s">
        <v>38</v>
      </c>
      <c r="E1338" t="s">
        <v>32</v>
      </c>
      <c r="F1338" t="s">
        <v>59</v>
      </c>
      <c r="G1338">
        <v>42841</v>
      </c>
      <c r="H1338">
        <v>849</v>
      </c>
      <c r="I1338">
        <v>95942</v>
      </c>
      <c r="J1338">
        <v>17.170000000000002</v>
      </c>
      <c r="K1338">
        <v>48</v>
      </c>
      <c r="L1338" t="s">
        <v>40</v>
      </c>
      <c r="M1338">
        <v>38.31</v>
      </c>
      <c r="N1338">
        <v>3072</v>
      </c>
      <c r="O1338">
        <v>64491</v>
      </c>
      <c r="P1338" t="s">
        <v>138</v>
      </c>
      <c r="Q1338" t="s">
        <v>61</v>
      </c>
      <c r="R1338" t="s">
        <v>28</v>
      </c>
      <c r="S1338" t="s">
        <v>68</v>
      </c>
      <c r="T1338">
        <v>2341.98</v>
      </c>
      <c r="U1338">
        <f t="shared" si="280"/>
        <v>664</v>
      </c>
      <c r="V1338">
        <f t="shared" si="281"/>
        <v>251</v>
      </c>
      <c r="W1338">
        <f t="shared" si="282"/>
        <v>205</v>
      </c>
      <c r="X1338">
        <f t="shared" si="283"/>
        <v>0.35149999999999998</v>
      </c>
      <c r="Y1338" s="1">
        <f t="shared" si="284"/>
        <v>33927796</v>
      </c>
      <c r="Z1338">
        <f t="shared" si="285"/>
        <v>51096.078313253012</v>
      </c>
      <c r="AA1338">
        <f t="shared" si="286"/>
        <v>99996</v>
      </c>
      <c r="AB1338">
        <f t="shared" si="287"/>
        <v>5091</v>
      </c>
      <c r="AC1338">
        <f t="shared" si="288"/>
        <v>904387.13999999966</v>
      </c>
      <c r="AD1338">
        <f t="shared" si="289"/>
        <v>1362.0288253012043</v>
      </c>
      <c r="AE1338">
        <f t="shared" si="290"/>
        <v>0.35149999999999998</v>
      </c>
      <c r="AF1338">
        <f t="shared" si="291"/>
        <v>300946816.80999982</v>
      </c>
      <c r="AG1338" t="str">
        <f t="shared" si="292"/>
        <v>Active</v>
      </c>
      <c r="AH1338">
        <f t="shared" si="293"/>
        <v>28103.760000000002</v>
      </c>
    </row>
    <row r="1339" spans="1:34" x14ac:dyDescent="0.35">
      <c r="A1339" t="s">
        <v>3584</v>
      </c>
      <c r="B1339" t="s">
        <v>3585</v>
      </c>
      <c r="C1339">
        <v>30</v>
      </c>
      <c r="D1339" t="s">
        <v>38</v>
      </c>
      <c r="E1339" t="s">
        <v>39</v>
      </c>
      <c r="F1339" t="s">
        <v>46</v>
      </c>
      <c r="G1339">
        <v>92948</v>
      </c>
      <c r="H1339">
        <v>335</v>
      </c>
      <c r="I1339">
        <v>51654</v>
      </c>
      <c r="J1339">
        <v>4.1500000000000004</v>
      </c>
      <c r="K1339">
        <v>120</v>
      </c>
      <c r="L1339" t="s">
        <v>52</v>
      </c>
      <c r="M1339">
        <v>46.62</v>
      </c>
      <c r="N1339">
        <v>28203</v>
      </c>
      <c r="O1339">
        <v>62673</v>
      </c>
      <c r="P1339" t="s">
        <v>2637</v>
      </c>
      <c r="Q1339" t="s">
        <v>42</v>
      </c>
      <c r="R1339" t="s">
        <v>48</v>
      </c>
      <c r="S1339" t="s">
        <v>43</v>
      </c>
      <c r="T1339">
        <v>448.31</v>
      </c>
      <c r="U1339">
        <f t="shared" si="280"/>
        <v>663</v>
      </c>
      <c r="V1339">
        <f t="shared" si="281"/>
        <v>251</v>
      </c>
      <c r="W1339">
        <f t="shared" si="282"/>
        <v>204</v>
      </c>
      <c r="X1339">
        <f t="shared" si="283"/>
        <v>0.35149999999999998</v>
      </c>
      <c r="Y1339" s="1">
        <f t="shared" si="284"/>
        <v>33831854</v>
      </c>
      <c r="Z1339">
        <f t="shared" si="285"/>
        <v>51028.437405731522</v>
      </c>
      <c r="AA1339">
        <f t="shared" si="286"/>
        <v>99996</v>
      </c>
      <c r="AB1339">
        <f t="shared" si="287"/>
        <v>5091</v>
      </c>
      <c r="AC1339">
        <f t="shared" si="288"/>
        <v>902045.15999999968</v>
      </c>
      <c r="AD1339">
        <f t="shared" si="289"/>
        <v>1360.5507692307688</v>
      </c>
      <c r="AE1339">
        <f t="shared" si="290"/>
        <v>0.35149999999999998</v>
      </c>
      <c r="AF1339">
        <f t="shared" si="291"/>
        <v>300042429.66999966</v>
      </c>
      <c r="AG1339" t="str">
        <f t="shared" si="292"/>
        <v>Active</v>
      </c>
      <c r="AH1339">
        <f t="shared" si="293"/>
        <v>5379.72</v>
      </c>
    </row>
    <row r="1340" spans="1:34" x14ac:dyDescent="0.35">
      <c r="A1340" t="s">
        <v>3586</v>
      </c>
      <c r="B1340" t="s">
        <v>3587</v>
      </c>
      <c r="C1340">
        <v>42</v>
      </c>
      <c r="D1340" t="s">
        <v>38</v>
      </c>
      <c r="E1340" t="s">
        <v>39</v>
      </c>
      <c r="F1340" t="s">
        <v>59</v>
      </c>
      <c r="G1340">
        <v>116708</v>
      </c>
      <c r="H1340">
        <v>348</v>
      </c>
      <c r="I1340">
        <v>32045</v>
      </c>
      <c r="J1340">
        <v>3.61</v>
      </c>
      <c r="K1340">
        <v>36</v>
      </c>
      <c r="L1340" t="s">
        <v>40</v>
      </c>
      <c r="M1340">
        <v>45.93</v>
      </c>
      <c r="N1340">
        <v>6903</v>
      </c>
      <c r="O1340">
        <v>27412</v>
      </c>
      <c r="P1340" t="s">
        <v>3588</v>
      </c>
      <c r="Q1340" t="s">
        <v>42</v>
      </c>
      <c r="R1340" t="s">
        <v>48</v>
      </c>
      <c r="S1340" t="s">
        <v>49</v>
      </c>
      <c r="T1340">
        <v>922.27</v>
      </c>
      <c r="U1340">
        <f t="shared" si="280"/>
        <v>662</v>
      </c>
      <c r="V1340">
        <f t="shared" si="281"/>
        <v>250</v>
      </c>
      <c r="W1340">
        <f t="shared" si="282"/>
        <v>204</v>
      </c>
      <c r="X1340">
        <f t="shared" si="283"/>
        <v>0.35149999999999998</v>
      </c>
      <c r="Y1340" s="1">
        <f t="shared" si="284"/>
        <v>33780200</v>
      </c>
      <c r="Z1340">
        <f t="shared" si="285"/>
        <v>51027.492447129909</v>
      </c>
      <c r="AA1340">
        <f t="shared" si="286"/>
        <v>99996</v>
      </c>
      <c r="AB1340">
        <f t="shared" si="287"/>
        <v>5091</v>
      </c>
      <c r="AC1340">
        <f t="shared" si="288"/>
        <v>901596.84999999974</v>
      </c>
      <c r="AD1340">
        <f t="shared" si="289"/>
        <v>1361.9287764350449</v>
      </c>
      <c r="AE1340">
        <f t="shared" si="290"/>
        <v>0.35149999999999998</v>
      </c>
      <c r="AF1340">
        <f t="shared" si="291"/>
        <v>299140384.50999963</v>
      </c>
      <c r="AG1340" t="str">
        <f t="shared" si="292"/>
        <v>Active</v>
      </c>
      <c r="AH1340">
        <f t="shared" si="293"/>
        <v>11067.24</v>
      </c>
    </row>
    <row r="1341" spans="1:34" x14ac:dyDescent="0.35">
      <c r="A1341" t="s">
        <v>3589</v>
      </c>
      <c r="B1341" t="s">
        <v>3590</v>
      </c>
      <c r="C1341">
        <v>32</v>
      </c>
      <c r="D1341" t="s">
        <v>22</v>
      </c>
      <c r="E1341" t="s">
        <v>39</v>
      </c>
      <c r="F1341" t="s">
        <v>59</v>
      </c>
      <c r="G1341">
        <v>27928</v>
      </c>
      <c r="H1341">
        <v>490</v>
      </c>
      <c r="I1341">
        <v>88556</v>
      </c>
      <c r="J1341">
        <v>6.12</v>
      </c>
      <c r="K1341">
        <v>24</v>
      </c>
      <c r="L1341" t="s">
        <v>25</v>
      </c>
      <c r="M1341">
        <v>21.56</v>
      </c>
      <c r="N1341">
        <v>67681</v>
      </c>
      <c r="O1341">
        <v>42037</v>
      </c>
      <c r="P1341" t="s">
        <v>849</v>
      </c>
      <c r="Q1341" t="s">
        <v>42</v>
      </c>
      <c r="R1341" t="s">
        <v>28</v>
      </c>
      <c r="S1341" t="s">
        <v>35</v>
      </c>
      <c r="T1341">
        <v>3915.65</v>
      </c>
      <c r="U1341">
        <f t="shared" si="280"/>
        <v>661</v>
      </c>
      <c r="V1341">
        <f t="shared" si="281"/>
        <v>249</v>
      </c>
      <c r="W1341">
        <f t="shared" si="282"/>
        <v>204</v>
      </c>
      <c r="X1341">
        <f t="shared" si="283"/>
        <v>0.35149999999999998</v>
      </c>
      <c r="Y1341" s="1">
        <f t="shared" si="284"/>
        <v>33748155</v>
      </c>
      <c r="Z1341">
        <f t="shared" si="285"/>
        <v>51056.210287443268</v>
      </c>
      <c r="AA1341">
        <f t="shared" si="286"/>
        <v>99996</v>
      </c>
      <c r="AB1341">
        <f t="shared" si="287"/>
        <v>5091</v>
      </c>
      <c r="AC1341">
        <f t="shared" si="288"/>
        <v>900674.57999999973</v>
      </c>
      <c r="AD1341">
        <f t="shared" si="289"/>
        <v>1362.5939183055971</v>
      </c>
      <c r="AE1341">
        <f t="shared" si="290"/>
        <v>0.35149999999999998</v>
      </c>
      <c r="AF1341">
        <f t="shared" si="291"/>
        <v>298238787.65999955</v>
      </c>
      <c r="AG1341" t="str">
        <f t="shared" si="292"/>
        <v>Active</v>
      </c>
      <c r="AH1341">
        <f t="shared" si="293"/>
        <v>46987.8</v>
      </c>
    </row>
    <row r="1342" spans="1:34" x14ac:dyDescent="0.35">
      <c r="A1342" t="s">
        <v>3591</v>
      </c>
      <c r="B1342" t="s">
        <v>3592</v>
      </c>
      <c r="C1342">
        <v>30</v>
      </c>
      <c r="D1342" t="s">
        <v>38</v>
      </c>
      <c r="E1342" t="s">
        <v>39</v>
      </c>
      <c r="F1342" t="s">
        <v>24</v>
      </c>
      <c r="G1342">
        <v>34018</v>
      </c>
      <c r="H1342">
        <v>832</v>
      </c>
      <c r="I1342">
        <v>61844</v>
      </c>
      <c r="J1342">
        <v>17.52</v>
      </c>
      <c r="K1342">
        <v>24</v>
      </c>
      <c r="L1342" t="s">
        <v>25</v>
      </c>
      <c r="M1342">
        <v>36.33</v>
      </c>
      <c r="N1342">
        <v>57340</v>
      </c>
      <c r="O1342">
        <v>93574</v>
      </c>
      <c r="P1342" t="s">
        <v>1744</v>
      </c>
      <c r="Q1342" t="s">
        <v>61</v>
      </c>
      <c r="R1342" t="s">
        <v>28</v>
      </c>
      <c r="S1342" t="s">
        <v>68</v>
      </c>
      <c r="T1342">
        <v>3028.29</v>
      </c>
      <c r="U1342">
        <f t="shared" si="280"/>
        <v>660</v>
      </c>
      <c r="V1342">
        <f t="shared" si="281"/>
        <v>248</v>
      </c>
      <c r="W1342">
        <f t="shared" si="282"/>
        <v>204</v>
      </c>
      <c r="X1342">
        <f t="shared" si="283"/>
        <v>0.35149999999999998</v>
      </c>
      <c r="Y1342" s="1">
        <f t="shared" si="284"/>
        <v>33659599</v>
      </c>
      <c r="Z1342">
        <f t="shared" si="285"/>
        <v>50999.392424242425</v>
      </c>
      <c r="AA1342">
        <f t="shared" si="286"/>
        <v>99996</v>
      </c>
      <c r="AB1342">
        <f t="shared" si="287"/>
        <v>5091</v>
      </c>
      <c r="AC1342">
        <f t="shared" si="288"/>
        <v>896758.9299999997</v>
      </c>
      <c r="AD1342">
        <f t="shared" si="289"/>
        <v>1358.725651515151</v>
      </c>
      <c r="AE1342">
        <f t="shared" si="290"/>
        <v>0.35149999999999998</v>
      </c>
      <c r="AF1342">
        <f t="shared" si="291"/>
        <v>297338113.07999957</v>
      </c>
      <c r="AG1342" t="str">
        <f t="shared" si="292"/>
        <v>Active</v>
      </c>
      <c r="AH1342">
        <f t="shared" si="293"/>
        <v>36339.479999999996</v>
      </c>
    </row>
    <row r="1343" spans="1:34" x14ac:dyDescent="0.35">
      <c r="A1343" t="s">
        <v>3593</v>
      </c>
      <c r="B1343" t="s">
        <v>3594</v>
      </c>
      <c r="C1343">
        <v>26</v>
      </c>
      <c r="D1343" t="s">
        <v>22</v>
      </c>
      <c r="E1343" t="s">
        <v>23</v>
      </c>
      <c r="F1343" t="s">
        <v>24</v>
      </c>
      <c r="G1343">
        <v>79721</v>
      </c>
      <c r="H1343">
        <v>429</v>
      </c>
      <c r="I1343">
        <v>70861</v>
      </c>
      <c r="J1343">
        <v>17.96</v>
      </c>
      <c r="K1343">
        <v>36</v>
      </c>
      <c r="L1343" t="s">
        <v>52</v>
      </c>
      <c r="M1343">
        <v>32.979999999999997</v>
      </c>
      <c r="N1343">
        <v>69974</v>
      </c>
      <c r="O1343">
        <v>183018</v>
      </c>
      <c r="P1343" t="s">
        <v>3595</v>
      </c>
      <c r="Q1343" t="s">
        <v>42</v>
      </c>
      <c r="R1343" t="s">
        <v>28</v>
      </c>
      <c r="S1343" t="s">
        <v>29</v>
      </c>
      <c r="T1343">
        <v>2321.88</v>
      </c>
      <c r="U1343">
        <f t="shared" si="280"/>
        <v>659</v>
      </c>
      <c r="V1343">
        <f t="shared" si="281"/>
        <v>248</v>
      </c>
      <c r="W1343">
        <f t="shared" si="282"/>
        <v>203</v>
      </c>
      <c r="X1343">
        <f t="shared" si="283"/>
        <v>0.35149999999999998</v>
      </c>
      <c r="Y1343" s="1">
        <f t="shared" si="284"/>
        <v>33597755</v>
      </c>
      <c r="Z1343">
        <f t="shared" si="285"/>
        <v>50982.936267071324</v>
      </c>
      <c r="AA1343">
        <f t="shared" si="286"/>
        <v>99996</v>
      </c>
      <c r="AB1343">
        <f t="shared" si="287"/>
        <v>5091</v>
      </c>
      <c r="AC1343">
        <f t="shared" si="288"/>
        <v>893730.63999999966</v>
      </c>
      <c r="AD1343">
        <f t="shared" si="289"/>
        <v>1356.192169954476</v>
      </c>
      <c r="AE1343">
        <f t="shared" si="290"/>
        <v>0.35149999999999998</v>
      </c>
      <c r="AF1343">
        <f t="shared" si="291"/>
        <v>296441354.14999956</v>
      </c>
      <c r="AG1343" t="str">
        <f t="shared" si="292"/>
        <v>Active</v>
      </c>
      <c r="AH1343">
        <f t="shared" si="293"/>
        <v>27862.560000000001</v>
      </c>
    </row>
    <row r="1344" spans="1:34" x14ac:dyDescent="0.35">
      <c r="A1344" t="s">
        <v>3596</v>
      </c>
      <c r="B1344" t="s">
        <v>3597</v>
      </c>
      <c r="C1344">
        <v>27</v>
      </c>
      <c r="D1344" t="s">
        <v>22</v>
      </c>
      <c r="E1344" t="s">
        <v>39</v>
      </c>
      <c r="F1344" t="s">
        <v>46</v>
      </c>
      <c r="G1344">
        <v>30290</v>
      </c>
      <c r="H1344">
        <v>531</v>
      </c>
      <c r="I1344">
        <v>55054</v>
      </c>
      <c r="J1344">
        <v>20.58</v>
      </c>
      <c r="K1344">
        <v>360</v>
      </c>
      <c r="L1344" t="s">
        <v>40</v>
      </c>
      <c r="M1344">
        <v>55.4</v>
      </c>
      <c r="N1344">
        <v>21811</v>
      </c>
      <c r="O1344">
        <v>188368</v>
      </c>
      <c r="P1344" t="s">
        <v>263</v>
      </c>
      <c r="Q1344" t="s">
        <v>61</v>
      </c>
      <c r="R1344" t="s">
        <v>28</v>
      </c>
      <c r="S1344" t="s">
        <v>49</v>
      </c>
      <c r="T1344">
        <v>184.4</v>
      </c>
      <c r="U1344">
        <f t="shared" si="280"/>
        <v>658</v>
      </c>
      <c r="V1344">
        <f t="shared" si="281"/>
        <v>247</v>
      </c>
      <c r="W1344">
        <f t="shared" si="282"/>
        <v>203</v>
      </c>
      <c r="X1344">
        <f t="shared" si="283"/>
        <v>0.35149999999999998</v>
      </c>
      <c r="Y1344" s="1">
        <f t="shared" si="284"/>
        <v>33526894</v>
      </c>
      <c r="Z1344">
        <f t="shared" si="285"/>
        <v>50952.726443768996</v>
      </c>
      <c r="AA1344">
        <f t="shared" si="286"/>
        <v>99996</v>
      </c>
      <c r="AB1344">
        <f t="shared" si="287"/>
        <v>5091</v>
      </c>
      <c r="AC1344">
        <f t="shared" si="288"/>
        <v>891408.75999999966</v>
      </c>
      <c r="AD1344">
        <f t="shared" si="289"/>
        <v>1354.7245592705162</v>
      </c>
      <c r="AE1344">
        <f t="shared" si="290"/>
        <v>0.35149999999999998</v>
      </c>
      <c r="AF1344">
        <f t="shared" si="291"/>
        <v>295547623.50999951</v>
      </c>
      <c r="AG1344" t="str">
        <f t="shared" si="292"/>
        <v>Active</v>
      </c>
      <c r="AH1344">
        <f t="shared" si="293"/>
        <v>2212.8000000000002</v>
      </c>
    </row>
    <row r="1345" spans="1:34" x14ac:dyDescent="0.35">
      <c r="A1345" t="s">
        <v>3598</v>
      </c>
      <c r="B1345" t="s">
        <v>3599</v>
      </c>
      <c r="C1345">
        <v>44</v>
      </c>
      <c r="D1345" t="s">
        <v>22</v>
      </c>
      <c r="E1345" t="s">
        <v>39</v>
      </c>
      <c r="F1345" t="s">
        <v>24</v>
      </c>
      <c r="G1345">
        <v>132154</v>
      </c>
      <c r="H1345">
        <v>532</v>
      </c>
      <c r="I1345">
        <v>33154</v>
      </c>
      <c r="J1345">
        <v>23.64</v>
      </c>
      <c r="K1345">
        <v>24</v>
      </c>
      <c r="L1345" t="s">
        <v>52</v>
      </c>
      <c r="M1345">
        <v>37.159999999999997</v>
      </c>
      <c r="N1345">
        <v>46450</v>
      </c>
      <c r="O1345">
        <v>191732</v>
      </c>
      <c r="P1345" t="s">
        <v>2203</v>
      </c>
      <c r="Q1345" t="s">
        <v>27</v>
      </c>
      <c r="R1345" t="s">
        <v>48</v>
      </c>
      <c r="S1345" t="s">
        <v>49</v>
      </c>
      <c r="T1345">
        <v>1707.98</v>
      </c>
      <c r="U1345">
        <f t="shared" si="280"/>
        <v>657</v>
      </c>
      <c r="V1345">
        <f t="shared" si="281"/>
        <v>247</v>
      </c>
      <c r="W1345">
        <f t="shared" si="282"/>
        <v>202</v>
      </c>
      <c r="X1345">
        <f t="shared" si="283"/>
        <v>0.35149999999999998</v>
      </c>
      <c r="Y1345" s="1">
        <f t="shared" si="284"/>
        <v>33471840</v>
      </c>
      <c r="Z1345">
        <f t="shared" si="285"/>
        <v>50946.48401826484</v>
      </c>
      <c r="AA1345">
        <f t="shared" si="286"/>
        <v>99996</v>
      </c>
      <c r="AB1345">
        <f t="shared" si="287"/>
        <v>5091</v>
      </c>
      <c r="AC1345">
        <f t="shared" si="288"/>
        <v>891224.35999999975</v>
      </c>
      <c r="AD1345">
        <f t="shared" si="289"/>
        <v>1356.5058751902584</v>
      </c>
      <c r="AE1345">
        <f t="shared" si="290"/>
        <v>0.35149999999999998</v>
      </c>
      <c r="AF1345">
        <f t="shared" si="291"/>
        <v>294656214.74999946</v>
      </c>
      <c r="AG1345" t="str">
        <f t="shared" si="292"/>
        <v>Active</v>
      </c>
      <c r="AH1345">
        <f t="shared" si="293"/>
        <v>20495.760000000002</v>
      </c>
    </row>
    <row r="1346" spans="1:34" x14ac:dyDescent="0.35">
      <c r="A1346" t="s">
        <v>3600</v>
      </c>
      <c r="B1346" t="s">
        <v>3601</v>
      </c>
      <c r="C1346">
        <v>25</v>
      </c>
      <c r="D1346" t="s">
        <v>38</v>
      </c>
      <c r="E1346" t="s">
        <v>32</v>
      </c>
      <c r="F1346" t="s">
        <v>24</v>
      </c>
      <c r="G1346">
        <v>167921</v>
      </c>
      <c r="H1346">
        <v>772</v>
      </c>
      <c r="I1346">
        <v>49367</v>
      </c>
      <c r="J1346">
        <v>22.19</v>
      </c>
      <c r="K1346">
        <v>120</v>
      </c>
      <c r="L1346" t="s">
        <v>25</v>
      </c>
      <c r="M1346">
        <v>55.29</v>
      </c>
      <c r="N1346">
        <v>1336</v>
      </c>
      <c r="O1346">
        <v>145565</v>
      </c>
      <c r="P1346" t="s">
        <v>2118</v>
      </c>
      <c r="Q1346" t="s">
        <v>27</v>
      </c>
      <c r="R1346" t="s">
        <v>48</v>
      </c>
      <c r="S1346" t="s">
        <v>35</v>
      </c>
      <c r="T1346">
        <v>502.68</v>
      </c>
      <c r="U1346">
        <f t="shared" ref="U1346:U1409" si="294">COUNTA(A1346:A3345)</f>
        <v>656</v>
      </c>
      <c r="V1346">
        <f t="shared" ref="V1346:V1409" si="295">COUNTIF(Q1346:Q3345,"APPROVED")</f>
        <v>247</v>
      </c>
      <c r="W1346">
        <f t="shared" ref="W1346:W1409" si="296">COUNTIF(Q1346:Q3346,"Rejected")</f>
        <v>202</v>
      </c>
      <c r="X1346">
        <f t="shared" ref="X1346:X1409" si="297">703/2000</f>
        <v>0.35149999999999998</v>
      </c>
      <c r="Y1346" s="1">
        <f t="shared" ref="Y1346:Y1409" si="298">SUM(I1346:I3345)</f>
        <v>33438686</v>
      </c>
      <c r="Z1346">
        <f t="shared" ref="Z1346:Z1409" si="299">AVERAGE(I1346:I21345)</f>
        <v>50973.606707317071</v>
      </c>
      <c r="AA1346">
        <f t="shared" ref="AA1346:AA1409" si="300">MAX(I1346:I3345)</f>
        <v>99996</v>
      </c>
      <c r="AB1346">
        <f t="shared" ref="AB1346:AB1409" si="301">MIN(I1346:I3345)</f>
        <v>5091</v>
      </c>
      <c r="AC1346">
        <f t="shared" ref="AC1346:AC1409" si="302">SUM(T1346:T3345)</f>
        <v>889516.37999999966</v>
      </c>
      <c r="AD1346">
        <f t="shared" ref="AD1346:AD1409" si="303">AVERAGE(T1346:T3345)</f>
        <v>1355.9700914634141</v>
      </c>
      <c r="AE1346">
        <f t="shared" ref="AE1346:AE1409" si="304">703/2000</f>
        <v>0.35149999999999998</v>
      </c>
      <c r="AF1346">
        <f t="shared" ref="AF1346:AF1409" si="305">SUM(AC1346:AC3345)</f>
        <v>293764990.38999945</v>
      </c>
      <c r="AG1346" t="str">
        <f t="shared" ref="AG1346:AG1409" si="306">IF(AH1346=0,"Bad", IF(AH1345&lt;I1345, "Active", IF(AH1345=I1345, "Good", "Over Paid")))</f>
        <v>Active</v>
      </c>
      <c r="AH1346">
        <f t="shared" ref="AH1346:AH1409" si="307">T1346*12</f>
        <v>6032.16</v>
      </c>
    </row>
    <row r="1347" spans="1:34" x14ac:dyDescent="0.35">
      <c r="A1347" t="s">
        <v>3602</v>
      </c>
      <c r="B1347" t="s">
        <v>3603</v>
      </c>
      <c r="C1347">
        <v>36</v>
      </c>
      <c r="D1347" t="s">
        <v>22</v>
      </c>
      <c r="E1347" t="s">
        <v>32</v>
      </c>
      <c r="F1347" t="s">
        <v>46</v>
      </c>
      <c r="G1347">
        <v>171551</v>
      </c>
      <c r="H1347">
        <v>734</v>
      </c>
      <c r="I1347">
        <v>74463</v>
      </c>
      <c r="J1347">
        <v>19.72</v>
      </c>
      <c r="K1347">
        <v>48</v>
      </c>
      <c r="L1347" t="s">
        <v>33</v>
      </c>
      <c r="M1347">
        <v>39.89</v>
      </c>
      <c r="N1347">
        <v>37460</v>
      </c>
      <c r="O1347">
        <v>64203</v>
      </c>
      <c r="P1347" t="s">
        <v>3604</v>
      </c>
      <c r="Q1347" t="s">
        <v>27</v>
      </c>
      <c r="R1347" t="s">
        <v>48</v>
      </c>
      <c r="S1347" t="s">
        <v>43</v>
      </c>
      <c r="T1347">
        <v>1857.23</v>
      </c>
      <c r="U1347">
        <f t="shared" si="294"/>
        <v>655</v>
      </c>
      <c r="V1347">
        <f t="shared" si="295"/>
        <v>247</v>
      </c>
      <c r="W1347">
        <f t="shared" si="296"/>
        <v>202</v>
      </c>
      <c r="X1347">
        <f t="shared" si="297"/>
        <v>0.35149999999999998</v>
      </c>
      <c r="Y1347" s="1">
        <f t="shared" si="298"/>
        <v>33389319</v>
      </c>
      <c r="Z1347">
        <f t="shared" si="299"/>
        <v>50976.05954198473</v>
      </c>
      <c r="AA1347">
        <f t="shared" si="300"/>
        <v>99996</v>
      </c>
      <c r="AB1347">
        <f t="shared" si="301"/>
        <v>5091</v>
      </c>
      <c r="AC1347">
        <f t="shared" si="302"/>
        <v>889013.69999999949</v>
      </c>
      <c r="AD1347">
        <f t="shared" si="303"/>
        <v>1357.2728244274801</v>
      </c>
      <c r="AE1347">
        <f t="shared" si="304"/>
        <v>0.35149999999999998</v>
      </c>
      <c r="AF1347">
        <f t="shared" si="305"/>
        <v>292875474.00999951</v>
      </c>
      <c r="AG1347" t="str">
        <f t="shared" si="306"/>
        <v>Active</v>
      </c>
      <c r="AH1347">
        <f t="shared" si="307"/>
        <v>22286.760000000002</v>
      </c>
    </row>
    <row r="1348" spans="1:34" x14ac:dyDescent="0.35">
      <c r="A1348" t="s">
        <v>3605</v>
      </c>
      <c r="B1348" t="s">
        <v>3606</v>
      </c>
      <c r="C1348">
        <v>50</v>
      </c>
      <c r="D1348" t="s">
        <v>22</v>
      </c>
      <c r="E1348" t="s">
        <v>23</v>
      </c>
      <c r="F1348" t="s">
        <v>59</v>
      </c>
      <c r="G1348">
        <v>20521</v>
      </c>
      <c r="H1348">
        <v>739</v>
      </c>
      <c r="I1348">
        <v>11512</v>
      </c>
      <c r="J1348">
        <v>15.85</v>
      </c>
      <c r="K1348">
        <v>36</v>
      </c>
      <c r="L1348" t="s">
        <v>52</v>
      </c>
      <c r="M1348">
        <v>52.8</v>
      </c>
      <c r="N1348">
        <v>17343</v>
      </c>
      <c r="O1348">
        <v>72994</v>
      </c>
      <c r="P1348" t="s">
        <v>3607</v>
      </c>
      <c r="Q1348" t="s">
        <v>61</v>
      </c>
      <c r="R1348" t="s">
        <v>28</v>
      </c>
      <c r="S1348" t="s">
        <v>35</v>
      </c>
      <c r="T1348">
        <v>370.46</v>
      </c>
      <c r="U1348">
        <f t="shared" si="294"/>
        <v>654</v>
      </c>
      <c r="V1348">
        <f t="shared" si="295"/>
        <v>247</v>
      </c>
      <c r="W1348">
        <f t="shared" si="296"/>
        <v>202</v>
      </c>
      <c r="X1348">
        <f t="shared" si="297"/>
        <v>0.35149999999999998</v>
      </c>
      <c r="Y1348" s="1">
        <f t="shared" si="298"/>
        <v>33314856</v>
      </c>
      <c r="Z1348">
        <f t="shared" si="299"/>
        <v>50940.146788990824</v>
      </c>
      <c r="AA1348">
        <f t="shared" si="300"/>
        <v>99996</v>
      </c>
      <c r="AB1348">
        <f t="shared" si="301"/>
        <v>5091</v>
      </c>
      <c r="AC1348">
        <f t="shared" si="302"/>
        <v>887156.46999999951</v>
      </c>
      <c r="AD1348">
        <f t="shared" si="303"/>
        <v>1356.5083639143722</v>
      </c>
      <c r="AE1348">
        <f t="shared" si="304"/>
        <v>0.35149999999999998</v>
      </c>
      <c r="AF1348">
        <f t="shared" si="305"/>
        <v>291986460.30999959</v>
      </c>
      <c r="AG1348" t="str">
        <f t="shared" si="306"/>
        <v>Active</v>
      </c>
      <c r="AH1348">
        <f t="shared" si="307"/>
        <v>4445.5199999999995</v>
      </c>
    </row>
    <row r="1349" spans="1:34" x14ac:dyDescent="0.35">
      <c r="A1349" t="s">
        <v>3608</v>
      </c>
      <c r="B1349" t="s">
        <v>3609</v>
      </c>
      <c r="C1349">
        <v>48</v>
      </c>
      <c r="D1349" t="s">
        <v>22</v>
      </c>
      <c r="E1349" t="s">
        <v>39</v>
      </c>
      <c r="F1349" t="s">
        <v>59</v>
      </c>
      <c r="G1349">
        <v>74727</v>
      </c>
      <c r="H1349">
        <v>787</v>
      </c>
      <c r="I1349">
        <v>68373</v>
      </c>
      <c r="J1349">
        <v>13.84</v>
      </c>
      <c r="K1349">
        <v>360</v>
      </c>
      <c r="L1349" t="s">
        <v>52</v>
      </c>
      <c r="M1349">
        <v>43.14</v>
      </c>
      <c r="N1349">
        <v>3788</v>
      </c>
      <c r="O1349">
        <v>103129</v>
      </c>
      <c r="P1349" t="s">
        <v>2904</v>
      </c>
      <c r="Q1349" t="s">
        <v>61</v>
      </c>
      <c r="R1349" t="s">
        <v>28</v>
      </c>
      <c r="S1349" t="s">
        <v>29</v>
      </c>
      <c r="T1349">
        <v>216.21</v>
      </c>
      <c r="U1349">
        <f t="shared" si="294"/>
        <v>653</v>
      </c>
      <c r="V1349">
        <f t="shared" si="295"/>
        <v>247</v>
      </c>
      <c r="W1349">
        <f t="shared" si="296"/>
        <v>201</v>
      </c>
      <c r="X1349">
        <f t="shared" si="297"/>
        <v>0.35149999999999998</v>
      </c>
      <c r="Y1349" s="1">
        <f t="shared" si="298"/>
        <v>33303344</v>
      </c>
      <c r="Z1349">
        <f t="shared" si="299"/>
        <v>51000.526799387444</v>
      </c>
      <c r="AA1349">
        <f t="shared" si="300"/>
        <v>99996</v>
      </c>
      <c r="AB1349">
        <f t="shared" si="301"/>
        <v>5091</v>
      </c>
      <c r="AC1349">
        <f t="shared" si="302"/>
        <v>886786.00999999943</v>
      </c>
      <c r="AD1349">
        <f t="shared" si="303"/>
        <v>1358.0183920367526</v>
      </c>
      <c r="AE1349">
        <f t="shared" si="304"/>
        <v>0.35149999999999998</v>
      </c>
      <c r="AF1349">
        <f t="shared" si="305"/>
        <v>291099303.83999962</v>
      </c>
      <c r="AG1349" t="str">
        <f t="shared" si="306"/>
        <v>Active</v>
      </c>
      <c r="AH1349">
        <f t="shared" si="307"/>
        <v>2594.52</v>
      </c>
    </row>
    <row r="1350" spans="1:34" x14ac:dyDescent="0.35">
      <c r="A1350" t="s">
        <v>3610</v>
      </c>
      <c r="B1350" t="s">
        <v>3611</v>
      </c>
      <c r="C1350">
        <v>29</v>
      </c>
      <c r="D1350" t="s">
        <v>38</v>
      </c>
      <c r="E1350" t="s">
        <v>39</v>
      </c>
      <c r="F1350" t="s">
        <v>46</v>
      </c>
      <c r="G1350">
        <v>145478</v>
      </c>
      <c r="H1350">
        <v>489</v>
      </c>
      <c r="I1350">
        <v>8895</v>
      </c>
      <c r="J1350">
        <v>13.02</v>
      </c>
      <c r="K1350">
        <v>60</v>
      </c>
      <c r="L1350" t="s">
        <v>25</v>
      </c>
      <c r="M1350">
        <v>24.45</v>
      </c>
      <c r="N1350">
        <v>76100</v>
      </c>
      <c r="O1350">
        <v>24631</v>
      </c>
      <c r="P1350" t="s">
        <v>1362</v>
      </c>
      <c r="Q1350" t="s">
        <v>42</v>
      </c>
      <c r="R1350" t="s">
        <v>28</v>
      </c>
      <c r="S1350" t="s">
        <v>43</v>
      </c>
      <c r="T1350">
        <v>167.55</v>
      </c>
      <c r="U1350">
        <f t="shared" si="294"/>
        <v>652</v>
      </c>
      <c r="V1350">
        <f t="shared" si="295"/>
        <v>247</v>
      </c>
      <c r="W1350">
        <f t="shared" si="296"/>
        <v>200</v>
      </c>
      <c r="X1350">
        <f t="shared" si="297"/>
        <v>0.35149999999999998</v>
      </c>
      <c r="Y1350" s="1">
        <f t="shared" si="298"/>
        <v>33234971</v>
      </c>
      <c r="Z1350">
        <f t="shared" si="299"/>
        <v>50973.88190184049</v>
      </c>
      <c r="AA1350">
        <f t="shared" si="300"/>
        <v>99996</v>
      </c>
      <c r="AB1350">
        <f t="shared" si="301"/>
        <v>5091</v>
      </c>
      <c r="AC1350">
        <f t="shared" si="302"/>
        <v>886569.79999999946</v>
      </c>
      <c r="AD1350">
        <f t="shared" si="303"/>
        <v>1359.7696319018396</v>
      </c>
      <c r="AE1350">
        <f t="shared" si="304"/>
        <v>0.35149999999999998</v>
      </c>
      <c r="AF1350">
        <f t="shared" si="305"/>
        <v>290212517.82999963</v>
      </c>
      <c r="AG1350" t="str">
        <f t="shared" si="306"/>
        <v>Active</v>
      </c>
      <c r="AH1350">
        <f t="shared" si="307"/>
        <v>2010.6000000000001</v>
      </c>
    </row>
    <row r="1351" spans="1:34" x14ac:dyDescent="0.35">
      <c r="A1351" t="s">
        <v>3612</v>
      </c>
      <c r="B1351" t="s">
        <v>3613</v>
      </c>
      <c r="C1351">
        <v>46</v>
      </c>
      <c r="D1351" t="s">
        <v>38</v>
      </c>
      <c r="E1351" t="s">
        <v>23</v>
      </c>
      <c r="F1351" t="s">
        <v>46</v>
      </c>
      <c r="G1351">
        <v>166263</v>
      </c>
      <c r="H1351">
        <v>798</v>
      </c>
      <c r="I1351">
        <v>26701</v>
      </c>
      <c r="J1351">
        <v>7.81</v>
      </c>
      <c r="K1351">
        <v>36</v>
      </c>
      <c r="L1351" t="s">
        <v>40</v>
      </c>
      <c r="M1351">
        <v>42.33</v>
      </c>
      <c r="N1351">
        <v>4888</v>
      </c>
      <c r="O1351">
        <v>138874</v>
      </c>
      <c r="P1351" t="s">
        <v>382</v>
      </c>
      <c r="Q1351" t="s">
        <v>27</v>
      </c>
      <c r="R1351" t="s">
        <v>48</v>
      </c>
      <c r="S1351" t="s">
        <v>43</v>
      </c>
      <c r="T1351">
        <v>799.62</v>
      </c>
      <c r="U1351">
        <f t="shared" si="294"/>
        <v>651</v>
      </c>
      <c r="V1351">
        <f t="shared" si="295"/>
        <v>246</v>
      </c>
      <c r="W1351">
        <f t="shared" si="296"/>
        <v>200</v>
      </c>
      <c r="X1351">
        <f t="shared" si="297"/>
        <v>0.35149999999999998</v>
      </c>
      <c r="Y1351" s="1">
        <f t="shared" si="298"/>
        <v>33226076</v>
      </c>
      <c r="Z1351">
        <f t="shared" si="299"/>
        <v>51038.519201228875</v>
      </c>
      <c r="AA1351">
        <f t="shared" si="300"/>
        <v>99996</v>
      </c>
      <c r="AB1351">
        <f t="shared" si="301"/>
        <v>5091</v>
      </c>
      <c r="AC1351">
        <f t="shared" si="302"/>
        <v>886402.24999999953</v>
      </c>
      <c r="AD1351">
        <f t="shared" si="303"/>
        <v>1361.6009984639011</v>
      </c>
      <c r="AE1351">
        <f t="shared" si="304"/>
        <v>0.35149999999999998</v>
      </c>
      <c r="AF1351">
        <f t="shared" si="305"/>
        <v>289325948.02999961</v>
      </c>
      <c r="AG1351" t="str">
        <f t="shared" si="306"/>
        <v>Active</v>
      </c>
      <c r="AH1351">
        <f t="shared" si="307"/>
        <v>9595.44</v>
      </c>
    </row>
    <row r="1352" spans="1:34" x14ac:dyDescent="0.35">
      <c r="A1352" t="s">
        <v>3614</v>
      </c>
      <c r="B1352" t="s">
        <v>3615</v>
      </c>
      <c r="C1352">
        <v>55</v>
      </c>
      <c r="D1352" t="s">
        <v>22</v>
      </c>
      <c r="E1352" t="s">
        <v>23</v>
      </c>
      <c r="F1352" t="s">
        <v>24</v>
      </c>
      <c r="G1352">
        <v>50777</v>
      </c>
      <c r="H1352">
        <v>842</v>
      </c>
      <c r="I1352">
        <v>84971</v>
      </c>
      <c r="J1352">
        <v>6.82</v>
      </c>
      <c r="K1352">
        <v>36</v>
      </c>
      <c r="L1352" t="s">
        <v>40</v>
      </c>
      <c r="M1352">
        <v>19.95</v>
      </c>
      <c r="N1352">
        <v>35725</v>
      </c>
      <c r="O1352">
        <v>51827</v>
      </c>
      <c r="P1352" t="s">
        <v>3467</v>
      </c>
      <c r="Q1352" t="s">
        <v>27</v>
      </c>
      <c r="R1352" t="s">
        <v>28</v>
      </c>
      <c r="S1352" t="s">
        <v>68</v>
      </c>
      <c r="T1352">
        <v>2521.2800000000002</v>
      </c>
      <c r="U1352">
        <f t="shared" si="294"/>
        <v>650</v>
      </c>
      <c r="V1352">
        <f t="shared" si="295"/>
        <v>246</v>
      </c>
      <c r="W1352">
        <f t="shared" si="296"/>
        <v>200</v>
      </c>
      <c r="X1352">
        <f t="shared" si="297"/>
        <v>0.35149999999999998</v>
      </c>
      <c r="Y1352" s="1">
        <f t="shared" si="298"/>
        <v>33199375</v>
      </c>
      <c r="Z1352">
        <f t="shared" si="299"/>
        <v>51075.961538461539</v>
      </c>
      <c r="AA1352">
        <f t="shared" si="300"/>
        <v>99996</v>
      </c>
      <c r="AB1352">
        <f t="shared" si="301"/>
        <v>5091</v>
      </c>
      <c r="AC1352">
        <f t="shared" si="302"/>
        <v>885602.62999999954</v>
      </c>
      <c r="AD1352">
        <f t="shared" si="303"/>
        <v>1362.4655846153839</v>
      </c>
      <c r="AE1352">
        <f t="shared" si="304"/>
        <v>0.35149999999999998</v>
      </c>
      <c r="AF1352">
        <f t="shared" si="305"/>
        <v>288439545.77999967</v>
      </c>
      <c r="AG1352" t="str">
        <f t="shared" si="306"/>
        <v>Active</v>
      </c>
      <c r="AH1352">
        <f t="shared" si="307"/>
        <v>30255.360000000001</v>
      </c>
    </row>
    <row r="1353" spans="1:34" x14ac:dyDescent="0.35">
      <c r="A1353" t="s">
        <v>3616</v>
      </c>
      <c r="B1353" t="s">
        <v>3617</v>
      </c>
      <c r="C1353">
        <v>56</v>
      </c>
      <c r="D1353" t="s">
        <v>22</v>
      </c>
      <c r="E1353" t="s">
        <v>23</v>
      </c>
      <c r="F1353" t="s">
        <v>59</v>
      </c>
      <c r="G1353">
        <v>89216</v>
      </c>
      <c r="H1353">
        <v>735</v>
      </c>
      <c r="I1353">
        <v>31014</v>
      </c>
      <c r="J1353">
        <v>4.99</v>
      </c>
      <c r="K1353">
        <v>60</v>
      </c>
      <c r="L1353" t="s">
        <v>25</v>
      </c>
      <c r="M1353">
        <v>17.010000000000002</v>
      </c>
      <c r="N1353">
        <v>27736</v>
      </c>
      <c r="O1353">
        <v>201139</v>
      </c>
      <c r="P1353" t="s">
        <v>446</v>
      </c>
      <c r="Q1353" t="s">
        <v>61</v>
      </c>
      <c r="R1353" t="s">
        <v>28</v>
      </c>
      <c r="S1353" t="s">
        <v>43</v>
      </c>
      <c r="T1353">
        <v>542.69000000000005</v>
      </c>
      <c r="U1353">
        <f t="shared" si="294"/>
        <v>649</v>
      </c>
      <c r="V1353">
        <f t="shared" si="295"/>
        <v>246</v>
      </c>
      <c r="W1353">
        <f t="shared" si="296"/>
        <v>200</v>
      </c>
      <c r="X1353">
        <f t="shared" si="297"/>
        <v>0.35149999999999998</v>
      </c>
      <c r="Y1353" s="1">
        <f t="shared" si="298"/>
        <v>33114404</v>
      </c>
      <c r="Z1353">
        <f t="shared" si="299"/>
        <v>51023.734976887521</v>
      </c>
      <c r="AA1353">
        <f t="shared" si="300"/>
        <v>99996</v>
      </c>
      <c r="AB1353">
        <f t="shared" si="301"/>
        <v>5091</v>
      </c>
      <c r="AC1353">
        <f t="shared" si="302"/>
        <v>883081.34999999963</v>
      </c>
      <c r="AD1353">
        <f t="shared" si="303"/>
        <v>1360.680046224961</v>
      </c>
      <c r="AE1353">
        <f t="shared" si="304"/>
        <v>0.35149999999999998</v>
      </c>
      <c r="AF1353">
        <f t="shared" si="305"/>
        <v>287553943.14999962</v>
      </c>
      <c r="AG1353" t="str">
        <f t="shared" si="306"/>
        <v>Active</v>
      </c>
      <c r="AH1353">
        <f t="shared" si="307"/>
        <v>6512.2800000000007</v>
      </c>
    </row>
    <row r="1354" spans="1:34" x14ac:dyDescent="0.35">
      <c r="A1354" t="s">
        <v>3618</v>
      </c>
      <c r="B1354" t="s">
        <v>3619</v>
      </c>
      <c r="C1354">
        <v>24</v>
      </c>
      <c r="D1354" t="s">
        <v>22</v>
      </c>
      <c r="E1354" t="s">
        <v>39</v>
      </c>
      <c r="F1354" t="s">
        <v>24</v>
      </c>
      <c r="G1354">
        <v>95201</v>
      </c>
      <c r="H1354">
        <v>388</v>
      </c>
      <c r="I1354">
        <v>62848</v>
      </c>
      <c r="J1354">
        <v>22.56</v>
      </c>
      <c r="K1354">
        <v>12</v>
      </c>
      <c r="L1354" t="s">
        <v>33</v>
      </c>
      <c r="M1354">
        <v>30.01</v>
      </c>
      <c r="N1354">
        <v>52045</v>
      </c>
      <c r="O1354">
        <v>78838</v>
      </c>
      <c r="P1354" t="s">
        <v>3620</v>
      </c>
      <c r="Q1354" t="s">
        <v>42</v>
      </c>
      <c r="R1354" t="s">
        <v>28</v>
      </c>
      <c r="S1354" t="s">
        <v>68</v>
      </c>
      <c r="T1354">
        <v>6418.88</v>
      </c>
      <c r="U1354">
        <f t="shared" si="294"/>
        <v>648</v>
      </c>
      <c r="V1354">
        <f t="shared" si="295"/>
        <v>246</v>
      </c>
      <c r="W1354">
        <f t="shared" si="296"/>
        <v>199</v>
      </c>
      <c r="X1354">
        <f t="shared" si="297"/>
        <v>0.35149999999999998</v>
      </c>
      <c r="Y1354" s="1">
        <f t="shared" si="298"/>
        <v>33083390</v>
      </c>
      <c r="Z1354">
        <f t="shared" si="299"/>
        <v>51054.614197530864</v>
      </c>
      <c r="AA1354">
        <f t="shared" si="300"/>
        <v>99996</v>
      </c>
      <c r="AB1354">
        <f t="shared" si="301"/>
        <v>5091</v>
      </c>
      <c r="AC1354">
        <f t="shared" si="302"/>
        <v>882538.65999999968</v>
      </c>
      <c r="AD1354">
        <f t="shared" si="303"/>
        <v>1361.9423765432093</v>
      </c>
      <c r="AE1354">
        <f t="shared" si="304"/>
        <v>0.35149999999999998</v>
      </c>
      <c r="AF1354">
        <f t="shared" si="305"/>
        <v>286670861.79999965</v>
      </c>
      <c r="AG1354" t="str">
        <f t="shared" si="306"/>
        <v>Active</v>
      </c>
      <c r="AH1354">
        <f t="shared" si="307"/>
        <v>77026.559999999998</v>
      </c>
    </row>
    <row r="1355" spans="1:34" x14ac:dyDescent="0.35">
      <c r="A1355" t="s">
        <v>3621</v>
      </c>
      <c r="B1355" t="s">
        <v>3622</v>
      </c>
      <c r="C1355">
        <v>64</v>
      </c>
      <c r="D1355" t="s">
        <v>22</v>
      </c>
      <c r="E1355" t="s">
        <v>32</v>
      </c>
      <c r="F1355" t="s">
        <v>59</v>
      </c>
      <c r="G1355">
        <v>179717</v>
      </c>
      <c r="H1355">
        <v>558</v>
      </c>
      <c r="I1355">
        <v>16405</v>
      </c>
      <c r="J1355">
        <v>22.34</v>
      </c>
      <c r="K1355">
        <v>60</v>
      </c>
      <c r="L1355" t="s">
        <v>52</v>
      </c>
      <c r="M1355">
        <v>48.58</v>
      </c>
      <c r="N1355">
        <v>52710</v>
      </c>
      <c r="O1355">
        <v>51943</v>
      </c>
      <c r="P1355" t="s">
        <v>725</v>
      </c>
      <c r="Q1355" t="s">
        <v>27</v>
      </c>
      <c r="R1355" t="s">
        <v>48</v>
      </c>
      <c r="S1355" t="s">
        <v>35</v>
      </c>
      <c r="T1355">
        <v>334.5</v>
      </c>
      <c r="U1355">
        <f t="shared" si="294"/>
        <v>647</v>
      </c>
      <c r="V1355">
        <f t="shared" si="295"/>
        <v>245</v>
      </c>
      <c r="W1355">
        <f t="shared" si="296"/>
        <v>199</v>
      </c>
      <c r="X1355">
        <f t="shared" si="297"/>
        <v>0.35149999999999998</v>
      </c>
      <c r="Y1355" s="1">
        <f t="shared" si="298"/>
        <v>33020542</v>
      </c>
      <c r="Z1355">
        <f t="shared" si="299"/>
        <v>51036.386398763527</v>
      </c>
      <c r="AA1355">
        <f t="shared" si="300"/>
        <v>99996</v>
      </c>
      <c r="AB1355">
        <f t="shared" si="301"/>
        <v>5091</v>
      </c>
      <c r="AC1355">
        <f t="shared" si="302"/>
        <v>876119.77999999968</v>
      </c>
      <c r="AD1355">
        <f t="shared" si="303"/>
        <v>1354.1263987635234</v>
      </c>
      <c r="AE1355">
        <f t="shared" si="304"/>
        <v>0.35149999999999998</v>
      </c>
      <c r="AF1355">
        <f t="shared" si="305"/>
        <v>285788323.13999969</v>
      </c>
      <c r="AG1355" t="str">
        <f t="shared" si="306"/>
        <v>Over Paid</v>
      </c>
      <c r="AH1355">
        <f t="shared" si="307"/>
        <v>4014</v>
      </c>
    </row>
    <row r="1356" spans="1:34" x14ac:dyDescent="0.35">
      <c r="A1356" t="s">
        <v>3623</v>
      </c>
      <c r="B1356" t="s">
        <v>3624</v>
      </c>
      <c r="C1356">
        <v>34</v>
      </c>
      <c r="D1356" t="s">
        <v>38</v>
      </c>
      <c r="E1356" t="s">
        <v>39</v>
      </c>
      <c r="F1356" t="s">
        <v>59</v>
      </c>
      <c r="G1356">
        <v>54404</v>
      </c>
      <c r="H1356">
        <v>345</v>
      </c>
      <c r="I1356">
        <v>96169</v>
      </c>
      <c r="J1356">
        <v>7.41</v>
      </c>
      <c r="K1356">
        <v>60</v>
      </c>
      <c r="L1356" t="s">
        <v>25</v>
      </c>
      <c r="M1356">
        <v>41.64</v>
      </c>
      <c r="N1356">
        <v>30283</v>
      </c>
      <c r="O1356">
        <v>109456</v>
      </c>
      <c r="P1356" t="s">
        <v>3373</v>
      </c>
      <c r="Q1356" t="s">
        <v>61</v>
      </c>
      <c r="R1356" t="s">
        <v>48</v>
      </c>
      <c r="S1356" t="s">
        <v>43</v>
      </c>
      <c r="T1356">
        <v>1721.59</v>
      </c>
      <c r="U1356">
        <f t="shared" si="294"/>
        <v>646</v>
      </c>
      <c r="V1356">
        <f t="shared" si="295"/>
        <v>245</v>
      </c>
      <c r="W1356">
        <f t="shared" si="296"/>
        <v>199</v>
      </c>
      <c r="X1356">
        <f t="shared" si="297"/>
        <v>0.35149999999999998</v>
      </c>
      <c r="Y1356" s="1">
        <f t="shared" si="298"/>
        <v>33004137</v>
      </c>
      <c r="Z1356">
        <f t="shared" si="299"/>
        <v>51089.99535603715</v>
      </c>
      <c r="AA1356">
        <f t="shared" si="300"/>
        <v>99996</v>
      </c>
      <c r="AB1356">
        <f t="shared" si="301"/>
        <v>5091</v>
      </c>
      <c r="AC1356">
        <f t="shared" si="302"/>
        <v>875785.27999999968</v>
      </c>
      <c r="AD1356">
        <f t="shared" si="303"/>
        <v>1355.7047678018571</v>
      </c>
      <c r="AE1356">
        <f t="shared" si="304"/>
        <v>0.35149999999999998</v>
      </c>
      <c r="AF1356">
        <f t="shared" si="305"/>
        <v>284912203.35999966</v>
      </c>
      <c r="AG1356" t="str">
        <f t="shared" si="306"/>
        <v>Active</v>
      </c>
      <c r="AH1356">
        <f t="shared" si="307"/>
        <v>20659.079999999998</v>
      </c>
    </row>
    <row r="1357" spans="1:34" x14ac:dyDescent="0.35">
      <c r="A1357" t="s">
        <v>3625</v>
      </c>
      <c r="B1357" t="s">
        <v>3626</v>
      </c>
      <c r="C1357">
        <v>63</v>
      </c>
      <c r="D1357" t="s">
        <v>22</v>
      </c>
      <c r="E1357" t="s">
        <v>32</v>
      </c>
      <c r="F1357" t="s">
        <v>46</v>
      </c>
      <c r="G1357">
        <v>184828</v>
      </c>
      <c r="H1357">
        <v>671</v>
      </c>
      <c r="I1357">
        <v>41373</v>
      </c>
      <c r="J1357">
        <v>14.62</v>
      </c>
      <c r="K1357">
        <v>120</v>
      </c>
      <c r="L1357" t="s">
        <v>40</v>
      </c>
      <c r="M1357">
        <v>52.42</v>
      </c>
      <c r="N1357">
        <v>37188</v>
      </c>
      <c r="O1357">
        <v>216153</v>
      </c>
      <c r="P1357" t="s">
        <v>3627</v>
      </c>
      <c r="Q1357" t="s">
        <v>61</v>
      </c>
      <c r="R1357" t="s">
        <v>28</v>
      </c>
      <c r="S1357" t="s">
        <v>29</v>
      </c>
      <c r="T1357">
        <v>395.18</v>
      </c>
      <c r="U1357">
        <f t="shared" si="294"/>
        <v>645</v>
      </c>
      <c r="V1357">
        <f t="shared" si="295"/>
        <v>245</v>
      </c>
      <c r="W1357">
        <f t="shared" si="296"/>
        <v>198</v>
      </c>
      <c r="X1357">
        <f t="shared" si="297"/>
        <v>0.35149999999999998</v>
      </c>
      <c r="Y1357" s="1">
        <f t="shared" si="298"/>
        <v>32907968</v>
      </c>
      <c r="Z1357">
        <f t="shared" si="299"/>
        <v>51020.105426356589</v>
      </c>
      <c r="AA1357">
        <f t="shared" si="300"/>
        <v>99996</v>
      </c>
      <c r="AB1357">
        <f t="shared" si="301"/>
        <v>5091</v>
      </c>
      <c r="AC1357">
        <f t="shared" si="302"/>
        <v>874063.68999999959</v>
      </c>
      <c r="AD1357">
        <f t="shared" si="303"/>
        <v>1355.1375038759684</v>
      </c>
      <c r="AE1357">
        <f t="shared" si="304"/>
        <v>0.35149999999999998</v>
      </c>
      <c r="AF1357">
        <f t="shared" si="305"/>
        <v>284036418.07999963</v>
      </c>
      <c r="AG1357" t="str">
        <f t="shared" si="306"/>
        <v>Active</v>
      </c>
      <c r="AH1357">
        <f t="shared" si="307"/>
        <v>4742.16</v>
      </c>
    </row>
    <row r="1358" spans="1:34" x14ac:dyDescent="0.35">
      <c r="A1358" t="s">
        <v>3628</v>
      </c>
      <c r="B1358" t="s">
        <v>3629</v>
      </c>
      <c r="C1358">
        <v>61</v>
      </c>
      <c r="D1358" t="s">
        <v>22</v>
      </c>
      <c r="E1358" t="s">
        <v>39</v>
      </c>
      <c r="F1358" t="s">
        <v>59</v>
      </c>
      <c r="G1358">
        <v>146010</v>
      </c>
      <c r="H1358">
        <v>629</v>
      </c>
      <c r="I1358">
        <v>98704</v>
      </c>
      <c r="J1358">
        <v>13.91</v>
      </c>
      <c r="K1358">
        <v>120</v>
      </c>
      <c r="L1358" t="s">
        <v>25</v>
      </c>
      <c r="M1358">
        <v>19.41</v>
      </c>
      <c r="N1358">
        <v>53442</v>
      </c>
      <c r="O1358">
        <v>106851</v>
      </c>
      <c r="P1358" t="s">
        <v>3630</v>
      </c>
      <c r="Q1358" t="s">
        <v>61</v>
      </c>
      <c r="R1358" t="s">
        <v>28</v>
      </c>
      <c r="S1358" t="s">
        <v>43</v>
      </c>
      <c r="T1358">
        <v>936.95</v>
      </c>
      <c r="U1358">
        <f t="shared" si="294"/>
        <v>644</v>
      </c>
      <c r="V1358">
        <f t="shared" si="295"/>
        <v>245</v>
      </c>
      <c r="W1358">
        <f t="shared" si="296"/>
        <v>197</v>
      </c>
      <c r="X1358">
        <f t="shared" si="297"/>
        <v>0.35149999999999998</v>
      </c>
      <c r="Y1358" s="1">
        <f t="shared" si="298"/>
        <v>32866595</v>
      </c>
      <c r="Z1358">
        <f t="shared" si="299"/>
        <v>51035.085403726705</v>
      </c>
      <c r="AA1358">
        <f t="shared" si="300"/>
        <v>99996</v>
      </c>
      <c r="AB1358">
        <f t="shared" si="301"/>
        <v>5091</v>
      </c>
      <c r="AC1358">
        <f t="shared" si="302"/>
        <v>873668.50999999954</v>
      </c>
      <c r="AD1358">
        <f t="shared" si="303"/>
        <v>1356.6281211180117</v>
      </c>
      <c r="AE1358">
        <f t="shared" si="304"/>
        <v>0.35149999999999998</v>
      </c>
      <c r="AF1358">
        <f t="shared" si="305"/>
        <v>283162354.38999963</v>
      </c>
      <c r="AG1358" t="str">
        <f t="shared" si="306"/>
        <v>Active</v>
      </c>
      <c r="AH1358">
        <f t="shared" si="307"/>
        <v>11243.400000000001</v>
      </c>
    </row>
    <row r="1359" spans="1:34" x14ac:dyDescent="0.35">
      <c r="A1359" t="s">
        <v>3631</v>
      </c>
      <c r="B1359" t="s">
        <v>3632</v>
      </c>
      <c r="C1359">
        <v>57</v>
      </c>
      <c r="D1359" t="s">
        <v>22</v>
      </c>
      <c r="E1359" t="s">
        <v>32</v>
      </c>
      <c r="F1359" t="s">
        <v>46</v>
      </c>
      <c r="G1359">
        <v>62799</v>
      </c>
      <c r="H1359">
        <v>624</v>
      </c>
      <c r="I1359">
        <v>72929</v>
      </c>
      <c r="J1359">
        <v>16.09</v>
      </c>
      <c r="K1359">
        <v>180</v>
      </c>
      <c r="L1359" t="s">
        <v>33</v>
      </c>
      <c r="M1359">
        <v>39.229999999999997</v>
      </c>
      <c r="N1359">
        <v>26020</v>
      </c>
      <c r="O1359">
        <v>64332</v>
      </c>
      <c r="P1359" t="s">
        <v>2897</v>
      </c>
      <c r="Q1359" t="s">
        <v>42</v>
      </c>
      <c r="R1359" t="s">
        <v>28</v>
      </c>
      <c r="S1359" t="s">
        <v>49</v>
      </c>
      <c r="T1359">
        <v>470.35</v>
      </c>
      <c r="U1359">
        <f t="shared" si="294"/>
        <v>643</v>
      </c>
      <c r="V1359">
        <f t="shared" si="295"/>
        <v>245</v>
      </c>
      <c r="W1359">
        <f t="shared" si="296"/>
        <v>196</v>
      </c>
      <c r="X1359">
        <f t="shared" si="297"/>
        <v>0.35149999999999998</v>
      </c>
      <c r="Y1359" s="1">
        <f t="shared" si="298"/>
        <v>32767891</v>
      </c>
      <c r="Z1359">
        <f t="shared" si="299"/>
        <v>50960.950233281495</v>
      </c>
      <c r="AA1359">
        <f t="shared" si="300"/>
        <v>99996</v>
      </c>
      <c r="AB1359">
        <f t="shared" si="301"/>
        <v>5091</v>
      </c>
      <c r="AC1359">
        <f t="shared" si="302"/>
        <v>872731.55999999959</v>
      </c>
      <c r="AD1359">
        <f t="shared" si="303"/>
        <v>1357.2808087091751</v>
      </c>
      <c r="AE1359">
        <f t="shared" si="304"/>
        <v>0.35149999999999998</v>
      </c>
      <c r="AF1359">
        <f t="shared" si="305"/>
        <v>282288685.87999958</v>
      </c>
      <c r="AG1359" t="str">
        <f t="shared" si="306"/>
        <v>Active</v>
      </c>
      <c r="AH1359">
        <f t="shared" si="307"/>
        <v>5644.2000000000007</v>
      </c>
    </row>
    <row r="1360" spans="1:34" x14ac:dyDescent="0.35">
      <c r="A1360" t="s">
        <v>3633</v>
      </c>
      <c r="B1360" t="s">
        <v>3634</v>
      </c>
      <c r="C1360">
        <v>65</v>
      </c>
      <c r="D1360" t="s">
        <v>22</v>
      </c>
      <c r="E1360" t="s">
        <v>39</v>
      </c>
      <c r="F1360" t="s">
        <v>24</v>
      </c>
      <c r="G1360">
        <v>83458</v>
      </c>
      <c r="H1360">
        <v>466</v>
      </c>
      <c r="I1360">
        <v>96987</v>
      </c>
      <c r="J1360">
        <v>13.18</v>
      </c>
      <c r="K1360">
        <v>12</v>
      </c>
      <c r="L1360" t="s">
        <v>52</v>
      </c>
      <c r="M1360">
        <v>50.03</v>
      </c>
      <c r="N1360">
        <v>24604</v>
      </c>
      <c r="O1360">
        <v>36121</v>
      </c>
      <c r="P1360" t="s">
        <v>3283</v>
      </c>
      <c r="Q1360" t="s">
        <v>61</v>
      </c>
      <c r="R1360" t="s">
        <v>28</v>
      </c>
      <c r="S1360" t="s">
        <v>68</v>
      </c>
      <c r="T1360">
        <v>9147.49</v>
      </c>
      <c r="U1360">
        <f t="shared" si="294"/>
        <v>642</v>
      </c>
      <c r="V1360">
        <f t="shared" si="295"/>
        <v>244</v>
      </c>
      <c r="W1360">
        <f t="shared" si="296"/>
        <v>196</v>
      </c>
      <c r="X1360">
        <f t="shared" si="297"/>
        <v>0.35149999999999998</v>
      </c>
      <c r="Y1360" s="1">
        <f t="shared" si="298"/>
        <v>32694962</v>
      </c>
      <c r="Z1360">
        <f t="shared" si="299"/>
        <v>50926.732087227414</v>
      </c>
      <c r="AA1360">
        <f t="shared" si="300"/>
        <v>99996</v>
      </c>
      <c r="AB1360">
        <f t="shared" si="301"/>
        <v>5091</v>
      </c>
      <c r="AC1360">
        <f t="shared" si="302"/>
        <v>872261.20999999961</v>
      </c>
      <c r="AD1360">
        <f t="shared" si="303"/>
        <v>1358.6623208722735</v>
      </c>
      <c r="AE1360">
        <f t="shared" si="304"/>
        <v>0.35149999999999998</v>
      </c>
      <c r="AF1360">
        <f t="shared" si="305"/>
        <v>281415954.31999952</v>
      </c>
      <c r="AG1360" t="str">
        <f t="shared" si="306"/>
        <v>Active</v>
      </c>
      <c r="AH1360">
        <f t="shared" si="307"/>
        <v>109769.88</v>
      </c>
    </row>
    <row r="1361" spans="1:34" x14ac:dyDescent="0.35">
      <c r="A1361" t="s">
        <v>3635</v>
      </c>
      <c r="B1361" t="s">
        <v>3636</v>
      </c>
      <c r="C1361">
        <v>32</v>
      </c>
      <c r="D1361" t="s">
        <v>22</v>
      </c>
      <c r="E1361" t="s">
        <v>39</v>
      </c>
      <c r="F1361" t="s">
        <v>46</v>
      </c>
      <c r="G1361">
        <v>68949</v>
      </c>
      <c r="H1361">
        <v>553</v>
      </c>
      <c r="I1361">
        <v>60347</v>
      </c>
      <c r="J1361">
        <v>9.44</v>
      </c>
      <c r="K1361">
        <v>180</v>
      </c>
      <c r="L1361" t="s">
        <v>52</v>
      </c>
      <c r="M1361">
        <v>56.2</v>
      </c>
      <c r="N1361">
        <v>26943</v>
      </c>
      <c r="O1361">
        <v>117819</v>
      </c>
      <c r="P1361" t="s">
        <v>3637</v>
      </c>
      <c r="Q1361" t="s">
        <v>42</v>
      </c>
      <c r="R1361" t="s">
        <v>28</v>
      </c>
      <c r="S1361" t="s">
        <v>43</v>
      </c>
      <c r="T1361">
        <v>366.91</v>
      </c>
      <c r="U1361">
        <f t="shared" si="294"/>
        <v>641</v>
      </c>
      <c r="V1361">
        <f t="shared" si="295"/>
        <v>244</v>
      </c>
      <c r="W1361">
        <f t="shared" si="296"/>
        <v>195</v>
      </c>
      <c r="X1361">
        <f t="shared" si="297"/>
        <v>0.35149999999999998</v>
      </c>
      <c r="Y1361" s="1">
        <f t="shared" si="298"/>
        <v>32597975</v>
      </c>
      <c r="Z1361">
        <f t="shared" si="299"/>
        <v>50854.8751950078</v>
      </c>
      <c r="AA1361">
        <f t="shared" si="300"/>
        <v>99996</v>
      </c>
      <c r="AB1361">
        <f t="shared" si="301"/>
        <v>5091</v>
      </c>
      <c r="AC1361">
        <f t="shared" si="302"/>
        <v>863113.71999999962</v>
      </c>
      <c r="AD1361">
        <f t="shared" si="303"/>
        <v>1346.5112636505455</v>
      </c>
      <c r="AE1361">
        <f t="shared" si="304"/>
        <v>0.35149999999999998</v>
      </c>
      <c r="AF1361">
        <f t="shared" si="305"/>
        <v>280543693.1099996</v>
      </c>
      <c r="AG1361" t="str">
        <f t="shared" si="306"/>
        <v>Over Paid</v>
      </c>
      <c r="AH1361">
        <f t="shared" si="307"/>
        <v>4402.92</v>
      </c>
    </row>
    <row r="1362" spans="1:34" x14ac:dyDescent="0.35">
      <c r="A1362" t="s">
        <v>3638</v>
      </c>
      <c r="B1362" t="s">
        <v>3639</v>
      </c>
      <c r="C1362">
        <v>34</v>
      </c>
      <c r="D1362" t="s">
        <v>22</v>
      </c>
      <c r="E1362" t="s">
        <v>32</v>
      </c>
      <c r="F1362" t="s">
        <v>59</v>
      </c>
      <c r="G1362">
        <v>26946</v>
      </c>
      <c r="H1362">
        <v>579</v>
      </c>
      <c r="I1362">
        <v>24046</v>
      </c>
      <c r="J1362">
        <v>15.75</v>
      </c>
      <c r="K1362">
        <v>120</v>
      </c>
      <c r="L1362" t="s">
        <v>52</v>
      </c>
      <c r="M1362">
        <v>45.23</v>
      </c>
      <c r="N1362">
        <v>5205</v>
      </c>
      <c r="O1362">
        <v>105602</v>
      </c>
      <c r="P1362" t="s">
        <v>200</v>
      </c>
      <c r="Q1362" t="s">
        <v>61</v>
      </c>
      <c r="R1362" t="s">
        <v>48</v>
      </c>
      <c r="S1362" t="s">
        <v>29</v>
      </c>
      <c r="T1362">
        <v>231.94</v>
      </c>
      <c r="U1362">
        <f t="shared" si="294"/>
        <v>640</v>
      </c>
      <c r="V1362">
        <f t="shared" si="295"/>
        <v>243</v>
      </c>
      <c r="W1362">
        <f t="shared" si="296"/>
        <v>195</v>
      </c>
      <c r="X1362">
        <f t="shared" si="297"/>
        <v>0.35149999999999998</v>
      </c>
      <c r="Y1362" s="1">
        <f t="shared" si="298"/>
        <v>32537628</v>
      </c>
      <c r="Z1362">
        <f t="shared" si="299"/>
        <v>50840.043749999997</v>
      </c>
      <c r="AA1362">
        <f t="shared" si="300"/>
        <v>99996</v>
      </c>
      <c r="AB1362">
        <f t="shared" si="301"/>
        <v>5091</v>
      </c>
      <c r="AC1362">
        <f t="shared" si="302"/>
        <v>862746.80999999959</v>
      </c>
      <c r="AD1362">
        <f t="shared" si="303"/>
        <v>1348.0418906249993</v>
      </c>
      <c r="AE1362">
        <f t="shared" si="304"/>
        <v>0.35149999999999998</v>
      </c>
      <c r="AF1362">
        <f t="shared" si="305"/>
        <v>279680579.38999951</v>
      </c>
      <c r="AG1362" t="str">
        <f t="shared" si="306"/>
        <v>Active</v>
      </c>
      <c r="AH1362">
        <f t="shared" si="307"/>
        <v>2783.2799999999997</v>
      </c>
    </row>
    <row r="1363" spans="1:34" x14ac:dyDescent="0.35">
      <c r="A1363" t="s">
        <v>3640</v>
      </c>
      <c r="B1363" t="s">
        <v>3641</v>
      </c>
      <c r="C1363">
        <v>36</v>
      </c>
      <c r="D1363" t="s">
        <v>38</v>
      </c>
      <c r="E1363" t="s">
        <v>39</v>
      </c>
      <c r="F1363" t="s">
        <v>59</v>
      </c>
      <c r="G1363">
        <v>43816</v>
      </c>
      <c r="H1363">
        <v>604</v>
      </c>
      <c r="I1363">
        <v>76139</v>
      </c>
      <c r="J1363">
        <v>19.04</v>
      </c>
      <c r="K1363">
        <v>12</v>
      </c>
      <c r="L1363" t="s">
        <v>86</v>
      </c>
      <c r="M1363">
        <v>44.39</v>
      </c>
      <c r="N1363">
        <v>26247</v>
      </c>
      <c r="O1363">
        <v>134657</v>
      </c>
      <c r="P1363" t="s">
        <v>2494</v>
      </c>
      <c r="Q1363" t="s">
        <v>27</v>
      </c>
      <c r="R1363" t="s">
        <v>28</v>
      </c>
      <c r="S1363" t="s">
        <v>35</v>
      </c>
      <c r="T1363">
        <v>7552.99</v>
      </c>
      <c r="U1363">
        <f t="shared" si="294"/>
        <v>639</v>
      </c>
      <c r="V1363">
        <f t="shared" si="295"/>
        <v>243</v>
      </c>
      <c r="W1363">
        <f t="shared" si="296"/>
        <v>194</v>
      </c>
      <c r="X1363">
        <f t="shared" si="297"/>
        <v>0.35149999999999998</v>
      </c>
      <c r="Y1363" s="1">
        <f t="shared" si="298"/>
        <v>32513582</v>
      </c>
      <c r="Z1363">
        <f t="shared" si="299"/>
        <v>50881.974960876367</v>
      </c>
      <c r="AA1363">
        <f t="shared" si="300"/>
        <v>99996</v>
      </c>
      <c r="AB1363">
        <f t="shared" si="301"/>
        <v>5091</v>
      </c>
      <c r="AC1363">
        <f t="shared" si="302"/>
        <v>862514.86999999965</v>
      </c>
      <c r="AD1363">
        <f t="shared" si="303"/>
        <v>1349.7885289514861</v>
      </c>
      <c r="AE1363">
        <f t="shared" si="304"/>
        <v>0.35149999999999998</v>
      </c>
      <c r="AF1363">
        <f t="shared" si="305"/>
        <v>278817832.57999957</v>
      </c>
      <c r="AG1363" t="str">
        <f t="shared" si="306"/>
        <v>Active</v>
      </c>
      <c r="AH1363">
        <f t="shared" si="307"/>
        <v>90635.88</v>
      </c>
    </row>
    <row r="1364" spans="1:34" x14ac:dyDescent="0.35">
      <c r="A1364" t="s">
        <v>3642</v>
      </c>
      <c r="B1364" t="s">
        <v>3643</v>
      </c>
      <c r="C1364">
        <v>64</v>
      </c>
      <c r="D1364" t="s">
        <v>22</v>
      </c>
      <c r="E1364" t="s">
        <v>23</v>
      </c>
      <c r="F1364" t="s">
        <v>59</v>
      </c>
      <c r="G1364">
        <v>119452</v>
      </c>
      <c r="H1364">
        <v>807</v>
      </c>
      <c r="I1364">
        <v>29728</v>
      </c>
      <c r="J1364">
        <v>17.72</v>
      </c>
      <c r="K1364">
        <v>360</v>
      </c>
      <c r="L1364" t="s">
        <v>52</v>
      </c>
      <c r="M1364">
        <v>53.06</v>
      </c>
      <c r="N1364">
        <v>22518</v>
      </c>
      <c r="O1364">
        <v>53936</v>
      </c>
      <c r="P1364" t="s">
        <v>3644</v>
      </c>
      <c r="Q1364" t="s">
        <v>42</v>
      </c>
      <c r="R1364" t="s">
        <v>28</v>
      </c>
      <c r="S1364" t="s">
        <v>35</v>
      </c>
      <c r="T1364">
        <v>97.21</v>
      </c>
      <c r="U1364">
        <f t="shared" si="294"/>
        <v>638</v>
      </c>
      <c r="V1364">
        <f t="shared" si="295"/>
        <v>243</v>
      </c>
      <c r="W1364">
        <f t="shared" si="296"/>
        <v>194</v>
      </c>
      <c r="X1364">
        <f t="shared" si="297"/>
        <v>0.35149999999999998</v>
      </c>
      <c r="Y1364" s="1">
        <f t="shared" si="298"/>
        <v>32437443</v>
      </c>
      <c r="Z1364">
        <f t="shared" si="299"/>
        <v>50842.387147335423</v>
      </c>
      <c r="AA1364">
        <f t="shared" si="300"/>
        <v>99996</v>
      </c>
      <c r="AB1364">
        <f t="shared" si="301"/>
        <v>5091</v>
      </c>
      <c r="AC1364">
        <f t="shared" si="302"/>
        <v>854961.87999999977</v>
      </c>
      <c r="AD1364">
        <f t="shared" si="303"/>
        <v>1340.0656426332284</v>
      </c>
      <c r="AE1364">
        <f t="shared" si="304"/>
        <v>0.35149999999999998</v>
      </c>
      <c r="AF1364">
        <f t="shared" si="305"/>
        <v>277955317.7099995</v>
      </c>
      <c r="AG1364" t="str">
        <f t="shared" si="306"/>
        <v>Over Paid</v>
      </c>
      <c r="AH1364">
        <f t="shared" si="307"/>
        <v>1166.52</v>
      </c>
    </row>
    <row r="1365" spans="1:34" x14ac:dyDescent="0.35">
      <c r="A1365" t="s">
        <v>3645</v>
      </c>
      <c r="B1365" t="s">
        <v>3646</v>
      </c>
      <c r="C1365">
        <v>41</v>
      </c>
      <c r="D1365" t="s">
        <v>38</v>
      </c>
      <c r="E1365" t="s">
        <v>39</v>
      </c>
      <c r="F1365" t="s">
        <v>46</v>
      </c>
      <c r="G1365">
        <v>155526</v>
      </c>
      <c r="H1365">
        <v>573</v>
      </c>
      <c r="I1365">
        <v>37246</v>
      </c>
      <c r="J1365">
        <v>16.329999999999998</v>
      </c>
      <c r="K1365">
        <v>60</v>
      </c>
      <c r="L1365" t="s">
        <v>25</v>
      </c>
      <c r="M1365">
        <v>54.57</v>
      </c>
      <c r="N1365">
        <v>51182</v>
      </c>
      <c r="O1365">
        <v>202593</v>
      </c>
      <c r="P1365" t="s">
        <v>2784</v>
      </c>
      <c r="Q1365" t="s">
        <v>61</v>
      </c>
      <c r="R1365" t="s">
        <v>48</v>
      </c>
      <c r="S1365" t="s">
        <v>43</v>
      </c>
      <c r="T1365">
        <v>722.14</v>
      </c>
      <c r="U1365">
        <f t="shared" si="294"/>
        <v>637</v>
      </c>
      <c r="V1365">
        <f t="shared" si="295"/>
        <v>242</v>
      </c>
      <c r="W1365">
        <f t="shared" si="296"/>
        <v>194</v>
      </c>
      <c r="X1365">
        <f t="shared" si="297"/>
        <v>0.35149999999999998</v>
      </c>
      <c r="Y1365" s="1">
        <f t="shared" si="298"/>
        <v>32407715</v>
      </c>
      <c r="Z1365">
        <f t="shared" si="299"/>
        <v>50875.533751962321</v>
      </c>
      <c r="AA1365">
        <f t="shared" si="300"/>
        <v>99996</v>
      </c>
      <c r="AB1365">
        <f t="shared" si="301"/>
        <v>5091</v>
      </c>
      <c r="AC1365">
        <f t="shared" si="302"/>
        <v>854864.66999999969</v>
      </c>
      <c r="AD1365">
        <f t="shared" si="303"/>
        <v>1342.0167503924642</v>
      </c>
      <c r="AE1365">
        <f t="shared" si="304"/>
        <v>0.35149999999999998</v>
      </c>
      <c r="AF1365">
        <f t="shared" si="305"/>
        <v>277100355.82999951</v>
      </c>
      <c r="AG1365" t="str">
        <f t="shared" si="306"/>
        <v>Active</v>
      </c>
      <c r="AH1365">
        <f t="shared" si="307"/>
        <v>8665.68</v>
      </c>
    </row>
    <row r="1366" spans="1:34" x14ac:dyDescent="0.35">
      <c r="A1366" t="s">
        <v>3647</v>
      </c>
      <c r="B1366" t="s">
        <v>3648</v>
      </c>
      <c r="C1366">
        <v>24</v>
      </c>
      <c r="D1366" t="s">
        <v>22</v>
      </c>
      <c r="E1366" t="s">
        <v>39</v>
      </c>
      <c r="F1366" t="s">
        <v>24</v>
      </c>
      <c r="G1366">
        <v>189860</v>
      </c>
      <c r="H1366">
        <v>613</v>
      </c>
      <c r="I1366">
        <v>38695</v>
      </c>
      <c r="J1366">
        <v>22.64</v>
      </c>
      <c r="K1366">
        <v>48</v>
      </c>
      <c r="L1366" t="s">
        <v>86</v>
      </c>
      <c r="M1366">
        <v>45.51</v>
      </c>
      <c r="N1366">
        <v>5589</v>
      </c>
      <c r="O1366">
        <v>70501</v>
      </c>
      <c r="P1366" t="s">
        <v>3649</v>
      </c>
      <c r="Q1366" t="s">
        <v>27</v>
      </c>
      <c r="R1366" t="s">
        <v>48</v>
      </c>
      <c r="S1366" t="s">
        <v>29</v>
      </c>
      <c r="T1366">
        <v>988.66</v>
      </c>
      <c r="U1366">
        <f t="shared" si="294"/>
        <v>636</v>
      </c>
      <c r="V1366">
        <f t="shared" si="295"/>
        <v>242</v>
      </c>
      <c r="W1366">
        <f t="shared" si="296"/>
        <v>193</v>
      </c>
      <c r="X1366">
        <f t="shared" si="297"/>
        <v>0.35149999999999998</v>
      </c>
      <c r="Y1366" s="1">
        <f t="shared" si="298"/>
        <v>32370469</v>
      </c>
      <c r="Z1366">
        <f t="shared" si="299"/>
        <v>50896.963836477989</v>
      </c>
      <c r="AA1366">
        <f t="shared" si="300"/>
        <v>99996</v>
      </c>
      <c r="AB1366">
        <f t="shared" si="301"/>
        <v>5091</v>
      </c>
      <c r="AC1366">
        <f t="shared" si="302"/>
        <v>854142.52999999968</v>
      </c>
      <c r="AD1366">
        <f t="shared" si="303"/>
        <v>1342.9913993710686</v>
      </c>
      <c r="AE1366">
        <f t="shared" si="304"/>
        <v>0.35149999999999998</v>
      </c>
      <c r="AF1366">
        <f t="shared" si="305"/>
        <v>276245491.15999955</v>
      </c>
      <c r="AG1366" t="str">
        <f t="shared" si="306"/>
        <v>Active</v>
      </c>
      <c r="AH1366">
        <f t="shared" si="307"/>
        <v>11863.92</v>
      </c>
    </row>
    <row r="1367" spans="1:34" x14ac:dyDescent="0.35">
      <c r="A1367" t="s">
        <v>3650</v>
      </c>
      <c r="B1367" t="s">
        <v>3651</v>
      </c>
      <c r="C1367">
        <v>42</v>
      </c>
      <c r="D1367" t="s">
        <v>38</v>
      </c>
      <c r="E1367" t="s">
        <v>23</v>
      </c>
      <c r="F1367" t="s">
        <v>24</v>
      </c>
      <c r="G1367">
        <v>33598</v>
      </c>
      <c r="H1367">
        <v>825</v>
      </c>
      <c r="I1367">
        <v>65304</v>
      </c>
      <c r="J1367">
        <v>9.36</v>
      </c>
      <c r="K1367">
        <v>180</v>
      </c>
      <c r="L1367" t="s">
        <v>25</v>
      </c>
      <c r="M1367">
        <v>13.87</v>
      </c>
      <c r="N1367">
        <v>28835</v>
      </c>
      <c r="O1367">
        <v>32252</v>
      </c>
      <c r="P1367" t="s">
        <v>2738</v>
      </c>
      <c r="Q1367" t="s">
        <v>61</v>
      </c>
      <c r="R1367" t="s">
        <v>48</v>
      </c>
      <c r="S1367" t="s">
        <v>29</v>
      </c>
      <c r="T1367">
        <v>396.76</v>
      </c>
      <c r="U1367">
        <f t="shared" si="294"/>
        <v>635</v>
      </c>
      <c r="V1367">
        <f t="shared" si="295"/>
        <v>242</v>
      </c>
      <c r="W1367">
        <f t="shared" si="296"/>
        <v>193</v>
      </c>
      <c r="X1367">
        <f t="shared" si="297"/>
        <v>0.35149999999999998</v>
      </c>
      <c r="Y1367" s="1">
        <f t="shared" si="298"/>
        <v>32331774</v>
      </c>
      <c r="Z1367">
        <f t="shared" si="299"/>
        <v>50916.179527559056</v>
      </c>
      <c r="AA1367">
        <f t="shared" si="300"/>
        <v>99996</v>
      </c>
      <c r="AB1367">
        <f t="shared" si="301"/>
        <v>5091</v>
      </c>
      <c r="AC1367">
        <f t="shared" si="302"/>
        <v>853153.86999999976</v>
      </c>
      <c r="AD1367">
        <f t="shared" si="303"/>
        <v>1343.5494015748027</v>
      </c>
      <c r="AE1367">
        <f t="shared" si="304"/>
        <v>0.35149999999999998</v>
      </c>
      <c r="AF1367">
        <f t="shared" si="305"/>
        <v>275391348.62999958</v>
      </c>
      <c r="AG1367" t="str">
        <f t="shared" si="306"/>
        <v>Active</v>
      </c>
      <c r="AH1367">
        <f t="shared" si="307"/>
        <v>4761.12</v>
      </c>
    </row>
    <row r="1368" spans="1:34" x14ac:dyDescent="0.35">
      <c r="A1368" t="s">
        <v>3652</v>
      </c>
      <c r="B1368" t="s">
        <v>3653</v>
      </c>
      <c r="C1368">
        <v>59</v>
      </c>
      <c r="D1368" t="s">
        <v>22</v>
      </c>
      <c r="E1368" t="s">
        <v>23</v>
      </c>
      <c r="F1368" t="s">
        <v>59</v>
      </c>
      <c r="G1368">
        <v>133019</v>
      </c>
      <c r="H1368">
        <v>809</v>
      </c>
      <c r="I1368">
        <v>28413</v>
      </c>
      <c r="J1368">
        <v>6.64</v>
      </c>
      <c r="K1368">
        <v>240</v>
      </c>
      <c r="L1368" t="s">
        <v>33</v>
      </c>
      <c r="M1368">
        <v>51.75</v>
      </c>
      <c r="N1368">
        <v>74544</v>
      </c>
      <c r="O1368">
        <v>84020</v>
      </c>
      <c r="P1368" t="s">
        <v>3654</v>
      </c>
      <c r="Q1368" t="s">
        <v>42</v>
      </c>
      <c r="R1368" t="s">
        <v>28</v>
      </c>
      <c r="S1368" t="s">
        <v>68</v>
      </c>
      <c r="T1368">
        <v>126.25</v>
      </c>
      <c r="U1368">
        <f t="shared" si="294"/>
        <v>634</v>
      </c>
      <c r="V1368">
        <f t="shared" si="295"/>
        <v>242</v>
      </c>
      <c r="W1368">
        <f t="shared" si="296"/>
        <v>192</v>
      </c>
      <c r="X1368">
        <f t="shared" si="297"/>
        <v>0.35149999999999998</v>
      </c>
      <c r="Y1368" s="1">
        <f t="shared" si="298"/>
        <v>32266470</v>
      </c>
      <c r="Z1368">
        <f t="shared" si="299"/>
        <v>50893.485804416407</v>
      </c>
      <c r="AA1368">
        <f t="shared" si="300"/>
        <v>99996</v>
      </c>
      <c r="AB1368">
        <f t="shared" si="301"/>
        <v>5091</v>
      </c>
      <c r="AC1368">
        <f t="shared" si="302"/>
        <v>852757.10999999975</v>
      </c>
      <c r="AD1368">
        <f t="shared" si="303"/>
        <v>1345.0427602523655</v>
      </c>
      <c r="AE1368">
        <f t="shared" si="304"/>
        <v>0.35149999999999998</v>
      </c>
      <c r="AF1368">
        <f t="shared" si="305"/>
        <v>274538194.75999963</v>
      </c>
      <c r="AG1368" t="str">
        <f t="shared" si="306"/>
        <v>Active</v>
      </c>
      <c r="AH1368">
        <f t="shared" si="307"/>
        <v>1515</v>
      </c>
    </row>
    <row r="1369" spans="1:34" x14ac:dyDescent="0.35">
      <c r="A1369" t="s">
        <v>3655</v>
      </c>
      <c r="B1369" t="s">
        <v>3656</v>
      </c>
      <c r="C1369">
        <v>25</v>
      </c>
      <c r="D1369" t="s">
        <v>22</v>
      </c>
      <c r="E1369" t="s">
        <v>23</v>
      </c>
      <c r="F1369" t="s">
        <v>24</v>
      </c>
      <c r="G1369">
        <v>150771</v>
      </c>
      <c r="H1369">
        <v>644</v>
      </c>
      <c r="I1369">
        <v>82178</v>
      </c>
      <c r="J1369">
        <v>4.8899999999999997</v>
      </c>
      <c r="K1369">
        <v>180</v>
      </c>
      <c r="L1369" t="s">
        <v>52</v>
      </c>
      <c r="M1369">
        <v>8.91</v>
      </c>
      <c r="N1369">
        <v>4464</v>
      </c>
      <c r="O1369">
        <v>52892</v>
      </c>
      <c r="P1369" t="s">
        <v>3160</v>
      </c>
      <c r="Q1369" t="s">
        <v>42</v>
      </c>
      <c r="R1369" t="s">
        <v>48</v>
      </c>
      <c r="S1369" t="s">
        <v>43</v>
      </c>
      <c r="T1369">
        <v>478.87</v>
      </c>
      <c r="U1369">
        <f t="shared" si="294"/>
        <v>633</v>
      </c>
      <c r="V1369">
        <f t="shared" si="295"/>
        <v>241</v>
      </c>
      <c r="W1369">
        <f t="shared" si="296"/>
        <v>192</v>
      </c>
      <c r="X1369">
        <f t="shared" si="297"/>
        <v>0.35149999999999998</v>
      </c>
      <c r="Y1369" s="1">
        <f t="shared" si="298"/>
        <v>32238057</v>
      </c>
      <c r="Z1369">
        <f t="shared" si="299"/>
        <v>50929</v>
      </c>
      <c r="AA1369">
        <f t="shared" si="300"/>
        <v>99996</v>
      </c>
      <c r="AB1369">
        <f t="shared" si="301"/>
        <v>5091</v>
      </c>
      <c r="AC1369">
        <f t="shared" si="302"/>
        <v>852630.85999999975</v>
      </c>
      <c r="AD1369">
        <f t="shared" si="303"/>
        <v>1346.968183254344</v>
      </c>
      <c r="AE1369">
        <f t="shared" si="304"/>
        <v>0.35149999999999998</v>
      </c>
      <c r="AF1369">
        <f t="shared" si="305"/>
        <v>273685437.64999974</v>
      </c>
      <c r="AG1369" t="str">
        <f t="shared" si="306"/>
        <v>Active</v>
      </c>
      <c r="AH1369">
        <f t="shared" si="307"/>
        <v>5746.4400000000005</v>
      </c>
    </row>
    <row r="1370" spans="1:34" x14ac:dyDescent="0.35">
      <c r="A1370" t="s">
        <v>3657</v>
      </c>
      <c r="B1370" t="s">
        <v>3658</v>
      </c>
      <c r="C1370">
        <v>42</v>
      </c>
      <c r="D1370" t="s">
        <v>38</v>
      </c>
      <c r="E1370" t="s">
        <v>32</v>
      </c>
      <c r="F1370" t="s">
        <v>59</v>
      </c>
      <c r="G1370">
        <v>76108</v>
      </c>
      <c r="H1370">
        <v>342</v>
      </c>
      <c r="I1370">
        <v>84948</v>
      </c>
      <c r="J1370">
        <v>20.75</v>
      </c>
      <c r="K1370">
        <v>180</v>
      </c>
      <c r="L1370" t="s">
        <v>25</v>
      </c>
      <c r="M1370">
        <v>20.98</v>
      </c>
      <c r="N1370">
        <v>30727</v>
      </c>
      <c r="O1370">
        <v>150628</v>
      </c>
      <c r="P1370" t="s">
        <v>3659</v>
      </c>
      <c r="Q1370" t="s">
        <v>42</v>
      </c>
      <c r="R1370" t="s">
        <v>28</v>
      </c>
      <c r="S1370" t="s">
        <v>68</v>
      </c>
      <c r="T1370">
        <v>569.86</v>
      </c>
      <c r="U1370">
        <f t="shared" si="294"/>
        <v>632</v>
      </c>
      <c r="V1370">
        <f t="shared" si="295"/>
        <v>240</v>
      </c>
      <c r="W1370">
        <f t="shared" si="296"/>
        <v>192</v>
      </c>
      <c r="X1370">
        <f t="shared" si="297"/>
        <v>0.35149999999999998</v>
      </c>
      <c r="Y1370" s="1">
        <f t="shared" si="298"/>
        <v>32155879</v>
      </c>
      <c r="Z1370">
        <f t="shared" si="299"/>
        <v>50879.555379746838</v>
      </c>
      <c r="AA1370">
        <f t="shared" si="300"/>
        <v>99996</v>
      </c>
      <c r="AB1370">
        <f t="shared" si="301"/>
        <v>5091</v>
      </c>
      <c r="AC1370">
        <f t="shared" si="302"/>
        <v>852151.98999999964</v>
      </c>
      <c r="AD1370">
        <f t="shared" si="303"/>
        <v>1348.3417563291134</v>
      </c>
      <c r="AE1370">
        <f t="shared" si="304"/>
        <v>0.35149999999999998</v>
      </c>
      <c r="AF1370">
        <f t="shared" si="305"/>
        <v>272832806.78999978</v>
      </c>
      <c r="AG1370" t="str">
        <f t="shared" si="306"/>
        <v>Active</v>
      </c>
      <c r="AH1370">
        <f t="shared" si="307"/>
        <v>6838.32</v>
      </c>
    </row>
    <row r="1371" spans="1:34" x14ac:dyDescent="0.35">
      <c r="A1371" t="s">
        <v>3660</v>
      </c>
      <c r="B1371" t="s">
        <v>3661</v>
      </c>
      <c r="C1371">
        <v>49</v>
      </c>
      <c r="D1371" t="s">
        <v>38</v>
      </c>
      <c r="E1371" t="s">
        <v>39</v>
      </c>
      <c r="F1371" t="s">
        <v>46</v>
      </c>
      <c r="G1371">
        <v>22165</v>
      </c>
      <c r="H1371">
        <v>648</v>
      </c>
      <c r="I1371">
        <v>33785</v>
      </c>
      <c r="J1371">
        <v>15.92</v>
      </c>
      <c r="K1371">
        <v>48</v>
      </c>
      <c r="L1371" t="s">
        <v>52</v>
      </c>
      <c r="M1371">
        <v>32.549999999999997</v>
      </c>
      <c r="N1371">
        <v>15786</v>
      </c>
      <c r="O1371">
        <v>205206</v>
      </c>
      <c r="P1371" t="s">
        <v>3662</v>
      </c>
      <c r="Q1371" t="s">
        <v>27</v>
      </c>
      <c r="R1371" t="s">
        <v>28</v>
      </c>
      <c r="S1371" t="s">
        <v>35</v>
      </c>
      <c r="T1371">
        <v>815.91</v>
      </c>
      <c r="U1371">
        <f t="shared" si="294"/>
        <v>631</v>
      </c>
      <c r="V1371">
        <f t="shared" si="295"/>
        <v>239</v>
      </c>
      <c r="W1371">
        <f t="shared" si="296"/>
        <v>192</v>
      </c>
      <c r="X1371">
        <f t="shared" si="297"/>
        <v>0.35149999999999998</v>
      </c>
      <c r="Y1371" s="1">
        <f t="shared" si="298"/>
        <v>32070931</v>
      </c>
      <c r="Z1371">
        <f t="shared" si="299"/>
        <v>50825.56418383518</v>
      </c>
      <c r="AA1371">
        <f t="shared" si="300"/>
        <v>99996</v>
      </c>
      <c r="AB1371">
        <f t="shared" si="301"/>
        <v>5091</v>
      </c>
      <c r="AC1371">
        <f t="shared" si="302"/>
        <v>851582.12999999966</v>
      </c>
      <c r="AD1371">
        <f t="shared" si="303"/>
        <v>1349.5754833597459</v>
      </c>
      <c r="AE1371">
        <f t="shared" si="304"/>
        <v>0.35149999999999998</v>
      </c>
      <c r="AF1371">
        <f t="shared" si="305"/>
        <v>271980654.79999983</v>
      </c>
      <c r="AG1371" t="str">
        <f t="shared" si="306"/>
        <v>Active</v>
      </c>
      <c r="AH1371">
        <f t="shared" si="307"/>
        <v>9790.92</v>
      </c>
    </row>
    <row r="1372" spans="1:34" x14ac:dyDescent="0.35">
      <c r="A1372" t="s">
        <v>3663</v>
      </c>
      <c r="B1372" t="s">
        <v>3664</v>
      </c>
      <c r="C1372">
        <v>31</v>
      </c>
      <c r="D1372" t="s">
        <v>22</v>
      </c>
      <c r="E1372" t="s">
        <v>39</v>
      </c>
      <c r="F1372" t="s">
        <v>46</v>
      </c>
      <c r="G1372">
        <v>151407</v>
      </c>
      <c r="H1372">
        <v>789</v>
      </c>
      <c r="I1372">
        <v>14110</v>
      </c>
      <c r="J1372">
        <v>17.93</v>
      </c>
      <c r="K1372">
        <v>12</v>
      </c>
      <c r="L1372" t="s">
        <v>25</v>
      </c>
      <c r="M1372">
        <v>9.94</v>
      </c>
      <c r="N1372">
        <v>53701</v>
      </c>
      <c r="O1372">
        <v>201118</v>
      </c>
      <c r="P1372" t="s">
        <v>3665</v>
      </c>
      <c r="Q1372" t="s">
        <v>61</v>
      </c>
      <c r="R1372" t="s">
        <v>28</v>
      </c>
      <c r="S1372" t="s">
        <v>35</v>
      </c>
      <c r="T1372">
        <v>1386.66</v>
      </c>
      <c r="U1372">
        <f t="shared" si="294"/>
        <v>630</v>
      </c>
      <c r="V1372">
        <f t="shared" si="295"/>
        <v>239</v>
      </c>
      <c r="W1372">
        <f t="shared" si="296"/>
        <v>192</v>
      </c>
      <c r="X1372">
        <f t="shared" si="297"/>
        <v>0.35149999999999998</v>
      </c>
      <c r="Y1372" s="1">
        <f t="shared" si="298"/>
        <v>32037146</v>
      </c>
      <c r="Z1372">
        <f t="shared" si="299"/>
        <v>50852.612698412697</v>
      </c>
      <c r="AA1372">
        <f t="shared" si="300"/>
        <v>99996</v>
      </c>
      <c r="AB1372">
        <f t="shared" si="301"/>
        <v>5091</v>
      </c>
      <c r="AC1372">
        <f t="shared" si="302"/>
        <v>850766.21999999951</v>
      </c>
      <c r="AD1372">
        <f t="shared" si="303"/>
        <v>1350.4225714285706</v>
      </c>
      <c r="AE1372">
        <f t="shared" si="304"/>
        <v>0.35149999999999998</v>
      </c>
      <c r="AF1372">
        <f t="shared" si="305"/>
        <v>271129072.6699999</v>
      </c>
      <c r="AG1372" t="str">
        <f t="shared" si="306"/>
        <v>Active</v>
      </c>
      <c r="AH1372">
        <f t="shared" si="307"/>
        <v>16639.920000000002</v>
      </c>
    </row>
    <row r="1373" spans="1:34" x14ac:dyDescent="0.35">
      <c r="A1373" t="s">
        <v>3666</v>
      </c>
      <c r="B1373" t="s">
        <v>3667</v>
      </c>
      <c r="C1373">
        <v>62</v>
      </c>
      <c r="D1373" t="s">
        <v>38</v>
      </c>
      <c r="E1373" t="s">
        <v>39</v>
      </c>
      <c r="F1373" t="s">
        <v>24</v>
      </c>
      <c r="G1373">
        <v>96808</v>
      </c>
      <c r="H1373">
        <v>638</v>
      </c>
      <c r="I1373">
        <v>31641</v>
      </c>
      <c r="J1373">
        <v>11.21</v>
      </c>
      <c r="K1373">
        <v>36</v>
      </c>
      <c r="L1373" t="s">
        <v>33</v>
      </c>
      <c r="M1373">
        <v>5.23</v>
      </c>
      <c r="N1373">
        <v>30163</v>
      </c>
      <c r="O1373">
        <v>124840</v>
      </c>
      <c r="P1373" t="s">
        <v>2127</v>
      </c>
      <c r="Q1373" t="s">
        <v>27</v>
      </c>
      <c r="R1373" t="s">
        <v>28</v>
      </c>
      <c r="S1373" t="s">
        <v>29</v>
      </c>
      <c r="T1373">
        <v>977.44</v>
      </c>
      <c r="U1373">
        <f t="shared" si="294"/>
        <v>629</v>
      </c>
      <c r="V1373">
        <f t="shared" si="295"/>
        <v>239</v>
      </c>
      <c r="W1373">
        <f t="shared" si="296"/>
        <v>191</v>
      </c>
      <c r="X1373">
        <f t="shared" si="297"/>
        <v>0.35149999999999998</v>
      </c>
      <c r="Y1373" s="1">
        <f t="shared" si="298"/>
        <v>32023036</v>
      </c>
      <c r="Z1373">
        <f t="shared" si="299"/>
        <v>50911.027027027027</v>
      </c>
      <c r="AA1373">
        <f t="shared" si="300"/>
        <v>99996</v>
      </c>
      <c r="AB1373">
        <f t="shared" si="301"/>
        <v>5091</v>
      </c>
      <c r="AC1373">
        <f t="shared" si="302"/>
        <v>849379.55999999959</v>
      </c>
      <c r="AD1373">
        <f t="shared" si="303"/>
        <v>1350.3649602543715</v>
      </c>
      <c r="AE1373">
        <f t="shared" si="304"/>
        <v>0.35149999999999998</v>
      </c>
      <c r="AF1373">
        <f t="shared" si="305"/>
        <v>270278306.44999993</v>
      </c>
      <c r="AG1373" t="str">
        <f t="shared" si="306"/>
        <v>Over Paid</v>
      </c>
      <c r="AH1373">
        <f t="shared" si="307"/>
        <v>11729.28</v>
      </c>
    </row>
    <row r="1374" spans="1:34" x14ac:dyDescent="0.35">
      <c r="A1374" t="s">
        <v>3668</v>
      </c>
      <c r="B1374" t="s">
        <v>3669</v>
      </c>
      <c r="C1374">
        <v>59</v>
      </c>
      <c r="D1374" t="s">
        <v>38</v>
      </c>
      <c r="E1374" t="s">
        <v>23</v>
      </c>
      <c r="F1374" t="s">
        <v>46</v>
      </c>
      <c r="G1374">
        <v>125207</v>
      </c>
      <c r="H1374">
        <v>807</v>
      </c>
      <c r="I1374">
        <v>92501</v>
      </c>
      <c r="J1374">
        <v>14.03</v>
      </c>
      <c r="K1374">
        <v>120</v>
      </c>
      <c r="L1374" t="s">
        <v>33</v>
      </c>
      <c r="M1374">
        <v>57.15</v>
      </c>
      <c r="N1374">
        <v>53456</v>
      </c>
      <c r="O1374">
        <v>240521</v>
      </c>
      <c r="P1374" t="s">
        <v>3370</v>
      </c>
      <c r="Q1374" t="s">
        <v>61</v>
      </c>
      <c r="R1374" t="s">
        <v>48</v>
      </c>
      <c r="S1374" t="s">
        <v>68</v>
      </c>
      <c r="T1374">
        <v>878.99</v>
      </c>
      <c r="U1374">
        <f t="shared" si="294"/>
        <v>628</v>
      </c>
      <c r="V1374">
        <f t="shared" si="295"/>
        <v>239</v>
      </c>
      <c r="W1374">
        <f t="shared" si="296"/>
        <v>191</v>
      </c>
      <c r="X1374">
        <f t="shared" si="297"/>
        <v>0.35149999999999998</v>
      </c>
      <c r="Y1374" s="1">
        <f t="shared" si="298"/>
        <v>31991395</v>
      </c>
      <c r="Z1374">
        <f t="shared" si="299"/>
        <v>50941.711783439488</v>
      </c>
      <c r="AA1374">
        <f t="shared" si="300"/>
        <v>99996</v>
      </c>
      <c r="AB1374">
        <f t="shared" si="301"/>
        <v>5091</v>
      </c>
      <c r="AC1374">
        <f t="shared" si="302"/>
        <v>848402.11999999953</v>
      </c>
      <c r="AD1374">
        <f t="shared" si="303"/>
        <v>1350.9587898089164</v>
      </c>
      <c r="AE1374">
        <f t="shared" si="304"/>
        <v>0.35149999999999998</v>
      </c>
      <c r="AF1374">
        <f t="shared" si="305"/>
        <v>269428926.88999999</v>
      </c>
      <c r="AG1374" t="str">
        <f t="shared" si="306"/>
        <v>Active</v>
      </c>
      <c r="AH1374">
        <f t="shared" si="307"/>
        <v>10547.880000000001</v>
      </c>
    </row>
    <row r="1375" spans="1:34" x14ac:dyDescent="0.35">
      <c r="A1375" t="s">
        <v>3670</v>
      </c>
      <c r="B1375" t="s">
        <v>3671</v>
      </c>
      <c r="C1375">
        <v>36</v>
      </c>
      <c r="D1375" t="s">
        <v>38</v>
      </c>
      <c r="E1375" t="s">
        <v>32</v>
      </c>
      <c r="F1375" t="s">
        <v>24</v>
      </c>
      <c r="G1375">
        <v>114207</v>
      </c>
      <c r="H1375">
        <v>650</v>
      </c>
      <c r="I1375">
        <v>5853</v>
      </c>
      <c r="J1375">
        <v>10.16</v>
      </c>
      <c r="K1375">
        <v>120</v>
      </c>
      <c r="L1375" t="s">
        <v>25</v>
      </c>
      <c r="M1375">
        <v>26.37</v>
      </c>
      <c r="N1375">
        <v>16318</v>
      </c>
      <c r="O1375">
        <v>198989</v>
      </c>
      <c r="P1375" t="s">
        <v>3672</v>
      </c>
      <c r="Q1375" t="s">
        <v>42</v>
      </c>
      <c r="R1375" t="s">
        <v>48</v>
      </c>
      <c r="S1375" t="s">
        <v>35</v>
      </c>
      <c r="T1375">
        <v>53.73</v>
      </c>
      <c r="U1375">
        <f t="shared" si="294"/>
        <v>627</v>
      </c>
      <c r="V1375">
        <f t="shared" si="295"/>
        <v>239</v>
      </c>
      <c r="W1375">
        <f t="shared" si="296"/>
        <v>190</v>
      </c>
      <c r="X1375">
        <f t="shared" si="297"/>
        <v>0.35149999999999998</v>
      </c>
      <c r="Y1375" s="1">
        <f t="shared" si="298"/>
        <v>31898894</v>
      </c>
      <c r="Z1375">
        <f t="shared" si="299"/>
        <v>50875.429027113234</v>
      </c>
      <c r="AA1375">
        <f t="shared" si="300"/>
        <v>99996</v>
      </c>
      <c r="AB1375">
        <f t="shared" si="301"/>
        <v>5091</v>
      </c>
      <c r="AC1375">
        <f t="shared" si="302"/>
        <v>847523.12999999954</v>
      </c>
      <c r="AD1375">
        <f t="shared" si="303"/>
        <v>1351.7115311004777</v>
      </c>
      <c r="AE1375">
        <f t="shared" si="304"/>
        <v>0.35149999999999998</v>
      </c>
      <c r="AF1375">
        <f t="shared" si="305"/>
        <v>268580524.77000004</v>
      </c>
      <c r="AG1375" t="str">
        <f t="shared" si="306"/>
        <v>Active</v>
      </c>
      <c r="AH1375">
        <f t="shared" si="307"/>
        <v>644.76</v>
      </c>
    </row>
    <row r="1376" spans="1:34" x14ac:dyDescent="0.35">
      <c r="A1376" t="s">
        <v>3673</v>
      </c>
      <c r="B1376" t="s">
        <v>3674</v>
      </c>
      <c r="C1376">
        <v>26</v>
      </c>
      <c r="D1376" t="s">
        <v>38</v>
      </c>
      <c r="E1376" t="s">
        <v>39</v>
      </c>
      <c r="F1376" t="s">
        <v>24</v>
      </c>
      <c r="G1376">
        <v>68088</v>
      </c>
      <c r="H1376">
        <v>546</v>
      </c>
      <c r="I1376">
        <v>14015</v>
      </c>
      <c r="J1376">
        <v>16.23</v>
      </c>
      <c r="K1376">
        <v>240</v>
      </c>
      <c r="L1376" t="s">
        <v>33</v>
      </c>
      <c r="M1376">
        <v>41.05</v>
      </c>
      <c r="N1376">
        <v>34802</v>
      </c>
      <c r="O1376">
        <v>189279</v>
      </c>
      <c r="P1376" t="s">
        <v>281</v>
      </c>
      <c r="Q1376" t="s">
        <v>27</v>
      </c>
      <c r="R1376" t="s">
        <v>28</v>
      </c>
      <c r="S1376" t="s">
        <v>43</v>
      </c>
      <c r="T1376">
        <v>67.87</v>
      </c>
      <c r="U1376">
        <f t="shared" si="294"/>
        <v>626</v>
      </c>
      <c r="V1376">
        <f t="shared" si="295"/>
        <v>238</v>
      </c>
      <c r="W1376">
        <f t="shared" si="296"/>
        <v>190</v>
      </c>
      <c r="X1376">
        <f t="shared" si="297"/>
        <v>0.35149999999999998</v>
      </c>
      <c r="Y1376" s="1">
        <f t="shared" si="298"/>
        <v>31893041</v>
      </c>
      <c r="Z1376">
        <f t="shared" si="299"/>
        <v>50947.349840255592</v>
      </c>
      <c r="AA1376">
        <f t="shared" si="300"/>
        <v>99996</v>
      </c>
      <c r="AB1376">
        <f t="shared" si="301"/>
        <v>5091</v>
      </c>
      <c r="AC1376">
        <f t="shared" si="302"/>
        <v>847469.39999999956</v>
      </c>
      <c r="AD1376">
        <f t="shared" si="303"/>
        <v>1353.7849840255583</v>
      </c>
      <c r="AE1376">
        <f t="shared" si="304"/>
        <v>0.35149999999999998</v>
      </c>
      <c r="AF1376">
        <f t="shared" si="305"/>
        <v>267733001.63999996</v>
      </c>
      <c r="AG1376" t="str">
        <f t="shared" si="306"/>
        <v>Active</v>
      </c>
      <c r="AH1376">
        <f t="shared" si="307"/>
        <v>814.44</v>
      </c>
    </row>
    <row r="1377" spans="1:34" x14ac:dyDescent="0.35">
      <c r="A1377" t="s">
        <v>3675</v>
      </c>
      <c r="B1377" t="s">
        <v>3676</v>
      </c>
      <c r="C1377">
        <v>38</v>
      </c>
      <c r="D1377" t="s">
        <v>22</v>
      </c>
      <c r="E1377" t="s">
        <v>32</v>
      </c>
      <c r="F1377" t="s">
        <v>24</v>
      </c>
      <c r="G1377">
        <v>102029</v>
      </c>
      <c r="H1377">
        <v>307</v>
      </c>
      <c r="I1377">
        <v>96252</v>
      </c>
      <c r="J1377">
        <v>18.52</v>
      </c>
      <c r="K1377">
        <v>120</v>
      </c>
      <c r="L1377" t="s">
        <v>86</v>
      </c>
      <c r="M1377">
        <v>49.46</v>
      </c>
      <c r="N1377">
        <v>26812</v>
      </c>
      <c r="O1377">
        <v>113250</v>
      </c>
      <c r="P1377" t="s">
        <v>814</v>
      </c>
      <c r="Q1377" t="s">
        <v>61</v>
      </c>
      <c r="R1377" t="s">
        <v>48</v>
      </c>
      <c r="S1377" t="s">
        <v>49</v>
      </c>
      <c r="T1377">
        <v>950.65</v>
      </c>
      <c r="U1377">
        <f t="shared" si="294"/>
        <v>625</v>
      </c>
      <c r="V1377">
        <f t="shared" si="295"/>
        <v>238</v>
      </c>
      <c r="W1377">
        <f t="shared" si="296"/>
        <v>190</v>
      </c>
      <c r="X1377">
        <f t="shared" si="297"/>
        <v>0.35149999999999998</v>
      </c>
      <c r="Y1377" s="1">
        <f t="shared" si="298"/>
        <v>31879026</v>
      </c>
      <c r="Z1377">
        <f t="shared" si="299"/>
        <v>51006.441599999998</v>
      </c>
      <c r="AA1377">
        <f t="shared" si="300"/>
        <v>99996</v>
      </c>
      <c r="AB1377">
        <f t="shared" si="301"/>
        <v>5091</v>
      </c>
      <c r="AC1377">
        <f t="shared" si="302"/>
        <v>847401.52999999956</v>
      </c>
      <c r="AD1377">
        <f t="shared" si="303"/>
        <v>1355.8424479999992</v>
      </c>
      <c r="AE1377">
        <f t="shared" si="304"/>
        <v>0.35149999999999998</v>
      </c>
      <c r="AF1377">
        <f t="shared" si="305"/>
        <v>266885532.24000001</v>
      </c>
      <c r="AG1377" t="str">
        <f t="shared" si="306"/>
        <v>Active</v>
      </c>
      <c r="AH1377">
        <f t="shared" si="307"/>
        <v>11407.8</v>
      </c>
    </row>
    <row r="1378" spans="1:34" x14ac:dyDescent="0.35">
      <c r="A1378" t="s">
        <v>3677</v>
      </c>
      <c r="B1378" t="s">
        <v>3678</v>
      </c>
      <c r="C1378">
        <v>58</v>
      </c>
      <c r="D1378" t="s">
        <v>22</v>
      </c>
      <c r="E1378" t="s">
        <v>39</v>
      </c>
      <c r="F1378" t="s">
        <v>24</v>
      </c>
      <c r="G1378">
        <v>136933</v>
      </c>
      <c r="H1378">
        <v>305</v>
      </c>
      <c r="I1378">
        <v>32347</v>
      </c>
      <c r="J1378">
        <v>7.52</v>
      </c>
      <c r="K1378">
        <v>36</v>
      </c>
      <c r="L1378" t="s">
        <v>52</v>
      </c>
      <c r="M1378">
        <v>30.53</v>
      </c>
      <c r="N1378">
        <v>72310</v>
      </c>
      <c r="O1378">
        <v>196308</v>
      </c>
      <c r="P1378" t="s">
        <v>3679</v>
      </c>
      <c r="Q1378" t="s">
        <v>61</v>
      </c>
      <c r="R1378" t="s">
        <v>48</v>
      </c>
      <c r="S1378" t="s">
        <v>35</v>
      </c>
      <c r="T1378">
        <v>966.1</v>
      </c>
      <c r="U1378">
        <f t="shared" si="294"/>
        <v>624</v>
      </c>
      <c r="V1378">
        <f t="shared" si="295"/>
        <v>238</v>
      </c>
      <c r="W1378">
        <f t="shared" si="296"/>
        <v>189</v>
      </c>
      <c r="X1378">
        <f t="shared" si="297"/>
        <v>0.35149999999999998</v>
      </c>
      <c r="Y1378" s="1">
        <f t="shared" si="298"/>
        <v>31782774</v>
      </c>
      <c r="Z1378">
        <f t="shared" si="299"/>
        <v>50933.932692307695</v>
      </c>
      <c r="AA1378">
        <f t="shared" si="300"/>
        <v>99996</v>
      </c>
      <c r="AB1378">
        <f t="shared" si="301"/>
        <v>5091</v>
      </c>
      <c r="AC1378">
        <f t="shared" si="302"/>
        <v>846450.87999999954</v>
      </c>
      <c r="AD1378">
        <f t="shared" si="303"/>
        <v>1356.4917948717941</v>
      </c>
      <c r="AE1378">
        <f t="shared" si="304"/>
        <v>0.35149999999999998</v>
      </c>
      <c r="AF1378">
        <f t="shared" si="305"/>
        <v>266038130.71000001</v>
      </c>
      <c r="AG1378" t="str">
        <f t="shared" si="306"/>
        <v>Active</v>
      </c>
      <c r="AH1378">
        <f t="shared" si="307"/>
        <v>11593.2</v>
      </c>
    </row>
    <row r="1379" spans="1:34" x14ac:dyDescent="0.35">
      <c r="A1379" t="s">
        <v>3680</v>
      </c>
      <c r="B1379" t="s">
        <v>3681</v>
      </c>
      <c r="C1379">
        <v>42</v>
      </c>
      <c r="D1379" t="s">
        <v>22</v>
      </c>
      <c r="E1379" t="s">
        <v>39</v>
      </c>
      <c r="F1379" t="s">
        <v>46</v>
      </c>
      <c r="G1379">
        <v>55037</v>
      </c>
      <c r="H1379">
        <v>818</v>
      </c>
      <c r="I1379">
        <v>48358</v>
      </c>
      <c r="J1379">
        <v>5.67</v>
      </c>
      <c r="K1379">
        <v>12</v>
      </c>
      <c r="L1379" t="s">
        <v>25</v>
      </c>
      <c r="M1379">
        <v>36.53</v>
      </c>
      <c r="N1379">
        <v>27919</v>
      </c>
      <c r="O1379">
        <v>42611</v>
      </c>
      <c r="P1379" t="s">
        <v>3031</v>
      </c>
      <c r="Q1379" t="s">
        <v>61</v>
      </c>
      <c r="R1379" t="s">
        <v>28</v>
      </c>
      <c r="S1379" t="s">
        <v>68</v>
      </c>
      <c r="T1379">
        <v>4258.32</v>
      </c>
      <c r="U1379">
        <f t="shared" si="294"/>
        <v>623</v>
      </c>
      <c r="V1379">
        <f t="shared" si="295"/>
        <v>238</v>
      </c>
      <c r="W1379">
        <f t="shared" si="296"/>
        <v>188</v>
      </c>
      <c r="X1379">
        <f t="shared" si="297"/>
        <v>0.35149999999999998</v>
      </c>
      <c r="Y1379" s="1">
        <f t="shared" si="298"/>
        <v>31750427</v>
      </c>
      <c r="Z1379">
        <f t="shared" si="299"/>
        <v>50963.767255216691</v>
      </c>
      <c r="AA1379">
        <f t="shared" si="300"/>
        <v>99996</v>
      </c>
      <c r="AB1379">
        <f t="shared" si="301"/>
        <v>5091</v>
      </c>
      <c r="AC1379">
        <f t="shared" si="302"/>
        <v>845484.77999999956</v>
      </c>
      <c r="AD1379">
        <f t="shared" si="303"/>
        <v>1357.1184269662915</v>
      </c>
      <c r="AE1379">
        <f t="shared" si="304"/>
        <v>0.35149999999999998</v>
      </c>
      <c r="AF1379">
        <f t="shared" si="305"/>
        <v>265191679.82999998</v>
      </c>
      <c r="AG1379" t="str">
        <f t="shared" si="306"/>
        <v>Active</v>
      </c>
      <c r="AH1379">
        <f t="shared" si="307"/>
        <v>51099.839999999997</v>
      </c>
    </row>
    <row r="1380" spans="1:34" x14ac:dyDescent="0.35">
      <c r="A1380" t="s">
        <v>3682</v>
      </c>
      <c r="B1380" t="s">
        <v>3683</v>
      </c>
      <c r="C1380">
        <v>35</v>
      </c>
      <c r="D1380" t="s">
        <v>38</v>
      </c>
      <c r="E1380" t="s">
        <v>39</v>
      </c>
      <c r="F1380" t="s">
        <v>59</v>
      </c>
      <c r="G1380">
        <v>108411</v>
      </c>
      <c r="H1380">
        <v>775</v>
      </c>
      <c r="I1380">
        <v>32897</v>
      </c>
      <c r="J1380">
        <v>6.9</v>
      </c>
      <c r="K1380">
        <v>180</v>
      </c>
      <c r="L1380" t="s">
        <v>25</v>
      </c>
      <c r="M1380">
        <v>6.31</v>
      </c>
      <c r="N1380">
        <v>1392</v>
      </c>
      <c r="O1380">
        <v>232476</v>
      </c>
      <c r="P1380" t="s">
        <v>595</v>
      </c>
      <c r="Q1380" t="s">
        <v>42</v>
      </c>
      <c r="R1380" t="s">
        <v>28</v>
      </c>
      <c r="S1380" t="s">
        <v>49</v>
      </c>
      <c r="T1380">
        <v>195.37</v>
      </c>
      <c r="U1380">
        <f t="shared" si="294"/>
        <v>622</v>
      </c>
      <c r="V1380">
        <f t="shared" si="295"/>
        <v>238</v>
      </c>
      <c r="W1380">
        <f t="shared" si="296"/>
        <v>187</v>
      </c>
      <c r="X1380">
        <f t="shared" si="297"/>
        <v>0.35149999999999998</v>
      </c>
      <c r="Y1380" s="1">
        <f t="shared" si="298"/>
        <v>31702069</v>
      </c>
      <c r="Z1380">
        <f t="shared" si="299"/>
        <v>50967.956591639871</v>
      </c>
      <c r="AA1380">
        <f t="shared" si="300"/>
        <v>99996</v>
      </c>
      <c r="AB1380">
        <f t="shared" si="301"/>
        <v>5091</v>
      </c>
      <c r="AC1380">
        <f t="shared" si="302"/>
        <v>841226.45999999938</v>
      </c>
      <c r="AD1380">
        <f t="shared" si="303"/>
        <v>1352.4541157556259</v>
      </c>
      <c r="AE1380">
        <f t="shared" si="304"/>
        <v>0.35149999999999998</v>
      </c>
      <c r="AF1380">
        <f t="shared" si="305"/>
        <v>264346195.04999998</v>
      </c>
      <c r="AG1380" t="str">
        <f t="shared" si="306"/>
        <v>Over Paid</v>
      </c>
      <c r="AH1380">
        <f t="shared" si="307"/>
        <v>2344.44</v>
      </c>
    </row>
    <row r="1381" spans="1:34" x14ac:dyDescent="0.35">
      <c r="A1381" t="s">
        <v>3684</v>
      </c>
      <c r="B1381" t="s">
        <v>3685</v>
      </c>
      <c r="C1381">
        <v>28</v>
      </c>
      <c r="D1381" t="s">
        <v>22</v>
      </c>
      <c r="E1381" t="s">
        <v>32</v>
      </c>
      <c r="F1381" t="s">
        <v>46</v>
      </c>
      <c r="G1381">
        <v>38830</v>
      </c>
      <c r="H1381">
        <v>336</v>
      </c>
      <c r="I1381">
        <v>33835</v>
      </c>
      <c r="J1381">
        <v>15.42</v>
      </c>
      <c r="K1381">
        <v>24</v>
      </c>
      <c r="L1381" t="s">
        <v>86</v>
      </c>
      <c r="M1381">
        <v>18.579999999999998</v>
      </c>
      <c r="N1381">
        <v>40027</v>
      </c>
      <c r="O1381">
        <v>146386</v>
      </c>
      <c r="P1381" t="s">
        <v>194</v>
      </c>
      <c r="Q1381" t="s">
        <v>42</v>
      </c>
      <c r="R1381" t="s">
        <v>28</v>
      </c>
      <c r="S1381" t="s">
        <v>43</v>
      </c>
      <c r="T1381">
        <v>1627.18</v>
      </c>
      <c r="U1381">
        <f t="shared" si="294"/>
        <v>621</v>
      </c>
      <c r="V1381">
        <f t="shared" si="295"/>
        <v>237</v>
      </c>
      <c r="W1381">
        <f t="shared" si="296"/>
        <v>187</v>
      </c>
      <c r="X1381">
        <f t="shared" si="297"/>
        <v>0.35149999999999998</v>
      </c>
      <c r="Y1381" s="1">
        <f t="shared" si="298"/>
        <v>31669172</v>
      </c>
      <c r="Z1381">
        <f t="shared" si="299"/>
        <v>50997.056360708535</v>
      </c>
      <c r="AA1381">
        <f t="shared" si="300"/>
        <v>99996</v>
      </c>
      <c r="AB1381">
        <f t="shared" si="301"/>
        <v>5091</v>
      </c>
      <c r="AC1381">
        <f t="shared" si="302"/>
        <v>841031.08999999939</v>
      </c>
      <c r="AD1381">
        <f t="shared" si="303"/>
        <v>1354.3173752012872</v>
      </c>
      <c r="AE1381">
        <f t="shared" si="304"/>
        <v>0.35149999999999998</v>
      </c>
      <c r="AF1381">
        <f t="shared" si="305"/>
        <v>263504968.59</v>
      </c>
      <c r="AG1381" t="str">
        <f t="shared" si="306"/>
        <v>Active</v>
      </c>
      <c r="AH1381">
        <f t="shared" si="307"/>
        <v>19526.16</v>
      </c>
    </row>
    <row r="1382" spans="1:34" x14ac:dyDescent="0.35">
      <c r="A1382" t="s">
        <v>3686</v>
      </c>
      <c r="B1382" t="s">
        <v>3687</v>
      </c>
      <c r="C1382">
        <v>23</v>
      </c>
      <c r="D1382" t="s">
        <v>22</v>
      </c>
      <c r="E1382" t="s">
        <v>39</v>
      </c>
      <c r="F1382" t="s">
        <v>46</v>
      </c>
      <c r="G1382">
        <v>189140</v>
      </c>
      <c r="H1382">
        <v>614</v>
      </c>
      <c r="I1382">
        <v>14899</v>
      </c>
      <c r="J1382">
        <v>22.17</v>
      </c>
      <c r="K1382">
        <v>60</v>
      </c>
      <c r="L1382" t="s">
        <v>25</v>
      </c>
      <c r="M1382">
        <v>12.77</v>
      </c>
      <c r="N1382">
        <v>38309</v>
      </c>
      <c r="O1382">
        <v>92906</v>
      </c>
      <c r="P1382" t="s">
        <v>200</v>
      </c>
      <c r="Q1382" t="s">
        <v>42</v>
      </c>
      <c r="R1382" t="s">
        <v>48</v>
      </c>
      <c r="S1382" t="s">
        <v>29</v>
      </c>
      <c r="T1382">
        <v>303.37</v>
      </c>
      <c r="U1382">
        <f t="shared" si="294"/>
        <v>620</v>
      </c>
      <c r="V1382">
        <f t="shared" si="295"/>
        <v>236</v>
      </c>
      <c r="W1382">
        <f t="shared" si="296"/>
        <v>187</v>
      </c>
      <c r="X1382">
        <f t="shared" si="297"/>
        <v>0.35149999999999998</v>
      </c>
      <c r="Y1382" s="1">
        <f t="shared" si="298"/>
        <v>31635337</v>
      </c>
      <c r="Z1382">
        <f t="shared" si="299"/>
        <v>51024.737096774195</v>
      </c>
      <c r="AA1382">
        <f t="shared" si="300"/>
        <v>99996</v>
      </c>
      <c r="AB1382">
        <f t="shared" si="301"/>
        <v>5091</v>
      </c>
      <c r="AC1382">
        <f t="shared" si="302"/>
        <v>839403.90999999945</v>
      </c>
      <c r="AD1382">
        <f t="shared" si="303"/>
        <v>1353.8772741935475</v>
      </c>
      <c r="AE1382">
        <f t="shared" si="304"/>
        <v>0.35149999999999998</v>
      </c>
      <c r="AF1382">
        <f t="shared" si="305"/>
        <v>262663937.49999997</v>
      </c>
      <c r="AG1382" t="str">
        <f t="shared" si="306"/>
        <v>Active</v>
      </c>
      <c r="AH1382">
        <f t="shared" si="307"/>
        <v>3640.44</v>
      </c>
    </row>
    <row r="1383" spans="1:34" x14ac:dyDescent="0.35">
      <c r="A1383" t="s">
        <v>3688</v>
      </c>
      <c r="B1383" t="s">
        <v>3689</v>
      </c>
      <c r="C1383">
        <v>59</v>
      </c>
      <c r="D1383" t="s">
        <v>38</v>
      </c>
      <c r="E1383" t="s">
        <v>32</v>
      </c>
      <c r="F1383" t="s">
        <v>46</v>
      </c>
      <c r="G1383">
        <v>185387</v>
      </c>
      <c r="H1383">
        <v>681</v>
      </c>
      <c r="I1383">
        <v>83612</v>
      </c>
      <c r="J1383">
        <v>10.75</v>
      </c>
      <c r="K1383">
        <v>60</v>
      </c>
      <c r="L1383" t="s">
        <v>25</v>
      </c>
      <c r="M1383">
        <v>22.85</v>
      </c>
      <c r="N1383">
        <v>64157</v>
      </c>
      <c r="O1383">
        <v>131196</v>
      </c>
      <c r="P1383" t="s">
        <v>3607</v>
      </c>
      <c r="Q1383" t="s">
        <v>42</v>
      </c>
      <c r="R1383" t="s">
        <v>28</v>
      </c>
      <c r="S1383" t="s">
        <v>29</v>
      </c>
      <c r="T1383">
        <v>1543.34</v>
      </c>
      <c r="U1383">
        <f t="shared" si="294"/>
        <v>619</v>
      </c>
      <c r="V1383">
        <f t="shared" si="295"/>
        <v>235</v>
      </c>
      <c r="W1383">
        <f t="shared" si="296"/>
        <v>187</v>
      </c>
      <c r="X1383">
        <f t="shared" si="297"/>
        <v>0.35149999999999998</v>
      </c>
      <c r="Y1383" s="1">
        <f t="shared" si="298"/>
        <v>31620438</v>
      </c>
      <c r="Z1383">
        <f t="shared" si="299"/>
        <v>51083.098546042005</v>
      </c>
      <c r="AA1383">
        <f t="shared" si="300"/>
        <v>99996</v>
      </c>
      <c r="AB1383">
        <f t="shared" si="301"/>
        <v>5091</v>
      </c>
      <c r="AC1383">
        <f t="shared" si="302"/>
        <v>839100.53999999946</v>
      </c>
      <c r="AD1383">
        <f t="shared" si="303"/>
        <v>1355.5743780290784</v>
      </c>
      <c r="AE1383">
        <f t="shared" si="304"/>
        <v>0.35149999999999998</v>
      </c>
      <c r="AF1383">
        <f t="shared" si="305"/>
        <v>261824533.58999994</v>
      </c>
      <c r="AG1383" t="str">
        <f t="shared" si="306"/>
        <v>Active</v>
      </c>
      <c r="AH1383">
        <f t="shared" si="307"/>
        <v>18520.079999999998</v>
      </c>
    </row>
    <row r="1384" spans="1:34" x14ac:dyDescent="0.35">
      <c r="A1384" t="s">
        <v>3690</v>
      </c>
      <c r="B1384" t="s">
        <v>3691</v>
      </c>
      <c r="C1384">
        <v>42</v>
      </c>
      <c r="D1384" t="s">
        <v>22</v>
      </c>
      <c r="E1384" t="s">
        <v>32</v>
      </c>
      <c r="F1384" t="s">
        <v>59</v>
      </c>
      <c r="G1384">
        <v>35181</v>
      </c>
      <c r="H1384">
        <v>617</v>
      </c>
      <c r="I1384">
        <v>84105</v>
      </c>
      <c r="J1384">
        <v>6.43</v>
      </c>
      <c r="K1384">
        <v>180</v>
      </c>
      <c r="L1384" t="s">
        <v>86</v>
      </c>
      <c r="M1384">
        <v>30.07</v>
      </c>
      <c r="N1384">
        <v>16043</v>
      </c>
      <c r="O1384">
        <v>180702</v>
      </c>
      <c r="P1384" t="s">
        <v>3199</v>
      </c>
      <c r="Q1384" t="s">
        <v>42</v>
      </c>
      <c r="R1384" t="s">
        <v>48</v>
      </c>
      <c r="S1384" t="s">
        <v>29</v>
      </c>
      <c r="T1384">
        <v>497.29</v>
      </c>
      <c r="U1384">
        <f t="shared" si="294"/>
        <v>618</v>
      </c>
      <c r="V1384">
        <f t="shared" si="295"/>
        <v>234</v>
      </c>
      <c r="W1384">
        <f t="shared" si="296"/>
        <v>187</v>
      </c>
      <c r="X1384">
        <f t="shared" si="297"/>
        <v>0.35149999999999998</v>
      </c>
      <c r="Y1384" s="1">
        <f t="shared" si="298"/>
        <v>31536826</v>
      </c>
      <c r="Z1384">
        <f t="shared" si="299"/>
        <v>51030.462783171519</v>
      </c>
      <c r="AA1384">
        <f t="shared" si="300"/>
        <v>99996</v>
      </c>
      <c r="AB1384">
        <f t="shared" si="301"/>
        <v>5091</v>
      </c>
      <c r="AC1384">
        <f t="shared" si="302"/>
        <v>837557.19999999949</v>
      </c>
      <c r="AD1384">
        <f t="shared" si="303"/>
        <v>1355.2705501618116</v>
      </c>
      <c r="AE1384">
        <f t="shared" si="304"/>
        <v>0.35149999999999998</v>
      </c>
      <c r="AF1384">
        <f t="shared" si="305"/>
        <v>260985433.04999995</v>
      </c>
      <c r="AG1384" t="str">
        <f t="shared" si="306"/>
        <v>Active</v>
      </c>
      <c r="AH1384">
        <f t="shared" si="307"/>
        <v>5967.4800000000005</v>
      </c>
    </row>
    <row r="1385" spans="1:34" x14ac:dyDescent="0.35">
      <c r="A1385" t="s">
        <v>3692</v>
      </c>
      <c r="B1385" t="s">
        <v>3693</v>
      </c>
      <c r="C1385">
        <v>48</v>
      </c>
      <c r="D1385" t="s">
        <v>38</v>
      </c>
      <c r="E1385" t="s">
        <v>32</v>
      </c>
      <c r="F1385" t="s">
        <v>46</v>
      </c>
      <c r="G1385">
        <v>119197</v>
      </c>
      <c r="H1385">
        <v>779</v>
      </c>
      <c r="I1385">
        <v>67729</v>
      </c>
      <c r="J1385">
        <v>15.07</v>
      </c>
      <c r="K1385">
        <v>48</v>
      </c>
      <c r="L1385" t="s">
        <v>86</v>
      </c>
      <c r="M1385">
        <v>35.58</v>
      </c>
      <c r="N1385">
        <v>34448</v>
      </c>
      <c r="O1385">
        <v>165283</v>
      </c>
      <c r="P1385" t="s">
        <v>3694</v>
      </c>
      <c r="Q1385" t="s">
        <v>27</v>
      </c>
      <c r="R1385" t="s">
        <v>28</v>
      </c>
      <c r="S1385" t="s">
        <v>43</v>
      </c>
      <c r="T1385">
        <v>1623.66</v>
      </c>
      <c r="U1385">
        <f t="shared" si="294"/>
        <v>617</v>
      </c>
      <c r="V1385">
        <f t="shared" si="295"/>
        <v>233</v>
      </c>
      <c r="W1385">
        <f t="shared" si="296"/>
        <v>187</v>
      </c>
      <c r="X1385">
        <f t="shared" si="297"/>
        <v>0.35149999999999998</v>
      </c>
      <c r="Y1385" s="1">
        <f t="shared" si="298"/>
        <v>31452721</v>
      </c>
      <c r="Z1385">
        <f t="shared" si="299"/>
        <v>50976.857374392217</v>
      </c>
      <c r="AA1385">
        <f t="shared" si="300"/>
        <v>99996</v>
      </c>
      <c r="AB1385">
        <f t="shared" si="301"/>
        <v>5091</v>
      </c>
      <c r="AC1385">
        <f t="shared" si="302"/>
        <v>837059.90999999945</v>
      </c>
      <c r="AD1385">
        <f t="shared" si="303"/>
        <v>1356.6611183144237</v>
      </c>
      <c r="AE1385">
        <f t="shared" si="304"/>
        <v>0.35149999999999998</v>
      </c>
      <c r="AF1385">
        <f t="shared" si="305"/>
        <v>260147875.84999996</v>
      </c>
      <c r="AG1385" t="str">
        <f t="shared" si="306"/>
        <v>Active</v>
      </c>
      <c r="AH1385">
        <f t="shared" si="307"/>
        <v>19483.920000000002</v>
      </c>
    </row>
    <row r="1386" spans="1:34" x14ac:dyDescent="0.35">
      <c r="A1386" t="s">
        <v>3695</v>
      </c>
      <c r="B1386" t="s">
        <v>3696</v>
      </c>
      <c r="C1386">
        <v>63</v>
      </c>
      <c r="D1386" t="s">
        <v>38</v>
      </c>
      <c r="E1386" t="s">
        <v>23</v>
      </c>
      <c r="F1386" t="s">
        <v>59</v>
      </c>
      <c r="G1386">
        <v>101817</v>
      </c>
      <c r="H1386">
        <v>387</v>
      </c>
      <c r="I1386">
        <v>30011</v>
      </c>
      <c r="J1386">
        <v>15.78</v>
      </c>
      <c r="K1386">
        <v>180</v>
      </c>
      <c r="L1386" t="s">
        <v>25</v>
      </c>
      <c r="M1386">
        <v>52.05</v>
      </c>
      <c r="N1386">
        <v>69746</v>
      </c>
      <c r="O1386">
        <v>45670</v>
      </c>
      <c r="P1386" t="s">
        <v>480</v>
      </c>
      <c r="Q1386" t="s">
        <v>42</v>
      </c>
      <c r="R1386" t="s">
        <v>48</v>
      </c>
      <c r="S1386" t="s">
        <v>29</v>
      </c>
      <c r="T1386">
        <v>193.04</v>
      </c>
      <c r="U1386">
        <f t="shared" si="294"/>
        <v>616</v>
      </c>
      <c r="V1386">
        <f t="shared" si="295"/>
        <v>233</v>
      </c>
      <c r="W1386">
        <f t="shared" si="296"/>
        <v>187</v>
      </c>
      <c r="X1386">
        <f t="shared" si="297"/>
        <v>0.35149999999999998</v>
      </c>
      <c r="Y1386" s="1">
        <f t="shared" si="298"/>
        <v>31384992</v>
      </c>
      <c r="Z1386">
        <f t="shared" si="299"/>
        <v>50949.662337662339</v>
      </c>
      <c r="AA1386">
        <f t="shared" si="300"/>
        <v>99996</v>
      </c>
      <c r="AB1386">
        <f t="shared" si="301"/>
        <v>5091</v>
      </c>
      <c r="AC1386">
        <f t="shared" si="302"/>
        <v>835436.24999999942</v>
      </c>
      <c r="AD1386">
        <f t="shared" si="303"/>
        <v>1356.2276785714275</v>
      </c>
      <c r="AE1386">
        <f t="shared" si="304"/>
        <v>0.35149999999999998</v>
      </c>
      <c r="AF1386">
        <f t="shared" si="305"/>
        <v>259310815.93999997</v>
      </c>
      <c r="AG1386" t="str">
        <f t="shared" si="306"/>
        <v>Active</v>
      </c>
      <c r="AH1386">
        <f t="shared" si="307"/>
        <v>2316.48</v>
      </c>
    </row>
    <row r="1387" spans="1:34" x14ac:dyDescent="0.35">
      <c r="A1387" t="s">
        <v>3697</v>
      </c>
      <c r="B1387" t="s">
        <v>3698</v>
      </c>
      <c r="C1387">
        <v>45</v>
      </c>
      <c r="D1387" t="s">
        <v>22</v>
      </c>
      <c r="E1387" t="s">
        <v>32</v>
      </c>
      <c r="F1387" t="s">
        <v>59</v>
      </c>
      <c r="G1387">
        <v>64602</v>
      </c>
      <c r="H1387">
        <v>634</v>
      </c>
      <c r="I1387">
        <v>18058</v>
      </c>
      <c r="J1387">
        <v>8.18</v>
      </c>
      <c r="K1387">
        <v>48</v>
      </c>
      <c r="L1387" t="s">
        <v>25</v>
      </c>
      <c r="M1387">
        <v>31.25</v>
      </c>
      <c r="N1387">
        <v>9418</v>
      </c>
      <c r="O1387">
        <v>97767</v>
      </c>
      <c r="P1387" t="s">
        <v>936</v>
      </c>
      <c r="Q1387" t="s">
        <v>61</v>
      </c>
      <c r="R1387" t="s">
        <v>48</v>
      </c>
      <c r="S1387" t="s">
        <v>43</v>
      </c>
      <c r="T1387">
        <v>406.98</v>
      </c>
      <c r="U1387">
        <f t="shared" si="294"/>
        <v>615</v>
      </c>
      <c r="V1387">
        <f t="shared" si="295"/>
        <v>232</v>
      </c>
      <c r="W1387">
        <f t="shared" si="296"/>
        <v>187</v>
      </c>
      <c r="X1387">
        <f t="shared" si="297"/>
        <v>0.35149999999999998</v>
      </c>
      <c r="Y1387" s="1">
        <f t="shared" si="298"/>
        <v>31354981</v>
      </c>
      <c r="Z1387">
        <f t="shared" si="299"/>
        <v>50983.708943089434</v>
      </c>
      <c r="AA1387">
        <f t="shared" si="300"/>
        <v>99996</v>
      </c>
      <c r="AB1387">
        <f t="shared" si="301"/>
        <v>5091</v>
      </c>
      <c r="AC1387">
        <f t="shared" si="302"/>
        <v>835243.2099999995</v>
      </c>
      <c r="AD1387">
        <f t="shared" si="303"/>
        <v>1358.1190406504056</v>
      </c>
      <c r="AE1387">
        <f t="shared" si="304"/>
        <v>0.35149999999999998</v>
      </c>
      <c r="AF1387">
        <f t="shared" si="305"/>
        <v>258475379.68999997</v>
      </c>
      <c r="AG1387" t="str">
        <f t="shared" si="306"/>
        <v>Active</v>
      </c>
      <c r="AH1387">
        <f t="shared" si="307"/>
        <v>4883.76</v>
      </c>
    </row>
    <row r="1388" spans="1:34" x14ac:dyDescent="0.35">
      <c r="A1388" t="s">
        <v>3699</v>
      </c>
      <c r="B1388" t="s">
        <v>3700</v>
      </c>
      <c r="C1388">
        <v>31</v>
      </c>
      <c r="D1388" t="s">
        <v>38</v>
      </c>
      <c r="E1388" t="s">
        <v>23</v>
      </c>
      <c r="F1388" t="s">
        <v>24</v>
      </c>
      <c r="G1388">
        <v>41258</v>
      </c>
      <c r="H1388">
        <v>621</v>
      </c>
      <c r="I1388">
        <v>34855</v>
      </c>
      <c r="J1388">
        <v>15.3</v>
      </c>
      <c r="K1388">
        <v>120</v>
      </c>
      <c r="L1388" t="s">
        <v>33</v>
      </c>
      <c r="M1388">
        <v>40.799999999999997</v>
      </c>
      <c r="N1388">
        <v>71967</v>
      </c>
      <c r="O1388">
        <v>211000</v>
      </c>
      <c r="P1388" t="s">
        <v>3701</v>
      </c>
      <c r="Q1388" t="s">
        <v>61</v>
      </c>
      <c r="R1388" t="s">
        <v>28</v>
      </c>
      <c r="S1388" t="s">
        <v>68</v>
      </c>
      <c r="T1388">
        <v>334.9</v>
      </c>
      <c r="U1388">
        <f t="shared" si="294"/>
        <v>614</v>
      </c>
      <c r="V1388">
        <f t="shared" si="295"/>
        <v>232</v>
      </c>
      <c r="W1388">
        <f t="shared" si="296"/>
        <v>186</v>
      </c>
      <c r="X1388">
        <f t="shared" si="297"/>
        <v>0.35149999999999998</v>
      </c>
      <c r="Y1388" s="1">
        <f t="shared" si="298"/>
        <v>31336923</v>
      </c>
      <c r="Z1388">
        <f t="shared" si="299"/>
        <v>51037.333876221499</v>
      </c>
      <c r="AA1388">
        <f t="shared" si="300"/>
        <v>99996</v>
      </c>
      <c r="AB1388">
        <f t="shared" si="301"/>
        <v>5091</v>
      </c>
      <c r="AC1388">
        <f t="shared" si="302"/>
        <v>834836.2299999994</v>
      </c>
      <c r="AD1388">
        <f t="shared" si="303"/>
        <v>1359.6681270358297</v>
      </c>
      <c r="AE1388">
        <f t="shared" si="304"/>
        <v>0.35149999999999998</v>
      </c>
      <c r="AF1388">
        <f t="shared" si="305"/>
        <v>257640136.47999999</v>
      </c>
      <c r="AG1388" t="str">
        <f t="shared" si="306"/>
        <v>Active</v>
      </c>
      <c r="AH1388">
        <f t="shared" si="307"/>
        <v>4018.7999999999997</v>
      </c>
    </row>
    <row r="1389" spans="1:34" x14ac:dyDescent="0.35">
      <c r="A1389" t="s">
        <v>3702</v>
      </c>
      <c r="B1389" t="s">
        <v>3703</v>
      </c>
      <c r="C1389">
        <v>58</v>
      </c>
      <c r="D1389" t="s">
        <v>22</v>
      </c>
      <c r="E1389" t="s">
        <v>32</v>
      </c>
      <c r="F1389" t="s">
        <v>46</v>
      </c>
      <c r="G1389">
        <v>168483</v>
      </c>
      <c r="H1389">
        <v>362</v>
      </c>
      <c r="I1389">
        <v>26102</v>
      </c>
      <c r="J1389">
        <v>16.59</v>
      </c>
      <c r="K1389">
        <v>360</v>
      </c>
      <c r="L1389" t="s">
        <v>52</v>
      </c>
      <c r="M1389">
        <v>47.7</v>
      </c>
      <c r="N1389">
        <v>71284</v>
      </c>
      <c r="O1389">
        <v>59991</v>
      </c>
      <c r="P1389" t="s">
        <v>3175</v>
      </c>
      <c r="Q1389" t="s">
        <v>61</v>
      </c>
      <c r="R1389" t="s">
        <v>48</v>
      </c>
      <c r="S1389" t="s">
        <v>35</v>
      </c>
      <c r="T1389">
        <v>84.53</v>
      </c>
      <c r="U1389">
        <f t="shared" si="294"/>
        <v>613</v>
      </c>
      <c r="V1389">
        <f t="shared" si="295"/>
        <v>232</v>
      </c>
      <c r="W1389">
        <f t="shared" si="296"/>
        <v>185</v>
      </c>
      <c r="X1389">
        <f t="shared" si="297"/>
        <v>0.35149999999999998</v>
      </c>
      <c r="Y1389" s="1">
        <f t="shared" si="298"/>
        <v>31302068</v>
      </c>
      <c r="Z1389">
        <f t="shared" si="299"/>
        <v>51063.732463295266</v>
      </c>
      <c r="AA1389">
        <f t="shared" si="300"/>
        <v>99996</v>
      </c>
      <c r="AB1389">
        <f t="shared" si="301"/>
        <v>5091</v>
      </c>
      <c r="AC1389">
        <f t="shared" si="302"/>
        <v>834501.32999999949</v>
      </c>
      <c r="AD1389">
        <f t="shared" si="303"/>
        <v>1361.3398531810758</v>
      </c>
      <c r="AE1389">
        <f t="shared" si="304"/>
        <v>0.35149999999999998</v>
      </c>
      <c r="AF1389">
        <f t="shared" si="305"/>
        <v>256805300.24999994</v>
      </c>
      <c r="AG1389" t="str">
        <f t="shared" si="306"/>
        <v>Active</v>
      </c>
      <c r="AH1389">
        <f t="shared" si="307"/>
        <v>1014.36</v>
      </c>
    </row>
    <row r="1390" spans="1:34" x14ac:dyDescent="0.35">
      <c r="A1390" t="s">
        <v>3704</v>
      </c>
      <c r="B1390" t="s">
        <v>3705</v>
      </c>
      <c r="C1390">
        <v>33</v>
      </c>
      <c r="D1390" t="s">
        <v>22</v>
      </c>
      <c r="E1390" t="s">
        <v>39</v>
      </c>
      <c r="F1390" t="s">
        <v>24</v>
      </c>
      <c r="G1390">
        <v>176109</v>
      </c>
      <c r="H1390">
        <v>555</v>
      </c>
      <c r="I1390">
        <v>43885</v>
      </c>
      <c r="J1390">
        <v>7.26</v>
      </c>
      <c r="K1390">
        <v>360</v>
      </c>
      <c r="L1390" t="s">
        <v>40</v>
      </c>
      <c r="M1390">
        <v>52.06</v>
      </c>
      <c r="N1390">
        <v>46314</v>
      </c>
      <c r="O1390">
        <v>240345</v>
      </c>
      <c r="P1390" t="s">
        <v>3706</v>
      </c>
      <c r="Q1390" t="s">
        <v>42</v>
      </c>
      <c r="R1390" t="s">
        <v>28</v>
      </c>
      <c r="S1390" t="s">
        <v>29</v>
      </c>
      <c r="T1390">
        <v>130.75</v>
      </c>
      <c r="U1390">
        <f t="shared" si="294"/>
        <v>612</v>
      </c>
      <c r="V1390">
        <f t="shared" si="295"/>
        <v>232</v>
      </c>
      <c r="W1390">
        <f t="shared" si="296"/>
        <v>184</v>
      </c>
      <c r="X1390">
        <f t="shared" si="297"/>
        <v>0.35149999999999998</v>
      </c>
      <c r="Y1390" s="1">
        <f t="shared" si="298"/>
        <v>31275966</v>
      </c>
      <c r="Z1390">
        <f t="shared" si="299"/>
        <v>51104.51960784314</v>
      </c>
      <c r="AA1390">
        <f t="shared" si="300"/>
        <v>99996</v>
      </c>
      <c r="AB1390">
        <f t="shared" si="301"/>
        <v>5091</v>
      </c>
      <c r="AC1390">
        <f t="shared" si="302"/>
        <v>834416.79999999946</v>
      </c>
      <c r="AD1390">
        <f t="shared" si="303"/>
        <v>1363.4261437908488</v>
      </c>
      <c r="AE1390">
        <f t="shared" si="304"/>
        <v>0.35149999999999998</v>
      </c>
      <c r="AF1390">
        <f t="shared" si="305"/>
        <v>255970798.91999996</v>
      </c>
      <c r="AG1390" t="str">
        <f t="shared" si="306"/>
        <v>Active</v>
      </c>
      <c r="AH1390">
        <f t="shared" si="307"/>
        <v>1569</v>
      </c>
    </row>
    <row r="1391" spans="1:34" x14ac:dyDescent="0.35">
      <c r="A1391" t="s">
        <v>3707</v>
      </c>
      <c r="B1391" t="s">
        <v>3708</v>
      </c>
      <c r="C1391">
        <v>36</v>
      </c>
      <c r="D1391" t="s">
        <v>38</v>
      </c>
      <c r="E1391" t="s">
        <v>23</v>
      </c>
      <c r="F1391" t="s">
        <v>46</v>
      </c>
      <c r="G1391">
        <v>101477</v>
      </c>
      <c r="H1391">
        <v>467</v>
      </c>
      <c r="I1391">
        <v>10727</v>
      </c>
      <c r="J1391">
        <v>12.48</v>
      </c>
      <c r="K1391">
        <v>120</v>
      </c>
      <c r="L1391" t="s">
        <v>33</v>
      </c>
      <c r="M1391">
        <v>48.58</v>
      </c>
      <c r="N1391">
        <v>58543</v>
      </c>
      <c r="O1391">
        <v>130265</v>
      </c>
      <c r="P1391" t="s">
        <v>1132</v>
      </c>
      <c r="Q1391" t="s">
        <v>42</v>
      </c>
      <c r="R1391" t="s">
        <v>48</v>
      </c>
      <c r="S1391" t="s">
        <v>68</v>
      </c>
      <c r="T1391">
        <v>100.55</v>
      </c>
      <c r="U1391">
        <f t="shared" si="294"/>
        <v>611</v>
      </c>
      <c r="V1391">
        <f t="shared" si="295"/>
        <v>231</v>
      </c>
      <c r="W1391">
        <f t="shared" si="296"/>
        <v>184</v>
      </c>
      <c r="X1391">
        <f t="shared" si="297"/>
        <v>0.35149999999999998</v>
      </c>
      <c r="Y1391" s="1">
        <f t="shared" si="298"/>
        <v>31232081</v>
      </c>
      <c r="Z1391">
        <f t="shared" si="299"/>
        <v>51116.335515548279</v>
      </c>
      <c r="AA1391">
        <f t="shared" si="300"/>
        <v>99996</v>
      </c>
      <c r="AB1391">
        <f t="shared" si="301"/>
        <v>5091</v>
      </c>
      <c r="AC1391">
        <f t="shared" si="302"/>
        <v>834286.04999999946</v>
      </c>
      <c r="AD1391">
        <f t="shared" si="303"/>
        <v>1365.4436170212757</v>
      </c>
      <c r="AE1391">
        <f t="shared" si="304"/>
        <v>0.35149999999999998</v>
      </c>
      <c r="AF1391">
        <f t="shared" si="305"/>
        <v>255136382.11999997</v>
      </c>
      <c r="AG1391" t="str">
        <f t="shared" si="306"/>
        <v>Active</v>
      </c>
      <c r="AH1391">
        <f t="shared" si="307"/>
        <v>1206.5999999999999</v>
      </c>
    </row>
    <row r="1392" spans="1:34" x14ac:dyDescent="0.35">
      <c r="A1392" t="s">
        <v>3709</v>
      </c>
      <c r="B1392" t="s">
        <v>3710</v>
      </c>
      <c r="C1392">
        <v>63</v>
      </c>
      <c r="D1392" t="s">
        <v>38</v>
      </c>
      <c r="E1392" t="s">
        <v>23</v>
      </c>
      <c r="F1392" t="s">
        <v>46</v>
      </c>
      <c r="G1392">
        <v>148952</v>
      </c>
      <c r="H1392">
        <v>345</v>
      </c>
      <c r="I1392">
        <v>36585</v>
      </c>
      <c r="J1392">
        <v>7.35</v>
      </c>
      <c r="K1392">
        <v>48</v>
      </c>
      <c r="L1392" t="s">
        <v>25</v>
      </c>
      <c r="M1392">
        <v>29.73</v>
      </c>
      <c r="N1392">
        <v>64675</v>
      </c>
      <c r="O1392">
        <v>143334</v>
      </c>
      <c r="P1392" t="s">
        <v>3711</v>
      </c>
      <c r="Q1392" t="s">
        <v>61</v>
      </c>
      <c r="R1392" t="s">
        <v>28</v>
      </c>
      <c r="S1392" t="s">
        <v>68</v>
      </c>
      <c r="T1392">
        <v>818.21</v>
      </c>
      <c r="U1392">
        <f t="shared" si="294"/>
        <v>610</v>
      </c>
      <c r="V1392">
        <f t="shared" si="295"/>
        <v>230</v>
      </c>
      <c r="W1392">
        <f t="shared" si="296"/>
        <v>184</v>
      </c>
      <c r="X1392">
        <f t="shared" si="297"/>
        <v>0.35149999999999998</v>
      </c>
      <c r="Y1392" s="1">
        <f t="shared" si="298"/>
        <v>31221354</v>
      </c>
      <c r="Z1392">
        <f t="shared" si="299"/>
        <v>51182.547540983607</v>
      </c>
      <c r="AA1392">
        <f t="shared" si="300"/>
        <v>99996</v>
      </c>
      <c r="AB1392">
        <f t="shared" si="301"/>
        <v>5091</v>
      </c>
      <c r="AC1392">
        <f t="shared" si="302"/>
        <v>834185.49999999942</v>
      </c>
      <c r="AD1392">
        <f t="shared" si="303"/>
        <v>1367.5172131147531</v>
      </c>
      <c r="AE1392">
        <f t="shared" si="304"/>
        <v>0.35149999999999998</v>
      </c>
      <c r="AF1392">
        <f t="shared" si="305"/>
        <v>254302096.06999999</v>
      </c>
      <c r="AG1392" t="str">
        <f t="shared" si="306"/>
        <v>Active</v>
      </c>
      <c r="AH1392">
        <f t="shared" si="307"/>
        <v>9818.52</v>
      </c>
    </row>
    <row r="1393" spans="1:34" x14ac:dyDescent="0.35">
      <c r="A1393" t="s">
        <v>3712</v>
      </c>
      <c r="B1393" t="s">
        <v>3713</v>
      </c>
      <c r="C1393">
        <v>64</v>
      </c>
      <c r="D1393" t="s">
        <v>22</v>
      </c>
      <c r="E1393" t="s">
        <v>32</v>
      </c>
      <c r="F1393" t="s">
        <v>59</v>
      </c>
      <c r="G1393">
        <v>175453</v>
      </c>
      <c r="H1393">
        <v>724</v>
      </c>
      <c r="I1393">
        <v>69134</v>
      </c>
      <c r="J1393">
        <v>14.01</v>
      </c>
      <c r="K1393">
        <v>180</v>
      </c>
      <c r="L1393" t="s">
        <v>52</v>
      </c>
      <c r="M1393">
        <v>15.78</v>
      </c>
      <c r="N1393">
        <v>9837</v>
      </c>
      <c r="O1393">
        <v>181512</v>
      </c>
      <c r="P1393" t="s">
        <v>3006</v>
      </c>
      <c r="Q1393" t="s">
        <v>61</v>
      </c>
      <c r="R1393" t="s">
        <v>28</v>
      </c>
      <c r="S1393" t="s">
        <v>68</v>
      </c>
      <c r="T1393">
        <v>437.89</v>
      </c>
      <c r="U1393">
        <f t="shared" si="294"/>
        <v>609</v>
      </c>
      <c r="V1393">
        <f t="shared" si="295"/>
        <v>230</v>
      </c>
      <c r="W1393">
        <f t="shared" si="296"/>
        <v>183</v>
      </c>
      <c r="X1393">
        <f t="shared" si="297"/>
        <v>0.35149999999999998</v>
      </c>
      <c r="Y1393" s="1">
        <f t="shared" si="298"/>
        <v>31184769</v>
      </c>
      <c r="Z1393">
        <f t="shared" si="299"/>
        <v>51206.517241379312</v>
      </c>
      <c r="AA1393">
        <f t="shared" si="300"/>
        <v>99996</v>
      </c>
      <c r="AB1393">
        <f t="shared" si="301"/>
        <v>5091</v>
      </c>
      <c r="AC1393">
        <f t="shared" si="302"/>
        <v>833367.28999999946</v>
      </c>
      <c r="AD1393">
        <f t="shared" si="303"/>
        <v>1368.4191954022979</v>
      </c>
      <c r="AE1393">
        <f t="shared" si="304"/>
        <v>0.35149999999999998</v>
      </c>
      <c r="AF1393">
        <f t="shared" si="305"/>
        <v>253467910.56999996</v>
      </c>
      <c r="AG1393" t="str">
        <f t="shared" si="306"/>
        <v>Active</v>
      </c>
      <c r="AH1393">
        <f t="shared" si="307"/>
        <v>5254.68</v>
      </c>
    </row>
    <row r="1394" spans="1:34" x14ac:dyDescent="0.35">
      <c r="A1394" t="s">
        <v>3714</v>
      </c>
      <c r="B1394" t="s">
        <v>3715</v>
      </c>
      <c r="C1394">
        <v>25</v>
      </c>
      <c r="D1394" t="s">
        <v>38</v>
      </c>
      <c r="E1394" t="s">
        <v>32</v>
      </c>
      <c r="F1394" t="s">
        <v>46</v>
      </c>
      <c r="G1394">
        <v>161116</v>
      </c>
      <c r="H1394">
        <v>681</v>
      </c>
      <c r="I1394">
        <v>28649</v>
      </c>
      <c r="J1394">
        <v>9.43</v>
      </c>
      <c r="K1394">
        <v>12</v>
      </c>
      <c r="L1394" t="s">
        <v>25</v>
      </c>
      <c r="M1394">
        <v>18.149999999999999</v>
      </c>
      <c r="N1394">
        <v>19287</v>
      </c>
      <c r="O1394">
        <v>214990</v>
      </c>
      <c r="P1394" t="s">
        <v>1650</v>
      </c>
      <c r="Q1394" t="s">
        <v>42</v>
      </c>
      <c r="R1394" t="s">
        <v>48</v>
      </c>
      <c r="S1394" t="s">
        <v>68</v>
      </c>
      <c r="T1394">
        <v>2612.5500000000002</v>
      </c>
      <c r="U1394">
        <f t="shared" si="294"/>
        <v>608</v>
      </c>
      <c r="V1394">
        <f t="shared" si="295"/>
        <v>230</v>
      </c>
      <c r="W1394">
        <f t="shared" si="296"/>
        <v>182</v>
      </c>
      <c r="X1394">
        <f t="shared" si="297"/>
        <v>0.35149999999999998</v>
      </c>
      <c r="Y1394" s="1">
        <f t="shared" si="298"/>
        <v>31115635</v>
      </c>
      <c r="Z1394">
        <f t="shared" si="299"/>
        <v>51177.03125</v>
      </c>
      <c r="AA1394">
        <f t="shared" si="300"/>
        <v>99996</v>
      </c>
      <c r="AB1394">
        <f t="shared" si="301"/>
        <v>5091</v>
      </c>
      <c r="AC1394">
        <f t="shared" si="302"/>
        <v>832929.39999999944</v>
      </c>
      <c r="AD1394">
        <f t="shared" si="303"/>
        <v>1369.9496710526307</v>
      </c>
      <c r="AE1394">
        <f t="shared" si="304"/>
        <v>0.35149999999999998</v>
      </c>
      <c r="AF1394">
        <f t="shared" si="305"/>
        <v>252634543.27999997</v>
      </c>
      <c r="AG1394" t="str">
        <f t="shared" si="306"/>
        <v>Active</v>
      </c>
      <c r="AH1394">
        <f t="shared" si="307"/>
        <v>31350.600000000002</v>
      </c>
    </row>
    <row r="1395" spans="1:34" x14ac:dyDescent="0.35">
      <c r="A1395" t="s">
        <v>3716</v>
      </c>
      <c r="B1395" t="s">
        <v>3717</v>
      </c>
      <c r="C1395">
        <v>25</v>
      </c>
      <c r="D1395" t="s">
        <v>22</v>
      </c>
      <c r="E1395" t="s">
        <v>32</v>
      </c>
      <c r="F1395" t="s">
        <v>59</v>
      </c>
      <c r="G1395">
        <v>106347</v>
      </c>
      <c r="H1395">
        <v>671</v>
      </c>
      <c r="I1395">
        <v>74031</v>
      </c>
      <c r="J1395">
        <v>19.13</v>
      </c>
      <c r="K1395">
        <v>240</v>
      </c>
      <c r="L1395" t="s">
        <v>33</v>
      </c>
      <c r="M1395">
        <v>53.61</v>
      </c>
      <c r="N1395">
        <v>12504</v>
      </c>
      <c r="O1395">
        <v>170286</v>
      </c>
      <c r="P1395" t="s">
        <v>129</v>
      </c>
      <c r="Q1395" t="s">
        <v>61</v>
      </c>
      <c r="R1395" t="s">
        <v>28</v>
      </c>
      <c r="S1395" t="s">
        <v>29</v>
      </c>
      <c r="T1395">
        <v>367.47</v>
      </c>
      <c r="U1395">
        <f t="shared" si="294"/>
        <v>607</v>
      </c>
      <c r="V1395">
        <f t="shared" si="295"/>
        <v>229</v>
      </c>
      <c r="W1395">
        <f t="shared" si="296"/>
        <v>182</v>
      </c>
      <c r="X1395">
        <f t="shared" si="297"/>
        <v>0.35149999999999998</v>
      </c>
      <c r="Y1395" s="1">
        <f t="shared" si="298"/>
        <v>31086986</v>
      </c>
      <c r="Z1395">
        <f t="shared" si="299"/>
        <v>51214.144975288305</v>
      </c>
      <c r="AA1395">
        <f t="shared" si="300"/>
        <v>99996</v>
      </c>
      <c r="AB1395">
        <f t="shared" si="301"/>
        <v>5091</v>
      </c>
      <c r="AC1395">
        <f t="shared" si="302"/>
        <v>830316.84999999939</v>
      </c>
      <c r="AD1395">
        <f t="shared" si="303"/>
        <v>1367.9025535420089</v>
      </c>
      <c r="AE1395">
        <f t="shared" si="304"/>
        <v>0.35149999999999998</v>
      </c>
      <c r="AF1395">
        <f t="shared" si="305"/>
        <v>251801613.87999997</v>
      </c>
      <c r="AG1395" t="str">
        <f t="shared" si="306"/>
        <v>Over Paid</v>
      </c>
      <c r="AH1395">
        <f t="shared" si="307"/>
        <v>4409.6400000000003</v>
      </c>
    </row>
    <row r="1396" spans="1:34" x14ac:dyDescent="0.35">
      <c r="A1396" t="s">
        <v>3718</v>
      </c>
      <c r="B1396" t="s">
        <v>3719</v>
      </c>
      <c r="C1396">
        <v>47</v>
      </c>
      <c r="D1396" t="s">
        <v>38</v>
      </c>
      <c r="E1396" t="s">
        <v>39</v>
      </c>
      <c r="F1396" t="s">
        <v>24</v>
      </c>
      <c r="G1396">
        <v>72340</v>
      </c>
      <c r="H1396">
        <v>433</v>
      </c>
      <c r="I1396">
        <v>44941</v>
      </c>
      <c r="J1396">
        <v>12.02</v>
      </c>
      <c r="K1396">
        <v>360</v>
      </c>
      <c r="L1396" t="s">
        <v>52</v>
      </c>
      <c r="M1396">
        <v>48</v>
      </c>
      <c r="N1396">
        <v>23370</v>
      </c>
      <c r="O1396">
        <v>66719</v>
      </c>
      <c r="P1396" t="s">
        <v>3329</v>
      </c>
      <c r="Q1396" t="s">
        <v>42</v>
      </c>
      <c r="R1396" t="s">
        <v>48</v>
      </c>
      <c r="S1396" t="s">
        <v>29</v>
      </c>
      <c r="T1396">
        <v>139.84</v>
      </c>
      <c r="U1396">
        <f t="shared" si="294"/>
        <v>606</v>
      </c>
      <c r="V1396">
        <f t="shared" si="295"/>
        <v>229</v>
      </c>
      <c r="W1396">
        <f t="shared" si="296"/>
        <v>181</v>
      </c>
      <c r="X1396">
        <f t="shared" si="297"/>
        <v>0.35149999999999998</v>
      </c>
      <c r="Y1396" s="1">
        <f t="shared" si="298"/>
        <v>31012955</v>
      </c>
      <c r="Z1396">
        <f t="shared" si="299"/>
        <v>51176.493399339932</v>
      </c>
      <c r="AA1396">
        <f t="shared" si="300"/>
        <v>99996</v>
      </c>
      <c r="AB1396">
        <f t="shared" si="301"/>
        <v>5091</v>
      </c>
      <c r="AC1396">
        <f t="shared" si="302"/>
        <v>829949.37999999942</v>
      </c>
      <c r="AD1396">
        <f t="shared" si="303"/>
        <v>1369.5534323432335</v>
      </c>
      <c r="AE1396">
        <f t="shared" si="304"/>
        <v>0.35149999999999998</v>
      </c>
      <c r="AF1396">
        <f t="shared" si="305"/>
        <v>250971297.02999997</v>
      </c>
      <c r="AG1396" t="str">
        <f t="shared" si="306"/>
        <v>Active</v>
      </c>
      <c r="AH1396">
        <f t="shared" si="307"/>
        <v>1678.08</v>
      </c>
    </row>
    <row r="1397" spans="1:34" x14ac:dyDescent="0.35">
      <c r="A1397" t="s">
        <v>3720</v>
      </c>
      <c r="B1397" t="s">
        <v>3721</v>
      </c>
      <c r="C1397">
        <v>22</v>
      </c>
      <c r="D1397" t="s">
        <v>38</v>
      </c>
      <c r="E1397" t="s">
        <v>32</v>
      </c>
      <c r="F1397" t="s">
        <v>59</v>
      </c>
      <c r="G1397">
        <v>21166</v>
      </c>
      <c r="H1397">
        <v>566</v>
      </c>
      <c r="I1397">
        <v>9359</v>
      </c>
      <c r="J1397">
        <v>5.74</v>
      </c>
      <c r="K1397">
        <v>12</v>
      </c>
      <c r="L1397" t="s">
        <v>86</v>
      </c>
      <c r="M1397">
        <v>16.329999999999998</v>
      </c>
      <c r="N1397">
        <v>4419</v>
      </c>
      <c r="O1397">
        <v>136762</v>
      </c>
      <c r="P1397" t="s">
        <v>3722</v>
      </c>
      <c r="Q1397" t="s">
        <v>27</v>
      </c>
      <c r="R1397" t="s">
        <v>28</v>
      </c>
      <c r="S1397" t="s">
        <v>68</v>
      </c>
      <c r="T1397">
        <v>824.68</v>
      </c>
      <c r="U1397">
        <f t="shared" si="294"/>
        <v>605</v>
      </c>
      <c r="V1397">
        <f t="shared" si="295"/>
        <v>228</v>
      </c>
      <c r="W1397">
        <f t="shared" si="296"/>
        <v>181</v>
      </c>
      <c r="X1397">
        <f t="shared" si="297"/>
        <v>0.35149999999999998</v>
      </c>
      <c r="Y1397" s="1">
        <f t="shared" si="298"/>
        <v>30968014</v>
      </c>
      <c r="Z1397">
        <f t="shared" si="299"/>
        <v>51186.8</v>
      </c>
      <c r="AA1397">
        <f t="shared" si="300"/>
        <v>99996</v>
      </c>
      <c r="AB1397">
        <f t="shared" si="301"/>
        <v>5091</v>
      </c>
      <c r="AC1397">
        <f t="shared" si="302"/>
        <v>829809.53999999934</v>
      </c>
      <c r="AD1397">
        <f t="shared" si="303"/>
        <v>1371.5860165289246</v>
      </c>
      <c r="AE1397">
        <f t="shared" si="304"/>
        <v>0.35149999999999998</v>
      </c>
      <c r="AF1397">
        <f t="shared" si="305"/>
        <v>250141347.65000001</v>
      </c>
      <c r="AG1397" t="str">
        <f t="shared" si="306"/>
        <v>Active</v>
      </c>
      <c r="AH1397">
        <f t="shared" si="307"/>
        <v>9896.16</v>
      </c>
    </row>
    <row r="1398" spans="1:34" x14ac:dyDescent="0.35">
      <c r="A1398" t="s">
        <v>3723</v>
      </c>
      <c r="B1398" t="s">
        <v>3724</v>
      </c>
      <c r="C1398">
        <v>49</v>
      </c>
      <c r="D1398" t="s">
        <v>38</v>
      </c>
      <c r="E1398" t="s">
        <v>32</v>
      </c>
      <c r="F1398" t="s">
        <v>59</v>
      </c>
      <c r="G1398">
        <v>39419</v>
      </c>
      <c r="H1398">
        <v>631</v>
      </c>
      <c r="I1398">
        <v>43951</v>
      </c>
      <c r="J1398">
        <v>13.06</v>
      </c>
      <c r="K1398">
        <v>36</v>
      </c>
      <c r="L1398" t="s">
        <v>25</v>
      </c>
      <c r="M1398">
        <v>59.64</v>
      </c>
      <c r="N1398">
        <v>7690</v>
      </c>
      <c r="O1398">
        <v>143767</v>
      </c>
      <c r="P1398" t="s">
        <v>1150</v>
      </c>
      <c r="Q1398" t="s">
        <v>61</v>
      </c>
      <c r="R1398" t="s">
        <v>28</v>
      </c>
      <c r="S1398" t="s">
        <v>43</v>
      </c>
      <c r="T1398">
        <v>1380.31</v>
      </c>
      <c r="U1398">
        <f t="shared" si="294"/>
        <v>604</v>
      </c>
      <c r="V1398">
        <f t="shared" si="295"/>
        <v>228</v>
      </c>
      <c r="W1398">
        <f t="shared" si="296"/>
        <v>181</v>
      </c>
      <c r="X1398">
        <f t="shared" si="297"/>
        <v>0.35149999999999998</v>
      </c>
      <c r="Y1398" s="1">
        <f t="shared" si="298"/>
        <v>30958655</v>
      </c>
      <c r="Z1398">
        <f t="shared" si="299"/>
        <v>51256.051324503314</v>
      </c>
      <c r="AA1398">
        <f t="shared" si="300"/>
        <v>99996</v>
      </c>
      <c r="AB1398">
        <f t="shared" si="301"/>
        <v>5091</v>
      </c>
      <c r="AC1398">
        <f t="shared" si="302"/>
        <v>828984.8599999994</v>
      </c>
      <c r="AD1398">
        <f t="shared" si="303"/>
        <v>1372.4914900662243</v>
      </c>
      <c r="AE1398">
        <f t="shared" si="304"/>
        <v>0.35149999999999998</v>
      </c>
      <c r="AF1398">
        <f t="shared" si="305"/>
        <v>249311538.10999995</v>
      </c>
      <c r="AG1398" t="str">
        <f t="shared" si="306"/>
        <v>Over Paid</v>
      </c>
      <c r="AH1398">
        <f t="shared" si="307"/>
        <v>16563.72</v>
      </c>
    </row>
    <row r="1399" spans="1:34" x14ac:dyDescent="0.35">
      <c r="A1399" t="s">
        <v>3725</v>
      </c>
      <c r="B1399" t="s">
        <v>3726</v>
      </c>
      <c r="C1399">
        <v>64</v>
      </c>
      <c r="D1399" t="s">
        <v>22</v>
      </c>
      <c r="E1399" t="s">
        <v>39</v>
      </c>
      <c r="F1399" t="s">
        <v>46</v>
      </c>
      <c r="G1399">
        <v>96436</v>
      </c>
      <c r="H1399">
        <v>624</v>
      </c>
      <c r="I1399">
        <v>54253</v>
      </c>
      <c r="J1399">
        <v>13.81</v>
      </c>
      <c r="K1399">
        <v>360</v>
      </c>
      <c r="L1399" t="s">
        <v>25</v>
      </c>
      <c r="M1399">
        <v>47.56</v>
      </c>
      <c r="N1399">
        <v>31470</v>
      </c>
      <c r="O1399">
        <v>213633</v>
      </c>
      <c r="P1399" t="s">
        <v>3727</v>
      </c>
      <c r="Q1399" t="s">
        <v>61</v>
      </c>
      <c r="R1399" t="s">
        <v>48</v>
      </c>
      <c r="S1399" t="s">
        <v>49</v>
      </c>
      <c r="T1399">
        <v>171.51</v>
      </c>
      <c r="U1399">
        <f t="shared" si="294"/>
        <v>603</v>
      </c>
      <c r="V1399">
        <f t="shared" si="295"/>
        <v>228</v>
      </c>
      <c r="W1399">
        <f t="shared" si="296"/>
        <v>180</v>
      </c>
      <c r="X1399">
        <f t="shared" si="297"/>
        <v>0.35149999999999998</v>
      </c>
      <c r="Y1399" s="1">
        <f t="shared" si="298"/>
        <v>30914704</v>
      </c>
      <c r="Z1399">
        <f t="shared" si="299"/>
        <v>51268.165837479268</v>
      </c>
      <c r="AA1399">
        <f t="shared" si="300"/>
        <v>99996</v>
      </c>
      <c r="AB1399">
        <f t="shared" si="301"/>
        <v>5091</v>
      </c>
      <c r="AC1399">
        <f t="shared" si="302"/>
        <v>827604.54999999935</v>
      </c>
      <c r="AD1399">
        <f t="shared" si="303"/>
        <v>1372.4785240464334</v>
      </c>
      <c r="AE1399">
        <f t="shared" si="304"/>
        <v>0.35149999999999998</v>
      </c>
      <c r="AF1399">
        <f t="shared" si="305"/>
        <v>248482553.25</v>
      </c>
      <c r="AG1399" t="str">
        <f t="shared" si="306"/>
        <v>Active</v>
      </c>
      <c r="AH1399">
        <f t="shared" si="307"/>
        <v>2058.12</v>
      </c>
    </row>
    <row r="1400" spans="1:34" x14ac:dyDescent="0.35">
      <c r="A1400" t="s">
        <v>3728</v>
      </c>
      <c r="B1400" t="s">
        <v>3729</v>
      </c>
      <c r="C1400">
        <v>55</v>
      </c>
      <c r="D1400" t="s">
        <v>22</v>
      </c>
      <c r="E1400" t="s">
        <v>32</v>
      </c>
      <c r="F1400" t="s">
        <v>46</v>
      </c>
      <c r="G1400">
        <v>31307</v>
      </c>
      <c r="H1400">
        <v>612</v>
      </c>
      <c r="I1400">
        <v>58567</v>
      </c>
      <c r="J1400">
        <v>21.78</v>
      </c>
      <c r="K1400">
        <v>24</v>
      </c>
      <c r="L1400" t="s">
        <v>25</v>
      </c>
      <c r="M1400">
        <v>58.19</v>
      </c>
      <c r="N1400">
        <v>5531</v>
      </c>
      <c r="O1400">
        <v>219231</v>
      </c>
      <c r="P1400" t="s">
        <v>2881</v>
      </c>
      <c r="Q1400" t="s">
        <v>27</v>
      </c>
      <c r="R1400" t="s">
        <v>48</v>
      </c>
      <c r="S1400" t="s">
        <v>43</v>
      </c>
      <c r="T1400">
        <v>2971.79</v>
      </c>
      <c r="U1400">
        <f t="shared" si="294"/>
        <v>602</v>
      </c>
      <c r="V1400">
        <f t="shared" si="295"/>
        <v>228</v>
      </c>
      <c r="W1400">
        <f t="shared" si="296"/>
        <v>179</v>
      </c>
      <c r="X1400">
        <f t="shared" si="297"/>
        <v>0.35149999999999998</v>
      </c>
      <c r="Y1400" s="1">
        <f t="shared" si="298"/>
        <v>30860451</v>
      </c>
      <c r="Z1400">
        <f t="shared" si="299"/>
        <v>51263.207641196015</v>
      </c>
      <c r="AA1400">
        <f t="shared" si="300"/>
        <v>99996</v>
      </c>
      <c r="AB1400">
        <f t="shared" si="301"/>
        <v>5091</v>
      </c>
      <c r="AC1400">
        <f t="shared" si="302"/>
        <v>827433.03999999934</v>
      </c>
      <c r="AD1400">
        <f t="shared" si="303"/>
        <v>1374.4734883720919</v>
      </c>
      <c r="AE1400">
        <f t="shared" si="304"/>
        <v>0.35149999999999998</v>
      </c>
      <c r="AF1400">
        <f t="shared" si="305"/>
        <v>247654948.69999999</v>
      </c>
      <c r="AG1400" t="str">
        <f t="shared" si="306"/>
        <v>Active</v>
      </c>
      <c r="AH1400">
        <f t="shared" si="307"/>
        <v>35661.479999999996</v>
      </c>
    </row>
    <row r="1401" spans="1:34" x14ac:dyDescent="0.35">
      <c r="A1401" t="s">
        <v>3730</v>
      </c>
      <c r="B1401" t="s">
        <v>3731</v>
      </c>
      <c r="C1401">
        <v>21</v>
      </c>
      <c r="D1401" t="s">
        <v>38</v>
      </c>
      <c r="E1401" t="s">
        <v>23</v>
      </c>
      <c r="F1401" t="s">
        <v>59</v>
      </c>
      <c r="G1401">
        <v>67416</v>
      </c>
      <c r="H1401">
        <v>427</v>
      </c>
      <c r="I1401">
        <v>10880</v>
      </c>
      <c r="J1401">
        <v>12.65</v>
      </c>
      <c r="K1401">
        <v>120</v>
      </c>
      <c r="L1401" t="s">
        <v>86</v>
      </c>
      <c r="M1401">
        <v>38.33</v>
      </c>
      <c r="N1401">
        <v>34666</v>
      </c>
      <c r="O1401">
        <v>76529</v>
      </c>
      <c r="P1401" t="s">
        <v>860</v>
      </c>
      <c r="Q1401" t="s">
        <v>42</v>
      </c>
      <c r="R1401" t="s">
        <v>48</v>
      </c>
      <c r="S1401" t="s">
        <v>29</v>
      </c>
      <c r="T1401">
        <v>102.14</v>
      </c>
      <c r="U1401">
        <f t="shared" si="294"/>
        <v>601</v>
      </c>
      <c r="V1401">
        <f t="shared" si="295"/>
        <v>228</v>
      </c>
      <c r="W1401">
        <f t="shared" si="296"/>
        <v>179</v>
      </c>
      <c r="X1401">
        <f t="shared" si="297"/>
        <v>0.35149999999999998</v>
      </c>
      <c r="Y1401" s="1">
        <f t="shared" si="298"/>
        <v>30801884</v>
      </c>
      <c r="Z1401">
        <f t="shared" si="299"/>
        <v>51251.054908485858</v>
      </c>
      <c r="AA1401">
        <f t="shared" si="300"/>
        <v>99996</v>
      </c>
      <c r="AB1401">
        <f t="shared" si="301"/>
        <v>5091</v>
      </c>
      <c r="AC1401">
        <f t="shared" si="302"/>
        <v>824461.24999999942</v>
      </c>
      <c r="AD1401">
        <f t="shared" si="303"/>
        <v>1371.8157237936762</v>
      </c>
      <c r="AE1401">
        <f t="shared" si="304"/>
        <v>0.35149999999999998</v>
      </c>
      <c r="AF1401">
        <f t="shared" si="305"/>
        <v>246827515.65999997</v>
      </c>
      <c r="AG1401" t="str">
        <f t="shared" si="306"/>
        <v>Active</v>
      </c>
      <c r="AH1401">
        <f t="shared" si="307"/>
        <v>1225.68</v>
      </c>
    </row>
    <row r="1402" spans="1:34" x14ac:dyDescent="0.35">
      <c r="A1402" t="s">
        <v>3732</v>
      </c>
      <c r="B1402" t="s">
        <v>3733</v>
      </c>
      <c r="C1402">
        <v>63</v>
      </c>
      <c r="D1402" t="s">
        <v>22</v>
      </c>
      <c r="E1402" t="s">
        <v>32</v>
      </c>
      <c r="F1402" t="s">
        <v>59</v>
      </c>
      <c r="G1402">
        <v>116670</v>
      </c>
      <c r="H1402">
        <v>837</v>
      </c>
      <c r="I1402">
        <v>33253</v>
      </c>
      <c r="J1402">
        <v>22.76</v>
      </c>
      <c r="K1402">
        <v>48</v>
      </c>
      <c r="L1402" t="s">
        <v>52</v>
      </c>
      <c r="M1402">
        <v>43.65</v>
      </c>
      <c r="N1402">
        <v>51252</v>
      </c>
      <c r="O1402">
        <v>46645</v>
      </c>
      <c r="P1402" t="s">
        <v>1054</v>
      </c>
      <c r="Q1402" t="s">
        <v>61</v>
      </c>
      <c r="R1402" t="s">
        <v>48</v>
      </c>
      <c r="S1402" t="s">
        <v>29</v>
      </c>
      <c r="T1402">
        <v>850.45</v>
      </c>
      <c r="U1402">
        <f t="shared" si="294"/>
        <v>600</v>
      </c>
      <c r="V1402">
        <f t="shared" si="295"/>
        <v>227</v>
      </c>
      <c r="W1402">
        <f t="shared" si="296"/>
        <v>179</v>
      </c>
      <c r="X1402">
        <f t="shared" si="297"/>
        <v>0.35149999999999998</v>
      </c>
      <c r="Y1402" s="1">
        <f t="shared" si="298"/>
        <v>30791004</v>
      </c>
      <c r="Z1402">
        <f t="shared" si="299"/>
        <v>51318.34</v>
      </c>
      <c r="AA1402">
        <f t="shared" si="300"/>
        <v>99996</v>
      </c>
      <c r="AB1402">
        <f t="shared" si="301"/>
        <v>5091</v>
      </c>
      <c r="AC1402">
        <f t="shared" si="302"/>
        <v>824359.1099999994</v>
      </c>
      <c r="AD1402">
        <f t="shared" si="303"/>
        <v>1373.931849999999</v>
      </c>
      <c r="AE1402">
        <f t="shared" si="304"/>
        <v>0.35149999999999998</v>
      </c>
      <c r="AF1402">
        <f t="shared" si="305"/>
        <v>246003054.41</v>
      </c>
      <c r="AG1402" t="str">
        <f t="shared" si="306"/>
        <v>Active</v>
      </c>
      <c r="AH1402">
        <f t="shared" si="307"/>
        <v>10205.400000000001</v>
      </c>
    </row>
    <row r="1403" spans="1:34" x14ac:dyDescent="0.35">
      <c r="A1403" t="s">
        <v>3734</v>
      </c>
      <c r="B1403" t="s">
        <v>3735</v>
      </c>
      <c r="C1403">
        <v>21</v>
      </c>
      <c r="D1403" t="s">
        <v>22</v>
      </c>
      <c r="E1403" t="s">
        <v>39</v>
      </c>
      <c r="F1403" t="s">
        <v>59</v>
      </c>
      <c r="G1403">
        <v>53693</v>
      </c>
      <c r="H1403">
        <v>550</v>
      </c>
      <c r="I1403">
        <v>27976</v>
      </c>
      <c r="J1403">
        <v>10.29</v>
      </c>
      <c r="K1403">
        <v>36</v>
      </c>
      <c r="L1403" t="s">
        <v>25</v>
      </c>
      <c r="M1403">
        <v>30.43</v>
      </c>
      <c r="N1403">
        <v>67689</v>
      </c>
      <c r="O1403">
        <v>182989</v>
      </c>
      <c r="P1403" t="s">
        <v>1308</v>
      </c>
      <c r="Q1403" t="s">
        <v>27</v>
      </c>
      <c r="R1403" t="s">
        <v>28</v>
      </c>
      <c r="S1403" t="s">
        <v>43</v>
      </c>
      <c r="T1403">
        <v>857.08</v>
      </c>
      <c r="U1403">
        <f t="shared" si="294"/>
        <v>599</v>
      </c>
      <c r="V1403">
        <f t="shared" si="295"/>
        <v>227</v>
      </c>
      <c r="W1403">
        <f t="shared" si="296"/>
        <v>178</v>
      </c>
      <c r="X1403">
        <f t="shared" si="297"/>
        <v>0.35149999999999998</v>
      </c>
      <c r="Y1403" s="1">
        <f t="shared" si="298"/>
        <v>30757751</v>
      </c>
      <c r="Z1403">
        <f t="shared" si="299"/>
        <v>51348.499165275462</v>
      </c>
      <c r="AA1403">
        <f t="shared" si="300"/>
        <v>99996</v>
      </c>
      <c r="AB1403">
        <f t="shared" si="301"/>
        <v>5091</v>
      </c>
      <c r="AC1403">
        <f t="shared" si="302"/>
        <v>823508.65999999945</v>
      </c>
      <c r="AD1403">
        <f t="shared" si="303"/>
        <v>1374.8057762938222</v>
      </c>
      <c r="AE1403">
        <f t="shared" si="304"/>
        <v>0.35149999999999998</v>
      </c>
      <c r="AF1403">
        <f t="shared" si="305"/>
        <v>245178695.30000001</v>
      </c>
      <c r="AG1403" t="str">
        <f t="shared" si="306"/>
        <v>Active</v>
      </c>
      <c r="AH1403">
        <f t="shared" si="307"/>
        <v>10284.960000000001</v>
      </c>
    </row>
    <row r="1404" spans="1:34" x14ac:dyDescent="0.35">
      <c r="A1404" t="s">
        <v>3736</v>
      </c>
      <c r="B1404" t="s">
        <v>3737</v>
      </c>
      <c r="C1404">
        <v>37</v>
      </c>
      <c r="D1404" t="s">
        <v>38</v>
      </c>
      <c r="E1404" t="s">
        <v>39</v>
      </c>
      <c r="F1404" t="s">
        <v>24</v>
      </c>
      <c r="G1404">
        <v>111025</v>
      </c>
      <c r="H1404">
        <v>480</v>
      </c>
      <c r="I1404">
        <v>5667</v>
      </c>
      <c r="J1404">
        <v>22.58</v>
      </c>
      <c r="K1404">
        <v>60</v>
      </c>
      <c r="L1404" t="s">
        <v>33</v>
      </c>
      <c r="M1404">
        <v>54.58</v>
      </c>
      <c r="N1404">
        <v>54368</v>
      </c>
      <c r="O1404">
        <v>212913</v>
      </c>
      <c r="P1404" t="s">
        <v>1734</v>
      </c>
      <c r="Q1404" t="s">
        <v>61</v>
      </c>
      <c r="R1404" t="s">
        <v>48</v>
      </c>
      <c r="S1404" t="s">
        <v>68</v>
      </c>
      <c r="T1404">
        <v>115.78</v>
      </c>
      <c r="U1404">
        <f t="shared" si="294"/>
        <v>598</v>
      </c>
      <c r="V1404">
        <f t="shared" si="295"/>
        <v>227</v>
      </c>
      <c r="W1404">
        <f t="shared" si="296"/>
        <v>178</v>
      </c>
      <c r="X1404">
        <f t="shared" si="297"/>
        <v>0.35149999999999998</v>
      </c>
      <c r="Y1404" s="1">
        <f t="shared" si="298"/>
        <v>30729775</v>
      </c>
      <c r="Z1404">
        <f t="shared" si="299"/>
        <v>51387.583612040136</v>
      </c>
      <c r="AA1404">
        <f t="shared" si="300"/>
        <v>99996</v>
      </c>
      <c r="AB1404">
        <f t="shared" si="301"/>
        <v>5091</v>
      </c>
      <c r="AC1404">
        <f t="shared" si="302"/>
        <v>822651.57999999938</v>
      </c>
      <c r="AD1404">
        <f t="shared" si="303"/>
        <v>1375.6715384615375</v>
      </c>
      <c r="AE1404">
        <f t="shared" si="304"/>
        <v>0.35149999999999998</v>
      </c>
      <c r="AF1404">
        <f t="shared" si="305"/>
        <v>244355186.64000002</v>
      </c>
      <c r="AG1404" t="str">
        <f t="shared" si="306"/>
        <v>Active</v>
      </c>
      <c r="AH1404">
        <f t="shared" si="307"/>
        <v>1389.3600000000001</v>
      </c>
    </row>
    <row r="1405" spans="1:34" x14ac:dyDescent="0.35">
      <c r="A1405" t="s">
        <v>3738</v>
      </c>
      <c r="B1405" t="s">
        <v>3739</v>
      </c>
      <c r="C1405">
        <v>37</v>
      </c>
      <c r="D1405" t="s">
        <v>38</v>
      </c>
      <c r="E1405" t="s">
        <v>23</v>
      </c>
      <c r="F1405" t="s">
        <v>24</v>
      </c>
      <c r="G1405">
        <v>68920</v>
      </c>
      <c r="H1405">
        <v>803</v>
      </c>
      <c r="I1405">
        <v>80658</v>
      </c>
      <c r="J1405">
        <v>15.04</v>
      </c>
      <c r="K1405">
        <v>48</v>
      </c>
      <c r="L1405" t="s">
        <v>25</v>
      </c>
      <c r="M1405">
        <v>37.64</v>
      </c>
      <c r="N1405">
        <v>34994</v>
      </c>
      <c r="O1405">
        <v>135322</v>
      </c>
      <c r="P1405" t="s">
        <v>1549</v>
      </c>
      <c r="Q1405" t="s">
        <v>42</v>
      </c>
      <c r="R1405" t="s">
        <v>28</v>
      </c>
      <c r="S1405" t="s">
        <v>49</v>
      </c>
      <c r="T1405">
        <v>1933.1</v>
      </c>
      <c r="U1405">
        <f t="shared" si="294"/>
        <v>597</v>
      </c>
      <c r="V1405">
        <f t="shared" si="295"/>
        <v>227</v>
      </c>
      <c r="W1405">
        <f t="shared" si="296"/>
        <v>177</v>
      </c>
      <c r="X1405">
        <f t="shared" si="297"/>
        <v>0.35149999999999998</v>
      </c>
      <c r="Y1405" s="1">
        <f t="shared" si="298"/>
        <v>30724108</v>
      </c>
      <c r="Z1405">
        <f t="shared" si="299"/>
        <v>51464.167504187608</v>
      </c>
      <c r="AA1405">
        <f t="shared" si="300"/>
        <v>99996</v>
      </c>
      <c r="AB1405">
        <f t="shared" si="301"/>
        <v>5091</v>
      </c>
      <c r="AC1405">
        <f t="shared" si="302"/>
        <v>822535.79999999935</v>
      </c>
      <c r="AD1405">
        <f t="shared" si="303"/>
        <v>1377.7819095477375</v>
      </c>
      <c r="AE1405">
        <f t="shared" si="304"/>
        <v>0.35149999999999998</v>
      </c>
      <c r="AF1405">
        <f t="shared" si="305"/>
        <v>243532535.06</v>
      </c>
      <c r="AG1405" t="str">
        <f t="shared" si="306"/>
        <v>Active</v>
      </c>
      <c r="AH1405">
        <f t="shared" si="307"/>
        <v>23197.199999999997</v>
      </c>
    </row>
    <row r="1406" spans="1:34" x14ac:dyDescent="0.35">
      <c r="A1406" t="s">
        <v>3740</v>
      </c>
      <c r="B1406" t="s">
        <v>3741</v>
      </c>
      <c r="C1406">
        <v>34</v>
      </c>
      <c r="D1406" t="s">
        <v>38</v>
      </c>
      <c r="E1406" t="s">
        <v>23</v>
      </c>
      <c r="F1406" t="s">
        <v>24</v>
      </c>
      <c r="G1406">
        <v>80903</v>
      </c>
      <c r="H1406">
        <v>610</v>
      </c>
      <c r="I1406">
        <v>67149</v>
      </c>
      <c r="J1406">
        <v>8.2899999999999991</v>
      </c>
      <c r="K1406">
        <v>48</v>
      </c>
      <c r="L1406" t="s">
        <v>40</v>
      </c>
      <c r="M1406">
        <v>27.33</v>
      </c>
      <c r="N1406">
        <v>22067</v>
      </c>
      <c r="O1406">
        <v>133317</v>
      </c>
      <c r="P1406" t="s">
        <v>449</v>
      </c>
      <c r="Q1406" t="s">
        <v>42</v>
      </c>
      <c r="R1406" t="s">
        <v>48</v>
      </c>
      <c r="S1406" t="s">
        <v>68</v>
      </c>
      <c r="T1406">
        <v>1514.91</v>
      </c>
      <c r="U1406">
        <f t="shared" si="294"/>
        <v>596</v>
      </c>
      <c r="V1406">
        <f t="shared" si="295"/>
        <v>226</v>
      </c>
      <c r="W1406">
        <f t="shared" si="296"/>
        <v>177</v>
      </c>
      <c r="X1406">
        <f t="shared" si="297"/>
        <v>0.35149999999999998</v>
      </c>
      <c r="Y1406" s="1">
        <f t="shared" si="298"/>
        <v>30643450</v>
      </c>
      <c r="Z1406">
        <f t="shared" si="299"/>
        <v>51415.18456375839</v>
      </c>
      <c r="AA1406">
        <f t="shared" si="300"/>
        <v>99996</v>
      </c>
      <c r="AB1406">
        <f t="shared" si="301"/>
        <v>5091</v>
      </c>
      <c r="AC1406">
        <f t="shared" si="302"/>
        <v>820602.69999999949</v>
      </c>
      <c r="AD1406">
        <f t="shared" si="303"/>
        <v>1376.8501677852341</v>
      </c>
      <c r="AE1406">
        <f t="shared" si="304"/>
        <v>0.35149999999999998</v>
      </c>
      <c r="AF1406">
        <f t="shared" si="305"/>
        <v>242709999.26000002</v>
      </c>
      <c r="AG1406" t="str">
        <f t="shared" si="306"/>
        <v>Active</v>
      </c>
      <c r="AH1406">
        <f t="shared" si="307"/>
        <v>18178.920000000002</v>
      </c>
    </row>
    <row r="1407" spans="1:34" x14ac:dyDescent="0.35">
      <c r="A1407" t="s">
        <v>3742</v>
      </c>
      <c r="B1407" t="s">
        <v>3743</v>
      </c>
      <c r="C1407">
        <v>21</v>
      </c>
      <c r="D1407" t="s">
        <v>38</v>
      </c>
      <c r="E1407" t="s">
        <v>32</v>
      </c>
      <c r="F1407" t="s">
        <v>46</v>
      </c>
      <c r="G1407">
        <v>54377</v>
      </c>
      <c r="H1407">
        <v>817</v>
      </c>
      <c r="I1407">
        <v>8843</v>
      </c>
      <c r="J1407">
        <v>5.9</v>
      </c>
      <c r="K1407">
        <v>180</v>
      </c>
      <c r="L1407" t="s">
        <v>86</v>
      </c>
      <c r="M1407">
        <v>26.25</v>
      </c>
      <c r="N1407">
        <v>46798</v>
      </c>
      <c r="O1407">
        <v>11038</v>
      </c>
      <c r="P1407" t="s">
        <v>3744</v>
      </c>
      <c r="Q1407" t="s">
        <v>42</v>
      </c>
      <c r="R1407" t="s">
        <v>28</v>
      </c>
      <c r="S1407" t="s">
        <v>68</v>
      </c>
      <c r="T1407">
        <v>52.03</v>
      </c>
      <c r="U1407">
        <f t="shared" si="294"/>
        <v>595</v>
      </c>
      <c r="V1407">
        <f t="shared" si="295"/>
        <v>225</v>
      </c>
      <c r="W1407">
        <f t="shared" si="296"/>
        <v>177</v>
      </c>
      <c r="X1407">
        <f t="shared" si="297"/>
        <v>0.35149999999999998</v>
      </c>
      <c r="Y1407" s="1">
        <f t="shared" si="298"/>
        <v>30576301</v>
      </c>
      <c r="Z1407">
        <f t="shared" si="299"/>
        <v>51388.74117647059</v>
      </c>
      <c r="AA1407">
        <f t="shared" si="300"/>
        <v>99996</v>
      </c>
      <c r="AB1407">
        <f t="shared" si="301"/>
        <v>5091</v>
      </c>
      <c r="AC1407">
        <f t="shared" si="302"/>
        <v>819087.78999999946</v>
      </c>
      <c r="AD1407">
        <f t="shared" si="303"/>
        <v>1376.6181344537806</v>
      </c>
      <c r="AE1407">
        <f t="shared" si="304"/>
        <v>0.35149999999999998</v>
      </c>
      <c r="AF1407">
        <f t="shared" si="305"/>
        <v>241889396.55999997</v>
      </c>
      <c r="AG1407" t="str">
        <f t="shared" si="306"/>
        <v>Active</v>
      </c>
      <c r="AH1407">
        <f t="shared" si="307"/>
        <v>624.36</v>
      </c>
    </row>
    <row r="1408" spans="1:34" x14ac:dyDescent="0.35">
      <c r="A1408" t="s">
        <v>3745</v>
      </c>
      <c r="B1408" t="s">
        <v>3746</v>
      </c>
      <c r="C1408">
        <v>27</v>
      </c>
      <c r="D1408" t="s">
        <v>38</v>
      </c>
      <c r="E1408" t="s">
        <v>32</v>
      </c>
      <c r="F1408" t="s">
        <v>46</v>
      </c>
      <c r="G1408">
        <v>91043</v>
      </c>
      <c r="H1408">
        <v>653</v>
      </c>
      <c r="I1408">
        <v>47001</v>
      </c>
      <c r="J1408">
        <v>14.16</v>
      </c>
      <c r="K1408">
        <v>12</v>
      </c>
      <c r="L1408" t="s">
        <v>86</v>
      </c>
      <c r="M1408">
        <v>44.41</v>
      </c>
      <c r="N1408">
        <v>38219</v>
      </c>
      <c r="O1408">
        <v>247365</v>
      </c>
      <c r="P1408" t="s">
        <v>2769</v>
      </c>
      <c r="Q1408" t="s">
        <v>61</v>
      </c>
      <c r="R1408" t="s">
        <v>48</v>
      </c>
      <c r="S1408" t="s">
        <v>29</v>
      </c>
      <c r="T1408">
        <v>4471.3599999999997</v>
      </c>
      <c r="U1408">
        <f t="shared" si="294"/>
        <v>594</v>
      </c>
      <c r="V1408">
        <f t="shared" si="295"/>
        <v>224</v>
      </c>
      <c r="W1408">
        <f t="shared" si="296"/>
        <v>177</v>
      </c>
      <c r="X1408">
        <f t="shared" si="297"/>
        <v>0.35149999999999998</v>
      </c>
      <c r="Y1408" s="1">
        <f t="shared" si="298"/>
        <v>30567458</v>
      </c>
      <c r="Z1408">
        <f t="shared" si="299"/>
        <v>51460.367003367006</v>
      </c>
      <c r="AA1408">
        <f t="shared" si="300"/>
        <v>99996</v>
      </c>
      <c r="AB1408">
        <f t="shared" si="301"/>
        <v>5091</v>
      </c>
      <c r="AC1408">
        <f t="shared" si="302"/>
        <v>819035.75999999943</v>
      </c>
      <c r="AD1408">
        <f t="shared" si="303"/>
        <v>1378.8480808080799</v>
      </c>
      <c r="AE1408">
        <f t="shared" si="304"/>
        <v>0.35149999999999998</v>
      </c>
      <c r="AF1408">
        <f t="shared" si="305"/>
        <v>241070308.76999998</v>
      </c>
      <c r="AG1408" t="str">
        <f t="shared" si="306"/>
        <v>Active</v>
      </c>
      <c r="AH1408">
        <f t="shared" si="307"/>
        <v>53656.319999999992</v>
      </c>
    </row>
    <row r="1409" spans="1:34" x14ac:dyDescent="0.35">
      <c r="A1409" t="s">
        <v>3747</v>
      </c>
      <c r="B1409" t="s">
        <v>3748</v>
      </c>
      <c r="C1409">
        <v>41</v>
      </c>
      <c r="D1409" t="s">
        <v>38</v>
      </c>
      <c r="E1409" t="s">
        <v>39</v>
      </c>
      <c r="F1409" t="s">
        <v>59</v>
      </c>
      <c r="G1409">
        <v>69995</v>
      </c>
      <c r="H1409">
        <v>399</v>
      </c>
      <c r="I1409">
        <v>99505</v>
      </c>
      <c r="J1409">
        <v>14.46</v>
      </c>
      <c r="K1409">
        <v>120</v>
      </c>
      <c r="L1409" t="s">
        <v>25</v>
      </c>
      <c r="M1409">
        <v>14.35</v>
      </c>
      <c r="N1409">
        <v>59175</v>
      </c>
      <c r="O1409">
        <v>86494</v>
      </c>
      <c r="P1409" t="s">
        <v>1971</v>
      </c>
      <c r="Q1409" t="s">
        <v>42</v>
      </c>
      <c r="R1409" t="s">
        <v>48</v>
      </c>
      <c r="S1409" t="s">
        <v>43</v>
      </c>
      <c r="T1409">
        <v>949.11</v>
      </c>
      <c r="U1409">
        <f t="shared" si="294"/>
        <v>593</v>
      </c>
      <c r="V1409">
        <f t="shared" si="295"/>
        <v>224</v>
      </c>
      <c r="W1409">
        <f t="shared" si="296"/>
        <v>176</v>
      </c>
      <c r="X1409">
        <f t="shared" si="297"/>
        <v>0.35149999999999998</v>
      </c>
      <c r="Y1409" s="1">
        <f t="shared" si="298"/>
        <v>30520457</v>
      </c>
      <c r="Z1409">
        <f t="shared" si="299"/>
        <v>51467.887015177068</v>
      </c>
      <c r="AA1409">
        <f t="shared" si="300"/>
        <v>99996</v>
      </c>
      <c r="AB1409">
        <f t="shared" si="301"/>
        <v>5091</v>
      </c>
      <c r="AC1409">
        <f t="shared" si="302"/>
        <v>814564.39999999944</v>
      </c>
      <c r="AD1409">
        <f t="shared" si="303"/>
        <v>1373.6330522765588</v>
      </c>
      <c r="AE1409">
        <f t="shared" si="304"/>
        <v>0.35149999999999998</v>
      </c>
      <c r="AF1409">
        <f t="shared" si="305"/>
        <v>240251273.00999996</v>
      </c>
      <c r="AG1409" t="str">
        <f t="shared" si="306"/>
        <v>Over Paid</v>
      </c>
      <c r="AH1409">
        <f t="shared" si="307"/>
        <v>11389.32</v>
      </c>
    </row>
    <row r="1410" spans="1:34" x14ac:dyDescent="0.35">
      <c r="A1410" t="s">
        <v>3749</v>
      </c>
      <c r="B1410" t="s">
        <v>3750</v>
      </c>
      <c r="C1410">
        <v>41</v>
      </c>
      <c r="D1410" t="s">
        <v>38</v>
      </c>
      <c r="E1410" t="s">
        <v>39</v>
      </c>
      <c r="F1410" t="s">
        <v>59</v>
      </c>
      <c r="G1410">
        <v>178505</v>
      </c>
      <c r="H1410">
        <v>339</v>
      </c>
      <c r="I1410">
        <v>80551</v>
      </c>
      <c r="J1410">
        <v>18.38</v>
      </c>
      <c r="K1410">
        <v>12</v>
      </c>
      <c r="L1410" t="s">
        <v>86</v>
      </c>
      <c r="M1410">
        <v>22.14</v>
      </c>
      <c r="N1410">
        <v>73921</v>
      </c>
      <c r="O1410">
        <v>162210</v>
      </c>
      <c r="P1410" t="s">
        <v>3751</v>
      </c>
      <c r="Q1410" t="s">
        <v>42</v>
      </c>
      <c r="R1410" t="s">
        <v>28</v>
      </c>
      <c r="S1410" t="s">
        <v>68</v>
      </c>
      <c r="T1410">
        <v>7946.36</v>
      </c>
      <c r="U1410">
        <f t="shared" ref="U1410:U1473" si="308">COUNTA(A1410:A3409)</f>
        <v>592</v>
      </c>
      <c r="V1410">
        <f t="shared" ref="V1410:V1473" si="309">COUNTIF(Q1410:Q3409,"APPROVED")</f>
        <v>223</v>
      </c>
      <c r="W1410">
        <f t="shared" ref="W1410:W1473" si="310">COUNTIF(Q1410:Q3410,"Rejected")</f>
        <v>176</v>
      </c>
      <c r="X1410">
        <f t="shared" ref="X1410:X1473" si="311">703/2000</f>
        <v>0.35149999999999998</v>
      </c>
      <c r="Y1410" s="1">
        <f t="shared" ref="Y1410:Y1473" si="312">SUM(I1410:I3409)</f>
        <v>30420952</v>
      </c>
      <c r="Z1410">
        <f t="shared" ref="Z1410:Z1473" si="313">AVERAGE(I1410:I21409)</f>
        <v>51386.74324324324</v>
      </c>
      <c r="AA1410">
        <f t="shared" ref="AA1410:AA1473" si="314">MAX(I1410:I3409)</f>
        <v>99996</v>
      </c>
      <c r="AB1410">
        <f t="shared" ref="AB1410:AB1473" si="315">MIN(I1410:I3409)</f>
        <v>5091</v>
      </c>
      <c r="AC1410">
        <f t="shared" ref="AC1410:AC1473" si="316">SUM(T1410:T3409)</f>
        <v>813615.28999999946</v>
      </c>
      <c r="AD1410">
        <f t="shared" ref="AD1410:AD1473" si="317">AVERAGE(T1410:T3409)</f>
        <v>1374.3501520270261</v>
      </c>
      <c r="AE1410">
        <f t="shared" ref="AE1410:AE1473" si="318">703/2000</f>
        <v>0.35149999999999998</v>
      </c>
      <c r="AF1410">
        <f t="shared" ref="AF1410:AF1473" si="319">SUM(AC1410:AC3409)</f>
        <v>239436708.60999995</v>
      </c>
      <c r="AG1410" t="str">
        <f t="shared" ref="AG1410:AG1473" si="320">IF(AH1410=0,"Bad", IF(AH1409&lt;I1409, "Active", IF(AH1409=I1409, "Good", "Over Paid")))</f>
        <v>Active</v>
      </c>
      <c r="AH1410">
        <f t="shared" ref="AH1410:AH1473" si="321">T1410*12</f>
        <v>95356.319999999992</v>
      </c>
    </row>
    <row r="1411" spans="1:34" x14ac:dyDescent="0.35">
      <c r="A1411" t="s">
        <v>3752</v>
      </c>
      <c r="B1411" t="s">
        <v>3753</v>
      </c>
      <c r="C1411">
        <v>57</v>
      </c>
      <c r="D1411" t="s">
        <v>38</v>
      </c>
      <c r="E1411" t="s">
        <v>32</v>
      </c>
      <c r="F1411" t="s">
        <v>59</v>
      </c>
      <c r="G1411">
        <v>106658</v>
      </c>
      <c r="H1411">
        <v>833</v>
      </c>
      <c r="I1411">
        <v>85253</v>
      </c>
      <c r="J1411">
        <v>15.36</v>
      </c>
      <c r="K1411">
        <v>180</v>
      </c>
      <c r="L1411" t="s">
        <v>86</v>
      </c>
      <c r="M1411">
        <v>31.74</v>
      </c>
      <c r="N1411">
        <v>2641</v>
      </c>
      <c r="O1411">
        <v>163477</v>
      </c>
      <c r="P1411" t="s">
        <v>162</v>
      </c>
      <c r="Q1411" t="s">
        <v>42</v>
      </c>
      <c r="R1411" t="s">
        <v>48</v>
      </c>
      <c r="S1411" t="s">
        <v>43</v>
      </c>
      <c r="T1411">
        <v>546.38</v>
      </c>
      <c r="U1411">
        <f t="shared" si="308"/>
        <v>591</v>
      </c>
      <c r="V1411">
        <f t="shared" si="309"/>
        <v>222</v>
      </c>
      <c r="W1411">
        <f t="shared" si="310"/>
        <v>176</v>
      </c>
      <c r="X1411">
        <f t="shared" si="311"/>
        <v>0.35149999999999998</v>
      </c>
      <c r="Y1411" s="1">
        <f t="shared" si="312"/>
        <v>30340401</v>
      </c>
      <c r="Z1411">
        <f t="shared" si="313"/>
        <v>51337.395939086295</v>
      </c>
      <c r="AA1411">
        <f t="shared" si="314"/>
        <v>99996</v>
      </c>
      <c r="AB1411">
        <f t="shared" si="315"/>
        <v>5091</v>
      </c>
      <c r="AC1411">
        <f t="shared" si="316"/>
        <v>805668.92999999935</v>
      </c>
      <c r="AD1411">
        <f t="shared" si="317"/>
        <v>1363.2299999999989</v>
      </c>
      <c r="AE1411">
        <f t="shared" si="318"/>
        <v>0.35149999999999998</v>
      </c>
      <c r="AF1411">
        <f t="shared" si="319"/>
        <v>238623093.31999996</v>
      </c>
      <c r="AG1411" t="str">
        <f t="shared" si="320"/>
        <v>Over Paid</v>
      </c>
      <c r="AH1411">
        <f t="shared" si="321"/>
        <v>6556.5599999999995</v>
      </c>
    </row>
    <row r="1412" spans="1:34" x14ac:dyDescent="0.35">
      <c r="A1412" t="s">
        <v>3754</v>
      </c>
      <c r="B1412" t="s">
        <v>3755</v>
      </c>
      <c r="C1412">
        <v>51</v>
      </c>
      <c r="D1412" t="s">
        <v>38</v>
      </c>
      <c r="E1412" t="s">
        <v>39</v>
      </c>
      <c r="F1412" t="s">
        <v>46</v>
      </c>
      <c r="G1412">
        <v>31961</v>
      </c>
      <c r="H1412">
        <v>737</v>
      </c>
      <c r="I1412">
        <v>51427</v>
      </c>
      <c r="J1412">
        <v>12.24</v>
      </c>
      <c r="K1412">
        <v>60</v>
      </c>
      <c r="L1412" t="s">
        <v>25</v>
      </c>
      <c r="M1412">
        <v>14.46</v>
      </c>
      <c r="N1412">
        <v>18016</v>
      </c>
      <c r="O1412">
        <v>47173</v>
      </c>
      <c r="P1412" t="s">
        <v>3756</v>
      </c>
      <c r="Q1412" t="s">
        <v>42</v>
      </c>
      <c r="R1412" t="s">
        <v>28</v>
      </c>
      <c r="S1412" t="s">
        <v>43</v>
      </c>
      <c r="T1412">
        <v>962.03</v>
      </c>
      <c r="U1412">
        <f t="shared" si="308"/>
        <v>590</v>
      </c>
      <c r="V1412">
        <f t="shared" si="309"/>
        <v>221</v>
      </c>
      <c r="W1412">
        <f t="shared" si="310"/>
        <v>176</v>
      </c>
      <c r="X1412">
        <f t="shared" si="311"/>
        <v>0.35149999999999998</v>
      </c>
      <c r="Y1412" s="1">
        <f t="shared" si="312"/>
        <v>30255148</v>
      </c>
      <c r="Z1412">
        <f t="shared" si="313"/>
        <v>51279.911864406778</v>
      </c>
      <c r="AA1412">
        <f t="shared" si="314"/>
        <v>99996</v>
      </c>
      <c r="AB1412">
        <f t="shared" si="315"/>
        <v>5091</v>
      </c>
      <c r="AC1412">
        <f t="shared" si="316"/>
        <v>805122.54999999935</v>
      </c>
      <c r="AD1412">
        <f t="shared" si="317"/>
        <v>1364.6144915254226</v>
      </c>
      <c r="AE1412">
        <f t="shared" si="318"/>
        <v>0.35149999999999998</v>
      </c>
      <c r="AF1412">
        <f t="shared" si="319"/>
        <v>237817424.38999996</v>
      </c>
      <c r="AG1412" t="str">
        <f t="shared" si="320"/>
        <v>Active</v>
      </c>
      <c r="AH1412">
        <f t="shared" si="321"/>
        <v>11544.36</v>
      </c>
    </row>
    <row r="1413" spans="1:34" x14ac:dyDescent="0.35">
      <c r="A1413" t="s">
        <v>3757</v>
      </c>
      <c r="B1413" t="s">
        <v>3758</v>
      </c>
      <c r="C1413">
        <v>63</v>
      </c>
      <c r="D1413" t="s">
        <v>22</v>
      </c>
      <c r="E1413" t="s">
        <v>32</v>
      </c>
      <c r="F1413" t="s">
        <v>59</v>
      </c>
      <c r="G1413">
        <v>54055</v>
      </c>
      <c r="H1413">
        <v>563</v>
      </c>
      <c r="I1413">
        <v>61718</v>
      </c>
      <c r="J1413">
        <v>15.59</v>
      </c>
      <c r="K1413">
        <v>36</v>
      </c>
      <c r="L1413" t="s">
        <v>25</v>
      </c>
      <c r="M1413">
        <v>23.9</v>
      </c>
      <c r="N1413">
        <v>31706</v>
      </c>
      <c r="O1413">
        <v>59658</v>
      </c>
      <c r="P1413" t="s">
        <v>3759</v>
      </c>
      <c r="Q1413" t="s">
        <v>42</v>
      </c>
      <c r="R1413" t="s">
        <v>48</v>
      </c>
      <c r="S1413" t="s">
        <v>68</v>
      </c>
      <c r="T1413">
        <v>1981.66</v>
      </c>
      <c r="U1413">
        <f t="shared" si="308"/>
        <v>589</v>
      </c>
      <c r="V1413">
        <f t="shared" si="309"/>
        <v>220</v>
      </c>
      <c r="W1413">
        <f t="shared" si="310"/>
        <v>176</v>
      </c>
      <c r="X1413">
        <f t="shared" si="311"/>
        <v>0.35149999999999998</v>
      </c>
      <c r="Y1413" s="1">
        <f t="shared" si="312"/>
        <v>30203721</v>
      </c>
      <c r="Z1413">
        <f t="shared" si="313"/>
        <v>51279.662139219014</v>
      </c>
      <c r="AA1413">
        <f t="shared" si="314"/>
        <v>99996</v>
      </c>
      <c r="AB1413">
        <f t="shared" si="315"/>
        <v>5091</v>
      </c>
      <c r="AC1413">
        <f t="shared" si="316"/>
        <v>804160.51999999932</v>
      </c>
      <c r="AD1413">
        <f t="shared" si="317"/>
        <v>1365.2979966044131</v>
      </c>
      <c r="AE1413">
        <f t="shared" si="318"/>
        <v>0.35149999999999998</v>
      </c>
      <c r="AF1413">
        <f t="shared" si="319"/>
        <v>237012301.83999997</v>
      </c>
      <c r="AG1413" t="str">
        <f t="shared" si="320"/>
        <v>Active</v>
      </c>
      <c r="AH1413">
        <f t="shared" si="321"/>
        <v>23779.920000000002</v>
      </c>
    </row>
    <row r="1414" spans="1:34" x14ac:dyDescent="0.35">
      <c r="A1414" t="s">
        <v>3760</v>
      </c>
      <c r="B1414" t="s">
        <v>3761</v>
      </c>
      <c r="C1414">
        <v>38</v>
      </c>
      <c r="D1414" t="s">
        <v>38</v>
      </c>
      <c r="E1414" t="s">
        <v>23</v>
      </c>
      <c r="F1414" t="s">
        <v>24</v>
      </c>
      <c r="G1414">
        <v>121074</v>
      </c>
      <c r="H1414">
        <v>513</v>
      </c>
      <c r="I1414">
        <v>16937</v>
      </c>
      <c r="J1414">
        <v>5.39</v>
      </c>
      <c r="K1414">
        <v>24</v>
      </c>
      <c r="L1414" t="s">
        <v>40</v>
      </c>
      <c r="M1414">
        <v>59.29</v>
      </c>
      <c r="N1414">
        <v>16992</v>
      </c>
      <c r="O1414">
        <v>170758</v>
      </c>
      <c r="P1414" t="s">
        <v>3762</v>
      </c>
      <c r="Q1414" t="s">
        <v>61</v>
      </c>
      <c r="R1414" t="s">
        <v>48</v>
      </c>
      <c r="S1414" t="s">
        <v>29</v>
      </c>
      <c r="T1414">
        <v>743.75</v>
      </c>
      <c r="U1414">
        <f t="shared" si="308"/>
        <v>588</v>
      </c>
      <c r="V1414">
        <f t="shared" si="309"/>
        <v>219</v>
      </c>
      <c r="W1414">
        <f t="shared" si="310"/>
        <v>176</v>
      </c>
      <c r="X1414">
        <f t="shared" si="311"/>
        <v>0.35149999999999998</v>
      </c>
      <c r="Y1414" s="1">
        <f t="shared" si="312"/>
        <v>30142003</v>
      </c>
      <c r="Z1414">
        <f t="shared" si="313"/>
        <v>51261.909863945577</v>
      </c>
      <c r="AA1414">
        <f t="shared" si="314"/>
        <v>99996</v>
      </c>
      <c r="AB1414">
        <f t="shared" si="315"/>
        <v>5091</v>
      </c>
      <c r="AC1414">
        <f t="shared" si="316"/>
        <v>802178.85999999929</v>
      </c>
      <c r="AD1414">
        <f t="shared" si="317"/>
        <v>1364.2497619047606</v>
      </c>
      <c r="AE1414">
        <f t="shared" si="318"/>
        <v>0.35149999999999998</v>
      </c>
      <c r="AF1414">
        <f t="shared" si="319"/>
        <v>236208141.31999996</v>
      </c>
      <c r="AG1414" t="str">
        <f t="shared" si="320"/>
        <v>Active</v>
      </c>
      <c r="AH1414">
        <f t="shared" si="321"/>
        <v>8925</v>
      </c>
    </row>
    <row r="1415" spans="1:34" x14ac:dyDescent="0.35">
      <c r="A1415" t="s">
        <v>3763</v>
      </c>
      <c r="B1415" t="s">
        <v>3764</v>
      </c>
      <c r="C1415">
        <v>32</v>
      </c>
      <c r="D1415" t="s">
        <v>22</v>
      </c>
      <c r="E1415" t="s">
        <v>39</v>
      </c>
      <c r="F1415" t="s">
        <v>24</v>
      </c>
      <c r="G1415">
        <v>112934</v>
      </c>
      <c r="H1415">
        <v>348</v>
      </c>
      <c r="I1415">
        <v>27088</v>
      </c>
      <c r="J1415">
        <v>9.58</v>
      </c>
      <c r="K1415">
        <v>48</v>
      </c>
      <c r="L1415" t="s">
        <v>25</v>
      </c>
      <c r="M1415">
        <v>52.56</v>
      </c>
      <c r="N1415">
        <v>65940</v>
      </c>
      <c r="O1415">
        <v>201116</v>
      </c>
      <c r="P1415" t="s">
        <v>2713</v>
      </c>
      <c r="Q1415" t="s">
        <v>42</v>
      </c>
      <c r="R1415" t="s">
        <v>48</v>
      </c>
      <c r="S1415" t="s">
        <v>35</v>
      </c>
      <c r="T1415">
        <v>618.4</v>
      </c>
      <c r="U1415">
        <f t="shared" si="308"/>
        <v>587</v>
      </c>
      <c r="V1415">
        <f t="shared" si="309"/>
        <v>219</v>
      </c>
      <c r="W1415">
        <f t="shared" si="310"/>
        <v>175</v>
      </c>
      <c r="X1415">
        <f t="shared" si="311"/>
        <v>0.35149999999999998</v>
      </c>
      <c r="Y1415" s="1">
        <f t="shared" si="312"/>
        <v>30125066</v>
      </c>
      <c r="Z1415">
        <f t="shared" si="313"/>
        <v>51320.385008517886</v>
      </c>
      <c r="AA1415">
        <f t="shared" si="314"/>
        <v>99996</v>
      </c>
      <c r="AB1415">
        <f t="shared" si="315"/>
        <v>5091</v>
      </c>
      <c r="AC1415">
        <f t="shared" si="316"/>
        <v>801435.1099999994</v>
      </c>
      <c r="AD1415">
        <f t="shared" si="317"/>
        <v>1365.3068313458252</v>
      </c>
      <c r="AE1415">
        <f t="shared" si="318"/>
        <v>0.35149999999999998</v>
      </c>
      <c r="AF1415">
        <f t="shared" si="319"/>
        <v>235405962.45999995</v>
      </c>
      <c r="AG1415" t="str">
        <f t="shared" si="320"/>
        <v>Active</v>
      </c>
      <c r="AH1415">
        <f t="shared" si="321"/>
        <v>7420.7999999999993</v>
      </c>
    </row>
    <row r="1416" spans="1:34" x14ac:dyDescent="0.35">
      <c r="A1416" t="s">
        <v>3765</v>
      </c>
      <c r="B1416" t="s">
        <v>3766</v>
      </c>
      <c r="C1416">
        <v>48</v>
      </c>
      <c r="D1416" t="s">
        <v>38</v>
      </c>
      <c r="E1416" t="s">
        <v>23</v>
      </c>
      <c r="F1416" t="s">
        <v>24</v>
      </c>
      <c r="G1416">
        <v>104223</v>
      </c>
      <c r="H1416">
        <v>615</v>
      </c>
      <c r="I1416">
        <v>73848</v>
      </c>
      <c r="J1416">
        <v>4.53</v>
      </c>
      <c r="K1416">
        <v>120</v>
      </c>
      <c r="L1416" t="s">
        <v>33</v>
      </c>
      <c r="M1416">
        <v>51.14</v>
      </c>
      <c r="N1416">
        <v>12119</v>
      </c>
      <c r="O1416">
        <v>24192</v>
      </c>
      <c r="P1416" t="s">
        <v>3581</v>
      </c>
      <c r="Q1416" t="s">
        <v>61</v>
      </c>
      <c r="R1416" t="s">
        <v>48</v>
      </c>
      <c r="S1416" t="s">
        <v>35</v>
      </c>
      <c r="T1416">
        <v>643.28</v>
      </c>
      <c r="U1416">
        <f t="shared" si="308"/>
        <v>586</v>
      </c>
      <c r="V1416">
        <f t="shared" si="309"/>
        <v>218</v>
      </c>
      <c r="W1416">
        <f t="shared" si="310"/>
        <v>175</v>
      </c>
      <c r="X1416">
        <f t="shared" si="311"/>
        <v>0.35149999999999998</v>
      </c>
      <c r="Y1416" s="1">
        <f t="shared" si="312"/>
        <v>30097978</v>
      </c>
      <c r="Z1416">
        <f t="shared" si="313"/>
        <v>51361.737201365191</v>
      </c>
      <c r="AA1416">
        <f t="shared" si="314"/>
        <v>99996</v>
      </c>
      <c r="AB1416">
        <f t="shared" si="315"/>
        <v>5091</v>
      </c>
      <c r="AC1416">
        <f t="shared" si="316"/>
        <v>800816.70999999938</v>
      </c>
      <c r="AD1416">
        <f t="shared" si="317"/>
        <v>1366.5814163822515</v>
      </c>
      <c r="AE1416">
        <f t="shared" si="318"/>
        <v>0.35149999999999998</v>
      </c>
      <c r="AF1416">
        <f t="shared" si="319"/>
        <v>234604527.34999993</v>
      </c>
      <c r="AG1416" t="str">
        <f t="shared" si="320"/>
        <v>Active</v>
      </c>
      <c r="AH1416">
        <f t="shared" si="321"/>
        <v>7719.36</v>
      </c>
    </row>
    <row r="1417" spans="1:34" x14ac:dyDescent="0.35">
      <c r="A1417" t="s">
        <v>3767</v>
      </c>
      <c r="B1417" t="s">
        <v>3768</v>
      </c>
      <c r="C1417">
        <v>24</v>
      </c>
      <c r="D1417" t="s">
        <v>22</v>
      </c>
      <c r="E1417" t="s">
        <v>32</v>
      </c>
      <c r="F1417" t="s">
        <v>46</v>
      </c>
      <c r="G1417">
        <v>69802</v>
      </c>
      <c r="H1417">
        <v>543</v>
      </c>
      <c r="I1417">
        <v>54934</v>
      </c>
      <c r="J1417">
        <v>11.77</v>
      </c>
      <c r="K1417">
        <v>24</v>
      </c>
      <c r="L1417" t="s">
        <v>40</v>
      </c>
      <c r="M1417">
        <v>47.13</v>
      </c>
      <c r="N1417">
        <v>8115</v>
      </c>
      <c r="O1417">
        <v>28273</v>
      </c>
      <c r="P1417" t="s">
        <v>3769</v>
      </c>
      <c r="Q1417" t="s">
        <v>27</v>
      </c>
      <c r="R1417" t="s">
        <v>28</v>
      </c>
      <c r="S1417" t="s">
        <v>29</v>
      </c>
      <c r="T1417">
        <v>2558.3200000000002</v>
      </c>
      <c r="U1417">
        <f t="shared" si="308"/>
        <v>585</v>
      </c>
      <c r="V1417">
        <f t="shared" si="309"/>
        <v>218</v>
      </c>
      <c r="W1417">
        <f t="shared" si="310"/>
        <v>174</v>
      </c>
      <c r="X1417">
        <f t="shared" si="311"/>
        <v>0.35149999999999998</v>
      </c>
      <c r="Y1417" s="1">
        <f t="shared" si="312"/>
        <v>30024130</v>
      </c>
      <c r="Z1417">
        <f t="shared" si="313"/>
        <v>51323.299145299148</v>
      </c>
      <c r="AA1417">
        <f t="shared" si="314"/>
        <v>99996</v>
      </c>
      <c r="AB1417">
        <f t="shared" si="315"/>
        <v>5091</v>
      </c>
      <c r="AC1417">
        <f t="shared" si="316"/>
        <v>800173.42999999935</v>
      </c>
      <c r="AD1417">
        <f t="shared" si="317"/>
        <v>1367.817829059828</v>
      </c>
      <c r="AE1417">
        <f t="shared" si="318"/>
        <v>0.35149999999999998</v>
      </c>
      <c r="AF1417">
        <f t="shared" si="319"/>
        <v>233803710.63999993</v>
      </c>
      <c r="AG1417" t="str">
        <f t="shared" si="320"/>
        <v>Active</v>
      </c>
      <c r="AH1417">
        <f t="shared" si="321"/>
        <v>30699.840000000004</v>
      </c>
    </row>
    <row r="1418" spans="1:34" x14ac:dyDescent="0.35">
      <c r="A1418" t="s">
        <v>3770</v>
      </c>
      <c r="B1418" t="s">
        <v>3771</v>
      </c>
      <c r="C1418">
        <v>29</v>
      </c>
      <c r="D1418" t="s">
        <v>38</v>
      </c>
      <c r="E1418" t="s">
        <v>32</v>
      </c>
      <c r="F1418" t="s">
        <v>24</v>
      </c>
      <c r="G1418">
        <v>197486</v>
      </c>
      <c r="H1418">
        <v>339</v>
      </c>
      <c r="I1418">
        <v>75024</v>
      </c>
      <c r="J1418">
        <v>17.53</v>
      </c>
      <c r="K1418">
        <v>36</v>
      </c>
      <c r="L1418" t="s">
        <v>52</v>
      </c>
      <c r="M1418">
        <v>13.61</v>
      </c>
      <c r="N1418">
        <v>10659</v>
      </c>
      <c r="O1418">
        <v>47559</v>
      </c>
      <c r="P1418" t="s">
        <v>2103</v>
      </c>
      <c r="Q1418" t="s">
        <v>61</v>
      </c>
      <c r="R1418" t="s">
        <v>28</v>
      </c>
      <c r="S1418" t="s">
        <v>43</v>
      </c>
      <c r="T1418">
        <v>2449.33</v>
      </c>
      <c r="U1418">
        <f t="shared" si="308"/>
        <v>584</v>
      </c>
      <c r="V1418">
        <f t="shared" si="309"/>
        <v>218</v>
      </c>
      <c r="W1418">
        <f t="shared" si="310"/>
        <v>174</v>
      </c>
      <c r="X1418">
        <f t="shared" si="311"/>
        <v>0.35149999999999998</v>
      </c>
      <c r="Y1418" s="1">
        <f t="shared" si="312"/>
        <v>29969196</v>
      </c>
      <c r="Z1418">
        <f t="shared" si="313"/>
        <v>51317.116438356163</v>
      </c>
      <c r="AA1418">
        <f t="shared" si="314"/>
        <v>99996</v>
      </c>
      <c r="AB1418">
        <f t="shared" si="315"/>
        <v>5091</v>
      </c>
      <c r="AC1418">
        <f t="shared" si="316"/>
        <v>797615.1099999994</v>
      </c>
      <c r="AD1418">
        <f t="shared" si="317"/>
        <v>1365.7792979452045</v>
      </c>
      <c r="AE1418">
        <f t="shared" si="318"/>
        <v>0.35149999999999998</v>
      </c>
      <c r="AF1418">
        <f t="shared" si="319"/>
        <v>233003537.20999995</v>
      </c>
      <c r="AG1418" t="str">
        <f t="shared" si="320"/>
        <v>Active</v>
      </c>
      <c r="AH1418">
        <f t="shared" si="321"/>
        <v>29391.96</v>
      </c>
    </row>
    <row r="1419" spans="1:34" x14ac:dyDescent="0.35">
      <c r="A1419" t="s">
        <v>3772</v>
      </c>
      <c r="B1419" t="s">
        <v>3773</v>
      </c>
      <c r="C1419">
        <v>41</v>
      </c>
      <c r="D1419" t="s">
        <v>22</v>
      </c>
      <c r="E1419" t="s">
        <v>39</v>
      </c>
      <c r="F1419" t="s">
        <v>24</v>
      </c>
      <c r="G1419">
        <v>152022</v>
      </c>
      <c r="H1419">
        <v>783</v>
      </c>
      <c r="I1419">
        <v>79025</v>
      </c>
      <c r="J1419">
        <v>15.16</v>
      </c>
      <c r="K1419">
        <v>240</v>
      </c>
      <c r="L1419" t="s">
        <v>33</v>
      </c>
      <c r="M1419">
        <v>38.99</v>
      </c>
      <c r="N1419">
        <v>70958</v>
      </c>
      <c r="O1419">
        <v>52204</v>
      </c>
      <c r="P1419" t="s">
        <v>87</v>
      </c>
      <c r="Q1419" t="s">
        <v>27</v>
      </c>
      <c r="R1419" t="s">
        <v>48</v>
      </c>
      <c r="S1419" t="s">
        <v>29</v>
      </c>
      <c r="T1419">
        <v>379.19</v>
      </c>
      <c r="U1419">
        <f t="shared" si="308"/>
        <v>583</v>
      </c>
      <c r="V1419">
        <f t="shared" si="309"/>
        <v>218</v>
      </c>
      <c r="W1419">
        <f t="shared" si="310"/>
        <v>173</v>
      </c>
      <c r="X1419">
        <f t="shared" si="311"/>
        <v>0.35149999999999998</v>
      </c>
      <c r="Y1419" s="1">
        <f t="shared" si="312"/>
        <v>29894172</v>
      </c>
      <c r="Z1419">
        <f t="shared" si="313"/>
        <v>51276.452830188682</v>
      </c>
      <c r="AA1419">
        <f t="shared" si="314"/>
        <v>99996</v>
      </c>
      <c r="AB1419">
        <f t="shared" si="315"/>
        <v>5091</v>
      </c>
      <c r="AC1419">
        <f t="shared" si="316"/>
        <v>795165.77999999945</v>
      </c>
      <c r="AD1419">
        <f t="shared" si="317"/>
        <v>1363.9207204116628</v>
      </c>
      <c r="AE1419">
        <f t="shared" si="318"/>
        <v>0.35149999999999998</v>
      </c>
      <c r="AF1419">
        <f t="shared" si="319"/>
        <v>232205922.09999993</v>
      </c>
      <c r="AG1419" t="str">
        <f t="shared" si="320"/>
        <v>Active</v>
      </c>
      <c r="AH1419">
        <f t="shared" si="321"/>
        <v>4550.28</v>
      </c>
    </row>
    <row r="1420" spans="1:34" x14ac:dyDescent="0.35">
      <c r="A1420" t="s">
        <v>3774</v>
      </c>
      <c r="B1420" t="s">
        <v>3775</v>
      </c>
      <c r="C1420">
        <v>55</v>
      </c>
      <c r="D1420" t="s">
        <v>38</v>
      </c>
      <c r="E1420" t="s">
        <v>23</v>
      </c>
      <c r="F1420" t="s">
        <v>59</v>
      </c>
      <c r="G1420">
        <v>107501</v>
      </c>
      <c r="H1420">
        <v>396</v>
      </c>
      <c r="I1420">
        <v>77123</v>
      </c>
      <c r="J1420">
        <v>13.29</v>
      </c>
      <c r="K1420">
        <v>24</v>
      </c>
      <c r="L1420" t="s">
        <v>86</v>
      </c>
      <c r="M1420">
        <v>42.25</v>
      </c>
      <c r="N1420">
        <v>18289</v>
      </c>
      <c r="O1420">
        <v>57936</v>
      </c>
      <c r="P1420" t="s">
        <v>1955</v>
      </c>
      <c r="Q1420" t="s">
        <v>61</v>
      </c>
      <c r="R1420" t="s">
        <v>28</v>
      </c>
      <c r="S1420" t="s">
        <v>29</v>
      </c>
      <c r="T1420">
        <v>3640.53</v>
      </c>
      <c r="U1420">
        <f t="shared" si="308"/>
        <v>582</v>
      </c>
      <c r="V1420">
        <f t="shared" si="309"/>
        <v>218</v>
      </c>
      <c r="W1420">
        <f t="shared" si="310"/>
        <v>173</v>
      </c>
      <c r="X1420">
        <f t="shared" si="311"/>
        <v>0.35149999999999998</v>
      </c>
      <c r="Y1420" s="1">
        <f t="shared" si="312"/>
        <v>29815147</v>
      </c>
      <c r="Z1420">
        <f t="shared" si="313"/>
        <v>51228.77491408935</v>
      </c>
      <c r="AA1420">
        <f t="shared" si="314"/>
        <v>99996</v>
      </c>
      <c r="AB1420">
        <f t="shared" si="315"/>
        <v>5091</v>
      </c>
      <c r="AC1420">
        <f t="shared" si="316"/>
        <v>794786.58999999939</v>
      </c>
      <c r="AD1420">
        <f t="shared" si="317"/>
        <v>1365.6126975945006</v>
      </c>
      <c r="AE1420">
        <f t="shared" si="318"/>
        <v>0.35149999999999998</v>
      </c>
      <c r="AF1420">
        <f t="shared" si="319"/>
        <v>231410756.31999993</v>
      </c>
      <c r="AG1420" t="str">
        <f t="shared" si="320"/>
        <v>Active</v>
      </c>
      <c r="AH1420">
        <f t="shared" si="321"/>
        <v>43686.36</v>
      </c>
    </row>
    <row r="1421" spans="1:34" x14ac:dyDescent="0.35">
      <c r="A1421" t="s">
        <v>3776</v>
      </c>
      <c r="B1421" t="s">
        <v>3777</v>
      </c>
      <c r="C1421">
        <v>60</v>
      </c>
      <c r="D1421" t="s">
        <v>22</v>
      </c>
      <c r="E1421" t="s">
        <v>39</v>
      </c>
      <c r="F1421" t="s">
        <v>24</v>
      </c>
      <c r="G1421">
        <v>41938</v>
      </c>
      <c r="H1421">
        <v>775</v>
      </c>
      <c r="I1421">
        <v>21705</v>
      </c>
      <c r="J1421">
        <v>21.75</v>
      </c>
      <c r="K1421">
        <v>360</v>
      </c>
      <c r="L1421" t="s">
        <v>33</v>
      </c>
      <c r="M1421">
        <v>30.26</v>
      </c>
      <c r="N1421">
        <v>35556</v>
      </c>
      <c r="O1421">
        <v>154771</v>
      </c>
      <c r="P1421" t="s">
        <v>2675</v>
      </c>
      <c r="Q1421" t="s">
        <v>27</v>
      </c>
      <c r="R1421" t="s">
        <v>48</v>
      </c>
      <c r="S1421" t="s">
        <v>29</v>
      </c>
      <c r="T1421">
        <v>73.41</v>
      </c>
      <c r="U1421">
        <f t="shared" si="308"/>
        <v>581</v>
      </c>
      <c r="V1421">
        <f t="shared" si="309"/>
        <v>218</v>
      </c>
      <c r="W1421">
        <f t="shared" si="310"/>
        <v>172</v>
      </c>
      <c r="X1421">
        <f t="shared" si="311"/>
        <v>0.35149999999999998</v>
      </c>
      <c r="Y1421" s="1">
        <f t="shared" si="312"/>
        <v>29738024</v>
      </c>
      <c r="Z1421">
        <f t="shared" si="313"/>
        <v>51184.206540447507</v>
      </c>
      <c r="AA1421">
        <f t="shared" si="314"/>
        <v>99996</v>
      </c>
      <c r="AB1421">
        <f t="shared" si="315"/>
        <v>5091</v>
      </c>
      <c r="AC1421">
        <f t="shared" si="316"/>
        <v>791146.05999999936</v>
      </c>
      <c r="AD1421">
        <f t="shared" si="317"/>
        <v>1361.6971772805496</v>
      </c>
      <c r="AE1421">
        <f t="shared" si="318"/>
        <v>0.35149999999999998</v>
      </c>
      <c r="AF1421">
        <f t="shared" si="319"/>
        <v>230615969.72999993</v>
      </c>
      <c r="AG1421" t="str">
        <f t="shared" si="320"/>
        <v>Active</v>
      </c>
      <c r="AH1421">
        <f t="shared" si="321"/>
        <v>880.92</v>
      </c>
    </row>
    <row r="1422" spans="1:34" x14ac:dyDescent="0.35">
      <c r="A1422" t="s">
        <v>3778</v>
      </c>
      <c r="B1422" t="s">
        <v>3779</v>
      </c>
      <c r="C1422">
        <v>44</v>
      </c>
      <c r="D1422" t="s">
        <v>22</v>
      </c>
      <c r="E1422" t="s">
        <v>32</v>
      </c>
      <c r="F1422" t="s">
        <v>24</v>
      </c>
      <c r="G1422">
        <v>132903</v>
      </c>
      <c r="H1422">
        <v>754</v>
      </c>
      <c r="I1422">
        <v>49208</v>
      </c>
      <c r="J1422">
        <v>18.46</v>
      </c>
      <c r="K1422">
        <v>180</v>
      </c>
      <c r="L1422" t="s">
        <v>33</v>
      </c>
      <c r="M1422">
        <v>59.32</v>
      </c>
      <c r="N1422">
        <v>16637</v>
      </c>
      <c r="O1422">
        <v>131484</v>
      </c>
      <c r="P1422" t="s">
        <v>3780</v>
      </c>
      <c r="Q1422" t="s">
        <v>27</v>
      </c>
      <c r="R1422" t="s">
        <v>28</v>
      </c>
      <c r="S1422" t="s">
        <v>68</v>
      </c>
      <c r="T1422">
        <v>323.83999999999997</v>
      </c>
      <c r="U1422">
        <f t="shared" si="308"/>
        <v>580</v>
      </c>
      <c r="V1422">
        <f t="shared" si="309"/>
        <v>218</v>
      </c>
      <c r="W1422">
        <f t="shared" si="310"/>
        <v>172</v>
      </c>
      <c r="X1422">
        <f t="shared" si="311"/>
        <v>0.35149999999999998</v>
      </c>
      <c r="Y1422" s="1">
        <f t="shared" si="312"/>
        <v>29716319</v>
      </c>
      <c r="Z1422">
        <f t="shared" si="313"/>
        <v>51235.032758620691</v>
      </c>
      <c r="AA1422">
        <f t="shared" si="314"/>
        <v>99996</v>
      </c>
      <c r="AB1422">
        <f t="shared" si="315"/>
        <v>5091</v>
      </c>
      <c r="AC1422">
        <f t="shared" si="316"/>
        <v>791072.64999999932</v>
      </c>
      <c r="AD1422">
        <f t="shared" si="317"/>
        <v>1363.9183620689644</v>
      </c>
      <c r="AE1422">
        <f t="shared" si="318"/>
        <v>0.35149999999999998</v>
      </c>
      <c r="AF1422">
        <f t="shared" si="319"/>
        <v>229824823.66999996</v>
      </c>
      <c r="AG1422" t="str">
        <f t="shared" si="320"/>
        <v>Active</v>
      </c>
      <c r="AH1422">
        <f t="shared" si="321"/>
        <v>3886.08</v>
      </c>
    </row>
    <row r="1423" spans="1:34" x14ac:dyDescent="0.35">
      <c r="A1423" t="s">
        <v>3781</v>
      </c>
      <c r="B1423" t="s">
        <v>3782</v>
      </c>
      <c r="C1423">
        <v>63</v>
      </c>
      <c r="D1423" t="s">
        <v>22</v>
      </c>
      <c r="E1423" t="s">
        <v>23</v>
      </c>
      <c r="F1423" t="s">
        <v>59</v>
      </c>
      <c r="G1423">
        <v>70809</v>
      </c>
      <c r="H1423">
        <v>316</v>
      </c>
      <c r="I1423">
        <v>87174</v>
      </c>
      <c r="J1423">
        <v>19.420000000000002</v>
      </c>
      <c r="K1423">
        <v>360</v>
      </c>
      <c r="L1423" t="s">
        <v>40</v>
      </c>
      <c r="M1423">
        <v>20.14</v>
      </c>
      <c r="N1423">
        <v>44744</v>
      </c>
      <c r="O1423">
        <v>146521</v>
      </c>
      <c r="P1423" t="s">
        <v>2572</v>
      </c>
      <c r="Q1423" t="s">
        <v>61</v>
      </c>
      <c r="R1423" t="s">
        <v>48</v>
      </c>
      <c r="S1423" t="s">
        <v>68</v>
      </c>
      <c r="T1423">
        <v>289.18</v>
      </c>
      <c r="U1423">
        <f t="shared" si="308"/>
        <v>579</v>
      </c>
      <c r="V1423">
        <f t="shared" si="309"/>
        <v>218</v>
      </c>
      <c r="W1423">
        <f t="shared" si="310"/>
        <v>172</v>
      </c>
      <c r="X1423">
        <f t="shared" si="311"/>
        <v>0.35149999999999998</v>
      </c>
      <c r="Y1423" s="1">
        <f t="shared" si="312"/>
        <v>29667111</v>
      </c>
      <c r="Z1423">
        <f t="shared" si="313"/>
        <v>51238.533678756474</v>
      </c>
      <c r="AA1423">
        <f t="shared" si="314"/>
        <v>99996</v>
      </c>
      <c r="AB1423">
        <f t="shared" si="315"/>
        <v>5091</v>
      </c>
      <c r="AC1423">
        <f t="shared" si="316"/>
        <v>790748.80999999936</v>
      </c>
      <c r="AD1423">
        <f t="shared" si="317"/>
        <v>1365.7146977547484</v>
      </c>
      <c r="AE1423">
        <f t="shared" si="318"/>
        <v>0.35149999999999998</v>
      </c>
      <c r="AF1423">
        <f t="shared" si="319"/>
        <v>229033751.01999995</v>
      </c>
      <c r="AG1423" t="str">
        <f t="shared" si="320"/>
        <v>Active</v>
      </c>
      <c r="AH1423">
        <f t="shared" si="321"/>
        <v>3470.16</v>
      </c>
    </row>
    <row r="1424" spans="1:34" x14ac:dyDescent="0.35">
      <c r="A1424" t="s">
        <v>3783</v>
      </c>
      <c r="B1424" t="s">
        <v>3784</v>
      </c>
      <c r="C1424">
        <v>62</v>
      </c>
      <c r="D1424" t="s">
        <v>38</v>
      </c>
      <c r="E1424" t="s">
        <v>23</v>
      </c>
      <c r="F1424" t="s">
        <v>24</v>
      </c>
      <c r="G1424">
        <v>160526</v>
      </c>
      <c r="H1424">
        <v>653</v>
      </c>
      <c r="I1424">
        <v>30955</v>
      </c>
      <c r="J1424">
        <v>20.61</v>
      </c>
      <c r="K1424">
        <v>120</v>
      </c>
      <c r="L1424" t="s">
        <v>40</v>
      </c>
      <c r="M1424">
        <v>55.51</v>
      </c>
      <c r="N1424">
        <v>52113</v>
      </c>
      <c r="O1424">
        <v>154648</v>
      </c>
      <c r="P1424" t="s">
        <v>3785</v>
      </c>
      <c r="Q1424" t="s">
        <v>42</v>
      </c>
      <c r="R1424" t="s">
        <v>48</v>
      </c>
      <c r="S1424" t="s">
        <v>49</v>
      </c>
      <c r="T1424">
        <v>311.12</v>
      </c>
      <c r="U1424">
        <f t="shared" si="308"/>
        <v>578</v>
      </c>
      <c r="V1424">
        <f t="shared" si="309"/>
        <v>218</v>
      </c>
      <c r="W1424">
        <f t="shared" si="310"/>
        <v>171</v>
      </c>
      <c r="X1424">
        <f t="shared" si="311"/>
        <v>0.35149999999999998</v>
      </c>
      <c r="Y1424" s="1">
        <f t="shared" si="312"/>
        <v>29579937</v>
      </c>
      <c r="Z1424">
        <f t="shared" si="313"/>
        <v>51176.361591695502</v>
      </c>
      <c r="AA1424">
        <f t="shared" si="314"/>
        <v>99996</v>
      </c>
      <c r="AB1424">
        <f t="shared" si="315"/>
        <v>5091</v>
      </c>
      <c r="AC1424">
        <f t="shared" si="316"/>
        <v>790459.62999999942</v>
      </c>
      <c r="AD1424">
        <f t="shared" si="317"/>
        <v>1367.577214532871</v>
      </c>
      <c r="AE1424">
        <f t="shared" si="318"/>
        <v>0.35149999999999998</v>
      </c>
      <c r="AF1424">
        <f t="shared" si="319"/>
        <v>228243002.20999998</v>
      </c>
      <c r="AG1424" t="str">
        <f t="shared" si="320"/>
        <v>Active</v>
      </c>
      <c r="AH1424">
        <f t="shared" si="321"/>
        <v>3733.44</v>
      </c>
    </row>
    <row r="1425" spans="1:34" x14ac:dyDescent="0.35">
      <c r="A1425" t="s">
        <v>3786</v>
      </c>
      <c r="B1425" t="s">
        <v>3787</v>
      </c>
      <c r="C1425">
        <v>43</v>
      </c>
      <c r="D1425" t="s">
        <v>22</v>
      </c>
      <c r="E1425" t="s">
        <v>32</v>
      </c>
      <c r="F1425" t="s">
        <v>46</v>
      </c>
      <c r="G1425">
        <v>63121</v>
      </c>
      <c r="H1425">
        <v>334</v>
      </c>
      <c r="I1425">
        <v>16077</v>
      </c>
      <c r="J1425">
        <v>5.17</v>
      </c>
      <c r="K1425">
        <v>60</v>
      </c>
      <c r="L1425" t="s">
        <v>33</v>
      </c>
      <c r="M1425">
        <v>34.159999999999997</v>
      </c>
      <c r="N1425">
        <v>31556</v>
      </c>
      <c r="O1425">
        <v>41220</v>
      </c>
      <c r="P1425" t="s">
        <v>657</v>
      </c>
      <c r="Q1425" t="s">
        <v>27</v>
      </c>
      <c r="R1425" t="s">
        <v>48</v>
      </c>
      <c r="S1425" t="s">
        <v>49</v>
      </c>
      <c r="T1425">
        <v>281.8</v>
      </c>
      <c r="U1425">
        <f t="shared" si="308"/>
        <v>577</v>
      </c>
      <c r="V1425">
        <f t="shared" si="309"/>
        <v>217</v>
      </c>
      <c r="W1425">
        <f t="shared" si="310"/>
        <v>171</v>
      </c>
      <c r="X1425">
        <f t="shared" si="311"/>
        <v>0.35149999999999998</v>
      </c>
      <c r="Y1425" s="1">
        <f t="shared" si="312"/>
        <v>29548982</v>
      </c>
      <c r="Z1425">
        <f t="shared" si="313"/>
        <v>51211.407279029459</v>
      </c>
      <c r="AA1425">
        <f t="shared" si="314"/>
        <v>99996</v>
      </c>
      <c r="AB1425">
        <f t="shared" si="315"/>
        <v>5091</v>
      </c>
      <c r="AC1425">
        <f t="shared" si="316"/>
        <v>790148.50999999931</v>
      </c>
      <c r="AD1425">
        <f t="shared" si="317"/>
        <v>1369.4081629116106</v>
      </c>
      <c r="AE1425">
        <f t="shared" si="318"/>
        <v>0.35149999999999998</v>
      </c>
      <c r="AF1425">
        <f t="shared" si="319"/>
        <v>227452542.57999995</v>
      </c>
      <c r="AG1425" t="str">
        <f t="shared" si="320"/>
        <v>Active</v>
      </c>
      <c r="AH1425">
        <f t="shared" si="321"/>
        <v>3381.6000000000004</v>
      </c>
    </row>
    <row r="1426" spans="1:34" x14ac:dyDescent="0.35">
      <c r="A1426" t="s">
        <v>3788</v>
      </c>
      <c r="B1426" t="s">
        <v>3789</v>
      </c>
      <c r="C1426">
        <v>41</v>
      </c>
      <c r="D1426" t="s">
        <v>38</v>
      </c>
      <c r="E1426" t="s">
        <v>39</v>
      </c>
      <c r="F1426" t="s">
        <v>24</v>
      </c>
      <c r="G1426">
        <v>80395</v>
      </c>
      <c r="H1426">
        <v>759</v>
      </c>
      <c r="I1426">
        <v>62853</v>
      </c>
      <c r="J1426">
        <v>11.01</v>
      </c>
      <c r="K1426">
        <v>48</v>
      </c>
      <c r="L1426" t="s">
        <v>25</v>
      </c>
      <c r="M1426">
        <v>12.5</v>
      </c>
      <c r="N1426">
        <v>68024</v>
      </c>
      <c r="O1426">
        <v>5299</v>
      </c>
      <c r="P1426" t="s">
        <v>2478</v>
      </c>
      <c r="Q1426" t="s">
        <v>27</v>
      </c>
      <c r="R1426" t="s">
        <v>28</v>
      </c>
      <c r="S1426" t="s">
        <v>43</v>
      </c>
      <c r="T1426">
        <v>1453.61</v>
      </c>
      <c r="U1426">
        <f t="shared" si="308"/>
        <v>576</v>
      </c>
      <c r="V1426">
        <f t="shared" si="309"/>
        <v>217</v>
      </c>
      <c r="W1426">
        <f t="shared" si="310"/>
        <v>171</v>
      </c>
      <c r="X1426">
        <f t="shared" si="311"/>
        <v>0.35149999999999998</v>
      </c>
      <c r="Y1426" s="1">
        <f t="shared" si="312"/>
        <v>29532905</v>
      </c>
      <c r="Z1426">
        <f t="shared" si="313"/>
        <v>51272.404513888891</v>
      </c>
      <c r="AA1426">
        <f t="shared" si="314"/>
        <v>99996</v>
      </c>
      <c r="AB1426">
        <f t="shared" si="315"/>
        <v>5091</v>
      </c>
      <c r="AC1426">
        <f t="shared" si="316"/>
        <v>789866.70999999926</v>
      </c>
      <c r="AD1426">
        <f t="shared" si="317"/>
        <v>1371.2963715277765</v>
      </c>
      <c r="AE1426">
        <f t="shared" si="318"/>
        <v>0.35149999999999998</v>
      </c>
      <c r="AF1426">
        <f t="shared" si="319"/>
        <v>226662394.06999999</v>
      </c>
      <c r="AG1426" t="str">
        <f t="shared" si="320"/>
        <v>Active</v>
      </c>
      <c r="AH1426">
        <f t="shared" si="321"/>
        <v>17443.32</v>
      </c>
    </row>
    <row r="1427" spans="1:34" x14ac:dyDescent="0.35">
      <c r="A1427" t="s">
        <v>3790</v>
      </c>
      <c r="B1427" t="s">
        <v>3791</v>
      </c>
      <c r="C1427">
        <v>21</v>
      </c>
      <c r="D1427" t="s">
        <v>22</v>
      </c>
      <c r="E1427" t="s">
        <v>39</v>
      </c>
      <c r="F1427" t="s">
        <v>46</v>
      </c>
      <c r="G1427">
        <v>167205</v>
      </c>
      <c r="H1427">
        <v>461</v>
      </c>
      <c r="I1427">
        <v>90798</v>
      </c>
      <c r="J1427">
        <v>9.2899999999999991</v>
      </c>
      <c r="K1427">
        <v>360</v>
      </c>
      <c r="L1427" t="s">
        <v>52</v>
      </c>
      <c r="M1427">
        <v>31.88</v>
      </c>
      <c r="N1427">
        <v>29717</v>
      </c>
      <c r="O1427">
        <v>191255</v>
      </c>
      <c r="P1427" t="s">
        <v>3792</v>
      </c>
      <c r="Q1427" t="s">
        <v>27</v>
      </c>
      <c r="R1427" t="s">
        <v>48</v>
      </c>
      <c r="S1427" t="s">
        <v>68</v>
      </c>
      <c r="T1427">
        <v>275.64999999999998</v>
      </c>
      <c r="U1427">
        <f t="shared" si="308"/>
        <v>575</v>
      </c>
      <c r="V1427">
        <f t="shared" si="309"/>
        <v>217</v>
      </c>
      <c r="W1427">
        <f t="shared" si="310"/>
        <v>171</v>
      </c>
      <c r="X1427">
        <f t="shared" si="311"/>
        <v>0.35149999999999998</v>
      </c>
      <c r="Y1427" s="1">
        <f t="shared" si="312"/>
        <v>29470052</v>
      </c>
      <c r="Z1427">
        <f t="shared" si="313"/>
        <v>51252.264347826087</v>
      </c>
      <c r="AA1427">
        <f t="shared" si="314"/>
        <v>99996</v>
      </c>
      <c r="AB1427">
        <f t="shared" si="315"/>
        <v>5091</v>
      </c>
      <c r="AC1427">
        <f t="shared" si="316"/>
        <v>788413.09999999939</v>
      </c>
      <c r="AD1427">
        <f t="shared" si="317"/>
        <v>1371.1532173913033</v>
      </c>
      <c r="AE1427">
        <f t="shared" si="318"/>
        <v>0.35149999999999998</v>
      </c>
      <c r="AF1427">
        <f t="shared" si="319"/>
        <v>225872527.35999998</v>
      </c>
      <c r="AG1427" t="str">
        <f t="shared" si="320"/>
        <v>Active</v>
      </c>
      <c r="AH1427">
        <f t="shared" si="321"/>
        <v>3307.7999999999997</v>
      </c>
    </row>
    <row r="1428" spans="1:34" x14ac:dyDescent="0.35">
      <c r="A1428" t="s">
        <v>3793</v>
      </c>
      <c r="B1428" t="s">
        <v>3794</v>
      </c>
      <c r="C1428">
        <v>31</v>
      </c>
      <c r="D1428" t="s">
        <v>38</v>
      </c>
      <c r="E1428" t="s">
        <v>23</v>
      </c>
      <c r="F1428" t="s">
        <v>24</v>
      </c>
      <c r="G1428">
        <v>126611</v>
      </c>
      <c r="H1428">
        <v>559</v>
      </c>
      <c r="I1428">
        <v>21944</v>
      </c>
      <c r="J1428">
        <v>3.94</v>
      </c>
      <c r="K1428">
        <v>24</v>
      </c>
      <c r="L1428" t="s">
        <v>52</v>
      </c>
      <c r="M1428">
        <v>56.67</v>
      </c>
      <c r="N1428">
        <v>74847</v>
      </c>
      <c r="O1428">
        <v>180865</v>
      </c>
      <c r="P1428" t="s">
        <v>3795</v>
      </c>
      <c r="Q1428" t="s">
        <v>42</v>
      </c>
      <c r="R1428" t="s">
        <v>48</v>
      </c>
      <c r="S1428" t="s">
        <v>68</v>
      </c>
      <c r="T1428">
        <v>950.36</v>
      </c>
      <c r="U1428">
        <f t="shared" si="308"/>
        <v>574</v>
      </c>
      <c r="V1428">
        <f t="shared" si="309"/>
        <v>217</v>
      </c>
      <c r="W1428">
        <f t="shared" si="310"/>
        <v>171</v>
      </c>
      <c r="X1428">
        <f t="shared" si="311"/>
        <v>0.35149999999999998</v>
      </c>
      <c r="Y1428" s="1">
        <f t="shared" si="312"/>
        <v>29379254</v>
      </c>
      <c r="Z1428">
        <f t="shared" si="313"/>
        <v>51183.369337979093</v>
      </c>
      <c r="AA1428">
        <f t="shared" si="314"/>
        <v>99996</v>
      </c>
      <c r="AB1428">
        <f t="shared" si="315"/>
        <v>5091</v>
      </c>
      <c r="AC1428">
        <f t="shared" si="316"/>
        <v>788137.44999999937</v>
      </c>
      <c r="AD1428">
        <f t="shared" si="317"/>
        <v>1373.0617595818806</v>
      </c>
      <c r="AE1428">
        <f t="shared" si="318"/>
        <v>0.35149999999999998</v>
      </c>
      <c r="AF1428">
        <f t="shared" si="319"/>
        <v>225084114.25999999</v>
      </c>
      <c r="AG1428" t="str">
        <f t="shared" si="320"/>
        <v>Active</v>
      </c>
      <c r="AH1428">
        <f t="shared" si="321"/>
        <v>11404.32</v>
      </c>
    </row>
    <row r="1429" spans="1:34" x14ac:dyDescent="0.35">
      <c r="A1429" t="s">
        <v>3796</v>
      </c>
      <c r="B1429" t="s">
        <v>3797</v>
      </c>
      <c r="C1429">
        <v>36</v>
      </c>
      <c r="D1429" t="s">
        <v>38</v>
      </c>
      <c r="E1429" t="s">
        <v>39</v>
      </c>
      <c r="F1429" t="s">
        <v>46</v>
      </c>
      <c r="G1429">
        <v>81949</v>
      </c>
      <c r="H1429">
        <v>337</v>
      </c>
      <c r="I1429">
        <v>83024</v>
      </c>
      <c r="J1429">
        <v>15.81</v>
      </c>
      <c r="K1429">
        <v>360</v>
      </c>
      <c r="L1429" t="s">
        <v>33</v>
      </c>
      <c r="M1429">
        <v>33.43</v>
      </c>
      <c r="N1429">
        <v>2363</v>
      </c>
      <c r="O1429">
        <v>200123</v>
      </c>
      <c r="P1429" t="s">
        <v>3798</v>
      </c>
      <c r="Q1429" t="s">
        <v>61</v>
      </c>
      <c r="R1429" t="s">
        <v>48</v>
      </c>
      <c r="S1429" t="s">
        <v>35</v>
      </c>
      <c r="T1429">
        <v>267.08</v>
      </c>
      <c r="U1429">
        <f t="shared" si="308"/>
        <v>573</v>
      </c>
      <c r="V1429">
        <f t="shared" si="309"/>
        <v>216</v>
      </c>
      <c r="W1429">
        <f t="shared" si="310"/>
        <v>171</v>
      </c>
      <c r="X1429">
        <f t="shared" si="311"/>
        <v>0.35149999999999998</v>
      </c>
      <c r="Y1429" s="1">
        <f t="shared" si="312"/>
        <v>29357310</v>
      </c>
      <c r="Z1429">
        <f t="shared" si="313"/>
        <v>51234.397905759164</v>
      </c>
      <c r="AA1429">
        <f t="shared" si="314"/>
        <v>99996</v>
      </c>
      <c r="AB1429">
        <f t="shared" si="315"/>
        <v>5091</v>
      </c>
      <c r="AC1429">
        <f t="shared" si="316"/>
        <v>787187.08999999915</v>
      </c>
      <c r="AD1429">
        <f t="shared" si="317"/>
        <v>1373.7994589877821</v>
      </c>
      <c r="AE1429">
        <f t="shared" si="318"/>
        <v>0.35149999999999998</v>
      </c>
      <c r="AF1429">
        <f t="shared" si="319"/>
        <v>224295976.81</v>
      </c>
      <c r="AG1429" t="str">
        <f t="shared" si="320"/>
        <v>Active</v>
      </c>
      <c r="AH1429">
        <f t="shared" si="321"/>
        <v>3204.96</v>
      </c>
    </row>
    <row r="1430" spans="1:34" x14ac:dyDescent="0.35">
      <c r="A1430" t="s">
        <v>3799</v>
      </c>
      <c r="B1430" t="s">
        <v>3800</v>
      </c>
      <c r="C1430">
        <v>39</v>
      </c>
      <c r="D1430" t="s">
        <v>38</v>
      </c>
      <c r="E1430" t="s">
        <v>32</v>
      </c>
      <c r="F1430" t="s">
        <v>59</v>
      </c>
      <c r="G1430">
        <v>104448</v>
      </c>
      <c r="H1430">
        <v>567</v>
      </c>
      <c r="I1430">
        <v>27095</v>
      </c>
      <c r="J1430">
        <v>6.73</v>
      </c>
      <c r="K1430">
        <v>360</v>
      </c>
      <c r="L1430" t="s">
        <v>25</v>
      </c>
      <c r="M1430">
        <v>8.81</v>
      </c>
      <c r="N1430">
        <v>25128</v>
      </c>
      <c r="O1430">
        <v>140590</v>
      </c>
      <c r="P1430" t="s">
        <v>3801</v>
      </c>
      <c r="Q1430" t="s">
        <v>42</v>
      </c>
      <c r="R1430" t="s">
        <v>48</v>
      </c>
      <c r="S1430" t="s">
        <v>29</v>
      </c>
      <c r="T1430">
        <v>80.33</v>
      </c>
      <c r="U1430">
        <f t="shared" si="308"/>
        <v>572</v>
      </c>
      <c r="V1430">
        <f t="shared" si="309"/>
        <v>216</v>
      </c>
      <c r="W1430">
        <f t="shared" si="310"/>
        <v>170</v>
      </c>
      <c r="X1430">
        <f t="shared" si="311"/>
        <v>0.35149999999999998</v>
      </c>
      <c r="Y1430" s="1">
        <f t="shared" si="312"/>
        <v>29274286</v>
      </c>
      <c r="Z1430">
        <f t="shared" si="313"/>
        <v>51178.821678321678</v>
      </c>
      <c r="AA1430">
        <f t="shared" si="314"/>
        <v>99996</v>
      </c>
      <c r="AB1430">
        <f t="shared" si="315"/>
        <v>5091</v>
      </c>
      <c r="AC1430">
        <f t="shared" si="316"/>
        <v>786920.00999999919</v>
      </c>
      <c r="AD1430">
        <f t="shared" si="317"/>
        <v>1375.7342832167817</v>
      </c>
      <c r="AE1430">
        <f t="shared" si="318"/>
        <v>0.35149999999999998</v>
      </c>
      <c r="AF1430">
        <f t="shared" si="319"/>
        <v>223508789.72</v>
      </c>
      <c r="AG1430" t="str">
        <f t="shared" si="320"/>
        <v>Active</v>
      </c>
      <c r="AH1430">
        <f t="shared" si="321"/>
        <v>963.96</v>
      </c>
    </row>
    <row r="1431" spans="1:34" x14ac:dyDescent="0.35">
      <c r="A1431" t="s">
        <v>3802</v>
      </c>
      <c r="B1431" t="s">
        <v>3803</v>
      </c>
      <c r="C1431">
        <v>23</v>
      </c>
      <c r="D1431" t="s">
        <v>22</v>
      </c>
      <c r="E1431" t="s">
        <v>39</v>
      </c>
      <c r="F1431" t="s">
        <v>24</v>
      </c>
      <c r="G1431">
        <v>53389</v>
      </c>
      <c r="H1431">
        <v>619</v>
      </c>
      <c r="I1431">
        <v>16282</v>
      </c>
      <c r="J1431">
        <v>18.95</v>
      </c>
      <c r="K1431">
        <v>12</v>
      </c>
      <c r="L1431" t="s">
        <v>52</v>
      </c>
      <c r="M1431">
        <v>15.21</v>
      </c>
      <c r="N1431">
        <v>7134</v>
      </c>
      <c r="O1431">
        <v>107271</v>
      </c>
      <c r="P1431" t="s">
        <v>1619</v>
      </c>
      <c r="Q1431" t="s">
        <v>27</v>
      </c>
      <c r="R1431" t="s">
        <v>28</v>
      </c>
      <c r="S1431" t="s">
        <v>35</v>
      </c>
      <c r="T1431">
        <v>1613.95</v>
      </c>
      <c r="U1431">
        <f t="shared" si="308"/>
        <v>571</v>
      </c>
      <c r="V1431">
        <f t="shared" si="309"/>
        <v>215</v>
      </c>
      <c r="W1431">
        <f t="shared" si="310"/>
        <v>170</v>
      </c>
      <c r="X1431">
        <f t="shared" si="311"/>
        <v>0.35149999999999998</v>
      </c>
      <c r="Y1431" s="1">
        <f t="shared" si="312"/>
        <v>29247191</v>
      </c>
      <c r="Z1431">
        <f t="shared" si="313"/>
        <v>51221</v>
      </c>
      <c r="AA1431">
        <f t="shared" si="314"/>
        <v>99996</v>
      </c>
      <c r="AB1431">
        <f t="shared" si="315"/>
        <v>5091</v>
      </c>
      <c r="AC1431">
        <f t="shared" si="316"/>
        <v>786839.67999999924</v>
      </c>
      <c r="AD1431">
        <f t="shared" si="317"/>
        <v>1378.0029422066536</v>
      </c>
      <c r="AE1431">
        <f t="shared" si="318"/>
        <v>0.35149999999999998</v>
      </c>
      <c r="AF1431">
        <f t="shared" si="319"/>
        <v>222721869.71000001</v>
      </c>
      <c r="AG1431" t="str">
        <f t="shared" si="320"/>
        <v>Active</v>
      </c>
      <c r="AH1431">
        <f t="shared" si="321"/>
        <v>19367.400000000001</v>
      </c>
    </row>
    <row r="1432" spans="1:34" x14ac:dyDescent="0.35">
      <c r="A1432" t="s">
        <v>3804</v>
      </c>
      <c r="B1432" t="s">
        <v>3805</v>
      </c>
      <c r="C1432">
        <v>50</v>
      </c>
      <c r="D1432" t="s">
        <v>38</v>
      </c>
      <c r="E1432" t="s">
        <v>23</v>
      </c>
      <c r="F1432" t="s">
        <v>59</v>
      </c>
      <c r="G1432">
        <v>153607</v>
      </c>
      <c r="H1432">
        <v>316</v>
      </c>
      <c r="I1432">
        <v>69873</v>
      </c>
      <c r="J1432">
        <v>7.45</v>
      </c>
      <c r="K1432">
        <v>180</v>
      </c>
      <c r="L1432" t="s">
        <v>40</v>
      </c>
      <c r="M1432">
        <v>57.39</v>
      </c>
      <c r="N1432">
        <v>1495</v>
      </c>
      <c r="O1432">
        <v>177063</v>
      </c>
      <c r="P1432" t="s">
        <v>459</v>
      </c>
      <c r="Q1432" t="s">
        <v>42</v>
      </c>
      <c r="R1432" t="s">
        <v>28</v>
      </c>
      <c r="S1432" t="s">
        <v>35</v>
      </c>
      <c r="T1432">
        <v>417.1</v>
      </c>
      <c r="U1432">
        <f t="shared" si="308"/>
        <v>570</v>
      </c>
      <c r="V1432">
        <f t="shared" si="309"/>
        <v>215</v>
      </c>
      <c r="W1432">
        <f t="shared" si="310"/>
        <v>170</v>
      </c>
      <c r="X1432">
        <f t="shared" si="311"/>
        <v>0.35149999999999998</v>
      </c>
      <c r="Y1432" s="1">
        <f t="shared" si="312"/>
        <v>29230909</v>
      </c>
      <c r="Z1432">
        <f t="shared" si="313"/>
        <v>51282.296491228073</v>
      </c>
      <c r="AA1432">
        <f t="shared" si="314"/>
        <v>99996</v>
      </c>
      <c r="AB1432">
        <f t="shared" si="315"/>
        <v>5091</v>
      </c>
      <c r="AC1432">
        <f t="shared" si="316"/>
        <v>785225.72999999917</v>
      </c>
      <c r="AD1432">
        <f t="shared" si="317"/>
        <v>1377.5889999999986</v>
      </c>
      <c r="AE1432">
        <f t="shared" si="318"/>
        <v>0.35149999999999998</v>
      </c>
      <c r="AF1432">
        <f t="shared" si="319"/>
        <v>221935030.03</v>
      </c>
      <c r="AG1432" t="str">
        <f t="shared" si="320"/>
        <v>Over Paid</v>
      </c>
      <c r="AH1432">
        <f t="shared" si="321"/>
        <v>5005.2000000000007</v>
      </c>
    </row>
    <row r="1433" spans="1:34" x14ac:dyDescent="0.35">
      <c r="A1433" t="s">
        <v>3806</v>
      </c>
      <c r="B1433" t="s">
        <v>3807</v>
      </c>
      <c r="C1433">
        <v>46</v>
      </c>
      <c r="D1433" t="s">
        <v>38</v>
      </c>
      <c r="E1433" t="s">
        <v>32</v>
      </c>
      <c r="F1433" t="s">
        <v>46</v>
      </c>
      <c r="G1433">
        <v>82540</v>
      </c>
      <c r="H1433">
        <v>641</v>
      </c>
      <c r="I1433">
        <v>70937</v>
      </c>
      <c r="J1433">
        <v>7.89</v>
      </c>
      <c r="K1433">
        <v>120</v>
      </c>
      <c r="L1433" t="s">
        <v>86</v>
      </c>
      <c r="M1433">
        <v>25.52</v>
      </c>
      <c r="N1433">
        <v>57316</v>
      </c>
      <c r="O1433">
        <v>152135</v>
      </c>
      <c r="P1433" t="s">
        <v>3808</v>
      </c>
      <c r="Q1433" t="s">
        <v>61</v>
      </c>
      <c r="R1433" t="s">
        <v>28</v>
      </c>
      <c r="S1433" t="s">
        <v>49</v>
      </c>
      <c r="T1433">
        <v>637.78</v>
      </c>
      <c r="U1433">
        <f t="shared" si="308"/>
        <v>569</v>
      </c>
      <c r="V1433">
        <f t="shared" si="309"/>
        <v>214</v>
      </c>
      <c r="W1433">
        <f t="shared" si="310"/>
        <v>170</v>
      </c>
      <c r="X1433">
        <f t="shared" si="311"/>
        <v>0.35149999999999998</v>
      </c>
      <c r="Y1433" s="1">
        <f t="shared" si="312"/>
        <v>29161036</v>
      </c>
      <c r="Z1433">
        <f t="shared" si="313"/>
        <v>51249.623901581719</v>
      </c>
      <c r="AA1433">
        <f t="shared" si="314"/>
        <v>99996</v>
      </c>
      <c r="AB1433">
        <f t="shared" si="315"/>
        <v>5091</v>
      </c>
      <c r="AC1433">
        <f t="shared" si="316"/>
        <v>784808.62999999919</v>
      </c>
      <c r="AD1433">
        <f t="shared" si="317"/>
        <v>1379.2770298769758</v>
      </c>
      <c r="AE1433">
        <f t="shared" si="318"/>
        <v>0.35149999999999998</v>
      </c>
      <c r="AF1433">
        <f t="shared" si="319"/>
        <v>221149804.30000001</v>
      </c>
      <c r="AG1433" t="str">
        <f t="shared" si="320"/>
        <v>Active</v>
      </c>
      <c r="AH1433">
        <f t="shared" si="321"/>
        <v>7653.36</v>
      </c>
    </row>
    <row r="1434" spans="1:34" x14ac:dyDescent="0.35">
      <c r="A1434" t="s">
        <v>3809</v>
      </c>
      <c r="B1434" t="s">
        <v>3810</v>
      </c>
      <c r="C1434">
        <v>59</v>
      </c>
      <c r="D1434" t="s">
        <v>38</v>
      </c>
      <c r="E1434" t="s">
        <v>23</v>
      </c>
      <c r="F1434" t="s">
        <v>59</v>
      </c>
      <c r="G1434">
        <v>145146</v>
      </c>
      <c r="H1434">
        <v>691</v>
      </c>
      <c r="I1434">
        <v>6991</v>
      </c>
      <c r="J1434">
        <v>7.34</v>
      </c>
      <c r="K1434">
        <v>360</v>
      </c>
      <c r="L1434" t="s">
        <v>86</v>
      </c>
      <c r="M1434">
        <v>40.61</v>
      </c>
      <c r="N1434">
        <v>13322</v>
      </c>
      <c r="O1434">
        <v>137964</v>
      </c>
      <c r="P1434" t="s">
        <v>3811</v>
      </c>
      <c r="Q1434" t="s">
        <v>42</v>
      </c>
      <c r="R1434" t="s">
        <v>48</v>
      </c>
      <c r="S1434" t="s">
        <v>68</v>
      </c>
      <c r="T1434">
        <v>20.84</v>
      </c>
      <c r="U1434">
        <f t="shared" si="308"/>
        <v>568</v>
      </c>
      <c r="V1434">
        <f t="shared" si="309"/>
        <v>214</v>
      </c>
      <c r="W1434">
        <f t="shared" si="310"/>
        <v>169</v>
      </c>
      <c r="X1434">
        <f t="shared" si="311"/>
        <v>0.35149999999999998</v>
      </c>
      <c r="Y1434" s="1">
        <f t="shared" si="312"/>
        <v>29090099</v>
      </c>
      <c r="Z1434">
        <f t="shared" si="313"/>
        <v>51214.963028169012</v>
      </c>
      <c r="AA1434">
        <f t="shared" si="314"/>
        <v>99996</v>
      </c>
      <c r="AB1434">
        <f t="shared" si="315"/>
        <v>5091</v>
      </c>
      <c r="AC1434">
        <f t="shared" si="316"/>
        <v>784170.84999999928</v>
      </c>
      <c r="AD1434">
        <f t="shared" si="317"/>
        <v>1380.5824823943649</v>
      </c>
      <c r="AE1434">
        <f t="shared" si="318"/>
        <v>0.35149999999999998</v>
      </c>
      <c r="AF1434">
        <f t="shared" si="319"/>
        <v>220364995.66999999</v>
      </c>
      <c r="AG1434" t="str">
        <f t="shared" si="320"/>
        <v>Active</v>
      </c>
      <c r="AH1434">
        <f t="shared" si="321"/>
        <v>250.07999999999998</v>
      </c>
    </row>
    <row r="1435" spans="1:34" x14ac:dyDescent="0.35">
      <c r="A1435" t="s">
        <v>3812</v>
      </c>
      <c r="B1435" t="s">
        <v>3813</v>
      </c>
      <c r="C1435">
        <v>50</v>
      </c>
      <c r="D1435" t="s">
        <v>22</v>
      </c>
      <c r="E1435" t="s">
        <v>39</v>
      </c>
      <c r="F1435" t="s">
        <v>24</v>
      </c>
      <c r="G1435">
        <v>72207</v>
      </c>
      <c r="H1435">
        <v>501</v>
      </c>
      <c r="I1435">
        <v>26545</v>
      </c>
      <c r="J1435">
        <v>3.66</v>
      </c>
      <c r="K1435">
        <v>36</v>
      </c>
      <c r="L1435" t="s">
        <v>25</v>
      </c>
      <c r="M1435">
        <v>19.989999999999998</v>
      </c>
      <c r="N1435">
        <v>59292</v>
      </c>
      <c r="O1435">
        <v>219005</v>
      </c>
      <c r="P1435" t="s">
        <v>740</v>
      </c>
      <c r="Q1435" t="s">
        <v>42</v>
      </c>
      <c r="R1435" t="s">
        <v>28</v>
      </c>
      <c r="S1435" t="s">
        <v>49</v>
      </c>
      <c r="T1435">
        <v>764.35</v>
      </c>
      <c r="U1435">
        <f t="shared" si="308"/>
        <v>567</v>
      </c>
      <c r="V1435">
        <f t="shared" si="309"/>
        <v>213</v>
      </c>
      <c r="W1435">
        <f t="shared" si="310"/>
        <v>169</v>
      </c>
      <c r="X1435">
        <f t="shared" si="311"/>
        <v>0.35149999999999998</v>
      </c>
      <c r="Y1435" s="1">
        <f t="shared" si="312"/>
        <v>29083108</v>
      </c>
      <c r="Z1435">
        <f t="shared" si="313"/>
        <v>51292.9594356261</v>
      </c>
      <c r="AA1435">
        <f t="shared" si="314"/>
        <v>99996</v>
      </c>
      <c r="AB1435">
        <f t="shared" si="315"/>
        <v>5091</v>
      </c>
      <c r="AC1435">
        <f t="shared" si="316"/>
        <v>784150.00999999931</v>
      </c>
      <c r="AD1435">
        <f t="shared" si="317"/>
        <v>1382.9806172839494</v>
      </c>
      <c r="AE1435">
        <f t="shared" si="318"/>
        <v>0.35149999999999998</v>
      </c>
      <c r="AF1435">
        <f t="shared" si="319"/>
        <v>219580824.81999999</v>
      </c>
      <c r="AG1435" t="str">
        <f t="shared" si="320"/>
        <v>Active</v>
      </c>
      <c r="AH1435">
        <f t="shared" si="321"/>
        <v>9172.2000000000007</v>
      </c>
    </row>
    <row r="1436" spans="1:34" x14ac:dyDescent="0.35">
      <c r="A1436" t="s">
        <v>3814</v>
      </c>
      <c r="B1436" t="s">
        <v>3815</v>
      </c>
      <c r="C1436">
        <v>35</v>
      </c>
      <c r="D1436" t="s">
        <v>38</v>
      </c>
      <c r="E1436" t="s">
        <v>32</v>
      </c>
      <c r="F1436" t="s">
        <v>59</v>
      </c>
      <c r="G1436">
        <v>162087</v>
      </c>
      <c r="H1436">
        <v>769</v>
      </c>
      <c r="I1436">
        <v>64228</v>
      </c>
      <c r="J1436">
        <v>7.62</v>
      </c>
      <c r="K1436">
        <v>48</v>
      </c>
      <c r="L1436" t="s">
        <v>40</v>
      </c>
      <c r="M1436">
        <v>37.44</v>
      </c>
      <c r="N1436">
        <v>16952</v>
      </c>
      <c r="O1436">
        <v>179625</v>
      </c>
      <c r="P1436" t="s">
        <v>2642</v>
      </c>
      <c r="Q1436" t="s">
        <v>61</v>
      </c>
      <c r="R1436" t="s">
        <v>28</v>
      </c>
      <c r="S1436" t="s">
        <v>43</v>
      </c>
      <c r="T1436">
        <v>1440.05</v>
      </c>
      <c r="U1436">
        <f t="shared" si="308"/>
        <v>566</v>
      </c>
      <c r="V1436">
        <f t="shared" si="309"/>
        <v>212</v>
      </c>
      <c r="W1436">
        <f t="shared" si="310"/>
        <v>169</v>
      </c>
      <c r="X1436">
        <f t="shared" si="311"/>
        <v>0.35149999999999998</v>
      </c>
      <c r="Y1436" s="1">
        <f t="shared" si="312"/>
        <v>29056563</v>
      </c>
      <c r="Z1436">
        <f t="shared" si="313"/>
        <v>51336.683745583039</v>
      </c>
      <c r="AA1436">
        <f t="shared" si="314"/>
        <v>99996</v>
      </c>
      <c r="AB1436">
        <f t="shared" si="315"/>
        <v>5091</v>
      </c>
      <c r="AC1436">
        <f t="shared" si="316"/>
        <v>783385.65999999922</v>
      </c>
      <c r="AD1436">
        <f t="shared" si="317"/>
        <v>1384.0736042402814</v>
      </c>
      <c r="AE1436">
        <f t="shared" si="318"/>
        <v>0.35149999999999998</v>
      </c>
      <c r="AF1436">
        <f t="shared" si="319"/>
        <v>218796674.80999997</v>
      </c>
      <c r="AG1436" t="str">
        <f t="shared" si="320"/>
        <v>Active</v>
      </c>
      <c r="AH1436">
        <f t="shared" si="321"/>
        <v>17280.599999999999</v>
      </c>
    </row>
    <row r="1437" spans="1:34" x14ac:dyDescent="0.35">
      <c r="A1437" t="s">
        <v>3816</v>
      </c>
      <c r="B1437" t="s">
        <v>3817</v>
      </c>
      <c r="C1437">
        <v>53</v>
      </c>
      <c r="D1437" t="s">
        <v>38</v>
      </c>
      <c r="E1437" t="s">
        <v>23</v>
      </c>
      <c r="F1437" t="s">
        <v>46</v>
      </c>
      <c r="G1437">
        <v>184912</v>
      </c>
      <c r="H1437">
        <v>479</v>
      </c>
      <c r="I1437">
        <v>30959</v>
      </c>
      <c r="J1437">
        <v>20.66</v>
      </c>
      <c r="K1437">
        <v>360</v>
      </c>
      <c r="L1437" t="s">
        <v>52</v>
      </c>
      <c r="M1437">
        <v>17.89</v>
      </c>
      <c r="N1437">
        <v>72792</v>
      </c>
      <c r="O1437">
        <v>228378</v>
      </c>
      <c r="P1437" t="s">
        <v>3818</v>
      </c>
      <c r="Q1437" t="s">
        <v>61</v>
      </c>
      <c r="R1437" t="s">
        <v>48</v>
      </c>
      <c r="S1437" t="s">
        <v>43</v>
      </c>
      <c r="T1437">
        <v>103.76</v>
      </c>
      <c r="U1437">
        <f t="shared" si="308"/>
        <v>565</v>
      </c>
      <c r="V1437">
        <f t="shared" si="309"/>
        <v>212</v>
      </c>
      <c r="W1437">
        <f t="shared" si="310"/>
        <v>168</v>
      </c>
      <c r="X1437">
        <f t="shared" si="311"/>
        <v>0.35149999999999998</v>
      </c>
      <c r="Y1437" s="1">
        <f t="shared" si="312"/>
        <v>28992335</v>
      </c>
      <c r="Z1437">
        <f t="shared" si="313"/>
        <v>51313.867256637168</v>
      </c>
      <c r="AA1437">
        <f t="shared" si="314"/>
        <v>99996</v>
      </c>
      <c r="AB1437">
        <f t="shared" si="315"/>
        <v>5091</v>
      </c>
      <c r="AC1437">
        <f t="shared" si="316"/>
        <v>781945.60999999929</v>
      </c>
      <c r="AD1437">
        <f t="shared" si="317"/>
        <v>1383.9745309734501</v>
      </c>
      <c r="AE1437">
        <f t="shared" si="318"/>
        <v>0.35149999999999998</v>
      </c>
      <c r="AF1437">
        <f t="shared" si="319"/>
        <v>218013289.14999995</v>
      </c>
      <c r="AG1437" t="str">
        <f t="shared" si="320"/>
        <v>Active</v>
      </c>
      <c r="AH1437">
        <f t="shared" si="321"/>
        <v>1245.1200000000001</v>
      </c>
    </row>
    <row r="1438" spans="1:34" x14ac:dyDescent="0.35">
      <c r="A1438" t="s">
        <v>3819</v>
      </c>
      <c r="B1438" t="s">
        <v>3820</v>
      </c>
      <c r="C1438">
        <v>47</v>
      </c>
      <c r="D1438" t="s">
        <v>22</v>
      </c>
      <c r="E1438" t="s">
        <v>32</v>
      </c>
      <c r="F1438" t="s">
        <v>59</v>
      </c>
      <c r="G1438">
        <v>111175</v>
      </c>
      <c r="H1438">
        <v>372</v>
      </c>
      <c r="I1438">
        <v>36802</v>
      </c>
      <c r="J1438">
        <v>9.3800000000000008</v>
      </c>
      <c r="K1438">
        <v>12</v>
      </c>
      <c r="L1438" t="s">
        <v>25</v>
      </c>
      <c r="M1438">
        <v>16.71</v>
      </c>
      <c r="N1438">
        <v>8194</v>
      </c>
      <c r="O1438">
        <v>153323</v>
      </c>
      <c r="P1438" t="s">
        <v>3821</v>
      </c>
      <c r="Q1438" t="s">
        <v>42</v>
      </c>
      <c r="R1438" t="s">
        <v>28</v>
      </c>
      <c r="S1438" t="s">
        <v>49</v>
      </c>
      <c r="T1438">
        <v>3354.5</v>
      </c>
      <c r="U1438">
        <f t="shared" si="308"/>
        <v>564</v>
      </c>
      <c r="V1438">
        <f t="shared" si="309"/>
        <v>212</v>
      </c>
      <c r="W1438">
        <f t="shared" si="310"/>
        <v>167</v>
      </c>
      <c r="X1438">
        <f t="shared" si="311"/>
        <v>0.35149999999999998</v>
      </c>
      <c r="Y1438" s="1">
        <f t="shared" si="312"/>
        <v>28961376</v>
      </c>
      <c r="Z1438">
        <f t="shared" si="313"/>
        <v>51349.957446808512</v>
      </c>
      <c r="AA1438">
        <f t="shared" si="314"/>
        <v>99996</v>
      </c>
      <c r="AB1438">
        <f t="shared" si="315"/>
        <v>5091</v>
      </c>
      <c r="AC1438">
        <f t="shared" si="316"/>
        <v>781841.84999999928</v>
      </c>
      <c r="AD1438">
        <f t="shared" si="317"/>
        <v>1386.2444148936158</v>
      </c>
      <c r="AE1438">
        <f t="shared" si="318"/>
        <v>0.35149999999999998</v>
      </c>
      <c r="AF1438">
        <f t="shared" si="319"/>
        <v>217231343.53999996</v>
      </c>
      <c r="AG1438" t="str">
        <f t="shared" si="320"/>
        <v>Active</v>
      </c>
      <c r="AH1438">
        <f t="shared" si="321"/>
        <v>40254</v>
      </c>
    </row>
    <row r="1439" spans="1:34" x14ac:dyDescent="0.35">
      <c r="A1439" t="s">
        <v>3822</v>
      </c>
      <c r="B1439" t="s">
        <v>3823</v>
      </c>
      <c r="C1439">
        <v>38</v>
      </c>
      <c r="D1439" t="s">
        <v>22</v>
      </c>
      <c r="E1439" t="s">
        <v>39</v>
      </c>
      <c r="F1439" t="s">
        <v>24</v>
      </c>
      <c r="G1439">
        <v>175868</v>
      </c>
      <c r="H1439">
        <v>613</v>
      </c>
      <c r="I1439">
        <v>70645</v>
      </c>
      <c r="J1439">
        <v>17.739999999999998</v>
      </c>
      <c r="K1439">
        <v>48</v>
      </c>
      <c r="L1439" t="s">
        <v>33</v>
      </c>
      <c r="M1439">
        <v>10.02</v>
      </c>
      <c r="N1439">
        <v>49636</v>
      </c>
      <c r="O1439">
        <v>162562</v>
      </c>
      <c r="P1439" t="s">
        <v>3300</v>
      </c>
      <c r="Q1439" t="s">
        <v>61</v>
      </c>
      <c r="R1439" t="s">
        <v>48</v>
      </c>
      <c r="S1439" t="s">
        <v>43</v>
      </c>
      <c r="T1439">
        <v>1732.86</v>
      </c>
      <c r="U1439">
        <f t="shared" si="308"/>
        <v>563</v>
      </c>
      <c r="V1439">
        <f t="shared" si="309"/>
        <v>211</v>
      </c>
      <c r="W1439">
        <f t="shared" si="310"/>
        <v>167</v>
      </c>
      <c r="X1439">
        <f t="shared" si="311"/>
        <v>0.35149999999999998</v>
      </c>
      <c r="Y1439" s="1">
        <f t="shared" si="312"/>
        <v>28924574</v>
      </c>
      <c r="Z1439">
        <f t="shared" si="313"/>
        <v>51375.797513321493</v>
      </c>
      <c r="AA1439">
        <f t="shared" si="314"/>
        <v>99996</v>
      </c>
      <c r="AB1439">
        <f t="shared" si="315"/>
        <v>5091</v>
      </c>
      <c r="AC1439">
        <f t="shared" si="316"/>
        <v>778487.34999999939</v>
      </c>
      <c r="AD1439">
        <f t="shared" si="317"/>
        <v>1382.7484014209581</v>
      </c>
      <c r="AE1439">
        <f t="shared" si="318"/>
        <v>0.35149999999999998</v>
      </c>
      <c r="AF1439">
        <f t="shared" si="319"/>
        <v>216449501.68999994</v>
      </c>
      <c r="AG1439" t="str">
        <f t="shared" si="320"/>
        <v>Over Paid</v>
      </c>
      <c r="AH1439">
        <f t="shared" si="321"/>
        <v>20794.32</v>
      </c>
    </row>
    <row r="1440" spans="1:34" x14ac:dyDescent="0.35">
      <c r="A1440" t="s">
        <v>3824</v>
      </c>
      <c r="B1440" t="s">
        <v>3825</v>
      </c>
      <c r="C1440">
        <v>26</v>
      </c>
      <c r="D1440" t="s">
        <v>22</v>
      </c>
      <c r="E1440" t="s">
        <v>32</v>
      </c>
      <c r="F1440" t="s">
        <v>59</v>
      </c>
      <c r="G1440">
        <v>137532</v>
      </c>
      <c r="H1440">
        <v>604</v>
      </c>
      <c r="I1440">
        <v>61017</v>
      </c>
      <c r="J1440">
        <v>17.7</v>
      </c>
      <c r="K1440">
        <v>60</v>
      </c>
      <c r="L1440" t="s">
        <v>52</v>
      </c>
      <c r="M1440">
        <v>47.61</v>
      </c>
      <c r="N1440">
        <v>9149</v>
      </c>
      <c r="O1440">
        <v>129450</v>
      </c>
      <c r="P1440" t="s">
        <v>3662</v>
      </c>
      <c r="Q1440" t="s">
        <v>42</v>
      </c>
      <c r="R1440" t="s">
        <v>48</v>
      </c>
      <c r="S1440" t="s">
        <v>68</v>
      </c>
      <c r="T1440">
        <v>1196.95</v>
      </c>
      <c r="U1440">
        <f t="shared" si="308"/>
        <v>562</v>
      </c>
      <c r="V1440">
        <f t="shared" si="309"/>
        <v>211</v>
      </c>
      <c r="W1440">
        <f t="shared" si="310"/>
        <v>166</v>
      </c>
      <c r="X1440">
        <f t="shared" si="311"/>
        <v>0.35149999999999998</v>
      </c>
      <c r="Y1440" s="1">
        <f t="shared" si="312"/>
        <v>28853929</v>
      </c>
      <c r="Z1440">
        <f t="shared" si="313"/>
        <v>51341.510676156584</v>
      </c>
      <c r="AA1440">
        <f t="shared" si="314"/>
        <v>99996</v>
      </c>
      <c r="AB1440">
        <f t="shared" si="315"/>
        <v>5091</v>
      </c>
      <c r="AC1440">
        <f t="shared" si="316"/>
        <v>776754.48999999953</v>
      </c>
      <c r="AD1440">
        <f t="shared" si="317"/>
        <v>1382.1254270462625</v>
      </c>
      <c r="AE1440">
        <f t="shared" si="318"/>
        <v>0.35149999999999998</v>
      </c>
      <c r="AF1440">
        <f t="shared" si="319"/>
        <v>215671014.33999997</v>
      </c>
      <c r="AG1440" t="str">
        <f t="shared" si="320"/>
        <v>Active</v>
      </c>
      <c r="AH1440">
        <f t="shared" si="321"/>
        <v>14363.400000000001</v>
      </c>
    </row>
    <row r="1441" spans="1:34" x14ac:dyDescent="0.35">
      <c r="A1441" t="s">
        <v>3826</v>
      </c>
      <c r="B1441" t="s">
        <v>3827</v>
      </c>
      <c r="C1441">
        <v>50</v>
      </c>
      <c r="D1441" t="s">
        <v>38</v>
      </c>
      <c r="E1441" t="s">
        <v>39</v>
      </c>
      <c r="F1441" t="s">
        <v>59</v>
      </c>
      <c r="G1441">
        <v>34678</v>
      </c>
      <c r="H1441">
        <v>499</v>
      </c>
      <c r="I1441">
        <v>58250</v>
      </c>
      <c r="J1441">
        <v>18.329999999999998</v>
      </c>
      <c r="K1441">
        <v>180</v>
      </c>
      <c r="L1441" t="s">
        <v>52</v>
      </c>
      <c r="M1441">
        <v>28.76</v>
      </c>
      <c r="N1441">
        <v>7402</v>
      </c>
      <c r="O1441">
        <v>234011</v>
      </c>
      <c r="P1441" t="s">
        <v>3562</v>
      </c>
      <c r="Q1441" t="s">
        <v>27</v>
      </c>
      <c r="R1441" t="s">
        <v>28</v>
      </c>
      <c r="S1441" t="s">
        <v>68</v>
      </c>
      <c r="T1441">
        <v>382.93</v>
      </c>
      <c r="U1441">
        <f t="shared" si="308"/>
        <v>561</v>
      </c>
      <c r="V1441">
        <f t="shared" si="309"/>
        <v>210</v>
      </c>
      <c r="W1441">
        <f t="shared" si="310"/>
        <v>166</v>
      </c>
      <c r="X1441">
        <f t="shared" si="311"/>
        <v>0.35149999999999998</v>
      </c>
      <c r="Y1441" s="1">
        <f t="shared" si="312"/>
        <v>28792912</v>
      </c>
      <c r="Z1441">
        <f t="shared" si="313"/>
        <v>51324.263814616759</v>
      </c>
      <c r="AA1441">
        <f t="shared" si="314"/>
        <v>99996</v>
      </c>
      <c r="AB1441">
        <f t="shared" si="315"/>
        <v>5091</v>
      </c>
      <c r="AC1441">
        <f t="shared" si="316"/>
        <v>775557.53999999957</v>
      </c>
      <c r="AD1441">
        <f t="shared" si="317"/>
        <v>1382.4555080213895</v>
      </c>
      <c r="AE1441">
        <f t="shared" si="318"/>
        <v>0.35149999999999998</v>
      </c>
      <c r="AF1441">
        <f t="shared" si="319"/>
        <v>214894259.84999993</v>
      </c>
      <c r="AG1441" t="str">
        <f t="shared" si="320"/>
        <v>Active</v>
      </c>
      <c r="AH1441">
        <f t="shared" si="321"/>
        <v>4595.16</v>
      </c>
    </row>
    <row r="1442" spans="1:34" x14ac:dyDescent="0.35">
      <c r="A1442" t="s">
        <v>3828</v>
      </c>
      <c r="B1442" t="s">
        <v>3829</v>
      </c>
      <c r="C1442">
        <v>31</v>
      </c>
      <c r="D1442" t="s">
        <v>38</v>
      </c>
      <c r="E1442" t="s">
        <v>23</v>
      </c>
      <c r="F1442" t="s">
        <v>59</v>
      </c>
      <c r="G1442">
        <v>156270</v>
      </c>
      <c r="H1442">
        <v>448</v>
      </c>
      <c r="I1442">
        <v>99417</v>
      </c>
      <c r="J1442">
        <v>18.2</v>
      </c>
      <c r="K1442">
        <v>360</v>
      </c>
      <c r="L1442" t="s">
        <v>86</v>
      </c>
      <c r="M1442">
        <v>29.03</v>
      </c>
      <c r="N1442">
        <v>12293</v>
      </c>
      <c r="O1442">
        <v>95152</v>
      </c>
      <c r="P1442" t="s">
        <v>2996</v>
      </c>
      <c r="Q1442" t="s">
        <v>42</v>
      </c>
      <c r="R1442" t="s">
        <v>48</v>
      </c>
      <c r="S1442" t="s">
        <v>29</v>
      </c>
      <c r="T1442">
        <v>326.42</v>
      </c>
      <c r="U1442">
        <f t="shared" si="308"/>
        <v>560</v>
      </c>
      <c r="V1442">
        <f t="shared" si="309"/>
        <v>210</v>
      </c>
      <c r="W1442">
        <f t="shared" si="310"/>
        <v>166</v>
      </c>
      <c r="X1442">
        <f t="shared" si="311"/>
        <v>0.35149999999999998</v>
      </c>
      <c r="Y1442" s="1">
        <f t="shared" si="312"/>
        <v>28734662</v>
      </c>
      <c r="Z1442">
        <f t="shared" si="313"/>
        <v>51311.896428571432</v>
      </c>
      <c r="AA1442">
        <f t="shared" si="314"/>
        <v>99996</v>
      </c>
      <c r="AB1442">
        <f t="shared" si="315"/>
        <v>5091</v>
      </c>
      <c r="AC1442">
        <f t="shared" si="316"/>
        <v>775174.60999999952</v>
      </c>
      <c r="AD1442">
        <f t="shared" si="317"/>
        <v>1384.2403749999992</v>
      </c>
      <c r="AE1442">
        <f t="shared" si="318"/>
        <v>0.35149999999999998</v>
      </c>
      <c r="AF1442">
        <f t="shared" si="319"/>
        <v>214118702.30999994</v>
      </c>
      <c r="AG1442" t="str">
        <f t="shared" si="320"/>
        <v>Active</v>
      </c>
      <c r="AH1442">
        <f t="shared" si="321"/>
        <v>3917.04</v>
      </c>
    </row>
    <row r="1443" spans="1:34" x14ac:dyDescent="0.35">
      <c r="A1443" t="s">
        <v>3830</v>
      </c>
      <c r="B1443" t="s">
        <v>3831</v>
      </c>
      <c r="C1443">
        <v>40</v>
      </c>
      <c r="D1443" t="s">
        <v>22</v>
      </c>
      <c r="E1443" t="s">
        <v>23</v>
      </c>
      <c r="F1443" t="s">
        <v>24</v>
      </c>
      <c r="G1443">
        <v>53192</v>
      </c>
      <c r="H1443">
        <v>400</v>
      </c>
      <c r="I1443">
        <v>13402</v>
      </c>
      <c r="J1443">
        <v>4.84</v>
      </c>
      <c r="K1443">
        <v>120</v>
      </c>
      <c r="L1443" t="s">
        <v>52</v>
      </c>
      <c r="M1443">
        <v>40.270000000000003</v>
      </c>
      <c r="N1443">
        <v>41803</v>
      </c>
      <c r="O1443">
        <v>246422</v>
      </c>
      <c r="P1443" t="s">
        <v>2661</v>
      </c>
      <c r="Q1443" t="s">
        <v>27</v>
      </c>
      <c r="R1443" t="s">
        <v>28</v>
      </c>
      <c r="S1443" t="s">
        <v>43</v>
      </c>
      <c r="T1443">
        <v>117.09</v>
      </c>
      <c r="U1443">
        <f t="shared" si="308"/>
        <v>559</v>
      </c>
      <c r="V1443">
        <f t="shared" si="309"/>
        <v>209</v>
      </c>
      <c r="W1443">
        <f t="shared" si="310"/>
        <v>166</v>
      </c>
      <c r="X1443">
        <f t="shared" si="311"/>
        <v>0.35149999999999998</v>
      </c>
      <c r="Y1443" s="1">
        <f t="shared" si="312"/>
        <v>28635245</v>
      </c>
      <c r="Z1443">
        <f t="shared" si="313"/>
        <v>51225.840787119858</v>
      </c>
      <c r="AA1443">
        <f t="shared" si="314"/>
        <v>99996</v>
      </c>
      <c r="AB1443">
        <f t="shared" si="315"/>
        <v>5091</v>
      </c>
      <c r="AC1443">
        <f t="shared" si="316"/>
        <v>774848.18999999948</v>
      </c>
      <c r="AD1443">
        <f t="shared" si="317"/>
        <v>1386.1327191413229</v>
      </c>
      <c r="AE1443">
        <f t="shared" si="318"/>
        <v>0.35149999999999998</v>
      </c>
      <c r="AF1443">
        <f t="shared" si="319"/>
        <v>213343527.69999993</v>
      </c>
      <c r="AG1443" t="str">
        <f t="shared" si="320"/>
        <v>Active</v>
      </c>
      <c r="AH1443">
        <f t="shared" si="321"/>
        <v>1405.08</v>
      </c>
    </row>
    <row r="1444" spans="1:34" x14ac:dyDescent="0.35">
      <c r="A1444" t="s">
        <v>3832</v>
      </c>
      <c r="B1444" t="s">
        <v>3833</v>
      </c>
      <c r="C1444">
        <v>41</v>
      </c>
      <c r="D1444" t="s">
        <v>22</v>
      </c>
      <c r="E1444" t="s">
        <v>39</v>
      </c>
      <c r="F1444" t="s">
        <v>59</v>
      </c>
      <c r="G1444">
        <v>63039</v>
      </c>
      <c r="H1444">
        <v>613</v>
      </c>
      <c r="I1444">
        <v>55013</v>
      </c>
      <c r="J1444">
        <v>3.68</v>
      </c>
      <c r="K1444">
        <v>360</v>
      </c>
      <c r="L1444" t="s">
        <v>86</v>
      </c>
      <c r="M1444">
        <v>39.53</v>
      </c>
      <c r="N1444">
        <v>13341</v>
      </c>
      <c r="O1444">
        <v>208346</v>
      </c>
      <c r="P1444" t="s">
        <v>3834</v>
      </c>
      <c r="Q1444" t="s">
        <v>61</v>
      </c>
      <c r="R1444" t="s">
        <v>28</v>
      </c>
      <c r="S1444" t="s">
        <v>49</v>
      </c>
      <c r="T1444">
        <v>158.44</v>
      </c>
      <c r="U1444">
        <f t="shared" si="308"/>
        <v>558</v>
      </c>
      <c r="V1444">
        <f t="shared" si="309"/>
        <v>209</v>
      </c>
      <c r="W1444">
        <f t="shared" si="310"/>
        <v>166</v>
      </c>
      <c r="X1444">
        <f t="shared" si="311"/>
        <v>0.35149999999999998</v>
      </c>
      <c r="Y1444" s="1">
        <f t="shared" si="312"/>
        <v>28621843</v>
      </c>
      <c r="Z1444">
        <f t="shared" si="313"/>
        <v>51293.625448028673</v>
      </c>
      <c r="AA1444">
        <f t="shared" si="314"/>
        <v>99996</v>
      </c>
      <c r="AB1444">
        <f t="shared" si="315"/>
        <v>5091</v>
      </c>
      <c r="AC1444">
        <f t="shared" si="316"/>
        <v>774731.09999999951</v>
      </c>
      <c r="AD1444">
        <f t="shared" si="317"/>
        <v>1388.406989247311</v>
      </c>
      <c r="AE1444">
        <f t="shared" si="318"/>
        <v>0.35149999999999998</v>
      </c>
      <c r="AF1444">
        <f t="shared" si="319"/>
        <v>212568679.50999993</v>
      </c>
      <c r="AG1444" t="str">
        <f t="shared" si="320"/>
        <v>Active</v>
      </c>
      <c r="AH1444">
        <f t="shared" si="321"/>
        <v>1901.28</v>
      </c>
    </row>
    <row r="1445" spans="1:34" x14ac:dyDescent="0.35">
      <c r="A1445" t="s">
        <v>3835</v>
      </c>
      <c r="B1445" t="s">
        <v>3836</v>
      </c>
      <c r="C1445">
        <v>48</v>
      </c>
      <c r="D1445" t="s">
        <v>22</v>
      </c>
      <c r="E1445" t="s">
        <v>39</v>
      </c>
      <c r="F1445" t="s">
        <v>59</v>
      </c>
      <c r="G1445">
        <v>100735</v>
      </c>
      <c r="H1445">
        <v>525</v>
      </c>
      <c r="I1445">
        <v>29474</v>
      </c>
      <c r="J1445">
        <v>7.49</v>
      </c>
      <c r="K1445">
        <v>240</v>
      </c>
      <c r="L1445" t="s">
        <v>40</v>
      </c>
      <c r="M1445">
        <v>41.58</v>
      </c>
      <c r="N1445">
        <v>47952</v>
      </c>
      <c r="O1445">
        <v>123387</v>
      </c>
      <c r="P1445" t="s">
        <v>3837</v>
      </c>
      <c r="Q1445" t="s">
        <v>42</v>
      </c>
      <c r="R1445" t="s">
        <v>48</v>
      </c>
      <c r="S1445" t="s">
        <v>29</v>
      </c>
      <c r="T1445">
        <v>132.01</v>
      </c>
      <c r="U1445">
        <f t="shared" si="308"/>
        <v>557</v>
      </c>
      <c r="V1445">
        <f t="shared" si="309"/>
        <v>209</v>
      </c>
      <c r="W1445">
        <f t="shared" si="310"/>
        <v>165</v>
      </c>
      <c r="X1445">
        <f t="shared" si="311"/>
        <v>0.35149999999999998</v>
      </c>
      <c r="Y1445" s="1">
        <f t="shared" si="312"/>
        <v>28566830</v>
      </c>
      <c r="Z1445">
        <f t="shared" si="313"/>
        <v>51286.947935368044</v>
      </c>
      <c r="AA1445">
        <f t="shared" si="314"/>
        <v>99996</v>
      </c>
      <c r="AB1445">
        <f t="shared" si="315"/>
        <v>5091</v>
      </c>
      <c r="AC1445">
        <f t="shared" si="316"/>
        <v>774572.65999999957</v>
      </c>
      <c r="AD1445">
        <f t="shared" si="317"/>
        <v>1390.6151885098736</v>
      </c>
      <c r="AE1445">
        <f t="shared" si="318"/>
        <v>0.35149999999999998</v>
      </c>
      <c r="AF1445">
        <f t="shared" si="319"/>
        <v>211793948.40999994</v>
      </c>
      <c r="AG1445" t="str">
        <f t="shared" si="320"/>
        <v>Active</v>
      </c>
      <c r="AH1445">
        <f t="shared" si="321"/>
        <v>1584.12</v>
      </c>
    </row>
    <row r="1446" spans="1:34" x14ac:dyDescent="0.35">
      <c r="A1446" t="s">
        <v>3838</v>
      </c>
      <c r="B1446" t="s">
        <v>3839</v>
      </c>
      <c r="C1446">
        <v>43</v>
      </c>
      <c r="D1446" t="s">
        <v>22</v>
      </c>
      <c r="E1446" t="s">
        <v>23</v>
      </c>
      <c r="F1446" t="s">
        <v>59</v>
      </c>
      <c r="G1446">
        <v>199889</v>
      </c>
      <c r="H1446">
        <v>530</v>
      </c>
      <c r="I1446">
        <v>7475</v>
      </c>
      <c r="J1446">
        <v>21.03</v>
      </c>
      <c r="K1446">
        <v>24</v>
      </c>
      <c r="L1446" t="s">
        <v>86</v>
      </c>
      <c r="M1446">
        <v>40.450000000000003</v>
      </c>
      <c r="N1446">
        <v>36989</v>
      </c>
      <c r="O1446">
        <v>102404</v>
      </c>
      <c r="P1446" t="s">
        <v>1912</v>
      </c>
      <c r="Q1446" t="s">
        <v>27</v>
      </c>
      <c r="R1446" t="s">
        <v>48</v>
      </c>
      <c r="S1446" t="s">
        <v>43</v>
      </c>
      <c r="T1446">
        <v>376.96</v>
      </c>
      <c r="U1446">
        <f t="shared" si="308"/>
        <v>556</v>
      </c>
      <c r="V1446">
        <f t="shared" si="309"/>
        <v>208</v>
      </c>
      <c r="W1446">
        <f t="shared" si="310"/>
        <v>165</v>
      </c>
      <c r="X1446">
        <f t="shared" si="311"/>
        <v>0.35149999999999998</v>
      </c>
      <c r="Y1446" s="1">
        <f t="shared" si="312"/>
        <v>28537356</v>
      </c>
      <c r="Z1446">
        <f t="shared" si="313"/>
        <v>51326.179856115108</v>
      </c>
      <c r="AA1446">
        <f t="shared" si="314"/>
        <v>99996</v>
      </c>
      <c r="AB1446">
        <f t="shared" si="315"/>
        <v>5091</v>
      </c>
      <c r="AC1446">
        <f t="shared" si="316"/>
        <v>774440.64999999956</v>
      </c>
      <c r="AD1446">
        <f t="shared" si="317"/>
        <v>1392.8788669064741</v>
      </c>
      <c r="AE1446">
        <f t="shared" si="318"/>
        <v>0.35149999999999998</v>
      </c>
      <c r="AF1446">
        <f t="shared" si="319"/>
        <v>211019375.74999994</v>
      </c>
      <c r="AG1446" t="str">
        <f t="shared" si="320"/>
        <v>Active</v>
      </c>
      <c r="AH1446">
        <f t="shared" si="321"/>
        <v>4523.5199999999995</v>
      </c>
    </row>
    <row r="1447" spans="1:34" x14ac:dyDescent="0.35">
      <c r="A1447" t="s">
        <v>3840</v>
      </c>
      <c r="B1447" t="s">
        <v>3841</v>
      </c>
      <c r="C1447">
        <v>35</v>
      </c>
      <c r="D1447" t="s">
        <v>38</v>
      </c>
      <c r="E1447" t="s">
        <v>39</v>
      </c>
      <c r="F1447" t="s">
        <v>59</v>
      </c>
      <c r="G1447">
        <v>78327</v>
      </c>
      <c r="H1447">
        <v>671</v>
      </c>
      <c r="I1447">
        <v>59572</v>
      </c>
      <c r="J1447">
        <v>20.04</v>
      </c>
      <c r="K1447">
        <v>24</v>
      </c>
      <c r="L1447" t="s">
        <v>52</v>
      </c>
      <c r="M1447">
        <v>44.68</v>
      </c>
      <c r="N1447">
        <v>55912</v>
      </c>
      <c r="O1447">
        <v>173234</v>
      </c>
      <c r="P1447" t="s">
        <v>3842</v>
      </c>
      <c r="Q1447" t="s">
        <v>61</v>
      </c>
      <c r="R1447" t="s">
        <v>28</v>
      </c>
      <c r="S1447" t="s">
        <v>43</v>
      </c>
      <c r="T1447">
        <v>2979.59</v>
      </c>
      <c r="U1447">
        <f t="shared" si="308"/>
        <v>555</v>
      </c>
      <c r="V1447">
        <f t="shared" si="309"/>
        <v>208</v>
      </c>
      <c r="W1447">
        <f t="shared" si="310"/>
        <v>165</v>
      </c>
      <c r="X1447">
        <f t="shared" si="311"/>
        <v>0.35149999999999998</v>
      </c>
      <c r="Y1447" s="1">
        <f t="shared" si="312"/>
        <v>28529881</v>
      </c>
      <c r="Z1447">
        <f t="shared" si="313"/>
        <v>51405.190990990988</v>
      </c>
      <c r="AA1447">
        <f t="shared" si="314"/>
        <v>99996</v>
      </c>
      <c r="AB1447">
        <f t="shared" si="315"/>
        <v>5091</v>
      </c>
      <c r="AC1447">
        <f t="shared" si="316"/>
        <v>774063.68999999959</v>
      </c>
      <c r="AD1447">
        <f t="shared" si="317"/>
        <v>1394.7093513513507</v>
      </c>
      <c r="AE1447">
        <f t="shared" si="318"/>
        <v>0.35149999999999998</v>
      </c>
      <c r="AF1447">
        <f t="shared" si="319"/>
        <v>210244935.09999996</v>
      </c>
      <c r="AG1447" t="str">
        <f t="shared" si="320"/>
        <v>Active</v>
      </c>
      <c r="AH1447">
        <f t="shared" si="321"/>
        <v>35755.08</v>
      </c>
    </row>
    <row r="1448" spans="1:34" x14ac:dyDescent="0.35">
      <c r="A1448" t="s">
        <v>3843</v>
      </c>
      <c r="B1448" t="s">
        <v>3844</v>
      </c>
      <c r="C1448">
        <v>53</v>
      </c>
      <c r="D1448" t="s">
        <v>22</v>
      </c>
      <c r="E1448" t="s">
        <v>23</v>
      </c>
      <c r="F1448" t="s">
        <v>46</v>
      </c>
      <c r="G1448">
        <v>22857</v>
      </c>
      <c r="H1448">
        <v>686</v>
      </c>
      <c r="I1448">
        <v>68329</v>
      </c>
      <c r="J1448">
        <v>20.13</v>
      </c>
      <c r="K1448">
        <v>36</v>
      </c>
      <c r="L1448" t="s">
        <v>86</v>
      </c>
      <c r="M1448">
        <v>48.94</v>
      </c>
      <c r="N1448">
        <v>56711</v>
      </c>
      <c r="O1448">
        <v>186053</v>
      </c>
      <c r="P1448" t="s">
        <v>3845</v>
      </c>
      <c r="Q1448" t="s">
        <v>61</v>
      </c>
      <c r="R1448" t="s">
        <v>48</v>
      </c>
      <c r="S1448" t="s">
        <v>43</v>
      </c>
      <c r="T1448">
        <v>2280.1</v>
      </c>
      <c r="U1448">
        <f t="shared" si="308"/>
        <v>554</v>
      </c>
      <c r="V1448">
        <f t="shared" si="309"/>
        <v>208</v>
      </c>
      <c r="W1448">
        <f t="shared" si="310"/>
        <v>164</v>
      </c>
      <c r="X1448">
        <f t="shared" si="311"/>
        <v>0.35149999999999998</v>
      </c>
      <c r="Y1448" s="1">
        <f t="shared" si="312"/>
        <v>28470309</v>
      </c>
      <c r="Z1448">
        <f t="shared" si="313"/>
        <v>51390.449458483752</v>
      </c>
      <c r="AA1448">
        <f t="shared" si="314"/>
        <v>99996</v>
      </c>
      <c r="AB1448">
        <f t="shared" si="315"/>
        <v>5091</v>
      </c>
      <c r="AC1448">
        <f t="shared" si="316"/>
        <v>771084.09999999951</v>
      </c>
      <c r="AD1448">
        <f t="shared" si="317"/>
        <v>1391.8485559566777</v>
      </c>
      <c r="AE1448">
        <f t="shared" si="318"/>
        <v>0.35149999999999998</v>
      </c>
      <c r="AF1448">
        <f t="shared" si="319"/>
        <v>209470871.40999997</v>
      </c>
      <c r="AG1448" t="str">
        <f t="shared" si="320"/>
        <v>Active</v>
      </c>
      <c r="AH1448">
        <f t="shared" si="321"/>
        <v>27361.199999999997</v>
      </c>
    </row>
    <row r="1449" spans="1:34" x14ac:dyDescent="0.35">
      <c r="A1449" t="s">
        <v>3846</v>
      </c>
      <c r="B1449" t="s">
        <v>3847</v>
      </c>
      <c r="C1449">
        <v>62</v>
      </c>
      <c r="D1449" t="s">
        <v>38</v>
      </c>
      <c r="E1449" t="s">
        <v>23</v>
      </c>
      <c r="F1449" t="s">
        <v>46</v>
      </c>
      <c r="G1449">
        <v>66529</v>
      </c>
      <c r="H1449">
        <v>559</v>
      </c>
      <c r="I1449">
        <v>66056</v>
      </c>
      <c r="J1449">
        <v>8.1</v>
      </c>
      <c r="K1449">
        <v>360</v>
      </c>
      <c r="L1449" t="s">
        <v>86</v>
      </c>
      <c r="M1449">
        <v>38.92</v>
      </c>
      <c r="N1449">
        <v>33196</v>
      </c>
      <c r="O1449">
        <v>121759</v>
      </c>
      <c r="P1449" t="s">
        <v>3848</v>
      </c>
      <c r="Q1449" t="s">
        <v>27</v>
      </c>
      <c r="R1449" t="s">
        <v>28</v>
      </c>
      <c r="S1449" t="s">
        <v>35</v>
      </c>
      <c r="T1449">
        <v>198.35</v>
      </c>
      <c r="U1449">
        <f t="shared" si="308"/>
        <v>553</v>
      </c>
      <c r="V1449">
        <f t="shared" si="309"/>
        <v>208</v>
      </c>
      <c r="W1449">
        <f t="shared" si="310"/>
        <v>163</v>
      </c>
      <c r="X1449">
        <f t="shared" si="311"/>
        <v>0.35149999999999998</v>
      </c>
      <c r="Y1449" s="1">
        <f t="shared" si="312"/>
        <v>28401980</v>
      </c>
      <c r="Z1449">
        <f t="shared" si="313"/>
        <v>51359.819168173599</v>
      </c>
      <c r="AA1449">
        <f t="shared" si="314"/>
        <v>99996</v>
      </c>
      <c r="AB1449">
        <f t="shared" si="315"/>
        <v>5091</v>
      </c>
      <c r="AC1449">
        <f t="shared" si="316"/>
        <v>768803.99999999953</v>
      </c>
      <c r="AD1449">
        <f t="shared" si="317"/>
        <v>1390.242314647377</v>
      </c>
      <c r="AE1449">
        <f t="shared" si="318"/>
        <v>0.35149999999999998</v>
      </c>
      <c r="AF1449">
        <f t="shared" si="319"/>
        <v>208699787.31000003</v>
      </c>
      <c r="AG1449" t="str">
        <f t="shared" si="320"/>
        <v>Active</v>
      </c>
      <c r="AH1449">
        <f t="shared" si="321"/>
        <v>2380.1999999999998</v>
      </c>
    </row>
    <row r="1450" spans="1:34" x14ac:dyDescent="0.35">
      <c r="A1450" t="s">
        <v>3849</v>
      </c>
      <c r="B1450" t="s">
        <v>3850</v>
      </c>
      <c r="C1450">
        <v>64</v>
      </c>
      <c r="D1450" t="s">
        <v>22</v>
      </c>
      <c r="E1450" t="s">
        <v>32</v>
      </c>
      <c r="F1450" t="s">
        <v>46</v>
      </c>
      <c r="G1450">
        <v>151092</v>
      </c>
      <c r="H1450">
        <v>659</v>
      </c>
      <c r="I1450">
        <v>55030</v>
      </c>
      <c r="J1450">
        <v>16.47</v>
      </c>
      <c r="K1450">
        <v>60</v>
      </c>
      <c r="L1450" t="s">
        <v>86</v>
      </c>
      <c r="M1450">
        <v>14.36</v>
      </c>
      <c r="N1450">
        <v>47039</v>
      </c>
      <c r="O1450">
        <v>154652</v>
      </c>
      <c r="P1450" t="s">
        <v>2448</v>
      </c>
      <c r="Q1450" t="s">
        <v>61</v>
      </c>
      <c r="R1450" t="s">
        <v>28</v>
      </c>
      <c r="S1450" t="s">
        <v>49</v>
      </c>
      <c r="T1450">
        <v>1068.22</v>
      </c>
      <c r="U1450">
        <f t="shared" si="308"/>
        <v>552</v>
      </c>
      <c r="V1450">
        <f t="shared" si="309"/>
        <v>208</v>
      </c>
      <c r="W1450">
        <f t="shared" si="310"/>
        <v>163</v>
      </c>
      <c r="X1450">
        <f t="shared" si="311"/>
        <v>0.35149999999999998</v>
      </c>
      <c r="Y1450" s="1">
        <f t="shared" si="312"/>
        <v>28335924</v>
      </c>
      <c r="Z1450">
        <f t="shared" si="313"/>
        <v>51333.195652173912</v>
      </c>
      <c r="AA1450">
        <f t="shared" si="314"/>
        <v>99996</v>
      </c>
      <c r="AB1450">
        <f t="shared" si="315"/>
        <v>5091</v>
      </c>
      <c r="AC1450">
        <f t="shared" si="316"/>
        <v>768605.64999999956</v>
      </c>
      <c r="AD1450">
        <f t="shared" si="317"/>
        <v>1392.4015398550716</v>
      </c>
      <c r="AE1450">
        <f t="shared" si="318"/>
        <v>0.35149999999999998</v>
      </c>
      <c r="AF1450">
        <f t="shared" si="319"/>
        <v>207930983.31000003</v>
      </c>
      <c r="AG1450" t="str">
        <f t="shared" si="320"/>
        <v>Active</v>
      </c>
      <c r="AH1450">
        <f t="shared" si="321"/>
        <v>12818.64</v>
      </c>
    </row>
    <row r="1451" spans="1:34" x14ac:dyDescent="0.35">
      <c r="A1451" t="s">
        <v>3851</v>
      </c>
      <c r="B1451" t="s">
        <v>3852</v>
      </c>
      <c r="C1451">
        <v>30</v>
      </c>
      <c r="D1451" t="s">
        <v>38</v>
      </c>
      <c r="E1451" t="s">
        <v>23</v>
      </c>
      <c r="F1451" t="s">
        <v>24</v>
      </c>
      <c r="G1451">
        <v>198980</v>
      </c>
      <c r="H1451">
        <v>780</v>
      </c>
      <c r="I1451">
        <v>71489</v>
      </c>
      <c r="J1451">
        <v>4.12</v>
      </c>
      <c r="K1451">
        <v>60</v>
      </c>
      <c r="L1451" t="s">
        <v>40</v>
      </c>
      <c r="M1451">
        <v>59.51</v>
      </c>
      <c r="N1451">
        <v>59849</v>
      </c>
      <c r="O1451">
        <v>144394</v>
      </c>
      <c r="P1451" t="s">
        <v>1392</v>
      </c>
      <c r="Q1451" t="s">
        <v>42</v>
      </c>
      <c r="R1451" t="s">
        <v>28</v>
      </c>
      <c r="S1451" t="s">
        <v>49</v>
      </c>
      <c r="T1451">
        <v>1240.57</v>
      </c>
      <c r="U1451">
        <f t="shared" si="308"/>
        <v>551</v>
      </c>
      <c r="V1451">
        <f t="shared" si="309"/>
        <v>208</v>
      </c>
      <c r="W1451">
        <f t="shared" si="310"/>
        <v>162</v>
      </c>
      <c r="X1451">
        <f t="shared" si="311"/>
        <v>0.35149999999999998</v>
      </c>
      <c r="Y1451" s="1">
        <f t="shared" si="312"/>
        <v>28280894</v>
      </c>
      <c r="Z1451">
        <f t="shared" si="313"/>
        <v>51326.486388384757</v>
      </c>
      <c r="AA1451">
        <f t="shared" si="314"/>
        <v>99996</v>
      </c>
      <c r="AB1451">
        <f t="shared" si="315"/>
        <v>5091</v>
      </c>
      <c r="AC1451">
        <f t="shared" si="316"/>
        <v>767537.42999999959</v>
      </c>
      <c r="AD1451">
        <f t="shared" si="317"/>
        <v>1392.9898911070773</v>
      </c>
      <c r="AE1451">
        <f t="shared" si="318"/>
        <v>0.35149999999999998</v>
      </c>
      <c r="AF1451">
        <f t="shared" si="319"/>
        <v>207162377.66000003</v>
      </c>
      <c r="AG1451" t="str">
        <f t="shared" si="320"/>
        <v>Active</v>
      </c>
      <c r="AH1451">
        <f t="shared" si="321"/>
        <v>14886.84</v>
      </c>
    </row>
    <row r="1452" spans="1:34" x14ac:dyDescent="0.35">
      <c r="A1452" t="s">
        <v>3853</v>
      </c>
      <c r="B1452" t="s">
        <v>3854</v>
      </c>
      <c r="C1452">
        <v>35</v>
      </c>
      <c r="D1452" t="s">
        <v>38</v>
      </c>
      <c r="E1452" t="s">
        <v>39</v>
      </c>
      <c r="F1452" t="s">
        <v>46</v>
      </c>
      <c r="G1452">
        <v>105499</v>
      </c>
      <c r="H1452">
        <v>818</v>
      </c>
      <c r="I1452">
        <v>34855</v>
      </c>
      <c r="J1452">
        <v>15.85</v>
      </c>
      <c r="K1452">
        <v>120</v>
      </c>
      <c r="L1452" t="s">
        <v>40</v>
      </c>
      <c r="M1452">
        <v>6.36</v>
      </c>
      <c r="N1452">
        <v>76092</v>
      </c>
      <c r="O1452">
        <v>182978</v>
      </c>
      <c r="P1452" t="s">
        <v>462</v>
      </c>
      <c r="Q1452" t="s">
        <v>61</v>
      </c>
      <c r="R1452" t="s">
        <v>28</v>
      </c>
      <c r="S1452" t="s">
        <v>29</v>
      </c>
      <c r="T1452">
        <v>336.5</v>
      </c>
      <c r="U1452">
        <f t="shared" si="308"/>
        <v>550</v>
      </c>
      <c r="V1452">
        <f t="shared" si="309"/>
        <v>207</v>
      </c>
      <c r="W1452">
        <f t="shared" si="310"/>
        <v>162</v>
      </c>
      <c r="X1452">
        <f t="shared" si="311"/>
        <v>0.35149999999999998</v>
      </c>
      <c r="Y1452" s="1">
        <f t="shared" si="312"/>
        <v>28209405</v>
      </c>
      <c r="Z1452">
        <f t="shared" si="313"/>
        <v>51289.827272727271</v>
      </c>
      <c r="AA1452">
        <f t="shared" si="314"/>
        <v>99996</v>
      </c>
      <c r="AB1452">
        <f t="shared" si="315"/>
        <v>5091</v>
      </c>
      <c r="AC1452">
        <f t="shared" si="316"/>
        <v>766296.85999999952</v>
      </c>
      <c r="AD1452">
        <f t="shared" si="317"/>
        <v>1393.2670181818173</v>
      </c>
      <c r="AE1452">
        <f t="shared" si="318"/>
        <v>0.35149999999999998</v>
      </c>
      <c r="AF1452">
        <f t="shared" si="319"/>
        <v>206394840.23000002</v>
      </c>
      <c r="AG1452" t="str">
        <f t="shared" si="320"/>
        <v>Active</v>
      </c>
      <c r="AH1452">
        <f t="shared" si="321"/>
        <v>4038</v>
      </c>
    </row>
    <row r="1453" spans="1:34" x14ac:dyDescent="0.35">
      <c r="A1453" t="s">
        <v>3855</v>
      </c>
      <c r="B1453" t="s">
        <v>3856</v>
      </c>
      <c r="C1453">
        <v>30</v>
      </c>
      <c r="D1453" t="s">
        <v>38</v>
      </c>
      <c r="E1453" t="s">
        <v>23</v>
      </c>
      <c r="F1453" t="s">
        <v>59</v>
      </c>
      <c r="G1453">
        <v>86638</v>
      </c>
      <c r="H1453">
        <v>432</v>
      </c>
      <c r="I1453">
        <v>86339</v>
      </c>
      <c r="J1453">
        <v>4.9000000000000004</v>
      </c>
      <c r="K1453">
        <v>24</v>
      </c>
      <c r="L1453" t="s">
        <v>52</v>
      </c>
      <c r="M1453">
        <v>38.159999999999997</v>
      </c>
      <c r="N1453">
        <v>34219</v>
      </c>
      <c r="O1453">
        <v>64926</v>
      </c>
      <c r="P1453" t="s">
        <v>1461</v>
      </c>
      <c r="Q1453" t="s">
        <v>27</v>
      </c>
      <c r="R1453" t="s">
        <v>48</v>
      </c>
      <c r="S1453" t="s">
        <v>35</v>
      </c>
      <c r="T1453">
        <v>3773.73</v>
      </c>
      <c r="U1453">
        <f t="shared" si="308"/>
        <v>549</v>
      </c>
      <c r="V1453">
        <f t="shared" si="309"/>
        <v>207</v>
      </c>
      <c r="W1453">
        <f t="shared" si="310"/>
        <v>161</v>
      </c>
      <c r="X1453">
        <f t="shared" si="311"/>
        <v>0.35149999999999998</v>
      </c>
      <c r="Y1453" s="1">
        <f t="shared" si="312"/>
        <v>28174550</v>
      </c>
      <c r="Z1453">
        <f t="shared" si="313"/>
        <v>51319.763205828778</v>
      </c>
      <c r="AA1453">
        <f t="shared" si="314"/>
        <v>99996</v>
      </c>
      <c r="AB1453">
        <f t="shared" si="315"/>
        <v>5091</v>
      </c>
      <c r="AC1453">
        <f t="shared" si="316"/>
        <v>765960.35999999952</v>
      </c>
      <c r="AD1453">
        <f t="shared" si="317"/>
        <v>1395.191912568305</v>
      </c>
      <c r="AE1453">
        <f t="shared" si="318"/>
        <v>0.35149999999999998</v>
      </c>
      <c r="AF1453">
        <f t="shared" si="319"/>
        <v>205628543.37000003</v>
      </c>
      <c r="AG1453" t="str">
        <f t="shared" si="320"/>
        <v>Active</v>
      </c>
      <c r="AH1453">
        <f t="shared" si="321"/>
        <v>45284.76</v>
      </c>
    </row>
    <row r="1454" spans="1:34" x14ac:dyDescent="0.35">
      <c r="A1454" t="s">
        <v>3857</v>
      </c>
      <c r="B1454" t="s">
        <v>3858</v>
      </c>
      <c r="C1454">
        <v>58</v>
      </c>
      <c r="D1454" t="s">
        <v>38</v>
      </c>
      <c r="E1454" t="s">
        <v>23</v>
      </c>
      <c r="F1454" t="s">
        <v>24</v>
      </c>
      <c r="G1454">
        <v>116683</v>
      </c>
      <c r="H1454">
        <v>814</v>
      </c>
      <c r="I1454">
        <v>45521</v>
      </c>
      <c r="J1454">
        <v>15.08</v>
      </c>
      <c r="K1454">
        <v>24</v>
      </c>
      <c r="L1454" t="s">
        <v>40</v>
      </c>
      <c r="M1454">
        <v>34.64</v>
      </c>
      <c r="N1454">
        <v>40082</v>
      </c>
      <c r="O1454">
        <v>14060</v>
      </c>
      <c r="P1454" t="s">
        <v>180</v>
      </c>
      <c r="Q1454" t="s">
        <v>42</v>
      </c>
      <c r="R1454" t="s">
        <v>48</v>
      </c>
      <c r="S1454" t="s">
        <v>43</v>
      </c>
      <c r="T1454">
        <v>2182.73</v>
      </c>
      <c r="U1454">
        <f t="shared" si="308"/>
        <v>548</v>
      </c>
      <c r="V1454">
        <f t="shared" si="309"/>
        <v>207</v>
      </c>
      <c r="W1454">
        <f t="shared" si="310"/>
        <v>161</v>
      </c>
      <c r="X1454">
        <f t="shared" si="311"/>
        <v>0.35149999999999998</v>
      </c>
      <c r="Y1454" s="1">
        <f t="shared" si="312"/>
        <v>28088211</v>
      </c>
      <c r="Z1454">
        <f t="shared" si="313"/>
        <v>51255.859489051094</v>
      </c>
      <c r="AA1454">
        <f t="shared" si="314"/>
        <v>99996</v>
      </c>
      <c r="AB1454">
        <f t="shared" si="315"/>
        <v>5091</v>
      </c>
      <c r="AC1454">
        <f t="shared" si="316"/>
        <v>762186.62999999966</v>
      </c>
      <c r="AD1454">
        <f t="shared" si="317"/>
        <v>1390.8515145985396</v>
      </c>
      <c r="AE1454">
        <f t="shared" si="318"/>
        <v>0.35149999999999998</v>
      </c>
      <c r="AF1454">
        <f t="shared" si="319"/>
        <v>204862583.01000005</v>
      </c>
      <c r="AG1454" t="str">
        <f t="shared" si="320"/>
        <v>Active</v>
      </c>
      <c r="AH1454">
        <f t="shared" si="321"/>
        <v>26192.760000000002</v>
      </c>
    </row>
    <row r="1455" spans="1:34" x14ac:dyDescent="0.35">
      <c r="A1455" t="s">
        <v>3859</v>
      </c>
      <c r="B1455" t="s">
        <v>3860</v>
      </c>
      <c r="C1455">
        <v>40</v>
      </c>
      <c r="D1455" t="s">
        <v>38</v>
      </c>
      <c r="E1455" t="s">
        <v>23</v>
      </c>
      <c r="F1455" t="s">
        <v>46</v>
      </c>
      <c r="G1455">
        <v>38155</v>
      </c>
      <c r="H1455">
        <v>375</v>
      </c>
      <c r="I1455">
        <v>73823</v>
      </c>
      <c r="J1455">
        <v>12.4</v>
      </c>
      <c r="K1455">
        <v>24</v>
      </c>
      <c r="L1455" t="s">
        <v>40</v>
      </c>
      <c r="M1455">
        <v>33.979999999999997</v>
      </c>
      <c r="N1455">
        <v>42279</v>
      </c>
      <c r="O1455">
        <v>21966</v>
      </c>
      <c r="P1455" t="s">
        <v>2478</v>
      </c>
      <c r="Q1455" t="s">
        <v>42</v>
      </c>
      <c r="R1455" t="s">
        <v>48</v>
      </c>
      <c r="S1455" t="s">
        <v>29</v>
      </c>
      <c r="T1455">
        <v>3457.38</v>
      </c>
      <c r="U1455">
        <f t="shared" si="308"/>
        <v>547</v>
      </c>
      <c r="V1455">
        <f t="shared" si="309"/>
        <v>206</v>
      </c>
      <c r="W1455">
        <f t="shared" si="310"/>
        <v>161</v>
      </c>
      <c r="X1455">
        <f t="shared" si="311"/>
        <v>0.35149999999999998</v>
      </c>
      <c r="Y1455" s="1">
        <f t="shared" si="312"/>
        <v>28042690</v>
      </c>
      <c r="Z1455">
        <f t="shared" si="313"/>
        <v>51266.343692870199</v>
      </c>
      <c r="AA1455">
        <f t="shared" si="314"/>
        <v>99996</v>
      </c>
      <c r="AB1455">
        <f t="shared" si="315"/>
        <v>5091</v>
      </c>
      <c r="AC1455">
        <f t="shared" si="316"/>
        <v>760003.89999999967</v>
      </c>
      <c r="AD1455">
        <f t="shared" si="317"/>
        <v>1389.4038391224858</v>
      </c>
      <c r="AE1455">
        <f t="shared" si="318"/>
        <v>0.35149999999999998</v>
      </c>
      <c r="AF1455">
        <f t="shared" si="319"/>
        <v>204100396.38000003</v>
      </c>
      <c r="AG1455" t="str">
        <f t="shared" si="320"/>
        <v>Active</v>
      </c>
      <c r="AH1455">
        <f t="shared" si="321"/>
        <v>41488.559999999998</v>
      </c>
    </row>
    <row r="1456" spans="1:34" x14ac:dyDescent="0.35">
      <c r="A1456" t="s">
        <v>3861</v>
      </c>
      <c r="B1456" t="s">
        <v>3862</v>
      </c>
      <c r="C1456">
        <v>57</v>
      </c>
      <c r="D1456" t="s">
        <v>22</v>
      </c>
      <c r="E1456" t="s">
        <v>32</v>
      </c>
      <c r="F1456" t="s">
        <v>59</v>
      </c>
      <c r="G1456">
        <v>170976</v>
      </c>
      <c r="H1456">
        <v>847</v>
      </c>
      <c r="I1456">
        <v>26075</v>
      </c>
      <c r="J1456">
        <v>23.39</v>
      </c>
      <c r="K1456">
        <v>60</v>
      </c>
      <c r="L1456" t="s">
        <v>86</v>
      </c>
      <c r="M1456">
        <v>35.630000000000003</v>
      </c>
      <c r="N1456">
        <v>46131</v>
      </c>
      <c r="O1456">
        <v>221966</v>
      </c>
      <c r="P1456" t="s">
        <v>3863</v>
      </c>
      <c r="Q1456" t="s">
        <v>61</v>
      </c>
      <c r="R1456" t="s">
        <v>28</v>
      </c>
      <c r="S1456" t="s">
        <v>35</v>
      </c>
      <c r="T1456">
        <v>536.23</v>
      </c>
      <c r="U1456">
        <f t="shared" si="308"/>
        <v>546</v>
      </c>
      <c r="V1456">
        <f t="shared" si="309"/>
        <v>205</v>
      </c>
      <c r="W1456">
        <f t="shared" si="310"/>
        <v>161</v>
      </c>
      <c r="X1456">
        <f t="shared" si="311"/>
        <v>0.35149999999999998</v>
      </c>
      <c r="Y1456" s="1">
        <f t="shared" si="312"/>
        <v>27968867</v>
      </c>
      <c r="Z1456">
        <f t="shared" si="313"/>
        <v>51225.031135531135</v>
      </c>
      <c r="AA1456">
        <f t="shared" si="314"/>
        <v>99996</v>
      </c>
      <c r="AB1456">
        <f t="shared" si="315"/>
        <v>5091</v>
      </c>
      <c r="AC1456">
        <f t="shared" si="316"/>
        <v>756546.51999999979</v>
      </c>
      <c r="AD1456">
        <f t="shared" si="317"/>
        <v>1385.6163369963367</v>
      </c>
      <c r="AE1456">
        <f t="shared" si="318"/>
        <v>0.35149999999999998</v>
      </c>
      <c r="AF1456">
        <f t="shared" si="319"/>
        <v>203340392.48000002</v>
      </c>
      <c r="AG1456" t="str">
        <f t="shared" si="320"/>
        <v>Active</v>
      </c>
      <c r="AH1456">
        <f t="shared" si="321"/>
        <v>6434.76</v>
      </c>
    </row>
    <row r="1457" spans="1:34" x14ac:dyDescent="0.35">
      <c r="A1457" t="s">
        <v>3864</v>
      </c>
      <c r="B1457" t="s">
        <v>3865</v>
      </c>
      <c r="C1457">
        <v>31</v>
      </c>
      <c r="D1457" t="s">
        <v>22</v>
      </c>
      <c r="E1457" t="s">
        <v>32</v>
      </c>
      <c r="F1457" t="s">
        <v>46</v>
      </c>
      <c r="G1457">
        <v>105147</v>
      </c>
      <c r="H1457">
        <v>541</v>
      </c>
      <c r="I1457">
        <v>6529</v>
      </c>
      <c r="J1457">
        <v>3.55</v>
      </c>
      <c r="K1457">
        <v>36</v>
      </c>
      <c r="L1457" t="s">
        <v>33</v>
      </c>
      <c r="M1457">
        <v>42.13</v>
      </c>
      <c r="N1457">
        <v>14132</v>
      </c>
      <c r="O1457">
        <v>49292</v>
      </c>
      <c r="P1457" t="s">
        <v>3562</v>
      </c>
      <c r="Q1457" t="s">
        <v>42</v>
      </c>
      <c r="R1457" t="s">
        <v>28</v>
      </c>
      <c r="S1457" t="s">
        <v>35</v>
      </c>
      <c r="T1457">
        <v>187.8</v>
      </c>
      <c r="U1457">
        <f t="shared" si="308"/>
        <v>545</v>
      </c>
      <c r="V1457">
        <f t="shared" si="309"/>
        <v>205</v>
      </c>
      <c r="W1457">
        <f t="shared" si="310"/>
        <v>160</v>
      </c>
      <c r="X1457">
        <f t="shared" si="311"/>
        <v>0.35149999999999998</v>
      </c>
      <c r="Y1457" s="1">
        <f t="shared" si="312"/>
        <v>27942792</v>
      </c>
      <c r="Z1457">
        <f t="shared" si="313"/>
        <v>51271.177981651374</v>
      </c>
      <c r="AA1457">
        <f t="shared" si="314"/>
        <v>99996</v>
      </c>
      <c r="AB1457">
        <f t="shared" si="315"/>
        <v>5091</v>
      </c>
      <c r="AC1457">
        <f t="shared" si="316"/>
        <v>756010.2899999998</v>
      </c>
      <c r="AD1457">
        <f t="shared" si="317"/>
        <v>1387.1748440366969</v>
      </c>
      <c r="AE1457">
        <f t="shared" si="318"/>
        <v>0.35149999999999998</v>
      </c>
      <c r="AF1457">
        <f t="shared" si="319"/>
        <v>202583845.96000001</v>
      </c>
      <c r="AG1457" t="str">
        <f t="shared" si="320"/>
        <v>Active</v>
      </c>
      <c r="AH1457">
        <f t="shared" si="321"/>
        <v>2253.6000000000004</v>
      </c>
    </row>
    <row r="1458" spans="1:34" x14ac:dyDescent="0.35">
      <c r="A1458" t="s">
        <v>3866</v>
      </c>
      <c r="B1458" t="s">
        <v>3867</v>
      </c>
      <c r="C1458">
        <v>26</v>
      </c>
      <c r="D1458" t="s">
        <v>22</v>
      </c>
      <c r="E1458" t="s">
        <v>32</v>
      </c>
      <c r="F1458" t="s">
        <v>46</v>
      </c>
      <c r="G1458">
        <v>137137</v>
      </c>
      <c r="H1458">
        <v>823</v>
      </c>
      <c r="I1458">
        <v>85340</v>
      </c>
      <c r="J1458">
        <v>6.44</v>
      </c>
      <c r="K1458">
        <v>360</v>
      </c>
      <c r="L1458" t="s">
        <v>40</v>
      </c>
      <c r="M1458">
        <v>52.07</v>
      </c>
      <c r="N1458">
        <v>73406</v>
      </c>
      <c r="O1458">
        <v>192443</v>
      </c>
      <c r="P1458" t="s">
        <v>3868</v>
      </c>
      <c r="Q1458" t="s">
        <v>61</v>
      </c>
      <c r="R1458" t="s">
        <v>28</v>
      </c>
      <c r="S1458" t="s">
        <v>49</v>
      </c>
      <c r="T1458">
        <v>252.32</v>
      </c>
      <c r="U1458">
        <f t="shared" si="308"/>
        <v>544</v>
      </c>
      <c r="V1458">
        <f t="shared" si="309"/>
        <v>204</v>
      </c>
      <c r="W1458">
        <f t="shared" si="310"/>
        <v>160</v>
      </c>
      <c r="X1458">
        <f t="shared" si="311"/>
        <v>0.35149999999999998</v>
      </c>
      <c r="Y1458" s="1">
        <f t="shared" si="312"/>
        <v>27936263</v>
      </c>
      <c r="Z1458">
        <f t="shared" si="313"/>
        <v>51353.424632352944</v>
      </c>
      <c r="AA1458">
        <f t="shared" si="314"/>
        <v>99996</v>
      </c>
      <c r="AB1458">
        <f t="shared" si="315"/>
        <v>5091</v>
      </c>
      <c r="AC1458">
        <f t="shared" si="316"/>
        <v>755822.48999999987</v>
      </c>
      <c r="AD1458">
        <f t="shared" si="317"/>
        <v>1389.379577205882</v>
      </c>
      <c r="AE1458">
        <f t="shared" si="318"/>
        <v>0.35149999999999998</v>
      </c>
      <c r="AF1458">
        <f t="shared" si="319"/>
        <v>201827835.67000008</v>
      </c>
      <c r="AG1458" t="str">
        <f t="shared" si="320"/>
        <v>Active</v>
      </c>
      <c r="AH1458">
        <f t="shared" si="321"/>
        <v>3027.84</v>
      </c>
    </row>
    <row r="1459" spans="1:34" x14ac:dyDescent="0.35">
      <c r="A1459" t="s">
        <v>3869</v>
      </c>
      <c r="B1459" t="s">
        <v>3870</v>
      </c>
      <c r="C1459">
        <v>22</v>
      </c>
      <c r="D1459" t="s">
        <v>38</v>
      </c>
      <c r="E1459" t="s">
        <v>23</v>
      </c>
      <c r="F1459" t="s">
        <v>24</v>
      </c>
      <c r="G1459">
        <v>188069</v>
      </c>
      <c r="H1459">
        <v>537</v>
      </c>
      <c r="I1459">
        <v>60223</v>
      </c>
      <c r="J1459">
        <v>16.010000000000002</v>
      </c>
      <c r="K1459">
        <v>24</v>
      </c>
      <c r="L1459" t="s">
        <v>86</v>
      </c>
      <c r="M1459">
        <v>24.76</v>
      </c>
      <c r="N1459">
        <v>757</v>
      </c>
      <c r="O1459">
        <v>154326</v>
      </c>
      <c r="P1459" t="s">
        <v>1734</v>
      </c>
      <c r="Q1459" t="s">
        <v>42</v>
      </c>
      <c r="R1459" t="s">
        <v>28</v>
      </c>
      <c r="S1459" t="s">
        <v>43</v>
      </c>
      <c r="T1459">
        <v>2911.03</v>
      </c>
      <c r="U1459">
        <f t="shared" si="308"/>
        <v>543</v>
      </c>
      <c r="V1459">
        <f t="shared" si="309"/>
        <v>204</v>
      </c>
      <c r="W1459">
        <f t="shared" si="310"/>
        <v>159</v>
      </c>
      <c r="X1459">
        <f t="shared" si="311"/>
        <v>0.35149999999999998</v>
      </c>
      <c r="Y1459" s="1">
        <f t="shared" si="312"/>
        <v>27850923</v>
      </c>
      <c r="Z1459">
        <f t="shared" si="313"/>
        <v>51290.834254143643</v>
      </c>
      <c r="AA1459">
        <f t="shared" si="314"/>
        <v>99996</v>
      </c>
      <c r="AB1459">
        <f t="shared" si="315"/>
        <v>5091</v>
      </c>
      <c r="AC1459">
        <f t="shared" si="316"/>
        <v>755570.16999999981</v>
      </c>
      <c r="AD1459">
        <f t="shared" si="317"/>
        <v>1391.473609576427</v>
      </c>
      <c r="AE1459">
        <f t="shared" si="318"/>
        <v>0.35149999999999998</v>
      </c>
      <c r="AF1459">
        <f t="shared" si="319"/>
        <v>201072013.18000007</v>
      </c>
      <c r="AG1459" t="str">
        <f t="shared" si="320"/>
        <v>Active</v>
      </c>
      <c r="AH1459">
        <f t="shared" si="321"/>
        <v>34932.36</v>
      </c>
    </row>
    <row r="1460" spans="1:34" x14ac:dyDescent="0.35">
      <c r="A1460" t="s">
        <v>3871</v>
      </c>
      <c r="B1460" t="s">
        <v>3872</v>
      </c>
      <c r="C1460">
        <v>34</v>
      </c>
      <c r="D1460" t="s">
        <v>22</v>
      </c>
      <c r="E1460" t="s">
        <v>39</v>
      </c>
      <c r="F1460" t="s">
        <v>24</v>
      </c>
      <c r="G1460">
        <v>159930</v>
      </c>
      <c r="H1460">
        <v>508</v>
      </c>
      <c r="I1460">
        <v>52986</v>
      </c>
      <c r="J1460">
        <v>4.8</v>
      </c>
      <c r="K1460">
        <v>48</v>
      </c>
      <c r="L1460" t="s">
        <v>25</v>
      </c>
      <c r="M1460">
        <v>19.66</v>
      </c>
      <c r="N1460">
        <v>37177</v>
      </c>
      <c r="O1460">
        <v>181614</v>
      </c>
      <c r="P1460" t="s">
        <v>3706</v>
      </c>
      <c r="Q1460" t="s">
        <v>42</v>
      </c>
      <c r="R1460" t="s">
        <v>28</v>
      </c>
      <c r="S1460" t="s">
        <v>43</v>
      </c>
      <c r="T1460">
        <v>1156.8599999999999</v>
      </c>
      <c r="U1460">
        <f t="shared" si="308"/>
        <v>542</v>
      </c>
      <c r="V1460">
        <f t="shared" si="309"/>
        <v>203</v>
      </c>
      <c r="W1460">
        <f t="shared" si="310"/>
        <v>159</v>
      </c>
      <c r="X1460">
        <f t="shared" si="311"/>
        <v>0.35149999999999998</v>
      </c>
      <c r="Y1460" s="1">
        <f t="shared" si="312"/>
        <v>27790700</v>
      </c>
      <c r="Z1460">
        <f t="shared" si="313"/>
        <v>51274.354243542439</v>
      </c>
      <c r="AA1460">
        <f t="shared" si="314"/>
        <v>99996</v>
      </c>
      <c r="AB1460">
        <f t="shared" si="315"/>
        <v>5091</v>
      </c>
      <c r="AC1460">
        <f t="shared" si="316"/>
        <v>752659.13999999978</v>
      </c>
      <c r="AD1460">
        <f t="shared" si="317"/>
        <v>1388.6699999999996</v>
      </c>
      <c r="AE1460">
        <f t="shared" si="318"/>
        <v>0.35149999999999998</v>
      </c>
      <c r="AF1460">
        <f t="shared" si="319"/>
        <v>200316443.01000011</v>
      </c>
      <c r="AG1460" t="str">
        <f t="shared" si="320"/>
        <v>Active</v>
      </c>
      <c r="AH1460">
        <f t="shared" si="321"/>
        <v>13882.32</v>
      </c>
    </row>
    <row r="1461" spans="1:34" x14ac:dyDescent="0.35">
      <c r="A1461" t="s">
        <v>3873</v>
      </c>
      <c r="B1461" t="s">
        <v>3874</v>
      </c>
      <c r="C1461">
        <v>65</v>
      </c>
      <c r="D1461" t="s">
        <v>22</v>
      </c>
      <c r="E1461" t="s">
        <v>23</v>
      </c>
      <c r="F1461" t="s">
        <v>59</v>
      </c>
      <c r="G1461">
        <v>84146</v>
      </c>
      <c r="H1461">
        <v>303</v>
      </c>
      <c r="I1461">
        <v>30637</v>
      </c>
      <c r="J1461">
        <v>16.03</v>
      </c>
      <c r="K1461">
        <v>48</v>
      </c>
      <c r="L1461" t="s">
        <v>33</v>
      </c>
      <c r="M1461">
        <v>58.9</v>
      </c>
      <c r="N1461">
        <v>75691</v>
      </c>
      <c r="O1461">
        <v>184089</v>
      </c>
      <c r="P1461" t="s">
        <v>114</v>
      </c>
      <c r="Q1461" t="s">
        <v>27</v>
      </c>
      <c r="R1461" t="s">
        <v>48</v>
      </c>
      <c r="S1461" t="s">
        <v>68</v>
      </c>
      <c r="T1461">
        <v>740.59</v>
      </c>
      <c r="U1461">
        <f t="shared" si="308"/>
        <v>541</v>
      </c>
      <c r="V1461">
        <f t="shared" si="309"/>
        <v>202</v>
      </c>
      <c r="W1461">
        <f t="shared" si="310"/>
        <v>159</v>
      </c>
      <c r="X1461">
        <f t="shared" si="311"/>
        <v>0.35149999999999998</v>
      </c>
      <c r="Y1461" s="1">
        <f t="shared" si="312"/>
        <v>27737714</v>
      </c>
      <c r="Z1461">
        <f t="shared" si="313"/>
        <v>51271.190388170056</v>
      </c>
      <c r="AA1461">
        <f t="shared" si="314"/>
        <v>99996</v>
      </c>
      <c r="AB1461">
        <f t="shared" si="315"/>
        <v>5091</v>
      </c>
      <c r="AC1461">
        <f t="shared" si="316"/>
        <v>751502.27999999968</v>
      </c>
      <c r="AD1461">
        <f t="shared" si="317"/>
        <v>1389.0984842883543</v>
      </c>
      <c r="AE1461">
        <f t="shared" si="318"/>
        <v>0.35149999999999998</v>
      </c>
      <c r="AF1461">
        <f t="shared" si="319"/>
        <v>199563783.87000006</v>
      </c>
      <c r="AG1461" t="str">
        <f t="shared" si="320"/>
        <v>Active</v>
      </c>
      <c r="AH1461">
        <f t="shared" si="321"/>
        <v>8887.08</v>
      </c>
    </row>
    <row r="1462" spans="1:34" x14ac:dyDescent="0.35">
      <c r="A1462" t="s">
        <v>3875</v>
      </c>
      <c r="B1462" t="s">
        <v>3876</v>
      </c>
      <c r="C1462">
        <v>60</v>
      </c>
      <c r="D1462" t="s">
        <v>22</v>
      </c>
      <c r="E1462" t="s">
        <v>32</v>
      </c>
      <c r="F1462" t="s">
        <v>59</v>
      </c>
      <c r="G1462">
        <v>150196</v>
      </c>
      <c r="H1462">
        <v>571</v>
      </c>
      <c r="I1462">
        <v>63016</v>
      </c>
      <c r="J1462">
        <v>18.18</v>
      </c>
      <c r="K1462">
        <v>240</v>
      </c>
      <c r="L1462" t="s">
        <v>25</v>
      </c>
      <c r="M1462">
        <v>35.32</v>
      </c>
      <c r="N1462">
        <v>47637</v>
      </c>
      <c r="O1462">
        <v>2715</v>
      </c>
      <c r="P1462" t="s">
        <v>3877</v>
      </c>
      <c r="Q1462" t="s">
        <v>27</v>
      </c>
      <c r="R1462" t="s">
        <v>48</v>
      </c>
      <c r="S1462" t="s">
        <v>43</v>
      </c>
      <c r="T1462">
        <v>310.3</v>
      </c>
      <c r="U1462">
        <f t="shared" si="308"/>
        <v>540</v>
      </c>
      <c r="V1462">
        <f t="shared" si="309"/>
        <v>202</v>
      </c>
      <c r="W1462">
        <f t="shared" si="310"/>
        <v>159</v>
      </c>
      <c r="X1462">
        <f t="shared" si="311"/>
        <v>0.35149999999999998</v>
      </c>
      <c r="Y1462" s="1">
        <f t="shared" si="312"/>
        <v>27707077</v>
      </c>
      <c r="Z1462">
        <f t="shared" si="313"/>
        <v>51309.40185185185</v>
      </c>
      <c r="AA1462">
        <f t="shared" si="314"/>
        <v>99996</v>
      </c>
      <c r="AB1462">
        <f t="shared" si="315"/>
        <v>5091</v>
      </c>
      <c r="AC1462">
        <f t="shared" si="316"/>
        <v>750761.68999999971</v>
      </c>
      <c r="AD1462">
        <f t="shared" si="317"/>
        <v>1390.2994259259253</v>
      </c>
      <c r="AE1462">
        <f t="shared" si="318"/>
        <v>0.35149999999999998</v>
      </c>
      <c r="AF1462">
        <f t="shared" si="319"/>
        <v>198812281.59000003</v>
      </c>
      <c r="AG1462" t="str">
        <f t="shared" si="320"/>
        <v>Active</v>
      </c>
      <c r="AH1462">
        <f t="shared" si="321"/>
        <v>3723.6000000000004</v>
      </c>
    </row>
    <row r="1463" spans="1:34" x14ac:dyDescent="0.35">
      <c r="A1463" t="s">
        <v>3878</v>
      </c>
      <c r="B1463" t="s">
        <v>3879</v>
      </c>
      <c r="C1463">
        <v>62</v>
      </c>
      <c r="D1463" t="s">
        <v>38</v>
      </c>
      <c r="E1463" t="s">
        <v>32</v>
      </c>
      <c r="F1463" t="s">
        <v>59</v>
      </c>
      <c r="G1463">
        <v>140962</v>
      </c>
      <c r="H1463">
        <v>345</v>
      </c>
      <c r="I1463">
        <v>63299</v>
      </c>
      <c r="J1463">
        <v>17.3</v>
      </c>
      <c r="K1463">
        <v>12</v>
      </c>
      <c r="L1463" t="s">
        <v>52</v>
      </c>
      <c r="M1463">
        <v>40.53</v>
      </c>
      <c r="N1463">
        <v>26750</v>
      </c>
      <c r="O1463">
        <v>213875</v>
      </c>
      <c r="P1463" t="s">
        <v>743</v>
      </c>
      <c r="Q1463" t="s">
        <v>27</v>
      </c>
      <c r="R1463" t="s">
        <v>28</v>
      </c>
      <c r="S1463" t="s">
        <v>29</v>
      </c>
      <c r="T1463">
        <v>6187.48</v>
      </c>
      <c r="U1463">
        <f t="shared" si="308"/>
        <v>539</v>
      </c>
      <c r="V1463">
        <f t="shared" si="309"/>
        <v>202</v>
      </c>
      <c r="W1463">
        <f t="shared" si="310"/>
        <v>159</v>
      </c>
      <c r="X1463">
        <f t="shared" si="311"/>
        <v>0.35149999999999998</v>
      </c>
      <c r="Y1463" s="1">
        <f t="shared" si="312"/>
        <v>27644061</v>
      </c>
      <c r="Z1463">
        <f t="shared" si="313"/>
        <v>51287.682745825601</v>
      </c>
      <c r="AA1463">
        <f t="shared" si="314"/>
        <v>99996</v>
      </c>
      <c r="AB1463">
        <f t="shared" si="315"/>
        <v>5091</v>
      </c>
      <c r="AC1463">
        <f t="shared" si="316"/>
        <v>750451.38999999966</v>
      </c>
      <c r="AD1463">
        <f t="shared" si="317"/>
        <v>1392.3031354359919</v>
      </c>
      <c r="AE1463">
        <f t="shared" si="318"/>
        <v>0.35149999999999998</v>
      </c>
      <c r="AF1463">
        <f t="shared" si="319"/>
        <v>198061519.90000004</v>
      </c>
      <c r="AG1463" t="str">
        <f t="shared" si="320"/>
        <v>Active</v>
      </c>
      <c r="AH1463">
        <f t="shared" si="321"/>
        <v>74249.759999999995</v>
      </c>
    </row>
    <row r="1464" spans="1:34" x14ac:dyDescent="0.35">
      <c r="A1464" t="s">
        <v>3880</v>
      </c>
      <c r="B1464" t="s">
        <v>3881</v>
      </c>
      <c r="C1464">
        <v>48</v>
      </c>
      <c r="D1464" t="s">
        <v>38</v>
      </c>
      <c r="E1464" t="s">
        <v>32</v>
      </c>
      <c r="F1464" t="s">
        <v>46</v>
      </c>
      <c r="G1464">
        <v>100301</v>
      </c>
      <c r="H1464">
        <v>747</v>
      </c>
      <c r="I1464">
        <v>19330</v>
      </c>
      <c r="J1464">
        <v>23.73</v>
      </c>
      <c r="K1464">
        <v>60</v>
      </c>
      <c r="L1464" t="s">
        <v>86</v>
      </c>
      <c r="M1464">
        <v>27.29</v>
      </c>
      <c r="N1464">
        <v>36013</v>
      </c>
      <c r="O1464">
        <v>13989</v>
      </c>
      <c r="P1464" t="s">
        <v>403</v>
      </c>
      <c r="Q1464" t="s">
        <v>61</v>
      </c>
      <c r="R1464" t="s">
        <v>48</v>
      </c>
      <c r="S1464" t="s">
        <v>35</v>
      </c>
      <c r="T1464">
        <v>398.62</v>
      </c>
      <c r="U1464">
        <f t="shared" si="308"/>
        <v>538</v>
      </c>
      <c r="V1464">
        <f t="shared" si="309"/>
        <v>202</v>
      </c>
      <c r="W1464">
        <f t="shared" si="310"/>
        <v>159</v>
      </c>
      <c r="X1464">
        <f t="shared" si="311"/>
        <v>0.35149999999999998</v>
      </c>
      <c r="Y1464" s="1">
        <f t="shared" si="312"/>
        <v>27580762</v>
      </c>
      <c r="Z1464">
        <f t="shared" si="313"/>
        <v>51265.356877323422</v>
      </c>
      <c r="AA1464">
        <f t="shared" si="314"/>
        <v>99996</v>
      </c>
      <c r="AB1464">
        <f t="shared" si="315"/>
        <v>5091</v>
      </c>
      <c r="AC1464">
        <f t="shared" si="316"/>
        <v>744263.90999999968</v>
      </c>
      <c r="AD1464">
        <f t="shared" si="317"/>
        <v>1383.3901672862448</v>
      </c>
      <c r="AE1464">
        <f t="shared" si="318"/>
        <v>0.35149999999999998</v>
      </c>
      <c r="AF1464">
        <f t="shared" si="319"/>
        <v>197311068.51000005</v>
      </c>
      <c r="AG1464" t="str">
        <f t="shared" si="320"/>
        <v>Over Paid</v>
      </c>
      <c r="AH1464">
        <f t="shared" si="321"/>
        <v>4783.4400000000005</v>
      </c>
    </row>
    <row r="1465" spans="1:34" x14ac:dyDescent="0.35">
      <c r="A1465" t="s">
        <v>3882</v>
      </c>
      <c r="B1465" t="s">
        <v>3883</v>
      </c>
      <c r="C1465">
        <v>36</v>
      </c>
      <c r="D1465" t="s">
        <v>22</v>
      </c>
      <c r="E1465" t="s">
        <v>39</v>
      </c>
      <c r="F1465" t="s">
        <v>59</v>
      </c>
      <c r="G1465">
        <v>59404</v>
      </c>
      <c r="H1465">
        <v>711</v>
      </c>
      <c r="I1465">
        <v>18227</v>
      </c>
      <c r="J1465">
        <v>20.84</v>
      </c>
      <c r="K1465">
        <v>180</v>
      </c>
      <c r="L1465" t="s">
        <v>33</v>
      </c>
      <c r="M1465">
        <v>41.7</v>
      </c>
      <c r="N1465">
        <v>43913</v>
      </c>
      <c r="O1465">
        <v>97376</v>
      </c>
      <c r="P1465" t="s">
        <v>501</v>
      </c>
      <c r="Q1465" t="s">
        <v>27</v>
      </c>
      <c r="R1465" t="s">
        <v>28</v>
      </c>
      <c r="S1465" t="s">
        <v>35</v>
      </c>
      <c r="T1465">
        <v>122.36</v>
      </c>
      <c r="U1465">
        <f t="shared" si="308"/>
        <v>537</v>
      </c>
      <c r="V1465">
        <f t="shared" si="309"/>
        <v>202</v>
      </c>
      <c r="W1465">
        <f t="shared" si="310"/>
        <v>158</v>
      </c>
      <c r="X1465">
        <f t="shared" si="311"/>
        <v>0.35149999999999998</v>
      </c>
      <c r="Y1465" s="1">
        <f t="shared" si="312"/>
        <v>27561432</v>
      </c>
      <c r="Z1465">
        <f t="shared" si="313"/>
        <v>51324.82681564246</v>
      </c>
      <c r="AA1465">
        <f t="shared" si="314"/>
        <v>99996</v>
      </c>
      <c r="AB1465">
        <f t="shared" si="315"/>
        <v>5091</v>
      </c>
      <c r="AC1465">
        <f t="shared" si="316"/>
        <v>743865.28999999969</v>
      </c>
      <c r="AD1465">
        <f t="shared" si="317"/>
        <v>1385.2240037243942</v>
      </c>
      <c r="AE1465">
        <f t="shared" si="318"/>
        <v>0.35149999999999998</v>
      </c>
      <c r="AF1465">
        <f t="shared" si="319"/>
        <v>196566804.60000008</v>
      </c>
      <c r="AG1465" t="str">
        <f t="shared" si="320"/>
        <v>Active</v>
      </c>
      <c r="AH1465">
        <f t="shared" si="321"/>
        <v>1468.32</v>
      </c>
    </row>
    <row r="1466" spans="1:34" x14ac:dyDescent="0.35">
      <c r="A1466" t="s">
        <v>3884</v>
      </c>
      <c r="B1466" t="s">
        <v>3885</v>
      </c>
      <c r="C1466">
        <v>43</v>
      </c>
      <c r="D1466" t="s">
        <v>22</v>
      </c>
      <c r="E1466" t="s">
        <v>32</v>
      </c>
      <c r="F1466" t="s">
        <v>24</v>
      </c>
      <c r="G1466">
        <v>44469</v>
      </c>
      <c r="H1466">
        <v>586</v>
      </c>
      <c r="I1466">
        <v>28921</v>
      </c>
      <c r="J1466">
        <v>11.13</v>
      </c>
      <c r="K1466">
        <v>240</v>
      </c>
      <c r="L1466" t="s">
        <v>40</v>
      </c>
      <c r="M1466">
        <v>12.31</v>
      </c>
      <c r="N1466">
        <v>64546</v>
      </c>
      <c r="O1466">
        <v>191711</v>
      </c>
      <c r="P1466" t="s">
        <v>3886</v>
      </c>
      <c r="Q1466" t="s">
        <v>42</v>
      </c>
      <c r="R1466" t="s">
        <v>28</v>
      </c>
      <c r="S1466" t="s">
        <v>29</v>
      </c>
      <c r="T1466">
        <v>133.91999999999999</v>
      </c>
      <c r="U1466">
        <f t="shared" si="308"/>
        <v>536</v>
      </c>
      <c r="V1466">
        <f t="shared" si="309"/>
        <v>202</v>
      </c>
      <c r="W1466">
        <f t="shared" si="310"/>
        <v>158</v>
      </c>
      <c r="X1466">
        <f t="shared" si="311"/>
        <v>0.35149999999999998</v>
      </c>
      <c r="Y1466" s="1">
        <f t="shared" si="312"/>
        <v>27543205</v>
      </c>
      <c r="Z1466">
        <f t="shared" si="313"/>
        <v>51386.576492537315</v>
      </c>
      <c r="AA1466">
        <f t="shared" si="314"/>
        <v>99996</v>
      </c>
      <c r="AB1466">
        <f t="shared" si="315"/>
        <v>5091</v>
      </c>
      <c r="AC1466">
        <f t="shared" si="316"/>
        <v>743742.9299999997</v>
      </c>
      <c r="AD1466">
        <f t="shared" si="317"/>
        <v>1387.5800932835816</v>
      </c>
      <c r="AE1466">
        <f t="shared" si="318"/>
        <v>0.35149999999999998</v>
      </c>
      <c r="AF1466">
        <f t="shared" si="319"/>
        <v>195822939.31000006</v>
      </c>
      <c r="AG1466" t="str">
        <f t="shared" si="320"/>
        <v>Active</v>
      </c>
      <c r="AH1466">
        <f t="shared" si="321"/>
        <v>1607.04</v>
      </c>
    </row>
    <row r="1467" spans="1:34" x14ac:dyDescent="0.35">
      <c r="A1467" t="s">
        <v>3887</v>
      </c>
      <c r="B1467" t="s">
        <v>3888</v>
      </c>
      <c r="C1467">
        <v>44</v>
      </c>
      <c r="D1467" t="s">
        <v>38</v>
      </c>
      <c r="E1467" t="s">
        <v>39</v>
      </c>
      <c r="F1467" t="s">
        <v>46</v>
      </c>
      <c r="G1467">
        <v>90449</v>
      </c>
      <c r="H1467">
        <v>813</v>
      </c>
      <c r="I1467">
        <v>12702</v>
      </c>
      <c r="J1467">
        <v>4.2699999999999996</v>
      </c>
      <c r="K1467">
        <v>36</v>
      </c>
      <c r="L1467" t="s">
        <v>25</v>
      </c>
      <c r="M1467">
        <v>42.66</v>
      </c>
      <c r="N1467">
        <v>9362</v>
      </c>
      <c r="O1467">
        <v>125169</v>
      </c>
      <c r="P1467" t="s">
        <v>3889</v>
      </c>
      <c r="Q1467" t="s">
        <v>27</v>
      </c>
      <c r="R1467" t="s">
        <v>48</v>
      </c>
      <c r="S1467" t="s">
        <v>43</v>
      </c>
      <c r="T1467">
        <v>367.9</v>
      </c>
      <c r="U1467">
        <f t="shared" si="308"/>
        <v>535</v>
      </c>
      <c r="V1467">
        <f t="shared" si="309"/>
        <v>201</v>
      </c>
      <c r="W1467">
        <f t="shared" si="310"/>
        <v>158</v>
      </c>
      <c r="X1467">
        <f t="shared" si="311"/>
        <v>0.35149999999999998</v>
      </c>
      <c r="Y1467" s="1">
        <f t="shared" si="312"/>
        <v>27514284</v>
      </c>
      <c r="Z1467">
        <f t="shared" si="313"/>
        <v>51428.568224299066</v>
      </c>
      <c r="AA1467">
        <f t="shared" si="314"/>
        <v>99996</v>
      </c>
      <c r="AB1467">
        <f t="shared" si="315"/>
        <v>5091</v>
      </c>
      <c r="AC1467">
        <f t="shared" si="316"/>
        <v>743609.00999999966</v>
      </c>
      <c r="AD1467">
        <f t="shared" si="317"/>
        <v>1389.9233831775693</v>
      </c>
      <c r="AE1467">
        <f t="shared" si="318"/>
        <v>0.35149999999999998</v>
      </c>
      <c r="AF1467">
        <f t="shared" si="319"/>
        <v>195079196.38000003</v>
      </c>
      <c r="AG1467" t="str">
        <f t="shared" si="320"/>
        <v>Active</v>
      </c>
      <c r="AH1467">
        <f t="shared" si="321"/>
        <v>4414.7999999999993</v>
      </c>
    </row>
    <row r="1468" spans="1:34" x14ac:dyDescent="0.35">
      <c r="A1468" t="s">
        <v>3890</v>
      </c>
      <c r="B1468" t="s">
        <v>3891</v>
      </c>
      <c r="C1468">
        <v>43</v>
      </c>
      <c r="D1468" t="s">
        <v>22</v>
      </c>
      <c r="E1468" t="s">
        <v>39</v>
      </c>
      <c r="F1468" t="s">
        <v>59</v>
      </c>
      <c r="G1468">
        <v>122983</v>
      </c>
      <c r="H1468">
        <v>634</v>
      </c>
      <c r="I1468">
        <v>68479</v>
      </c>
      <c r="J1468">
        <v>13.25</v>
      </c>
      <c r="K1468">
        <v>24</v>
      </c>
      <c r="L1468" t="s">
        <v>86</v>
      </c>
      <c r="M1468">
        <v>22.12</v>
      </c>
      <c r="N1468">
        <v>77050</v>
      </c>
      <c r="O1468">
        <v>5395</v>
      </c>
      <c r="P1468" t="s">
        <v>230</v>
      </c>
      <c r="Q1468" t="s">
        <v>42</v>
      </c>
      <c r="R1468" t="s">
        <v>48</v>
      </c>
      <c r="S1468" t="s">
        <v>49</v>
      </c>
      <c r="T1468">
        <v>3231.35</v>
      </c>
      <c r="U1468">
        <f t="shared" si="308"/>
        <v>534</v>
      </c>
      <c r="V1468">
        <f t="shared" si="309"/>
        <v>201</v>
      </c>
      <c r="W1468">
        <f t="shared" si="310"/>
        <v>158</v>
      </c>
      <c r="X1468">
        <f t="shared" si="311"/>
        <v>0.35149999999999998</v>
      </c>
      <c r="Y1468" s="1">
        <f t="shared" si="312"/>
        <v>27501582</v>
      </c>
      <c r="Z1468">
        <f t="shared" si="313"/>
        <v>51501.089887640446</v>
      </c>
      <c r="AA1468">
        <f t="shared" si="314"/>
        <v>99996</v>
      </c>
      <c r="AB1468">
        <f t="shared" si="315"/>
        <v>5091</v>
      </c>
      <c r="AC1468">
        <f t="shared" si="316"/>
        <v>743241.10999999975</v>
      </c>
      <c r="AD1468">
        <f t="shared" si="317"/>
        <v>1391.8372846441944</v>
      </c>
      <c r="AE1468">
        <f t="shared" si="318"/>
        <v>0.35149999999999998</v>
      </c>
      <c r="AF1468">
        <f t="shared" si="319"/>
        <v>194335587.37000006</v>
      </c>
      <c r="AG1468" t="str">
        <f t="shared" si="320"/>
        <v>Active</v>
      </c>
      <c r="AH1468">
        <f t="shared" si="321"/>
        <v>38776.199999999997</v>
      </c>
    </row>
    <row r="1469" spans="1:34" x14ac:dyDescent="0.35">
      <c r="A1469" t="s">
        <v>3892</v>
      </c>
      <c r="B1469" t="s">
        <v>3893</v>
      </c>
      <c r="C1469">
        <v>54</v>
      </c>
      <c r="D1469" t="s">
        <v>22</v>
      </c>
      <c r="E1469" t="s">
        <v>23</v>
      </c>
      <c r="F1469" t="s">
        <v>24</v>
      </c>
      <c r="G1469">
        <v>92174</v>
      </c>
      <c r="H1469">
        <v>392</v>
      </c>
      <c r="I1469">
        <v>6384</v>
      </c>
      <c r="J1469">
        <v>22.12</v>
      </c>
      <c r="K1469">
        <v>60</v>
      </c>
      <c r="L1469" t="s">
        <v>86</v>
      </c>
      <c r="M1469">
        <v>30.78</v>
      </c>
      <c r="N1469">
        <v>63323</v>
      </c>
      <c r="O1469">
        <v>196802</v>
      </c>
      <c r="P1469" t="s">
        <v>1476</v>
      </c>
      <c r="Q1469" t="s">
        <v>42</v>
      </c>
      <c r="R1469" t="s">
        <v>28</v>
      </c>
      <c r="S1469" t="s">
        <v>49</v>
      </c>
      <c r="T1469">
        <v>129.94</v>
      </c>
      <c r="U1469">
        <f t="shared" si="308"/>
        <v>533</v>
      </c>
      <c r="V1469">
        <f t="shared" si="309"/>
        <v>200</v>
      </c>
      <c r="W1469">
        <f t="shared" si="310"/>
        <v>158</v>
      </c>
      <c r="X1469">
        <f t="shared" si="311"/>
        <v>0.35149999999999998</v>
      </c>
      <c r="Y1469" s="1">
        <f t="shared" si="312"/>
        <v>27433103</v>
      </c>
      <c r="Z1469">
        <f t="shared" si="313"/>
        <v>51469.236397748595</v>
      </c>
      <c r="AA1469">
        <f t="shared" si="314"/>
        <v>99996</v>
      </c>
      <c r="AB1469">
        <f t="shared" si="315"/>
        <v>5091</v>
      </c>
      <c r="AC1469">
        <f t="shared" si="316"/>
        <v>740009.75999999966</v>
      </c>
      <c r="AD1469">
        <f t="shared" si="317"/>
        <v>1388.3860412757967</v>
      </c>
      <c r="AE1469">
        <f t="shared" si="318"/>
        <v>0.35149999999999998</v>
      </c>
      <c r="AF1469">
        <f t="shared" si="319"/>
        <v>193592346.26000005</v>
      </c>
      <c r="AG1469" t="str">
        <f t="shared" si="320"/>
        <v>Active</v>
      </c>
      <c r="AH1469">
        <f t="shared" si="321"/>
        <v>1559.28</v>
      </c>
    </row>
    <row r="1470" spans="1:34" x14ac:dyDescent="0.35">
      <c r="A1470" t="s">
        <v>3894</v>
      </c>
      <c r="B1470" t="s">
        <v>3895</v>
      </c>
      <c r="C1470">
        <v>38</v>
      </c>
      <c r="D1470" t="s">
        <v>22</v>
      </c>
      <c r="E1470" t="s">
        <v>39</v>
      </c>
      <c r="F1470" t="s">
        <v>24</v>
      </c>
      <c r="G1470">
        <v>107040</v>
      </c>
      <c r="H1470">
        <v>658</v>
      </c>
      <c r="I1470">
        <v>67133</v>
      </c>
      <c r="J1470">
        <v>20.18</v>
      </c>
      <c r="K1470">
        <v>48</v>
      </c>
      <c r="L1470" t="s">
        <v>52</v>
      </c>
      <c r="M1470">
        <v>24</v>
      </c>
      <c r="N1470">
        <v>54202</v>
      </c>
      <c r="O1470">
        <v>203997</v>
      </c>
      <c r="P1470" t="s">
        <v>3896</v>
      </c>
      <c r="Q1470" t="s">
        <v>42</v>
      </c>
      <c r="R1470" t="s">
        <v>28</v>
      </c>
      <c r="S1470" t="s">
        <v>29</v>
      </c>
      <c r="T1470">
        <v>1680.84</v>
      </c>
      <c r="U1470">
        <f t="shared" si="308"/>
        <v>532</v>
      </c>
      <c r="V1470">
        <f t="shared" si="309"/>
        <v>199</v>
      </c>
      <c r="W1470">
        <f t="shared" si="310"/>
        <v>158</v>
      </c>
      <c r="X1470">
        <f t="shared" si="311"/>
        <v>0.35149999999999998</v>
      </c>
      <c r="Y1470" s="1">
        <f t="shared" si="312"/>
        <v>27426719</v>
      </c>
      <c r="Z1470">
        <f t="shared" si="313"/>
        <v>51553.983082706764</v>
      </c>
      <c r="AA1470">
        <f t="shared" si="314"/>
        <v>99996</v>
      </c>
      <c r="AB1470">
        <f t="shared" si="315"/>
        <v>5091</v>
      </c>
      <c r="AC1470">
        <f t="shared" si="316"/>
        <v>739879.8199999996</v>
      </c>
      <c r="AD1470">
        <f t="shared" si="317"/>
        <v>1390.7515413533827</v>
      </c>
      <c r="AE1470">
        <f t="shared" si="318"/>
        <v>0.35149999999999998</v>
      </c>
      <c r="AF1470">
        <f t="shared" si="319"/>
        <v>192852336.50000003</v>
      </c>
      <c r="AG1470" t="str">
        <f t="shared" si="320"/>
        <v>Active</v>
      </c>
      <c r="AH1470">
        <f t="shared" si="321"/>
        <v>20170.079999999998</v>
      </c>
    </row>
    <row r="1471" spans="1:34" x14ac:dyDescent="0.35">
      <c r="A1471" t="s">
        <v>3897</v>
      </c>
      <c r="B1471" t="s">
        <v>3898</v>
      </c>
      <c r="C1471">
        <v>21</v>
      </c>
      <c r="D1471" t="s">
        <v>38</v>
      </c>
      <c r="E1471" t="s">
        <v>32</v>
      </c>
      <c r="F1471" t="s">
        <v>46</v>
      </c>
      <c r="G1471">
        <v>20134</v>
      </c>
      <c r="H1471">
        <v>580</v>
      </c>
      <c r="I1471">
        <v>14697</v>
      </c>
      <c r="J1471">
        <v>16.28</v>
      </c>
      <c r="K1471">
        <v>48</v>
      </c>
      <c r="L1471" t="s">
        <v>40</v>
      </c>
      <c r="M1471">
        <v>32.18</v>
      </c>
      <c r="N1471">
        <v>50814</v>
      </c>
      <c r="O1471">
        <v>55856</v>
      </c>
      <c r="P1471" t="s">
        <v>2683</v>
      </c>
      <c r="Q1471" t="s">
        <v>42</v>
      </c>
      <c r="R1471" t="s">
        <v>48</v>
      </c>
      <c r="S1471" t="s">
        <v>35</v>
      </c>
      <c r="T1471">
        <v>356.03</v>
      </c>
      <c r="U1471">
        <f t="shared" si="308"/>
        <v>531</v>
      </c>
      <c r="V1471">
        <f t="shared" si="309"/>
        <v>198</v>
      </c>
      <c r="W1471">
        <f t="shared" si="310"/>
        <v>158</v>
      </c>
      <c r="X1471">
        <f t="shared" si="311"/>
        <v>0.35149999999999998</v>
      </c>
      <c r="Y1471" s="1">
        <f t="shared" si="312"/>
        <v>27359586</v>
      </c>
      <c r="Z1471">
        <f t="shared" si="313"/>
        <v>51524.644067796609</v>
      </c>
      <c r="AA1471">
        <f t="shared" si="314"/>
        <v>99996</v>
      </c>
      <c r="AB1471">
        <f t="shared" si="315"/>
        <v>5091</v>
      </c>
      <c r="AC1471">
        <f t="shared" si="316"/>
        <v>738198.97999999963</v>
      </c>
      <c r="AD1471">
        <f t="shared" si="317"/>
        <v>1390.2052354048958</v>
      </c>
      <c r="AE1471">
        <f t="shared" si="318"/>
        <v>0.35149999999999998</v>
      </c>
      <c r="AF1471">
        <f t="shared" si="319"/>
        <v>192112456.68000007</v>
      </c>
      <c r="AG1471" t="str">
        <f t="shared" si="320"/>
        <v>Active</v>
      </c>
      <c r="AH1471">
        <f t="shared" si="321"/>
        <v>4272.3599999999997</v>
      </c>
    </row>
    <row r="1472" spans="1:34" x14ac:dyDescent="0.35">
      <c r="A1472" t="s">
        <v>3899</v>
      </c>
      <c r="B1472" t="s">
        <v>3900</v>
      </c>
      <c r="C1472">
        <v>52</v>
      </c>
      <c r="D1472" t="s">
        <v>22</v>
      </c>
      <c r="E1472" t="s">
        <v>23</v>
      </c>
      <c r="F1472" t="s">
        <v>59</v>
      </c>
      <c r="G1472">
        <v>112853</v>
      </c>
      <c r="H1472">
        <v>677</v>
      </c>
      <c r="I1472">
        <v>47169</v>
      </c>
      <c r="J1472">
        <v>19.149999999999999</v>
      </c>
      <c r="K1472">
        <v>60</v>
      </c>
      <c r="L1472" t="s">
        <v>25</v>
      </c>
      <c r="M1472">
        <v>55.5</v>
      </c>
      <c r="N1472">
        <v>18632</v>
      </c>
      <c r="O1472">
        <v>95542</v>
      </c>
      <c r="P1472" t="s">
        <v>516</v>
      </c>
      <c r="Q1472" t="s">
        <v>42</v>
      </c>
      <c r="R1472" t="s">
        <v>28</v>
      </c>
      <c r="S1472" t="s">
        <v>68</v>
      </c>
      <c r="T1472">
        <v>936.7</v>
      </c>
      <c r="U1472">
        <f t="shared" si="308"/>
        <v>530</v>
      </c>
      <c r="V1472">
        <f t="shared" si="309"/>
        <v>197</v>
      </c>
      <c r="W1472">
        <f t="shared" si="310"/>
        <v>158</v>
      </c>
      <c r="X1472">
        <f t="shared" si="311"/>
        <v>0.35149999999999998</v>
      </c>
      <c r="Y1472" s="1">
        <f t="shared" si="312"/>
        <v>27344889</v>
      </c>
      <c r="Z1472">
        <f t="shared" si="313"/>
        <v>51594.130188679243</v>
      </c>
      <c r="AA1472">
        <f t="shared" si="314"/>
        <v>99996</v>
      </c>
      <c r="AB1472">
        <f t="shared" si="315"/>
        <v>5091</v>
      </c>
      <c r="AC1472">
        <f t="shared" si="316"/>
        <v>737842.94999999972</v>
      </c>
      <c r="AD1472">
        <f t="shared" si="317"/>
        <v>1392.1565094339617</v>
      </c>
      <c r="AE1472">
        <f t="shared" si="318"/>
        <v>0.35149999999999998</v>
      </c>
      <c r="AF1472">
        <f t="shared" si="319"/>
        <v>191374257.70000005</v>
      </c>
      <c r="AG1472" t="str">
        <f t="shared" si="320"/>
        <v>Active</v>
      </c>
      <c r="AH1472">
        <f t="shared" si="321"/>
        <v>11240.400000000001</v>
      </c>
    </row>
    <row r="1473" spans="1:34" x14ac:dyDescent="0.35">
      <c r="A1473" t="s">
        <v>3901</v>
      </c>
      <c r="B1473" t="s">
        <v>3902</v>
      </c>
      <c r="C1473">
        <v>37</v>
      </c>
      <c r="D1473" t="s">
        <v>38</v>
      </c>
      <c r="E1473" t="s">
        <v>32</v>
      </c>
      <c r="F1473" t="s">
        <v>59</v>
      </c>
      <c r="G1473">
        <v>44384</v>
      </c>
      <c r="H1473">
        <v>578</v>
      </c>
      <c r="I1473">
        <v>66120</v>
      </c>
      <c r="J1473">
        <v>3.81</v>
      </c>
      <c r="K1473">
        <v>180</v>
      </c>
      <c r="L1473" t="s">
        <v>25</v>
      </c>
      <c r="M1473">
        <v>45.63</v>
      </c>
      <c r="N1473">
        <v>69830</v>
      </c>
      <c r="O1473">
        <v>201165</v>
      </c>
      <c r="P1473" t="s">
        <v>843</v>
      </c>
      <c r="Q1473" t="s">
        <v>27</v>
      </c>
      <c r="R1473" t="s">
        <v>28</v>
      </c>
      <c r="S1473" t="s">
        <v>29</v>
      </c>
      <c r="T1473">
        <v>381.33</v>
      </c>
      <c r="U1473">
        <f t="shared" si="308"/>
        <v>529</v>
      </c>
      <c r="V1473">
        <f t="shared" si="309"/>
        <v>196</v>
      </c>
      <c r="W1473">
        <f t="shared" si="310"/>
        <v>158</v>
      </c>
      <c r="X1473">
        <f t="shared" si="311"/>
        <v>0.35149999999999998</v>
      </c>
      <c r="Y1473" s="1">
        <f t="shared" si="312"/>
        <v>27297720</v>
      </c>
      <c r="Z1473">
        <f t="shared" si="313"/>
        <v>51602.495274102082</v>
      </c>
      <c r="AA1473">
        <f t="shared" si="314"/>
        <v>99996</v>
      </c>
      <c r="AB1473">
        <f t="shared" si="315"/>
        <v>5091</v>
      </c>
      <c r="AC1473">
        <f t="shared" si="316"/>
        <v>736906.24999999965</v>
      </c>
      <c r="AD1473">
        <f t="shared" si="317"/>
        <v>1393.0174858223056</v>
      </c>
      <c r="AE1473">
        <f t="shared" si="318"/>
        <v>0.35149999999999998</v>
      </c>
      <c r="AF1473">
        <f t="shared" si="319"/>
        <v>190636414.75000003</v>
      </c>
      <c r="AG1473" t="str">
        <f t="shared" si="320"/>
        <v>Active</v>
      </c>
      <c r="AH1473">
        <f t="shared" si="321"/>
        <v>4575.96</v>
      </c>
    </row>
    <row r="1474" spans="1:34" x14ac:dyDescent="0.35">
      <c r="A1474" t="s">
        <v>3903</v>
      </c>
      <c r="B1474" t="s">
        <v>3904</v>
      </c>
      <c r="C1474">
        <v>39</v>
      </c>
      <c r="D1474" t="s">
        <v>22</v>
      </c>
      <c r="E1474" t="s">
        <v>39</v>
      </c>
      <c r="F1474" t="s">
        <v>24</v>
      </c>
      <c r="G1474">
        <v>115202</v>
      </c>
      <c r="H1474">
        <v>586</v>
      </c>
      <c r="I1474">
        <v>17610</v>
      </c>
      <c r="J1474">
        <v>16.920000000000002</v>
      </c>
      <c r="K1474">
        <v>240</v>
      </c>
      <c r="L1474" t="s">
        <v>86</v>
      </c>
      <c r="M1474">
        <v>43.73</v>
      </c>
      <c r="N1474">
        <v>31303</v>
      </c>
      <c r="O1474">
        <v>136794</v>
      </c>
      <c r="P1474" t="s">
        <v>3905</v>
      </c>
      <c r="Q1474" t="s">
        <v>61</v>
      </c>
      <c r="R1474" t="s">
        <v>48</v>
      </c>
      <c r="S1474" t="s">
        <v>49</v>
      </c>
      <c r="T1474">
        <v>85.79</v>
      </c>
      <c r="U1474">
        <f t="shared" ref="U1474:U1537" si="322">COUNTA(A1474:A3473)</f>
        <v>528</v>
      </c>
      <c r="V1474">
        <f t="shared" ref="V1474:V1537" si="323">COUNTIF(Q1474:Q3473,"APPROVED")</f>
        <v>196</v>
      </c>
      <c r="W1474">
        <f t="shared" ref="W1474:W1537" si="324">COUNTIF(Q1474:Q3474,"Rejected")</f>
        <v>158</v>
      </c>
      <c r="X1474">
        <f t="shared" ref="X1474:X1537" si="325">703/2000</f>
        <v>0.35149999999999998</v>
      </c>
      <c r="Y1474" s="1">
        <f t="shared" ref="Y1474:Y1537" si="326">SUM(I1474:I3473)</f>
        <v>27231600</v>
      </c>
      <c r="Z1474">
        <f t="shared" ref="Z1474:Z1537" si="327">AVERAGE(I1474:I21473)</f>
        <v>51575</v>
      </c>
      <c r="AA1474">
        <f t="shared" ref="AA1474:AA1537" si="328">MAX(I1474:I3473)</f>
        <v>99996</v>
      </c>
      <c r="AB1474">
        <f t="shared" ref="AB1474:AB1537" si="329">MIN(I1474:I3473)</f>
        <v>5091</v>
      </c>
      <c r="AC1474">
        <f t="shared" ref="AC1474:AC1537" si="330">SUM(T1474:T3473)</f>
        <v>736524.91999999969</v>
      </c>
      <c r="AD1474">
        <f t="shared" ref="AD1474:AD1537" si="331">AVERAGE(T1474:T3473)</f>
        <v>1394.9335606060599</v>
      </c>
      <c r="AE1474">
        <f t="shared" ref="AE1474:AE1537" si="332">703/2000</f>
        <v>0.35149999999999998</v>
      </c>
      <c r="AF1474">
        <f t="shared" ref="AF1474:AF1537" si="333">SUM(AC1474:AC3473)</f>
        <v>189899508.50000003</v>
      </c>
      <c r="AG1474" t="str">
        <f t="shared" ref="AG1474:AG1537" si="334">IF(AH1474=0,"Bad", IF(AH1473&lt;I1473, "Active", IF(AH1473=I1473, "Good", "Over Paid")))</f>
        <v>Active</v>
      </c>
      <c r="AH1474">
        <f t="shared" ref="AH1474:AH1537" si="335">T1474*12</f>
        <v>1029.48</v>
      </c>
    </row>
    <row r="1475" spans="1:34" x14ac:dyDescent="0.35">
      <c r="A1475" t="s">
        <v>3906</v>
      </c>
      <c r="B1475" t="s">
        <v>3907</v>
      </c>
      <c r="C1475">
        <v>59</v>
      </c>
      <c r="D1475" t="s">
        <v>38</v>
      </c>
      <c r="E1475" t="s">
        <v>39</v>
      </c>
      <c r="F1475" t="s">
        <v>59</v>
      </c>
      <c r="G1475">
        <v>178393</v>
      </c>
      <c r="H1475">
        <v>634</v>
      </c>
      <c r="I1475">
        <v>41209</v>
      </c>
      <c r="J1475">
        <v>21.47</v>
      </c>
      <c r="K1475">
        <v>48</v>
      </c>
      <c r="L1475" t="s">
        <v>86</v>
      </c>
      <c r="M1475">
        <v>37.81</v>
      </c>
      <c r="N1475">
        <v>41559</v>
      </c>
      <c r="O1475">
        <v>29071</v>
      </c>
      <c r="P1475" t="s">
        <v>1489</v>
      </c>
      <c r="Q1475" t="s">
        <v>42</v>
      </c>
      <c r="R1475" t="s">
        <v>28</v>
      </c>
      <c r="S1475" t="s">
        <v>29</v>
      </c>
      <c r="T1475">
        <v>1042.8499999999999</v>
      </c>
      <c r="U1475">
        <f t="shared" si="322"/>
        <v>527</v>
      </c>
      <c r="V1475">
        <f t="shared" si="323"/>
        <v>196</v>
      </c>
      <c r="W1475">
        <f t="shared" si="324"/>
        <v>157</v>
      </c>
      <c r="X1475">
        <f t="shared" si="325"/>
        <v>0.35149999999999998</v>
      </c>
      <c r="Y1475" s="1">
        <f t="shared" si="326"/>
        <v>27213990</v>
      </c>
      <c r="Z1475">
        <f t="shared" si="327"/>
        <v>51639.449715370021</v>
      </c>
      <c r="AA1475">
        <f t="shared" si="328"/>
        <v>99996</v>
      </c>
      <c r="AB1475">
        <f t="shared" si="329"/>
        <v>5091</v>
      </c>
      <c r="AC1475">
        <f t="shared" si="330"/>
        <v>736439.12999999966</v>
      </c>
      <c r="AD1475">
        <f t="shared" si="331"/>
        <v>1397.4177039848191</v>
      </c>
      <c r="AE1475">
        <f t="shared" si="332"/>
        <v>0.35149999999999998</v>
      </c>
      <c r="AF1475">
        <f t="shared" si="333"/>
        <v>189162983.58000004</v>
      </c>
      <c r="AG1475" t="str">
        <f t="shared" si="334"/>
        <v>Active</v>
      </c>
      <c r="AH1475">
        <f t="shared" si="335"/>
        <v>12514.199999999999</v>
      </c>
    </row>
    <row r="1476" spans="1:34" x14ac:dyDescent="0.35">
      <c r="A1476" t="s">
        <v>3908</v>
      </c>
      <c r="B1476" t="s">
        <v>3909</v>
      </c>
      <c r="C1476">
        <v>29</v>
      </c>
      <c r="D1476" t="s">
        <v>38</v>
      </c>
      <c r="E1476" t="s">
        <v>32</v>
      </c>
      <c r="F1476" t="s">
        <v>59</v>
      </c>
      <c r="G1476">
        <v>89374</v>
      </c>
      <c r="H1476">
        <v>841</v>
      </c>
      <c r="I1476">
        <v>75435</v>
      </c>
      <c r="J1476">
        <v>16.559999999999999</v>
      </c>
      <c r="K1476">
        <v>240</v>
      </c>
      <c r="L1476" t="s">
        <v>25</v>
      </c>
      <c r="M1476">
        <v>52.51</v>
      </c>
      <c r="N1476">
        <v>54157</v>
      </c>
      <c r="O1476">
        <v>149498</v>
      </c>
      <c r="P1476" t="s">
        <v>2661</v>
      </c>
      <c r="Q1476" t="s">
        <v>61</v>
      </c>
      <c r="R1476" t="s">
        <v>28</v>
      </c>
      <c r="S1476" t="s">
        <v>29</v>
      </c>
      <c r="T1476">
        <v>366.36</v>
      </c>
      <c r="U1476">
        <f t="shared" si="322"/>
        <v>526</v>
      </c>
      <c r="V1476">
        <f t="shared" si="323"/>
        <v>195</v>
      </c>
      <c r="W1476">
        <f t="shared" si="324"/>
        <v>157</v>
      </c>
      <c r="X1476">
        <f t="shared" si="325"/>
        <v>0.35149999999999998</v>
      </c>
      <c r="Y1476" s="1">
        <f t="shared" si="326"/>
        <v>27172781</v>
      </c>
      <c r="Z1476">
        <f t="shared" si="327"/>
        <v>51659.279467680608</v>
      </c>
      <c r="AA1476">
        <f t="shared" si="328"/>
        <v>99996</v>
      </c>
      <c r="AB1476">
        <f t="shared" si="329"/>
        <v>5091</v>
      </c>
      <c r="AC1476">
        <f t="shared" si="330"/>
        <v>735396.27999999968</v>
      </c>
      <c r="AD1476">
        <f t="shared" si="331"/>
        <v>1398.0917870722428</v>
      </c>
      <c r="AE1476">
        <f t="shared" si="332"/>
        <v>0.35149999999999998</v>
      </c>
      <c r="AF1476">
        <f t="shared" si="333"/>
        <v>188426544.45000008</v>
      </c>
      <c r="AG1476" t="str">
        <f t="shared" si="334"/>
        <v>Active</v>
      </c>
      <c r="AH1476">
        <f t="shared" si="335"/>
        <v>4396.32</v>
      </c>
    </row>
    <row r="1477" spans="1:34" x14ac:dyDescent="0.35">
      <c r="A1477" t="s">
        <v>3910</v>
      </c>
      <c r="B1477" t="s">
        <v>3911</v>
      </c>
      <c r="C1477">
        <v>33</v>
      </c>
      <c r="D1477" t="s">
        <v>22</v>
      </c>
      <c r="E1477" t="s">
        <v>32</v>
      </c>
      <c r="F1477" t="s">
        <v>59</v>
      </c>
      <c r="G1477">
        <v>111459</v>
      </c>
      <c r="H1477">
        <v>749</v>
      </c>
      <c r="I1477">
        <v>17096</v>
      </c>
      <c r="J1477">
        <v>17.02</v>
      </c>
      <c r="K1477">
        <v>120</v>
      </c>
      <c r="L1477" t="s">
        <v>52</v>
      </c>
      <c r="M1477">
        <v>45.34</v>
      </c>
      <c r="N1477">
        <v>6558</v>
      </c>
      <c r="O1477">
        <v>41669</v>
      </c>
      <c r="P1477" t="s">
        <v>3912</v>
      </c>
      <c r="Q1477" t="s">
        <v>42</v>
      </c>
      <c r="R1477" t="s">
        <v>48</v>
      </c>
      <c r="S1477" t="s">
        <v>49</v>
      </c>
      <c r="T1477">
        <v>166.71</v>
      </c>
      <c r="U1477">
        <f t="shared" si="322"/>
        <v>525</v>
      </c>
      <c r="V1477">
        <f t="shared" si="323"/>
        <v>195</v>
      </c>
      <c r="W1477">
        <f t="shared" si="324"/>
        <v>156</v>
      </c>
      <c r="X1477">
        <f t="shared" si="325"/>
        <v>0.35149999999999998</v>
      </c>
      <c r="Y1477" s="1">
        <f t="shared" si="326"/>
        <v>27097346</v>
      </c>
      <c r="Z1477">
        <f t="shared" si="327"/>
        <v>51613.992380952383</v>
      </c>
      <c r="AA1477">
        <f t="shared" si="328"/>
        <v>99996</v>
      </c>
      <c r="AB1477">
        <f t="shared" si="329"/>
        <v>5091</v>
      </c>
      <c r="AC1477">
        <f t="shared" si="330"/>
        <v>735029.91999999969</v>
      </c>
      <c r="AD1477">
        <f t="shared" si="331"/>
        <v>1400.0569904761899</v>
      </c>
      <c r="AE1477">
        <f t="shared" si="332"/>
        <v>0.35149999999999998</v>
      </c>
      <c r="AF1477">
        <f t="shared" si="333"/>
        <v>187691148.17000008</v>
      </c>
      <c r="AG1477" t="str">
        <f t="shared" si="334"/>
        <v>Active</v>
      </c>
      <c r="AH1477">
        <f t="shared" si="335"/>
        <v>2000.52</v>
      </c>
    </row>
    <row r="1478" spans="1:34" x14ac:dyDescent="0.35">
      <c r="A1478" t="s">
        <v>3913</v>
      </c>
      <c r="B1478" t="s">
        <v>3914</v>
      </c>
      <c r="C1478">
        <v>40</v>
      </c>
      <c r="D1478" t="s">
        <v>22</v>
      </c>
      <c r="E1478" t="s">
        <v>32</v>
      </c>
      <c r="F1478" t="s">
        <v>24</v>
      </c>
      <c r="G1478">
        <v>137061</v>
      </c>
      <c r="H1478">
        <v>337</v>
      </c>
      <c r="I1478">
        <v>66340</v>
      </c>
      <c r="J1478">
        <v>19.57</v>
      </c>
      <c r="K1478">
        <v>48</v>
      </c>
      <c r="L1478" t="s">
        <v>52</v>
      </c>
      <c r="M1478">
        <v>48.68</v>
      </c>
      <c r="N1478">
        <v>66886</v>
      </c>
      <c r="O1478">
        <v>263</v>
      </c>
      <c r="P1478" t="s">
        <v>3588</v>
      </c>
      <c r="Q1478" t="s">
        <v>27</v>
      </c>
      <c r="R1478" t="s">
        <v>48</v>
      </c>
      <c r="S1478" t="s">
        <v>35</v>
      </c>
      <c r="T1478">
        <v>1652.56</v>
      </c>
      <c r="U1478">
        <f t="shared" si="322"/>
        <v>524</v>
      </c>
      <c r="V1478">
        <f t="shared" si="323"/>
        <v>194</v>
      </c>
      <c r="W1478">
        <f t="shared" si="324"/>
        <v>156</v>
      </c>
      <c r="X1478">
        <f t="shared" si="325"/>
        <v>0.35149999999999998</v>
      </c>
      <c r="Y1478" s="1">
        <f t="shared" si="326"/>
        <v>27080250</v>
      </c>
      <c r="Z1478">
        <f t="shared" si="327"/>
        <v>51679.866412213742</v>
      </c>
      <c r="AA1478">
        <f t="shared" si="328"/>
        <v>99996</v>
      </c>
      <c r="AB1478">
        <f t="shared" si="329"/>
        <v>5091</v>
      </c>
      <c r="AC1478">
        <f t="shared" si="330"/>
        <v>734863.20999999961</v>
      </c>
      <c r="AD1478">
        <f t="shared" si="331"/>
        <v>1402.4107061068694</v>
      </c>
      <c r="AE1478">
        <f t="shared" si="332"/>
        <v>0.35149999999999998</v>
      </c>
      <c r="AF1478">
        <f t="shared" si="333"/>
        <v>186956118.25000006</v>
      </c>
      <c r="AG1478" t="str">
        <f t="shared" si="334"/>
        <v>Active</v>
      </c>
      <c r="AH1478">
        <f t="shared" si="335"/>
        <v>19830.72</v>
      </c>
    </row>
    <row r="1479" spans="1:34" x14ac:dyDescent="0.35">
      <c r="A1479" t="s">
        <v>3915</v>
      </c>
      <c r="B1479" t="s">
        <v>3916</v>
      </c>
      <c r="C1479">
        <v>29</v>
      </c>
      <c r="D1479" t="s">
        <v>22</v>
      </c>
      <c r="E1479" t="s">
        <v>39</v>
      </c>
      <c r="F1479" t="s">
        <v>24</v>
      </c>
      <c r="G1479">
        <v>89437</v>
      </c>
      <c r="H1479">
        <v>517</v>
      </c>
      <c r="I1479">
        <v>87937</v>
      </c>
      <c r="J1479">
        <v>5.96</v>
      </c>
      <c r="K1479">
        <v>12</v>
      </c>
      <c r="L1479" t="s">
        <v>33</v>
      </c>
      <c r="M1479">
        <v>15.67</v>
      </c>
      <c r="N1479">
        <v>74377</v>
      </c>
      <c r="O1479">
        <v>232062</v>
      </c>
      <c r="P1479" t="s">
        <v>2561</v>
      </c>
      <c r="Q1479" t="s">
        <v>27</v>
      </c>
      <c r="R1479" t="s">
        <v>48</v>
      </c>
      <c r="S1479" t="s">
        <v>68</v>
      </c>
      <c r="T1479">
        <v>7764.84</v>
      </c>
      <c r="U1479">
        <f t="shared" si="322"/>
        <v>523</v>
      </c>
      <c r="V1479">
        <f t="shared" si="323"/>
        <v>194</v>
      </c>
      <c r="W1479">
        <f t="shared" si="324"/>
        <v>156</v>
      </c>
      <c r="X1479">
        <f t="shared" si="325"/>
        <v>0.35149999999999998</v>
      </c>
      <c r="Y1479" s="1">
        <f t="shared" si="326"/>
        <v>27013910</v>
      </c>
      <c r="Z1479">
        <f t="shared" si="327"/>
        <v>51651.835564053537</v>
      </c>
      <c r="AA1479">
        <f t="shared" si="328"/>
        <v>99996</v>
      </c>
      <c r="AB1479">
        <f t="shared" si="329"/>
        <v>5091</v>
      </c>
      <c r="AC1479">
        <f t="shared" si="330"/>
        <v>733210.64999999967</v>
      </c>
      <c r="AD1479">
        <f t="shared" si="331"/>
        <v>1401.9324091778196</v>
      </c>
      <c r="AE1479">
        <f t="shared" si="332"/>
        <v>0.35149999999999998</v>
      </c>
      <c r="AF1479">
        <f t="shared" si="333"/>
        <v>186221255.04000005</v>
      </c>
      <c r="AG1479" t="str">
        <f t="shared" si="334"/>
        <v>Active</v>
      </c>
      <c r="AH1479">
        <f t="shared" si="335"/>
        <v>93178.08</v>
      </c>
    </row>
    <row r="1480" spans="1:34" x14ac:dyDescent="0.35">
      <c r="A1480" t="s">
        <v>3917</v>
      </c>
      <c r="B1480" t="s">
        <v>3918</v>
      </c>
      <c r="C1480">
        <v>26</v>
      </c>
      <c r="D1480" t="s">
        <v>38</v>
      </c>
      <c r="E1480" t="s">
        <v>32</v>
      </c>
      <c r="F1480" t="s">
        <v>24</v>
      </c>
      <c r="G1480">
        <v>91364</v>
      </c>
      <c r="H1480">
        <v>300</v>
      </c>
      <c r="I1480">
        <v>76601</v>
      </c>
      <c r="J1480">
        <v>5.84</v>
      </c>
      <c r="K1480">
        <v>240</v>
      </c>
      <c r="L1480" t="s">
        <v>52</v>
      </c>
      <c r="M1480">
        <v>21.97</v>
      </c>
      <c r="N1480">
        <v>30976</v>
      </c>
      <c r="O1480">
        <v>172820</v>
      </c>
      <c r="P1480" t="s">
        <v>3919</v>
      </c>
      <c r="Q1480" t="s">
        <v>42</v>
      </c>
      <c r="R1480" t="s">
        <v>48</v>
      </c>
      <c r="S1480" t="s">
        <v>35</v>
      </c>
      <c r="T1480">
        <v>337.81</v>
      </c>
      <c r="U1480">
        <f t="shared" si="322"/>
        <v>522</v>
      </c>
      <c r="V1480">
        <f t="shared" si="323"/>
        <v>194</v>
      </c>
      <c r="W1480">
        <f t="shared" si="324"/>
        <v>156</v>
      </c>
      <c r="X1480">
        <f t="shared" si="325"/>
        <v>0.35149999999999998</v>
      </c>
      <c r="Y1480" s="1">
        <f t="shared" si="326"/>
        <v>26925973</v>
      </c>
      <c r="Z1480">
        <f t="shared" si="327"/>
        <v>51582.323754789271</v>
      </c>
      <c r="AA1480">
        <f t="shared" si="328"/>
        <v>99996</v>
      </c>
      <c r="AB1480">
        <f t="shared" si="329"/>
        <v>5091</v>
      </c>
      <c r="AC1480">
        <f t="shared" si="330"/>
        <v>725445.80999999971</v>
      </c>
      <c r="AD1480">
        <f t="shared" si="331"/>
        <v>1389.7429310344821</v>
      </c>
      <c r="AE1480">
        <f t="shared" si="332"/>
        <v>0.35149999999999998</v>
      </c>
      <c r="AF1480">
        <f t="shared" si="333"/>
        <v>185488044.39000005</v>
      </c>
      <c r="AG1480" t="str">
        <f t="shared" si="334"/>
        <v>Over Paid</v>
      </c>
      <c r="AH1480">
        <f t="shared" si="335"/>
        <v>4053.7200000000003</v>
      </c>
    </row>
    <row r="1481" spans="1:34" x14ac:dyDescent="0.35">
      <c r="A1481" t="s">
        <v>3920</v>
      </c>
      <c r="B1481" t="s">
        <v>3921</v>
      </c>
      <c r="C1481">
        <v>59</v>
      </c>
      <c r="D1481" t="s">
        <v>22</v>
      </c>
      <c r="E1481" t="s">
        <v>32</v>
      </c>
      <c r="F1481" t="s">
        <v>24</v>
      </c>
      <c r="G1481">
        <v>196339</v>
      </c>
      <c r="H1481">
        <v>389</v>
      </c>
      <c r="I1481">
        <v>82286</v>
      </c>
      <c r="J1481">
        <v>6.25</v>
      </c>
      <c r="K1481">
        <v>24</v>
      </c>
      <c r="L1481" t="s">
        <v>33</v>
      </c>
      <c r="M1481">
        <v>19.899999999999999</v>
      </c>
      <c r="N1481">
        <v>16538</v>
      </c>
      <c r="O1481">
        <v>146789</v>
      </c>
      <c r="P1481" t="s">
        <v>3323</v>
      </c>
      <c r="Q1481" t="s">
        <v>27</v>
      </c>
      <c r="R1481" t="s">
        <v>28</v>
      </c>
      <c r="S1481" t="s">
        <v>29</v>
      </c>
      <c r="T1481">
        <v>3642.87</v>
      </c>
      <c r="U1481">
        <f t="shared" si="322"/>
        <v>521</v>
      </c>
      <c r="V1481">
        <f t="shared" si="323"/>
        <v>193</v>
      </c>
      <c r="W1481">
        <f t="shared" si="324"/>
        <v>156</v>
      </c>
      <c r="X1481">
        <f t="shared" si="325"/>
        <v>0.35149999999999998</v>
      </c>
      <c r="Y1481" s="1">
        <f t="shared" si="326"/>
        <v>26849372</v>
      </c>
      <c r="Z1481">
        <f t="shared" si="327"/>
        <v>51534.303262955851</v>
      </c>
      <c r="AA1481">
        <f t="shared" si="328"/>
        <v>99996</v>
      </c>
      <c r="AB1481">
        <f t="shared" si="329"/>
        <v>5091</v>
      </c>
      <c r="AC1481">
        <f t="shared" si="330"/>
        <v>725107.99999999977</v>
      </c>
      <c r="AD1481">
        <f t="shared" si="331"/>
        <v>1391.7619961612279</v>
      </c>
      <c r="AE1481">
        <f t="shared" si="332"/>
        <v>0.35149999999999998</v>
      </c>
      <c r="AF1481">
        <f t="shared" si="333"/>
        <v>184762598.58000004</v>
      </c>
      <c r="AG1481" t="str">
        <f t="shared" si="334"/>
        <v>Active</v>
      </c>
      <c r="AH1481">
        <f t="shared" si="335"/>
        <v>43714.44</v>
      </c>
    </row>
    <row r="1482" spans="1:34" x14ac:dyDescent="0.35">
      <c r="A1482" t="s">
        <v>3922</v>
      </c>
      <c r="B1482" t="s">
        <v>3923</v>
      </c>
      <c r="C1482">
        <v>38</v>
      </c>
      <c r="D1482" t="s">
        <v>38</v>
      </c>
      <c r="E1482" t="s">
        <v>39</v>
      </c>
      <c r="F1482" t="s">
        <v>59</v>
      </c>
      <c r="G1482">
        <v>199703</v>
      </c>
      <c r="H1482">
        <v>790</v>
      </c>
      <c r="I1482">
        <v>6772</v>
      </c>
      <c r="J1482">
        <v>15.78</v>
      </c>
      <c r="K1482">
        <v>48</v>
      </c>
      <c r="L1482" t="s">
        <v>40</v>
      </c>
      <c r="M1482">
        <v>48.76</v>
      </c>
      <c r="N1482">
        <v>31354</v>
      </c>
      <c r="O1482">
        <v>88752</v>
      </c>
      <c r="P1482" t="s">
        <v>3924</v>
      </c>
      <c r="Q1482" t="s">
        <v>42</v>
      </c>
      <c r="R1482" t="s">
        <v>48</v>
      </c>
      <c r="S1482" t="s">
        <v>43</v>
      </c>
      <c r="T1482">
        <v>163.35</v>
      </c>
      <c r="U1482">
        <f t="shared" si="322"/>
        <v>520</v>
      </c>
      <c r="V1482">
        <f t="shared" si="323"/>
        <v>193</v>
      </c>
      <c r="W1482">
        <f t="shared" si="324"/>
        <v>156</v>
      </c>
      <c r="X1482">
        <f t="shared" si="325"/>
        <v>0.35149999999999998</v>
      </c>
      <c r="Y1482" s="1">
        <f t="shared" si="326"/>
        <v>26767086</v>
      </c>
      <c r="Z1482">
        <f t="shared" si="327"/>
        <v>51475.165384615386</v>
      </c>
      <c r="AA1482">
        <f t="shared" si="328"/>
        <v>99996</v>
      </c>
      <c r="AB1482">
        <f t="shared" si="329"/>
        <v>5091</v>
      </c>
      <c r="AC1482">
        <f t="shared" si="330"/>
        <v>721465.12999999977</v>
      </c>
      <c r="AD1482">
        <f t="shared" si="331"/>
        <v>1387.432942307692</v>
      </c>
      <c r="AE1482">
        <f t="shared" si="332"/>
        <v>0.35149999999999998</v>
      </c>
      <c r="AF1482">
        <f t="shared" si="333"/>
        <v>184037490.58000004</v>
      </c>
      <c r="AG1482" t="str">
        <f t="shared" si="334"/>
        <v>Active</v>
      </c>
      <c r="AH1482">
        <f t="shared" si="335"/>
        <v>1960.1999999999998</v>
      </c>
    </row>
    <row r="1483" spans="1:34" x14ac:dyDescent="0.35">
      <c r="A1483" t="s">
        <v>3925</v>
      </c>
      <c r="B1483" t="s">
        <v>3926</v>
      </c>
      <c r="C1483">
        <v>50</v>
      </c>
      <c r="D1483" t="s">
        <v>22</v>
      </c>
      <c r="E1483" t="s">
        <v>32</v>
      </c>
      <c r="F1483" t="s">
        <v>24</v>
      </c>
      <c r="G1483">
        <v>193142</v>
      </c>
      <c r="H1483">
        <v>462</v>
      </c>
      <c r="I1483">
        <v>81092</v>
      </c>
      <c r="J1483">
        <v>4</v>
      </c>
      <c r="K1483">
        <v>240</v>
      </c>
      <c r="L1483" t="s">
        <v>52</v>
      </c>
      <c r="M1483">
        <v>45.43</v>
      </c>
      <c r="N1483">
        <v>73714</v>
      </c>
      <c r="O1483">
        <v>84494</v>
      </c>
      <c r="P1483" t="s">
        <v>3927</v>
      </c>
      <c r="Q1483" t="s">
        <v>42</v>
      </c>
      <c r="R1483" t="s">
        <v>48</v>
      </c>
      <c r="S1483" t="s">
        <v>29</v>
      </c>
      <c r="T1483">
        <v>351.4</v>
      </c>
      <c r="U1483">
        <f t="shared" si="322"/>
        <v>519</v>
      </c>
      <c r="V1483">
        <f t="shared" si="323"/>
        <v>192</v>
      </c>
      <c r="W1483">
        <f t="shared" si="324"/>
        <v>156</v>
      </c>
      <c r="X1483">
        <f t="shared" si="325"/>
        <v>0.35149999999999998</v>
      </c>
      <c r="Y1483" s="1">
        <f t="shared" si="326"/>
        <v>26760314</v>
      </c>
      <c r="Z1483">
        <f t="shared" si="327"/>
        <v>51561.298651252408</v>
      </c>
      <c r="AA1483">
        <f t="shared" si="328"/>
        <v>99996</v>
      </c>
      <c r="AB1483">
        <f t="shared" si="329"/>
        <v>5091</v>
      </c>
      <c r="AC1483">
        <f t="shared" si="330"/>
        <v>721301.77999999991</v>
      </c>
      <c r="AD1483">
        <f t="shared" si="331"/>
        <v>1389.7914836223506</v>
      </c>
      <c r="AE1483">
        <f t="shared" si="332"/>
        <v>0.35149999999999998</v>
      </c>
      <c r="AF1483">
        <f t="shared" si="333"/>
        <v>183316025.45000002</v>
      </c>
      <c r="AG1483" t="str">
        <f t="shared" si="334"/>
        <v>Active</v>
      </c>
      <c r="AH1483">
        <f t="shared" si="335"/>
        <v>4216.7999999999993</v>
      </c>
    </row>
    <row r="1484" spans="1:34" x14ac:dyDescent="0.35">
      <c r="A1484" t="s">
        <v>3928</v>
      </c>
      <c r="B1484" t="s">
        <v>3929</v>
      </c>
      <c r="C1484">
        <v>47</v>
      </c>
      <c r="D1484" t="s">
        <v>38</v>
      </c>
      <c r="E1484" t="s">
        <v>39</v>
      </c>
      <c r="F1484" t="s">
        <v>46</v>
      </c>
      <c r="G1484">
        <v>165014</v>
      </c>
      <c r="H1484">
        <v>532</v>
      </c>
      <c r="I1484">
        <v>52821</v>
      </c>
      <c r="J1484">
        <v>7.18</v>
      </c>
      <c r="K1484">
        <v>240</v>
      </c>
      <c r="L1484" t="s">
        <v>40</v>
      </c>
      <c r="M1484">
        <v>37.340000000000003</v>
      </c>
      <c r="N1484">
        <v>61633</v>
      </c>
      <c r="O1484">
        <v>147730</v>
      </c>
      <c r="P1484" t="s">
        <v>3930</v>
      </c>
      <c r="Q1484" t="s">
        <v>61</v>
      </c>
      <c r="R1484" t="s">
        <v>28</v>
      </c>
      <c r="S1484" t="s">
        <v>29</v>
      </c>
      <c r="T1484">
        <v>235.89</v>
      </c>
      <c r="U1484">
        <f t="shared" si="322"/>
        <v>518</v>
      </c>
      <c r="V1484">
        <f t="shared" si="323"/>
        <v>191</v>
      </c>
      <c r="W1484">
        <f t="shared" si="324"/>
        <v>156</v>
      </c>
      <c r="X1484">
        <f t="shared" si="325"/>
        <v>0.35149999999999998</v>
      </c>
      <c r="Y1484" s="1">
        <f t="shared" si="326"/>
        <v>26679222</v>
      </c>
      <c r="Z1484">
        <f t="shared" si="327"/>
        <v>51504.289575289578</v>
      </c>
      <c r="AA1484">
        <f t="shared" si="328"/>
        <v>99996</v>
      </c>
      <c r="AB1484">
        <f t="shared" si="329"/>
        <v>5091</v>
      </c>
      <c r="AC1484">
        <f t="shared" si="330"/>
        <v>720950.37999999989</v>
      </c>
      <c r="AD1484">
        <f t="shared" si="331"/>
        <v>1391.7961003861001</v>
      </c>
      <c r="AE1484">
        <f t="shared" si="332"/>
        <v>0.35149999999999998</v>
      </c>
      <c r="AF1484">
        <f t="shared" si="333"/>
        <v>182594723.67000002</v>
      </c>
      <c r="AG1484" t="str">
        <f t="shared" si="334"/>
        <v>Active</v>
      </c>
      <c r="AH1484">
        <f t="shared" si="335"/>
        <v>2830.68</v>
      </c>
    </row>
    <row r="1485" spans="1:34" x14ac:dyDescent="0.35">
      <c r="A1485" t="s">
        <v>3931</v>
      </c>
      <c r="B1485" t="s">
        <v>3932</v>
      </c>
      <c r="C1485">
        <v>62</v>
      </c>
      <c r="D1485" t="s">
        <v>22</v>
      </c>
      <c r="E1485" t="s">
        <v>32</v>
      </c>
      <c r="F1485" t="s">
        <v>59</v>
      </c>
      <c r="G1485">
        <v>187324</v>
      </c>
      <c r="H1485">
        <v>452</v>
      </c>
      <c r="I1485">
        <v>96015</v>
      </c>
      <c r="J1485">
        <v>5.66</v>
      </c>
      <c r="K1485">
        <v>24</v>
      </c>
      <c r="L1485" t="s">
        <v>86</v>
      </c>
      <c r="M1485">
        <v>34.79</v>
      </c>
      <c r="N1485">
        <v>25098</v>
      </c>
      <c r="O1485">
        <v>17765</v>
      </c>
      <c r="P1485" t="s">
        <v>1015</v>
      </c>
      <c r="Q1485" t="s">
        <v>61</v>
      </c>
      <c r="R1485" t="s">
        <v>28</v>
      </c>
      <c r="S1485" t="s">
        <v>43</v>
      </c>
      <c r="T1485">
        <v>4227.0600000000004</v>
      </c>
      <c r="U1485">
        <f t="shared" si="322"/>
        <v>517</v>
      </c>
      <c r="V1485">
        <f t="shared" si="323"/>
        <v>191</v>
      </c>
      <c r="W1485">
        <f t="shared" si="324"/>
        <v>155</v>
      </c>
      <c r="X1485">
        <f t="shared" si="325"/>
        <v>0.35149999999999998</v>
      </c>
      <c r="Y1485" s="1">
        <f t="shared" si="326"/>
        <v>26626401</v>
      </c>
      <c r="Z1485">
        <f t="shared" si="327"/>
        <v>51501.742746615084</v>
      </c>
      <c r="AA1485">
        <f t="shared" si="328"/>
        <v>99996</v>
      </c>
      <c r="AB1485">
        <f t="shared" si="329"/>
        <v>5091</v>
      </c>
      <c r="AC1485">
        <f t="shared" si="330"/>
        <v>720714.48999999987</v>
      </c>
      <c r="AD1485">
        <f t="shared" si="331"/>
        <v>1394.0318955512571</v>
      </c>
      <c r="AE1485">
        <f t="shared" si="332"/>
        <v>0.35149999999999998</v>
      </c>
      <c r="AF1485">
        <f t="shared" si="333"/>
        <v>181873773.28999996</v>
      </c>
      <c r="AG1485" t="str">
        <f t="shared" si="334"/>
        <v>Active</v>
      </c>
      <c r="AH1485">
        <f t="shared" si="335"/>
        <v>50724.72</v>
      </c>
    </row>
    <row r="1486" spans="1:34" x14ac:dyDescent="0.35">
      <c r="A1486" t="s">
        <v>3933</v>
      </c>
      <c r="B1486" t="s">
        <v>3934</v>
      </c>
      <c r="C1486">
        <v>29</v>
      </c>
      <c r="D1486" t="s">
        <v>22</v>
      </c>
      <c r="E1486" t="s">
        <v>32</v>
      </c>
      <c r="F1486" t="s">
        <v>46</v>
      </c>
      <c r="G1486">
        <v>66502</v>
      </c>
      <c r="H1486">
        <v>379</v>
      </c>
      <c r="I1486">
        <v>23323</v>
      </c>
      <c r="J1486">
        <v>18.39</v>
      </c>
      <c r="K1486">
        <v>12</v>
      </c>
      <c r="L1486" t="s">
        <v>33</v>
      </c>
      <c r="M1486">
        <v>23.57</v>
      </c>
      <c r="N1486">
        <v>28889</v>
      </c>
      <c r="O1486">
        <v>241648</v>
      </c>
      <c r="P1486" t="s">
        <v>1619</v>
      </c>
      <c r="Q1486" t="s">
        <v>42</v>
      </c>
      <c r="R1486" t="s">
        <v>48</v>
      </c>
      <c r="S1486" t="s">
        <v>43</v>
      </c>
      <c r="T1486">
        <v>2301.0100000000002</v>
      </c>
      <c r="U1486">
        <f t="shared" si="322"/>
        <v>516</v>
      </c>
      <c r="V1486">
        <f t="shared" si="323"/>
        <v>191</v>
      </c>
      <c r="W1486">
        <f t="shared" si="324"/>
        <v>154</v>
      </c>
      <c r="X1486">
        <f t="shared" si="325"/>
        <v>0.35149999999999998</v>
      </c>
      <c r="Y1486" s="1">
        <f t="shared" si="326"/>
        <v>26530386</v>
      </c>
      <c r="Z1486">
        <f t="shared" si="327"/>
        <v>51415.476744186046</v>
      </c>
      <c r="AA1486">
        <f t="shared" si="328"/>
        <v>99996</v>
      </c>
      <c r="AB1486">
        <f t="shared" si="329"/>
        <v>5091</v>
      </c>
      <c r="AC1486">
        <f t="shared" si="330"/>
        <v>716487.42999999993</v>
      </c>
      <c r="AD1486">
        <f t="shared" si="331"/>
        <v>1388.5415310077517</v>
      </c>
      <c r="AE1486">
        <f t="shared" si="332"/>
        <v>0.35149999999999998</v>
      </c>
      <c r="AF1486">
        <f t="shared" si="333"/>
        <v>181153058.79999998</v>
      </c>
      <c r="AG1486" t="str">
        <f t="shared" si="334"/>
        <v>Active</v>
      </c>
      <c r="AH1486">
        <f t="shared" si="335"/>
        <v>27612.120000000003</v>
      </c>
    </row>
    <row r="1487" spans="1:34" x14ac:dyDescent="0.35">
      <c r="A1487" t="s">
        <v>3935</v>
      </c>
      <c r="B1487" t="s">
        <v>3936</v>
      </c>
      <c r="C1487">
        <v>25</v>
      </c>
      <c r="D1487" t="s">
        <v>22</v>
      </c>
      <c r="E1487" t="s">
        <v>32</v>
      </c>
      <c r="F1487" t="s">
        <v>46</v>
      </c>
      <c r="G1487">
        <v>116821</v>
      </c>
      <c r="H1487">
        <v>373</v>
      </c>
      <c r="I1487">
        <v>26558</v>
      </c>
      <c r="J1487">
        <v>4.43</v>
      </c>
      <c r="K1487">
        <v>36</v>
      </c>
      <c r="L1487" t="s">
        <v>52</v>
      </c>
      <c r="M1487">
        <v>56.26</v>
      </c>
      <c r="N1487">
        <v>34742</v>
      </c>
      <c r="O1487">
        <v>137462</v>
      </c>
      <c r="P1487" t="s">
        <v>3785</v>
      </c>
      <c r="Q1487" t="s">
        <v>42</v>
      </c>
      <c r="R1487" t="s">
        <v>28</v>
      </c>
      <c r="S1487" t="s">
        <v>68</v>
      </c>
      <c r="T1487">
        <v>770.4</v>
      </c>
      <c r="U1487">
        <f t="shared" si="322"/>
        <v>515</v>
      </c>
      <c r="V1487">
        <f t="shared" si="323"/>
        <v>190</v>
      </c>
      <c r="W1487">
        <f t="shared" si="324"/>
        <v>154</v>
      </c>
      <c r="X1487">
        <f t="shared" si="325"/>
        <v>0.35149999999999998</v>
      </c>
      <c r="Y1487" s="1">
        <f t="shared" si="326"/>
        <v>26507063</v>
      </c>
      <c r="Z1487">
        <f t="shared" si="327"/>
        <v>51470.025242718446</v>
      </c>
      <c r="AA1487">
        <f t="shared" si="328"/>
        <v>99996</v>
      </c>
      <c r="AB1487">
        <f t="shared" si="329"/>
        <v>5091</v>
      </c>
      <c r="AC1487">
        <f t="shared" si="330"/>
        <v>714186.41999999993</v>
      </c>
      <c r="AD1487">
        <f t="shared" si="331"/>
        <v>1386.7697475728153</v>
      </c>
      <c r="AE1487">
        <f t="shared" si="332"/>
        <v>0.35149999999999998</v>
      </c>
      <c r="AF1487">
        <f t="shared" si="333"/>
        <v>180436571.36999997</v>
      </c>
      <c r="AG1487" t="str">
        <f t="shared" si="334"/>
        <v>Over Paid</v>
      </c>
      <c r="AH1487">
        <f t="shared" si="335"/>
        <v>9244.7999999999993</v>
      </c>
    </row>
    <row r="1488" spans="1:34" x14ac:dyDescent="0.35">
      <c r="A1488" t="s">
        <v>3937</v>
      </c>
      <c r="B1488" t="s">
        <v>3938</v>
      </c>
      <c r="C1488">
        <v>30</v>
      </c>
      <c r="D1488" t="s">
        <v>38</v>
      </c>
      <c r="E1488" t="s">
        <v>23</v>
      </c>
      <c r="F1488" t="s">
        <v>24</v>
      </c>
      <c r="G1488">
        <v>173610</v>
      </c>
      <c r="H1488">
        <v>480</v>
      </c>
      <c r="I1488">
        <v>93628</v>
      </c>
      <c r="J1488">
        <v>18.559999999999999</v>
      </c>
      <c r="K1488">
        <v>60</v>
      </c>
      <c r="L1488" t="s">
        <v>52</v>
      </c>
      <c r="M1488">
        <v>33.450000000000003</v>
      </c>
      <c r="N1488">
        <v>52339</v>
      </c>
      <c r="O1488">
        <v>40679</v>
      </c>
      <c r="P1488" t="s">
        <v>2976</v>
      </c>
      <c r="Q1488" t="s">
        <v>42</v>
      </c>
      <c r="R1488" t="s">
        <v>48</v>
      </c>
      <c r="S1488" t="s">
        <v>68</v>
      </c>
      <c r="T1488">
        <v>1850.09</v>
      </c>
      <c r="U1488">
        <f t="shared" si="322"/>
        <v>514</v>
      </c>
      <c r="V1488">
        <f t="shared" si="323"/>
        <v>189</v>
      </c>
      <c r="W1488">
        <f t="shared" si="324"/>
        <v>154</v>
      </c>
      <c r="X1488">
        <f t="shared" si="325"/>
        <v>0.35149999999999998</v>
      </c>
      <c r="Y1488" s="1">
        <f t="shared" si="326"/>
        <v>26480505</v>
      </c>
      <c r="Z1488">
        <f t="shared" si="327"/>
        <v>51518.492217898834</v>
      </c>
      <c r="AA1488">
        <f t="shared" si="328"/>
        <v>99996</v>
      </c>
      <c r="AB1488">
        <f t="shared" si="329"/>
        <v>5091</v>
      </c>
      <c r="AC1488">
        <f t="shared" si="330"/>
        <v>713416.0199999999</v>
      </c>
      <c r="AD1488">
        <f t="shared" si="331"/>
        <v>1387.9689105058364</v>
      </c>
      <c r="AE1488">
        <f t="shared" si="332"/>
        <v>0.35149999999999998</v>
      </c>
      <c r="AF1488">
        <f t="shared" si="333"/>
        <v>179722384.94999996</v>
      </c>
      <c r="AG1488" t="str">
        <f t="shared" si="334"/>
        <v>Active</v>
      </c>
      <c r="AH1488">
        <f t="shared" si="335"/>
        <v>22201.079999999998</v>
      </c>
    </row>
    <row r="1489" spans="1:34" x14ac:dyDescent="0.35">
      <c r="A1489" t="s">
        <v>3939</v>
      </c>
      <c r="B1489" t="s">
        <v>3940</v>
      </c>
      <c r="C1489">
        <v>30</v>
      </c>
      <c r="D1489" t="s">
        <v>38</v>
      </c>
      <c r="E1489" t="s">
        <v>32</v>
      </c>
      <c r="F1489" t="s">
        <v>59</v>
      </c>
      <c r="G1489">
        <v>58182</v>
      </c>
      <c r="H1489">
        <v>362</v>
      </c>
      <c r="I1489">
        <v>18593</v>
      </c>
      <c r="J1489">
        <v>12.76</v>
      </c>
      <c r="K1489">
        <v>180</v>
      </c>
      <c r="L1489" t="s">
        <v>40</v>
      </c>
      <c r="M1489">
        <v>7.17</v>
      </c>
      <c r="N1489">
        <v>27871</v>
      </c>
      <c r="O1489">
        <v>238878</v>
      </c>
      <c r="P1489" t="s">
        <v>272</v>
      </c>
      <c r="Q1489" t="s">
        <v>27</v>
      </c>
      <c r="R1489" t="s">
        <v>48</v>
      </c>
      <c r="S1489" t="s">
        <v>35</v>
      </c>
      <c r="T1489">
        <v>116.47</v>
      </c>
      <c r="U1489">
        <f t="shared" si="322"/>
        <v>513</v>
      </c>
      <c r="V1489">
        <f t="shared" si="323"/>
        <v>188</v>
      </c>
      <c r="W1489">
        <f t="shared" si="324"/>
        <v>154</v>
      </c>
      <c r="X1489">
        <f t="shared" si="325"/>
        <v>0.35149999999999998</v>
      </c>
      <c r="Y1489" s="1">
        <f t="shared" si="326"/>
        <v>26386877</v>
      </c>
      <c r="Z1489">
        <f t="shared" si="327"/>
        <v>51436.407407407409</v>
      </c>
      <c r="AA1489">
        <f t="shared" si="328"/>
        <v>99996</v>
      </c>
      <c r="AB1489">
        <f t="shared" si="329"/>
        <v>5091</v>
      </c>
      <c r="AC1489">
        <f t="shared" si="330"/>
        <v>711565.92999999993</v>
      </c>
      <c r="AD1489">
        <f t="shared" si="331"/>
        <v>1387.0680896686158</v>
      </c>
      <c r="AE1489">
        <f t="shared" si="332"/>
        <v>0.35149999999999998</v>
      </c>
      <c r="AF1489">
        <f t="shared" si="333"/>
        <v>179008968.92999995</v>
      </c>
      <c r="AG1489" t="str">
        <f t="shared" si="334"/>
        <v>Active</v>
      </c>
      <c r="AH1489">
        <f t="shared" si="335"/>
        <v>1397.6399999999999</v>
      </c>
    </row>
    <row r="1490" spans="1:34" x14ac:dyDescent="0.35">
      <c r="A1490" t="s">
        <v>3941</v>
      </c>
      <c r="B1490" t="s">
        <v>3942</v>
      </c>
      <c r="C1490">
        <v>60</v>
      </c>
      <c r="D1490" t="s">
        <v>38</v>
      </c>
      <c r="E1490" t="s">
        <v>39</v>
      </c>
      <c r="F1490" t="s">
        <v>24</v>
      </c>
      <c r="G1490">
        <v>192221</v>
      </c>
      <c r="H1490">
        <v>696</v>
      </c>
      <c r="I1490">
        <v>5795</v>
      </c>
      <c r="J1490">
        <v>16.2</v>
      </c>
      <c r="K1490">
        <v>240</v>
      </c>
      <c r="L1490" t="s">
        <v>52</v>
      </c>
      <c r="M1490">
        <v>22.53</v>
      </c>
      <c r="N1490">
        <v>39308</v>
      </c>
      <c r="O1490">
        <v>71927</v>
      </c>
      <c r="P1490" t="s">
        <v>3943</v>
      </c>
      <c r="Q1490" t="s">
        <v>61</v>
      </c>
      <c r="R1490" t="s">
        <v>48</v>
      </c>
      <c r="S1490" t="s">
        <v>68</v>
      </c>
      <c r="T1490">
        <v>28.06</v>
      </c>
      <c r="U1490">
        <f t="shared" si="322"/>
        <v>512</v>
      </c>
      <c r="V1490">
        <f t="shared" si="323"/>
        <v>188</v>
      </c>
      <c r="W1490">
        <f t="shared" si="324"/>
        <v>154</v>
      </c>
      <c r="X1490">
        <f t="shared" si="325"/>
        <v>0.35149999999999998</v>
      </c>
      <c r="Y1490" s="1">
        <f t="shared" si="326"/>
        <v>26368284</v>
      </c>
      <c r="Z1490">
        <f t="shared" si="327"/>
        <v>51500.5546875</v>
      </c>
      <c r="AA1490">
        <f t="shared" si="328"/>
        <v>99996</v>
      </c>
      <c r="AB1490">
        <f t="shared" si="329"/>
        <v>5091</v>
      </c>
      <c r="AC1490">
        <f t="shared" si="330"/>
        <v>711449.46</v>
      </c>
      <c r="AD1490">
        <f t="shared" si="331"/>
        <v>1389.5497265624999</v>
      </c>
      <c r="AE1490">
        <f t="shared" si="332"/>
        <v>0.35149999999999998</v>
      </c>
      <c r="AF1490">
        <f t="shared" si="333"/>
        <v>178297402.99999997</v>
      </c>
      <c r="AG1490" t="str">
        <f t="shared" si="334"/>
        <v>Active</v>
      </c>
      <c r="AH1490">
        <f t="shared" si="335"/>
        <v>336.71999999999997</v>
      </c>
    </row>
    <row r="1491" spans="1:34" x14ac:dyDescent="0.35">
      <c r="A1491" t="s">
        <v>3944</v>
      </c>
      <c r="B1491" t="s">
        <v>3945</v>
      </c>
      <c r="C1491">
        <v>49</v>
      </c>
      <c r="D1491" t="s">
        <v>22</v>
      </c>
      <c r="E1491" t="s">
        <v>32</v>
      </c>
      <c r="F1491" t="s">
        <v>46</v>
      </c>
      <c r="G1491">
        <v>116429</v>
      </c>
      <c r="H1491">
        <v>586</v>
      </c>
      <c r="I1491">
        <v>35740</v>
      </c>
      <c r="J1491">
        <v>21.7</v>
      </c>
      <c r="K1491">
        <v>60</v>
      </c>
      <c r="L1491" t="s">
        <v>86</v>
      </c>
      <c r="M1491">
        <v>46.94</v>
      </c>
      <c r="N1491">
        <v>50248</v>
      </c>
      <c r="O1491">
        <v>32960</v>
      </c>
      <c r="P1491" t="s">
        <v>2672</v>
      </c>
      <c r="Q1491" t="s">
        <v>61</v>
      </c>
      <c r="R1491" t="s">
        <v>28</v>
      </c>
      <c r="S1491" t="s">
        <v>43</v>
      </c>
      <c r="T1491">
        <v>724.93</v>
      </c>
      <c r="U1491">
        <f t="shared" si="322"/>
        <v>511</v>
      </c>
      <c r="V1491">
        <f t="shared" si="323"/>
        <v>188</v>
      </c>
      <c r="W1491">
        <f t="shared" si="324"/>
        <v>153</v>
      </c>
      <c r="X1491">
        <f t="shared" si="325"/>
        <v>0.35149999999999998</v>
      </c>
      <c r="Y1491" s="1">
        <f t="shared" si="326"/>
        <v>26362489</v>
      </c>
      <c r="Z1491">
        <f t="shared" si="327"/>
        <v>51589.998043052838</v>
      </c>
      <c r="AA1491">
        <f t="shared" si="328"/>
        <v>99996</v>
      </c>
      <c r="AB1491">
        <f t="shared" si="329"/>
        <v>5091</v>
      </c>
      <c r="AC1491">
        <f t="shared" si="330"/>
        <v>711421.4</v>
      </c>
      <c r="AD1491">
        <f t="shared" si="331"/>
        <v>1392.2140900195695</v>
      </c>
      <c r="AE1491">
        <f t="shared" si="332"/>
        <v>0.35149999999999998</v>
      </c>
      <c r="AF1491">
        <f t="shared" si="333"/>
        <v>177585953.53999996</v>
      </c>
      <c r="AG1491" t="str">
        <f t="shared" si="334"/>
        <v>Active</v>
      </c>
      <c r="AH1491">
        <f t="shared" si="335"/>
        <v>8699.16</v>
      </c>
    </row>
    <row r="1492" spans="1:34" x14ac:dyDescent="0.35">
      <c r="A1492" t="s">
        <v>3946</v>
      </c>
      <c r="B1492" t="s">
        <v>3947</v>
      </c>
      <c r="C1492">
        <v>22</v>
      </c>
      <c r="D1492" t="s">
        <v>22</v>
      </c>
      <c r="E1492" t="s">
        <v>32</v>
      </c>
      <c r="F1492" t="s">
        <v>24</v>
      </c>
      <c r="G1492">
        <v>54048</v>
      </c>
      <c r="H1492">
        <v>775</v>
      </c>
      <c r="I1492">
        <v>50853</v>
      </c>
      <c r="J1492">
        <v>5.73</v>
      </c>
      <c r="K1492">
        <v>120</v>
      </c>
      <c r="L1492" t="s">
        <v>52</v>
      </c>
      <c r="M1492">
        <v>44.73</v>
      </c>
      <c r="N1492">
        <v>60521</v>
      </c>
      <c r="O1492">
        <v>5349</v>
      </c>
      <c r="P1492" t="s">
        <v>3948</v>
      </c>
      <c r="Q1492" t="s">
        <v>42</v>
      </c>
      <c r="R1492" t="s">
        <v>28</v>
      </c>
      <c r="S1492" t="s">
        <v>29</v>
      </c>
      <c r="T1492">
        <v>448.06</v>
      </c>
      <c r="U1492">
        <f t="shared" si="322"/>
        <v>510</v>
      </c>
      <c r="V1492">
        <f t="shared" si="323"/>
        <v>188</v>
      </c>
      <c r="W1492">
        <f t="shared" si="324"/>
        <v>152</v>
      </c>
      <c r="X1492">
        <f t="shared" si="325"/>
        <v>0.35149999999999998</v>
      </c>
      <c r="Y1492" s="1">
        <f t="shared" si="326"/>
        <v>26326749</v>
      </c>
      <c r="Z1492">
        <f t="shared" si="327"/>
        <v>51621.076470588232</v>
      </c>
      <c r="AA1492">
        <f t="shared" si="328"/>
        <v>99996</v>
      </c>
      <c r="AB1492">
        <f t="shared" si="329"/>
        <v>5091</v>
      </c>
      <c r="AC1492">
        <f t="shared" si="330"/>
        <v>710696.47</v>
      </c>
      <c r="AD1492">
        <f t="shared" si="331"/>
        <v>1393.5224901960785</v>
      </c>
      <c r="AE1492">
        <f t="shared" si="332"/>
        <v>0.35149999999999998</v>
      </c>
      <c r="AF1492">
        <f t="shared" si="333"/>
        <v>176874532.13999999</v>
      </c>
      <c r="AG1492" t="str">
        <f t="shared" si="334"/>
        <v>Active</v>
      </c>
      <c r="AH1492">
        <f t="shared" si="335"/>
        <v>5376.72</v>
      </c>
    </row>
    <row r="1493" spans="1:34" x14ac:dyDescent="0.35">
      <c r="A1493" t="s">
        <v>3949</v>
      </c>
      <c r="B1493" t="s">
        <v>3950</v>
      </c>
      <c r="C1493">
        <v>57</v>
      </c>
      <c r="D1493" t="s">
        <v>22</v>
      </c>
      <c r="E1493" t="s">
        <v>39</v>
      </c>
      <c r="F1493" t="s">
        <v>59</v>
      </c>
      <c r="G1493">
        <v>60293</v>
      </c>
      <c r="H1493">
        <v>504</v>
      </c>
      <c r="I1493">
        <v>63120</v>
      </c>
      <c r="J1493">
        <v>8.25</v>
      </c>
      <c r="K1493">
        <v>24</v>
      </c>
      <c r="L1493" t="s">
        <v>25</v>
      </c>
      <c r="M1493">
        <v>42.79</v>
      </c>
      <c r="N1493">
        <v>11972</v>
      </c>
      <c r="O1493">
        <v>156681</v>
      </c>
      <c r="P1493" t="s">
        <v>436</v>
      </c>
      <c r="Q1493" t="s">
        <v>42</v>
      </c>
      <c r="R1493" t="s">
        <v>48</v>
      </c>
      <c r="S1493" t="s">
        <v>29</v>
      </c>
      <c r="T1493">
        <v>2846.97</v>
      </c>
      <c r="U1493">
        <f t="shared" si="322"/>
        <v>509</v>
      </c>
      <c r="V1493">
        <f t="shared" si="323"/>
        <v>187</v>
      </c>
      <c r="W1493">
        <f t="shared" si="324"/>
        <v>152</v>
      </c>
      <c r="X1493">
        <f t="shared" si="325"/>
        <v>0.35149999999999998</v>
      </c>
      <c r="Y1493" s="1">
        <f t="shared" si="326"/>
        <v>26275896</v>
      </c>
      <c r="Z1493">
        <f t="shared" si="327"/>
        <v>51622.585461689589</v>
      </c>
      <c r="AA1493">
        <f t="shared" si="328"/>
        <v>99996</v>
      </c>
      <c r="AB1493">
        <f t="shared" si="329"/>
        <v>5091</v>
      </c>
      <c r="AC1493">
        <f t="shared" si="330"/>
        <v>710248.41</v>
      </c>
      <c r="AD1493">
        <f t="shared" si="331"/>
        <v>1395.3799803536347</v>
      </c>
      <c r="AE1493">
        <f t="shared" si="332"/>
        <v>0.35149999999999998</v>
      </c>
      <c r="AF1493">
        <f t="shared" si="333"/>
        <v>176163835.66999996</v>
      </c>
      <c r="AG1493" t="str">
        <f t="shared" si="334"/>
        <v>Active</v>
      </c>
      <c r="AH1493">
        <f t="shared" si="335"/>
        <v>34163.64</v>
      </c>
    </row>
    <row r="1494" spans="1:34" x14ac:dyDescent="0.35">
      <c r="A1494" t="s">
        <v>3951</v>
      </c>
      <c r="B1494" t="s">
        <v>3952</v>
      </c>
      <c r="C1494">
        <v>50</v>
      </c>
      <c r="D1494" t="s">
        <v>22</v>
      </c>
      <c r="E1494" t="s">
        <v>32</v>
      </c>
      <c r="F1494" t="s">
        <v>59</v>
      </c>
      <c r="G1494">
        <v>41409</v>
      </c>
      <c r="H1494">
        <v>639</v>
      </c>
      <c r="I1494">
        <v>67143</v>
      </c>
      <c r="J1494">
        <v>20.05</v>
      </c>
      <c r="K1494">
        <v>48</v>
      </c>
      <c r="L1494" t="s">
        <v>33</v>
      </c>
      <c r="M1494">
        <v>15.62</v>
      </c>
      <c r="N1494">
        <v>71308</v>
      </c>
      <c r="O1494">
        <v>25843</v>
      </c>
      <c r="P1494" t="s">
        <v>710</v>
      </c>
      <c r="Q1494" t="s">
        <v>42</v>
      </c>
      <c r="R1494" t="s">
        <v>48</v>
      </c>
      <c r="S1494" t="s">
        <v>68</v>
      </c>
      <c r="T1494">
        <v>1679.27</v>
      </c>
      <c r="U1494">
        <f t="shared" si="322"/>
        <v>508</v>
      </c>
      <c r="V1494">
        <f t="shared" si="323"/>
        <v>186</v>
      </c>
      <c r="W1494">
        <f t="shared" si="324"/>
        <v>152</v>
      </c>
      <c r="X1494">
        <f t="shared" si="325"/>
        <v>0.35149999999999998</v>
      </c>
      <c r="Y1494" s="1">
        <f t="shared" si="326"/>
        <v>26212776</v>
      </c>
      <c r="Z1494">
        <f t="shared" si="327"/>
        <v>51599.952755905513</v>
      </c>
      <c r="AA1494">
        <f t="shared" si="328"/>
        <v>99996</v>
      </c>
      <c r="AB1494">
        <f t="shared" si="329"/>
        <v>5091</v>
      </c>
      <c r="AC1494">
        <f t="shared" si="330"/>
        <v>707401.43999999983</v>
      </c>
      <c r="AD1494">
        <f t="shared" si="331"/>
        <v>1392.522519685039</v>
      </c>
      <c r="AE1494">
        <f t="shared" si="332"/>
        <v>0.35149999999999998</v>
      </c>
      <c r="AF1494">
        <f t="shared" si="333"/>
        <v>175453587.25999999</v>
      </c>
      <c r="AG1494" t="str">
        <f t="shared" si="334"/>
        <v>Active</v>
      </c>
      <c r="AH1494">
        <f t="shared" si="335"/>
        <v>20151.239999999998</v>
      </c>
    </row>
    <row r="1495" spans="1:34" x14ac:dyDescent="0.35">
      <c r="A1495" t="s">
        <v>3953</v>
      </c>
      <c r="B1495" t="s">
        <v>3954</v>
      </c>
      <c r="C1495">
        <v>33</v>
      </c>
      <c r="D1495" t="s">
        <v>22</v>
      </c>
      <c r="E1495" t="s">
        <v>23</v>
      </c>
      <c r="F1495" t="s">
        <v>24</v>
      </c>
      <c r="G1495">
        <v>162448</v>
      </c>
      <c r="H1495">
        <v>678</v>
      </c>
      <c r="I1495">
        <v>85972</v>
      </c>
      <c r="J1495">
        <v>14.33</v>
      </c>
      <c r="K1495">
        <v>60</v>
      </c>
      <c r="L1495" t="s">
        <v>86</v>
      </c>
      <c r="M1495">
        <v>18.89</v>
      </c>
      <c r="N1495">
        <v>24203</v>
      </c>
      <c r="O1495">
        <v>215573</v>
      </c>
      <c r="P1495" t="s">
        <v>3955</v>
      </c>
      <c r="Q1495" t="s">
        <v>27</v>
      </c>
      <c r="R1495" t="s">
        <v>48</v>
      </c>
      <c r="S1495" t="s">
        <v>43</v>
      </c>
      <c r="T1495">
        <v>1638.2</v>
      </c>
      <c r="U1495">
        <f t="shared" si="322"/>
        <v>507</v>
      </c>
      <c r="V1495">
        <f t="shared" si="323"/>
        <v>185</v>
      </c>
      <c r="W1495">
        <f t="shared" si="324"/>
        <v>152</v>
      </c>
      <c r="X1495">
        <f t="shared" si="325"/>
        <v>0.35149999999999998</v>
      </c>
      <c r="Y1495" s="1">
        <f t="shared" si="326"/>
        <v>26145633</v>
      </c>
      <c r="Z1495">
        <f t="shared" si="327"/>
        <v>51569.295857988167</v>
      </c>
      <c r="AA1495">
        <f t="shared" si="328"/>
        <v>99996</v>
      </c>
      <c r="AB1495">
        <f t="shared" si="329"/>
        <v>5091</v>
      </c>
      <c r="AC1495">
        <f t="shared" si="330"/>
        <v>705722.16999999981</v>
      </c>
      <c r="AD1495">
        <f t="shared" si="331"/>
        <v>1391.9569428007885</v>
      </c>
      <c r="AE1495">
        <f t="shared" si="332"/>
        <v>0.35149999999999998</v>
      </c>
      <c r="AF1495">
        <f t="shared" si="333"/>
        <v>174746185.82000002</v>
      </c>
      <c r="AG1495" t="str">
        <f t="shared" si="334"/>
        <v>Active</v>
      </c>
      <c r="AH1495">
        <f t="shared" si="335"/>
        <v>19658.400000000001</v>
      </c>
    </row>
    <row r="1496" spans="1:34" x14ac:dyDescent="0.35">
      <c r="A1496" t="s">
        <v>3956</v>
      </c>
      <c r="B1496" t="s">
        <v>3957</v>
      </c>
      <c r="C1496">
        <v>62</v>
      </c>
      <c r="D1496" t="s">
        <v>38</v>
      </c>
      <c r="E1496" t="s">
        <v>39</v>
      </c>
      <c r="F1496" t="s">
        <v>46</v>
      </c>
      <c r="G1496">
        <v>46772</v>
      </c>
      <c r="H1496">
        <v>496</v>
      </c>
      <c r="I1496">
        <v>63448</v>
      </c>
      <c r="J1496">
        <v>17.82</v>
      </c>
      <c r="K1496">
        <v>12</v>
      </c>
      <c r="L1496" t="s">
        <v>52</v>
      </c>
      <c r="M1496">
        <v>56.44</v>
      </c>
      <c r="N1496">
        <v>53439</v>
      </c>
      <c r="O1496">
        <v>124434</v>
      </c>
      <c r="P1496" t="s">
        <v>3958</v>
      </c>
      <c r="Q1496" t="s">
        <v>27</v>
      </c>
      <c r="R1496" t="s">
        <v>48</v>
      </c>
      <c r="S1496" t="s">
        <v>49</v>
      </c>
      <c r="T1496">
        <v>6229.54</v>
      </c>
      <c r="U1496">
        <f t="shared" si="322"/>
        <v>506</v>
      </c>
      <c r="V1496">
        <f t="shared" si="323"/>
        <v>185</v>
      </c>
      <c r="W1496">
        <f t="shared" si="324"/>
        <v>152</v>
      </c>
      <c r="X1496">
        <f t="shared" si="325"/>
        <v>0.35149999999999998</v>
      </c>
      <c r="Y1496" s="1">
        <f t="shared" si="326"/>
        <v>26059661</v>
      </c>
      <c r="Z1496">
        <f t="shared" si="327"/>
        <v>51501.306324110672</v>
      </c>
      <c r="AA1496">
        <f t="shared" si="328"/>
        <v>99996</v>
      </c>
      <c r="AB1496">
        <f t="shared" si="329"/>
        <v>5091</v>
      </c>
      <c r="AC1496">
        <f t="shared" si="330"/>
        <v>704083.96999999974</v>
      </c>
      <c r="AD1496">
        <f t="shared" si="331"/>
        <v>1391.4702964426872</v>
      </c>
      <c r="AE1496">
        <f t="shared" si="332"/>
        <v>0.35149999999999998</v>
      </c>
      <c r="AF1496">
        <f t="shared" si="333"/>
        <v>174040463.65000001</v>
      </c>
      <c r="AG1496" t="str">
        <f t="shared" si="334"/>
        <v>Active</v>
      </c>
      <c r="AH1496">
        <f t="shared" si="335"/>
        <v>74754.48</v>
      </c>
    </row>
    <row r="1497" spans="1:34" x14ac:dyDescent="0.35">
      <c r="A1497" t="s">
        <v>3959</v>
      </c>
      <c r="B1497" t="s">
        <v>3960</v>
      </c>
      <c r="C1497">
        <v>36</v>
      </c>
      <c r="D1497" t="s">
        <v>22</v>
      </c>
      <c r="E1497" t="s">
        <v>32</v>
      </c>
      <c r="F1497" t="s">
        <v>59</v>
      </c>
      <c r="G1497">
        <v>140068</v>
      </c>
      <c r="H1497">
        <v>823</v>
      </c>
      <c r="I1497">
        <v>5399</v>
      </c>
      <c r="J1497">
        <v>5.0599999999999996</v>
      </c>
      <c r="K1497">
        <v>120</v>
      </c>
      <c r="L1497" t="s">
        <v>40</v>
      </c>
      <c r="M1497">
        <v>52.97</v>
      </c>
      <c r="N1497">
        <v>52613</v>
      </c>
      <c r="O1497">
        <v>51467</v>
      </c>
      <c r="P1497" t="s">
        <v>3961</v>
      </c>
      <c r="Q1497" t="s">
        <v>27</v>
      </c>
      <c r="R1497" t="s">
        <v>48</v>
      </c>
      <c r="S1497" t="s">
        <v>49</v>
      </c>
      <c r="T1497">
        <v>47.27</v>
      </c>
      <c r="U1497">
        <f t="shared" si="322"/>
        <v>505</v>
      </c>
      <c r="V1497">
        <f t="shared" si="323"/>
        <v>185</v>
      </c>
      <c r="W1497">
        <f t="shared" si="324"/>
        <v>152</v>
      </c>
      <c r="X1497">
        <f t="shared" si="325"/>
        <v>0.35149999999999998</v>
      </c>
      <c r="Y1497" s="1">
        <f t="shared" si="326"/>
        <v>25996213</v>
      </c>
      <c r="Z1497">
        <f t="shared" si="327"/>
        <v>51477.649504950496</v>
      </c>
      <c r="AA1497">
        <f t="shared" si="328"/>
        <v>99996</v>
      </c>
      <c r="AB1497">
        <f t="shared" si="329"/>
        <v>5091</v>
      </c>
      <c r="AC1497">
        <f t="shared" si="330"/>
        <v>697854.4299999997</v>
      </c>
      <c r="AD1497">
        <f t="shared" si="331"/>
        <v>1381.889960396039</v>
      </c>
      <c r="AE1497">
        <f t="shared" si="332"/>
        <v>0.35149999999999998</v>
      </c>
      <c r="AF1497">
        <f t="shared" si="333"/>
        <v>173336379.68000001</v>
      </c>
      <c r="AG1497" t="str">
        <f t="shared" si="334"/>
        <v>Over Paid</v>
      </c>
      <c r="AH1497">
        <f t="shared" si="335"/>
        <v>567.24</v>
      </c>
    </row>
    <row r="1498" spans="1:34" x14ac:dyDescent="0.35">
      <c r="A1498" t="s">
        <v>3962</v>
      </c>
      <c r="B1498" t="s">
        <v>3963</v>
      </c>
      <c r="C1498">
        <v>61</v>
      </c>
      <c r="D1498" t="s">
        <v>22</v>
      </c>
      <c r="E1498" t="s">
        <v>39</v>
      </c>
      <c r="F1498" t="s">
        <v>59</v>
      </c>
      <c r="G1498">
        <v>50747</v>
      </c>
      <c r="H1498">
        <v>623</v>
      </c>
      <c r="I1498">
        <v>98830</v>
      </c>
      <c r="J1498">
        <v>16.87</v>
      </c>
      <c r="K1498">
        <v>240</v>
      </c>
      <c r="L1498" t="s">
        <v>33</v>
      </c>
      <c r="M1498">
        <v>32.119999999999997</v>
      </c>
      <c r="N1498">
        <v>9149</v>
      </c>
      <c r="O1498">
        <v>73023</v>
      </c>
      <c r="P1498" t="s">
        <v>3964</v>
      </c>
      <c r="Q1498" t="s">
        <v>27</v>
      </c>
      <c r="R1498" t="s">
        <v>28</v>
      </c>
      <c r="S1498" t="s">
        <v>35</v>
      </c>
      <c r="T1498">
        <v>481.26</v>
      </c>
      <c r="U1498">
        <f t="shared" si="322"/>
        <v>504</v>
      </c>
      <c r="V1498">
        <f t="shared" si="323"/>
        <v>185</v>
      </c>
      <c r="W1498">
        <f t="shared" si="324"/>
        <v>152</v>
      </c>
      <c r="X1498">
        <f t="shared" si="325"/>
        <v>0.35149999999999998</v>
      </c>
      <c r="Y1498" s="1">
        <f t="shared" si="326"/>
        <v>25990814</v>
      </c>
      <c r="Z1498">
        <f t="shared" si="327"/>
        <v>51569.075396825399</v>
      </c>
      <c r="AA1498">
        <f t="shared" si="328"/>
        <v>99996</v>
      </c>
      <c r="AB1498">
        <f t="shared" si="329"/>
        <v>5091</v>
      </c>
      <c r="AC1498">
        <f t="shared" si="330"/>
        <v>697807.15999999968</v>
      </c>
      <c r="AD1498">
        <f t="shared" si="331"/>
        <v>1384.5380158730152</v>
      </c>
      <c r="AE1498">
        <f t="shared" si="332"/>
        <v>0.35149999999999998</v>
      </c>
      <c r="AF1498">
        <f t="shared" si="333"/>
        <v>172638525.25</v>
      </c>
      <c r="AG1498" t="str">
        <f t="shared" si="334"/>
        <v>Active</v>
      </c>
      <c r="AH1498">
        <f t="shared" si="335"/>
        <v>5775.12</v>
      </c>
    </row>
    <row r="1499" spans="1:34" x14ac:dyDescent="0.35">
      <c r="A1499" t="s">
        <v>3965</v>
      </c>
      <c r="B1499" t="s">
        <v>3966</v>
      </c>
      <c r="C1499">
        <v>29</v>
      </c>
      <c r="D1499" t="s">
        <v>38</v>
      </c>
      <c r="E1499" t="s">
        <v>39</v>
      </c>
      <c r="F1499" t="s">
        <v>59</v>
      </c>
      <c r="G1499">
        <v>116521</v>
      </c>
      <c r="H1499">
        <v>426</v>
      </c>
      <c r="I1499">
        <v>28561</v>
      </c>
      <c r="J1499">
        <v>9.6</v>
      </c>
      <c r="K1499">
        <v>36</v>
      </c>
      <c r="L1499" t="s">
        <v>52</v>
      </c>
      <c r="M1499">
        <v>12.93</v>
      </c>
      <c r="N1499">
        <v>26419</v>
      </c>
      <c r="O1499">
        <v>201942</v>
      </c>
      <c r="P1499" t="s">
        <v>3967</v>
      </c>
      <c r="Q1499" t="s">
        <v>42</v>
      </c>
      <c r="R1499" t="s">
        <v>28</v>
      </c>
      <c r="S1499" t="s">
        <v>35</v>
      </c>
      <c r="T1499">
        <v>869.52</v>
      </c>
      <c r="U1499">
        <f t="shared" si="322"/>
        <v>503</v>
      </c>
      <c r="V1499">
        <f t="shared" si="323"/>
        <v>185</v>
      </c>
      <c r="W1499">
        <f t="shared" si="324"/>
        <v>152</v>
      </c>
      <c r="X1499">
        <f t="shared" si="325"/>
        <v>0.35149999999999998</v>
      </c>
      <c r="Y1499" s="1">
        <f t="shared" si="326"/>
        <v>25891984</v>
      </c>
      <c r="Z1499">
        <f t="shared" si="327"/>
        <v>51475.117296222663</v>
      </c>
      <c r="AA1499">
        <f t="shared" si="328"/>
        <v>99996</v>
      </c>
      <c r="AB1499">
        <f t="shared" si="329"/>
        <v>5091</v>
      </c>
      <c r="AC1499">
        <f t="shared" si="330"/>
        <v>697325.89999999967</v>
      </c>
      <c r="AD1499">
        <f t="shared" si="331"/>
        <v>1386.3337972166992</v>
      </c>
      <c r="AE1499">
        <f t="shared" si="332"/>
        <v>0.35149999999999998</v>
      </c>
      <c r="AF1499">
        <f t="shared" si="333"/>
        <v>171940718.09</v>
      </c>
      <c r="AG1499" t="str">
        <f t="shared" si="334"/>
        <v>Active</v>
      </c>
      <c r="AH1499">
        <f t="shared" si="335"/>
        <v>10434.24</v>
      </c>
    </row>
    <row r="1500" spans="1:34" x14ac:dyDescent="0.35">
      <c r="A1500" t="s">
        <v>3968</v>
      </c>
      <c r="B1500" t="s">
        <v>3969</v>
      </c>
      <c r="C1500">
        <v>49</v>
      </c>
      <c r="D1500" t="s">
        <v>22</v>
      </c>
      <c r="E1500" t="s">
        <v>39</v>
      </c>
      <c r="F1500" t="s">
        <v>59</v>
      </c>
      <c r="G1500">
        <v>83649</v>
      </c>
      <c r="H1500">
        <v>649</v>
      </c>
      <c r="I1500">
        <v>12223</v>
      </c>
      <c r="J1500">
        <v>7.25</v>
      </c>
      <c r="K1500">
        <v>36</v>
      </c>
      <c r="L1500" t="s">
        <v>25</v>
      </c>
      <c r="M1500">
        <v>22.32</v>
      </c>
      <c r="N1500">
        <v>63262</v>
      </c>
      <c r="O1500">
        <v>181901</v>
      </c>
      <c r="P1500" t="s">
        <v>2537</v>
      </c>
      <c r="Q1500" t="s">
        <v>27</v>
      </c>
      <c r="R1500" t="s">
        <v>28</v>
      </c>
      <c r="S1500" t="s">
        <v>29</v>
      </c>
      <c r="T1500">
        <v>364.14</v>
      </c>
      <c r="U1500">
        <f t="shared" si="322"/>
        <v>502</v>
      </c>
      <c r="V1500">
        <f t="shared" si="323"/>
        <v>184</v>
      </c>
      <c r="W1500">
        <f t="shared" si="324"/>
        <v>152</v>
      </c>
      <c r="X1500">
        <f t="shared" si="325"/>
        <v>0.35149999999999998</v>
      </c>
      <c r="Y1500" s="1">
        <f t="shared" si="326"/>
        <v>25863423</v>
      </c>
      <c r="Z1500">
        <f t="shared" si="327"/>
        <v>51520.762948207172</v>
      </c>
      <c r="AA1500">
        <f t="shared" si="328"/>
        <v>99996</v>
      </c>
      <c r="AB1500">
        <f t="shared" si="329"/>
        <v>5091</v>
      </c>
      <c r="AC1500">
        <f t="shared" si="330"/>
        <v>696456.37999999977</v>
      </c>
      <c r="AD1500">
        <f t="shared" si="331"/>
        <v>1387.3633067729079</v>
      </c>
      <c r="AE1500">
        <f t="shared" si="332"/>
        <v>0.35149999999999998</v>
      </c>
      <c r="AF1500">
        <f t="shared" si="333"/>
        <v>171243392.19000003</v>
      </c>
      <c r="AG1500" t="str">
        <f t="shared" si="334"/>
        <v>Active</v>
      </c>
      <c r="AH1500">
        <f t="shared" si="335"/>
        <v>4369.68</v>
      </c>
    </row>
    <row r="1501" spans="1:34" x14ac:dyDescent="0.35">
      <c r="A1501" t="s">
        <v>3970</v>
      </c>
      <c r="B1501" t="s">
        <v>3971</v>
      </c>
      <c r="C1501">
        <v>29</v>
      </c>
      <c r="D1501" t="s">
        <v>22</v>
      </c>
      <c r="E1501" t="s">
        <v>32</v>
      </c>
      <c r="F1501" t="s">
        <v>59</v>
      </c>
      <c r="G1501">
        <v>162814</v>
      </c>
      <c r="H1501">
        <v>468</v>
      </c>
      <c r="I1501">
        <v>96131</v>
      </c>
      <c r="J1501">
        <v>4.4000000000000004</v>
      </c>
      <c r="K1501">
        <v>60</v>
      </c>
      <c r="L1501" t="s">
        <v>86</v>
      </c>
      <c r="M1501">
        <v>56.38</v>
      </c>
      <c r="N1501">
        <v>53605</v>
      </c>
      <c r="O1501">
        <v>147683</v>
      </c>
      <c r="P1501" t="s">
        <v>684</v>
      </c>
      <c r="Q1501" t="s">
        <v>42</v>
      </c>
      <c r="R1501" t="s">
        <v>48</v>
      </c>
      <c r="S1501" t="s">
        <v>43</v>
      </c>
      <c r="T1501">
        <v>1672.68</v>
      </c>
      <c r="U1501">
        <f t="shared" si="322"/>
        <v>501</v>
      </c>
      <c r="V1501">
        <f t="shared" si="323"/>
        <v>184</v>
      </c>
      <c r="W1501">
        <f t="shared" si="324"/>
        <v>152</v>
      </c>
      <c r="X1501">
        <f t="shared" si="325"/>
        <v>0.35149999999999998</v>
      </c>
      <c r="Y1501" s="1">
        <f t="shared" si="326"/>
        <v>25851200</v>
      </c>
      <c r="Z1501">
        <f t="shared" si="327"/>
        <v>51599.201596806386</v>
      </c>
      <c r="AA1501">
        <f t="shared" si="328"/>
        <v>99996</v>
      </c>
      <c r="AB1501">
        <f t="shared" si="329"/>
        <v>5091</v>
      </c>
      <c r="AC1501">
        <f t="shared" si="330"/>
        <v>696092.23999999976</v>
      </c>
      <c r="AD1501">
        <f t="shared" si="331"/>
        <v>1389.4056686626741</v>
      </c>
      <c r="AE1501">
        <f t="shared" si="332"/>
        <v>0.35149999999999998</v>
      </c>
      <c r="AF1501">
        <f t="shared" si="333"/>
        <v>170546935.81</v>
      </c>
      <c r="AG1501" t="str">
        <f t="shared" si="334"/>
        <v>Active</v>
      </c>
      <c r="AH1501">
        <f t="shared" si="335"/>
        <v>20072.16</v>
      </c>
    </row>
    <row r="1502" spans="1:34" x14ac:dyDescent="0.35">
      <c r="A1502" t="s">
        <v>3972</v>
      </c>
      <c r="B1502" t="s">
        <v>3973</v>
      </c>
      <c r="C1502">
        <v>46</v>
      </c>
      <c r="D1502" t="s">
        <v>22</v>
      </c>
      <c r="E1502" t="s">
        <v>39</v>
      </c>
      <c r="F1502" t="s">
        <v>24</v>
      </c>
      <c r="G1502">
        <v>67009</v>
      </c>
      <c r="H1502">
        <v>552</v>
      </c>
      <c r="I1502">
        <v>80765</v>
      </c>
      <c r="J1502">
        <v>18.79</v>
      </c>
      <c r="K1502">
        <v>24</v>
      </c>
      <c r="L1502" t="s">
        <v>25</v>
      </c>
      <c r="M1502">
        <v>26.92</v>
      </c>
      <c r="N1502">
        <v>947</v>
      </c>
      <c r="O1502">
        <v>216874</v>
      </c>
      <c r="P1502" t="s">
        <v>2451</v>
      </c>
      <c r="Q1502" t="s">
        <v>42</v>
      </c>
      <c r="R1502" t="s">
        <v>48</v>
      </c>
      <c r="S1502" t="s">
        <v>49</v>
      </c>
      <c r="T1502">
        <v>3997.53</v>
      </c>
      <c r="U1502">
        <f t="shared" si="322"/>
        <v>500</v>
      </c>
      <c r="V1502">
        <f t="shared" si="323"/>
        <v>183</v>
      </c>
      <c r="W1502">
        <f t="shared" si="324"/>
        <v>152</v>
      </c>
      <c r="X1502">
        <f t="shared" si="325"/>
        <v>0.35149999999999998</v>
      </c>
      <c r="Y1502" s="1">
        <f t="shared" si="326"/>
        <v>25755069</v>
      </c>
      <c r="Z1502">
        <f t="shared" si="327"/>
        <v>51510.137999999999</v>
      </c>
      <c r="AA1502">
        <f t="shared" si="328"/>
        <v>99996</v>
      </c>
      <c r="AB1502">
        <f t="shared" si="329"/>
        <v>5091</v>
      </c>
      <c r="AC1502">
        <f t="shared" si="330"/>
        <v>694419.55999999982</v>
      </c>
      <c r="AD1502">
        <f t="shared" si="331"/>
        <v>1388.8391199999996</v>
      </c>
      <c r="AE1502">
        <f t="shared" si="332"/>
        <v>0.35149999999999998</v>
      </c>
      <c r="AF1502">
        <f t="shared" si="333"/>
        <v>169850843.56999999</v>
      </c>
      <c r="AG1502" t="str">
        <f t="shared" si="334"/>
        <v>Active</v>
      </c>
      <c r="AH1502">
        <f t="shared" si="335"/>
        <v>47970.36</v>
      </c>
    </row>
    <row r="1503" spans="1:34" x14ac:dyDescent="0.35">
      <c r="A1503" t="s">
        <v>3974</v>
      </c>
      <c r="B1503" t="s">
        <v>3975</v>
      </c>
      <c r="C1503">
        <v>22</v>
      </c>
      <c r="D1503" t="s">
        <v>22</v>
      </c>
      <c r="E1503" t="s">
        <v>32</v>
      </c>
      <c r="F1503" t="s">
        <v>24</v>
      </c>
      <c r="G1503">
        <v>113114</v>
      </c>
      <c r="H1503">
        <v>563</v>
      </c>
      <c r="I1503">
        <v>71453</v>
      </c>
      <c r="J1503">
        <v>21.46</v>
      </c>
      <c r="K1503">
        <v>240</v>
      </c>
      <c r="L1503" t="s">
        <v>52</v>
      </c>
      <c r="M1503">
        <v>27.23</v>
      </c>
      <c r="N1503">
        <v>67032</v>
      </c>
      <c r="O1503">
        <v>99857</v>
      </c>
      <c r="P1503" t="s">
        <v>3976</v>
      </c>
      <c r="Q1503" t="s">
        <v>27</v>
      </c>
      <c r="R1503" t="s">
        <v>28</v>
      </c>
      <c r="S1503" t="s">
        <v>49</v>
      </c>
      <c r="T1503">
        <v>361.61</v>
      </c>
      <c r="U1503">
        <f t="shared" si="322"/>
        <v>499</v>
      </c>
      <c r="V1503">
        <f t="shared" si="323"/>
        <v>182</v>
      </c>
      <c r="W1503">
        <f t="shared" si="324"/>
        <v>152</v>
      </c>
      <c r="X1503">
        <f t="shared" si="325"/>
        <v>0.35149999999999998</v>
      </c>
      <c r="Y1503" s="1">
        <f t="shared" si="326"/>
        <v>25674304</v>
      </c>
      <c r="Z1503">
        <f t="shared" si="327"/>
        <v>51451.511022044091</v>
      </c>
      <c r="AA1503">
        <f t="shared" si="328"/>
        <v>99996</v>
      </c>
      <c r="AB1503">
        <f t="shared" si="329"/>
        <v>5091</v>
      </c>
      <c r="AC1503">
        <f t="shared" si="330"/>
        <v>690422.0299999998</v>
      </c>
      <c r="AD1503">
        <f t="shared" si="331"/>
        <v>1383.6112825651298</v>
      </c>
      <c r="AE1503">
        <f t="shared" si="332"/>
        <v>0.35149999999999998</v>
      </c>
      <c r="AF1503">
        <f t="shared" si="333"/>
        <v>169156424.00999999</v>
      </c>
      <c r="AG1503" t="str">
        <f t="shared" si="334"/>
        <v>Active</v>
      </c>
      <c r="AH1503">
        <f t="shared" si="335"/>
        <v>4339.32</v>
      </c>
    </row>
    <row r="1504" spans="1:34" x14ac:dyDescent="0.35">
      <c r="A1504" t="s">
        <v>3977</v>
      </c>
      <c r="B1504" t="s">
        <v>3978</v>
      </c>
      <c r="C1504">
        <v>39</v>
      </c>
      <c r="D1504" t="s">
        <v>22</v>
      </c>
      <c r="E1504" t="s">
        <v>39</v>
      </c>
      <c r="F1504" t="s">
        <v>24</v>
      </c>
      <c r="G1504">
        <v>28661</v>
      </c>
      <c r="H1504">
        <v>811</v>
      </c>
      <c r="I1504">
        <v>92657</v>
      </c>
      <c r="J1504">
        <v>7.23</v>
      </c>
      <c r="K1504">
        <v>360</v>
      </c>
      <c r="L1504" t="s">
        <v>52</v>
      </c>
      <c r="M1504">
        <v>8.2100000000000009</v>
      </c>
      <c r="N1504">
        <v>74438</v>
      </c>
      <c r="O1504">
        <v>236743</v>
      </c>
      <c r="P1504" t="s">
        <v>3145</v>
      </c>
      <c r="Q1504" t="s">
        <v>42</v>
      </c>
      <c r="R1504" t="s">
        <v>28</v>
      </c>
      <c r="S1504" t="s">
        <v>29</v>
      </c>
      <c r="T1504">
        <v>275.99</v>
      </c>
      <c r="U1504">
        <f t="shared" si="322"/>
        <v>498</v>
      </c>
      <c r="V1504">
        <f t="shared" si="323"/>
        <v>182</v>
      </c>
      <c r="W1504">
        <f t="shared" si="324"/>
        <v>152</v>
      </c>
      <c r="X1504">
        <f t="shared" si="325"/>
        <v>0.35149999999999998</v>
      </c>
      <c r="Y1504" s="1">
        <f t="shared" si="326"/>
        <v>25602851</v>
      </c>
      <c r="Z1504">
        <f t="shared" si="327"/>
        <v>51411.347389558236</v>
      </c>
      <c r="AA1504">
        <f t="shared" si="328"/>
        <v>99996</v>
      </c>
      <c r="AB1504">
        <f t="shared" si="329"/>
        <v>5091</v>
      </c>
      <c r="AC1504">
        <f t="shared" si="330"/>
        <v>690060.41999999969</v>
      </c>
      <c r="AD1504">
        <f t="shared" si="331"/>
        <v>1385.6634939759031</v>
      </c>
      <c r="AE1504">
        <f t="shared" si="332"/>
        <v>0.35149999999999998</v>
      </c>
      <c r="AF1504">
        <f t="shared" si="333"/>
        <v>168466001.97999999</v>
      </c>
      <c r="AG1504" t="str">
        <f t="shared" si="334"/>
        <v>Active</v>
      </c>
      <c r="AH1504">
        <f t="shared" si="335"/>
        <v>3311.88</v>
      </c>
    </row>
    <row r="1505" spans="1:34" x14ac:dyDescent="0.35">
      <c r="A1505" t="s">
        <v>3979</v>
      </c>
      <c r="B1505" t="s">
        <v>3980</v>
      </c>
      <c r="C1505">
        <v>39</v>
      </c>
      <c r="D1505" t="s">
        <v>38</v>
      </c>
      <c r="E1505" t="s">
        <v>39</v>
      </c>
      <c r="F1505" t="s">
        <v>59</v>
      </c>
      <c r="G1505">
        <v>119807</v>
      </c>
      <c r="H1505">
        <v>597</v>
      </c>
      <c r="I1505">
        <v>35169</v>
      </c>
      <c r="J1505">
        <v>23.7</v>
      </c>
      <c r="K1505">
        <v>60</v>
      </c>
      <c r="L1505" t="s">
        <v>25</v>
      </c>
      <c r="M1505">
        <v>6.34</v>
      </c>
      <c r="N1505">
        <v>41646</v>
      </c>
      <c r="O1505">
        <v>195830</v>
      </c>
      <c r="P1505" t="s">
        <v>3981</v>
      </c>
      <c r="Q1505" t="s">
        <v>42</v>
      </c>
      <c r="R1505" t="s">
        <v>28</v>
      </c>
      <c r="S1505" t="s">
        <v>35</v>
      </c>
      <c r="T1505">
        <v>725.07</v>
      </c>
      <c r="U1505">
        <f t="shared" si="322"/>
        <v>497</v>
      </c>
      <c r="V1505">
        <f t="shared" si="323"/>
        <v>181</v>
      </c>
      <c r="W1505">
        <f t="shared" si="324"/>
        <v>152</v>
      </c>
      <c r="X1505">
        <f t="shared" si="325"/>
        <v>0.35149999999999998</v>
      </c>
      <c r="Y1505" s="1">
        <f t="shared" si="326"/>
        <v>25510194</v>
      </c>
      <c r="Z1505">
        <f t="shared" si="327"/>
        <v>51328.358148893363</v>
      </c>
      <c r="AA1505">
        <f t="shared" si="328"/>
        <v>99996</v>
      </c>
      <c r="AB1505">
        <f t="shared" si="329"/>
        <v>5091</v>
      </c>
      <c r="AC1505">
        <f t="shared" si="330"/>
        <v>689784.42999999982</v>
      </c>
      <c r="AD1505">
        <f t="shared" si="331"/>
        <v>1387.8962374245468</v>
      </c>
      <c r="AE1505">
        <f t="shared" si="332"/>
        <v>0.35149999999999998</v>
      </c>
      <c r="AF1505">
        <f t="shared" si="333"/>
        <v>167775941.56</v>
      </c>
      <c r="AG1505" t="str">
        <f t="shared" si="334"/>
        <v>Active</v>
      </c>
      <c r="AH1505">
        <f t="shared" si="335"/>
        <v>8700.84</v>
      </c>
    </row>
    <row r="1506" spans="1:34" x14ac:dyDescent="0.35">
      <c r="A1506" t="s">
        <v>3982</v>
      </c>
      <c r="B1506" t="s">
        <v>3983</v>
      </c>
      <c r="C1506">
        <v>27</v>
      </c>
      <c r="D1506" t="s">
        <v>22</v>
      </c>
      <c r="E1506" t="s">
        <v>39</v>
      </c>
      <c r="F1506" t="s">
        <v>24</v>
      </c>
      <c r="G1506">
        <v>126462</v>
      </c>
      <c r="H1506">
        <v>369</v>
      </c>
      <c r="I1506">
        <v>14188</v>
      </c>
      <c r="J1506">
        <v>6.7</v>
      </c>
      <c r="K1506">
        <v>120</v>
      </c>
      <c r="L1506" t="s">
        <v>86</v>
      </c>
      <c r="M1506">
        <v>19.53</v>
      </c>
      <c r="N1506">
        <v>22911</v>
      </c>
      <c r="O1506">
        <v>23501</v>
      </c>
      <c r="P1506" t="s">
        <v>3984</v>
      </c>
      <c r="Q1506" t="s">
        <v>42</v>
      </c>
      <c r="R1506" t="s">
        <v>28</v>
      </c>
      <c r="S1506" t="s">
        <v>49</v>
      </c>
      <c r="T1506">
        <v>126.15</v>
      </c>
      <c r="U1506">
        <f t="shared" si="322"/>
        <v>496</v>
      </c>
      <c r="V1506">
        <f t="shared" si="323"/>
        <v>180</v>
      </c>
      <c r="W1506">
        <f t="shared" si="324"/>
        <v>152</v>
      </c>
      <c r="X1506">
        <f t="shared" si="325"/>
        <v>0.35149999999999998</v>
      </c>
      <c r="Y1506" s="1">
        <f t="shared" si="326"/>
        <v>25475025</v>
      </c>
      <c r="Z1506">
        <f t="shared" si="327"/>
        <v>51360.9375</v>
      </c>
      <c r="AA1506">
        <f t="shared" si="328"/>
        <v>99996</v>
      </c>
      <c r="AB1506">
        <f t="shared" si="329"/>
        <v>5091</v>
      </c>
      <c r="AC1506">
        <f t="shared" si="330"/>
        <v>689059.35999999975</v>
      </c>
      <c r="AD1506">
        <f t="shared" si="331"/>
        <v>1389.2325806451609</v>
      </c>
      <c r="AE1506">
        <f t="shared" si="332"/>
        <v>0.35149999999999998</v>
      </c>
      <c r="AF1506">
        <f t="shared" si="333"/>
        <v>167086157.13000003</v>
      </c>
      <c r="AG1506" t="str">
        <f t="shared" si="334"/>
        <v>Active</v>
      </c>
      <c r="AH1506">
        <f t="shared" si="335"/>
        <v>1513.8000000000002</v>
      </c>
    </row>
    <row r="1507" spans="1:34" x14ac:dyDescent="0.35">
      <c r="A1507" t="s">
        <v>3985</v>
      </c>
      <c r="B1507" t="s">
        <v>3986</v>
      </c>
      <c r="C1507">
        <v>33</v>
      </c>
      <c r="D1507" t="s">
        <v>38</v>
      </c>
      <c r="E1507" t="s">
        <v>23</v>
      </c>
      <c r="F1507" t="s">
        <v>46</v>
      </c>
      <c r="G1507">
        <v>83203</v>
      </c>
      <c r="H1507">
        <v>354</v>
      </c>
      <c r="I1507">
        <v>91294</v>
      </c>
      <c r="J1507">
        <v>21.82</v>
      </c>
      <c r="K1507">
        <v>36</v>
      </c>
      <c r="L1507" t="s">
        <v>33</v>
      </c>
      <c r="M1507">
        <v>22.49</v>
      </c>
      <c r="N1507">
        <v>5653</v>
      </c>
      <c r="O1507">
        <v>29953</v>
      </c>
      <c r="P1507" t="s">
        <v>3987</v>
      </c>
      <c r="Q1507" t="s">
        <v>61</v>
      </c>
      <c r="R1507" t="s">
        <v>28</v>
      </c>
      <c r="S1507" t="s">
        <v>68</v>
      </c>
      <c r="T1507">
        <v>3089.29</v>
      </c>
      <c r="U1507">
        <f t="shared" si="322"/>
        <v>495</v>
      </c>
      <c r="V1507">
        <f t="shared" si="323"/>
        <v>179</v>
      </c>
      <c r="W1507">
        <f t="shared" si="324"/>
        <v>152</v>
      </c>
      <c r="X1507">
        <f t="shared" si="325"/>
        <v>0.35149999999999998</v>
      </c>
      <c r="Y1507" s="1">
        <f t="shared" si="326"/>
        <v>25460837</v>
      </c>
      <c r="Z1507">
        <f t="shared" si="327"/>
        <v>51436.034343434345</v>
      </c>
      <c r="AA1507">
        <f t="shared" si="328"/>
        <v>99996</v>
      </c>
      <c r="AB1507">
        <f t="shared" si="329"/>
        <v>5091</v>
      </c>
      <c r="AC1507">
        <f t="shared" si="330"/>
        <v>688933.20999999973</v>
      </c>
      <c r="AD1507">
        <f t="shared" si="331"/>
        <v>1391.784262626262</v>
      </c>
      <c r="AE1507">
        <f t="shared" si="332"/>
        <v>0.35149999999999998</v>
      </c>
      <c r="AF1507">
        <f t="shared" si="333"/>
        <v>166397097.77000004</v>
      </c>
      <c r="AG1507" t="str">
        <f t="shared" si="334"/>
        <v>Active</v>
      </c>
      <c r="AH1507">
        <f t="shared" si="335"/>
        <v>37071.479999999996</v>
      </c>
    </row>
    <row r="1508" spans="1:34" x14ac:dyDescent="0.35">
      <c r="A1508" t="s">
        <v>3988</v>
      </c>
      <c r="B1508" t="s">
        <v>3989</v>
      </c>
      <c r="C1508">
        <v>31</v>
      </c>
      <c r="D1508" t="s">
        <v>38</v>
      </c>
      <c r="E1508" t="s">
        <v>39</v>
      </c>
      <c r="F1508" t="s">
        <v>24</v>
      </c>
      <c r="G1508">
        <v>126860</v>
      </c>
      <c r="H1508">
        <v>834</v>
      </c>
      <c r="I1508">
        <v>97294</v>
      </c>
      <c r="J1508">
        <v>12.74</v>
      </c>
      <c r="K1508">
        <v>36</v>
      </c>
      <c r="L1508" t="s">
        <v>52</v>
      </c>
      <c r="M1508">
        <v>27.2</v>
      </c>
      <c r="N1508">
        <v>55108</v>
      </c>
      <c r="O1508">
        <v>126486</v>
      </c>
      <c r="P1508" t="s">
        <v>3388</v>
      </c>
      <c r="Q1508" t="s">
        <v>42</v>
      </c>
      <c r="R1508" t="s">
        <v>48</v>
      </c>
      <c r="S1508" t="s">
        <v>43</v>
      </c>
      <c r="T1508">
        <v>3046.92</v>
      </c>
      <c r="U1508">
        <f t="shared" si="322"/>
        <v>494</v>
      </c>
      <c r="V1508">
        <f t="shared" si="323"/>
        <v>179</v>
      </c>
      <c r="W1508">
        <f t="shared" si="324"/>
        <v>151</v>
      </c>
      <c r="X1508">
        <f t="shared" si="325"/>
        <v>0.35149999999999998</v>
      </c>
      <c r="Y1508" s="1">
        <f t="shared" si="326"/>
        <v>25369543</v>
      </c>
      <c r="Z1508">
        <f t="shared" si="327"/>
        <v>51355.350202429152</v>
      </c>
      <c r="AA1508">
        <f t="shared" si="328"/>
        <v>99996</v>
      </c>
      <c r="AB1508">
        <f t="shared" si="329"/>
        <v>5091</v>
      </c>
      <c r="AC1508">
        <f t="shared" si="330"/>
        <v>685843.91999999981</v>
      </c>
      <c r="AD1508">
        <f t="shared" si="331"/>
        <v>1388.3480161943316</v>
      </c>
      <c r="AE1508">
        <f t="shared" si="332"/>
        <v>0.35149999999999998</v>
      </c>
      <c r="AF1508">
        <f t="shared" si="333"/>
        <v>165708164.56000003</v>
      </c>
      <c r="AG1508" t="str">
        <f t="shared" si="334"/>
        <v>Active</v>
      </c>
      <c r="AH1508">
        <f t="shared" si="335"/>
        <v>36563.040000000001</v>
      </c>
    </row>
    <row r="1509" spans="1:34" x14ac:dyDescent="0.35">
      <c r="A1509" t="s">
        <v>3990</v>
      </c>
      <c r="B1509" t="s">
        <v>3991</v>
      </c>
      <c r="C1509">
        <v>22</v>
      </c>
      <c r="D1509" t="s">
        <v>38</v>
      </c>
      <c r="E1509" t="s">
        <v>23</v>
      </c>
      <c r="F1509" t="s">
        <v>24</v>
      </c>
      <c r="G1509">
        <v>40588</v>
      </c>
      <c r="H1509">
        <v>438</v>
      </c>
      <c r="I1509">
        <v>32668</v>
      </c>
      <c r="J1509">
        <v>4.76</v>
      </c>
      <c r="K1509">
        <v>60</v>
      </c>
      <c r="L1509" t="s">
        <v>52</v>
      </c>
      <c r="M1509">
        <v>13.67</v>
      </c>
      <c r="N1509">
        <v>64977</v>
      </c>
      <c r="O1509">
        <v>68849</v>
      </c>
      <c r="P1509" t="s">
        <v>1625</v>
      </c>
      <c r="Q1509" t="s">
        <v>61</v>
      </c>
      <c r="R1509" t="s">
        <v>28</v>
      </c>
      <c r="S1509" t="s">
        <v>43</v>
      </c>
      <c r="T1509">
        <v>570.38</v>
      </c>
      <c r="U1509">
        <f t="shared" si="322"/>
        <v>493</v>
      </c>
      <c r="V1509">
        <f t="shared" si="323"/>
        <v>178</v>
      </c>
      <c r="W1509">
        <f t="shared" si="324"/>
        <v>151</v>
      </c>
      <c r="X1509">
        <f t="shared" si="325"/>
        <v>0.35149999999999998</v>
      </c>
      <c r="Y1509" s="1">
        <f t="shared" si="326"/>
        <v>25272249</v>
      </c>
      <c r="Z1509">
        <f t="shared" si="327"/>
        <v>51262.168356997972</v>
      </c>
      <c r="AA1509">
        <f t="shared" si="328"/>
        <v>99996</v>
      </c>
      <c r="AB1509">
        <f t="shared" si="329"/>
        <v>5091</v>
      </c>
      <c r="AC1509">
        <f t="shared" si="330"/>
        <v>682796.99999999977</v>
      </c>
      <c r="AD1509">
        <f t="shared" si="331"/>
        <v>1384.9837728194721</v>
      </c>
      <c r="AE1509">
        <f t="shared" si="332"/>
        <v>0.35149999999999998</v>
      </c>
      <c r="AF1509">
        <f t="shared" si="333"/>
        <v>165022320.64000005</v>
      </c>
      <c r="AG1509" t="str">
        <f t="shared" si="334"/>
        <v>Active</v>
      </c>
      <c r="AH1509">
        <f t="shared" si="335"/>
        <v>6844.5599999999995</v>
      </c>
    </row>
    <row r="1510" spans="1:34" x14ac:dyDescent="0.35">
      <c r="A1510" t="s">
        <v>3992</v>
      </c>
      <c r="B1510" t="s">
        <v>3993</v>
      </c>
      <c r="C1510">
        <v>44</v>
      </c>
      <c r="D1510" t="s">
        <v>22</v>
      </c>
      <c r="E1510" t="s">
        <v>39</v>
      </c>
      <c r="F1510" t="s">
        <v>24</v>
      </c>
      <c r="G1510">
        <v>47857</v>
      </c>
      <c r="H1510">
        <v>623</v>
      </c>
      <c r="I1510">
        <v>73781</v>
      </c>
      <c r="J1510">
        <v>6.95</v>
      </c>
      <c r="K1510">
        <v>120</v>
      </c>
      <c r="L1510" t="s">
        <v>33</v>
      </c>
      <c r="M1510">
        <v>33.18</v>
      </c>
      <c r="N1510">
        <v>15800</v>
      </c>
      <c r="O1510">
        <v>191499</v>
      </c>
      <c r="P1510" t="s">
        <v>2371</v>
      </c>
      <c r="Q1510" t="s">
        <v>27</v>
      </c>
      <c r="R1510" t="s">
        <v>48</v>
      </c>
      <c r="S1510" t="s">
        <v>43</v>
      </c>
      <c r="T1510">
        <v>657.57</v>
      </c>
      <c r="U1510">
        <f t="shared" si="322"/>
        <v>492</v>
      </c>
      <c r="V1510">
        <f t="shared" si="323"/>
        <v>178</v>
      </c>
      <c r="W1510">
        <f t="shared" si="324"/>
        <v>150</v>
      </c>
      <c r="X1510">
        <f t="shared" si="325"/>
        <v>0.35149999999999998</v>
      </c>
      <c r="Y1510" s="1">
        <f t="shared" si="326"/>
        <v>25239581</v>
      </c>
      <c r="Z1510">
        <f t="shared" si="327"/>
        <v>51299.961382113819</v>
      </c>
      <c r="AA1510">
        <f t="shared" si="328"/>
        <v>99996</v>
      </c>
      <c r="AB1510">
        <f t="shared" si="329"/>
        <v>5091</v>
      </c>
      <c r="AC1510">
        <f t="shared" si="330"/>
        <v>682226.61999999976</v>
      </c>
      <c r="AD1510">
        <f t="shared" si="331"/>
        <v>1386.639471544715</v>
      </c>
      <c r="AE1510">
        <f t="shared" si="332"/>
        <v>0.35149999999999998</v>
      </c>
      <c r="AF1510">
        <f t="shared" si="333"/>
        <v>164339523.64000005</v>
      </c>
      <c r="AG1510" t="str">
        <f t="shared" si="334"/>
        <v>Active</v>
      </c>
      <c r="AH1510">
        <f t="shared" si="335"/>
        <v>7890.84</v>
      </c>
    </row>
    <row r="1511" spans="1:34" x14ac:dyDescent="0.35">
      <c r="A1511" t="s">
        <v>3994</v>
      </c>
      <c r="B1511" t="s">
        <v>3995</v>
      </c>
      <c r="C1511">
        <v>30</v>
      </c>
      <c r="D1511" t="s">
        <v>38</v>
      </c>
      <c r="E1511" t="s">
        <v>32</v>
      </c>
      <c r="F1511" t="s">
        <v>24</v>
      </c>
      <c r="G1511">
        <v>57135</v>
      </c>
      <c r="H1511">
        <v>333</v>
      </c>
      <c r="I1511">
        <v>26189</v>
      </c>
      <c r="J1511">
        <v>17.059999999999999</v>
      </c>
      <c r="K1511">
        <v>60</v>
      </c>
      <c r="L1511" t="s">
        <v>52</v>
      </c>
      <c r="M1511">
        <v>34.200000000000003</v>
      </c>
      <c r="N1511">
        <v>51021</v>
      </c>
      <c r="O1511">
        <v>139441</v>
      </c>
      <c r="P1511" t="s">
        <v>2177</v>
      </c>
      <c r="Q1511" t="s">
        <v>42</v>
      </c>
      <c r="R1511" t="s">
        <v>48</v>
      </c>
      <c r="S1511" t="s">
        <v>43</v>
      </c>
      <c r="T1511">
        <v>510.95</v>
      </c>
      <c r="U1511">
        <f t="shared" si="322"/>
        <v>491</v>
      </c>
      <c r="V1511">
        <f t="shared" si="323"/>
        <v>178</v>
      </c>
      <c r="W1511">
        <f t="shared" si="324"/>
        <v>150</v>
      </c>
      <c r="X1511">
        <f t="shared" si="325"/>
        <v>0.35149999999999998</v>
      </c>
      <c r="Y1511" s="1">
        <f t="shared" si="326"/>
        <v>25165800</v>
      </c>
      <c r="Z1511">
        <f t="shared" si="327"/>
        <v>51254.175152749493</v>
      </c>
      <c r="AA1511">
        <f t="shared" si="328"/>
        <v>99996</v>
      </c>
      <c r="AB1511">
        <f t="shared" si="329"/>
        <v>5091</v>
      </c>
      <c r="AC1511">
        <f t="shared" si="330"/>
        <v>681569.0499999997</v>
      </c>
      <c r="AD1511">
        <f t="shared" si="331"/>
        <v>1388.1243380855392</v>
      </c>
      <c r="AE1511">
        <f t="shared" si="332"/>
        <v>0.35149999999999998</v>
      </c>
      <c r="AF1511">
        <f t="shared" si="333"/>
        <v>163657297.02000004</v>
      </c>
      <c r="AG1511" t="str">
        <f t="shared" si="334"/>
        <v>Active</v>
      </c>
      <c r="AH1511">
        <f t="shared" si="335"/>
        <v>6131.4</v>
      </c>
    </row>
    <row r="1512" spans="1:34" x14ac:dyDescent="0.35">
      <c r="A1512" t="s">
        <v>3996</v>
      </c>
      <c r="B1512" t="s">
        <v>3997</v>
      </c>
      <c r="C1512">
        <v>40</v>
      </c>
      <c r="D1512" t="s">
        <v>22</v>
      </c>
      <c r="E1512" t="s">
        <v>32</v>
      </c>
      <c r="F1512" t="s">
        <v>59</v>
      </c>
      <c r="G1512">
        <v>80643</v>
      </c>
      <c r="H1512">
        <v>788</v>
      </c>
      <c r="I1512">
        <v>5606</v>
      </c>
      <c r="J1512">
        <v>17.670000000000002</v>
      </c>
      <c r="K1512">
        <v>24</v>
      </c>
      <c r="L1512" t="s">
        <v>40</v>
      </c>
      <c r="M1512">
        <v>47.7</v>
      </c>
      <c r="N1512">
        <v>2305</v>
      </c>
      <c r="O1512">
        <v>117008</v>
      </c>
      <c r="P1512" t="s">
        <v>3998</v>
      </c>
      <c r="Q1512" t="s">
        <v>42</v>
      </c>
      <c r="R1512" t="s">
        <v>48</v>
      </c>
      <c r="S1512" t="s">
        <v>49</v>
      </c>
      <c r="T1512">
        <v>274.86</v>
      </c>
      <c r="U1512">
        <f t="shared" si="322"/>
        <v>490</v>
      </c>
      <c r="V1512">
        <f t="shared" si="323"/>
        <v>177</v>
      </c>
      <c r="W1512">
        <f t="shared" si="324"/>
        <v>150</v>
      </c>
      <c r="X1512">
        <f t="shared" si="325"/>
        <v>0.35149999999999998</v>
      </c>
      <c r="Y1512" s="1">
        <f t="shared" si="326"/>
        <v>25139611</v>
      </c>
      <c r="Z1512">
        <f t="shared" si="327"/>
        <v>51305.328571428574</v>
      </c>
      <c r="AA1512">
        <f t="shared" si="328"/>
        <v>99996</v>
      </c>
      <c r="AB1512">
        <f t="shared" si="329"/>
        <v>5091</v>
      </c>
      <c r="AC1512">
        <f t="shared" si="330"/>
        <v>681058.09999999974</v>
      </c>
      <c r="AD1512">
        <f t="shared" si="331"/>
        <v>1389.9144897959179</v>
      </c>
      <c r="AE1512">
        <f t="shared" si="332"/>
        <v>0.35149999999999998</v>
      </c>
      <c r="AF1512">
        <f t="shared" si="333"/>
        <v>162975727.97000006</v>
      </c>
      <c r="AG1512" t="str">
        <f t="shared" si="334"/>
        <v>Active</v>
      </c>
      <c r="AH1512">
        <f t="shared" si="335"/>
        <v>3298.32</v>
      </c>
    </row>
    <row r="1513" spans="1:34" x14ac:dyDescent="0.35">
      <c r="A1513" t="s">
        <v>3999</v>
      </c>
      <c r="B1513" t="s">
        <v>4000</v>
      </c>
      <c r="C1513">
        <v>22</v>
      </c>
      <c r="D1513" t="s">
        <v>38</v>
      </c>
      <c r="E1513" t="s">
        <v>32</v>
      </c>
      <c r="F1513" t="s">
        <v>46</v>
      </c>
      <c r="G1513">
        <v>122703</v>
      </c>
      <c r="H1513">
        <v>362</v>
      </c>
      <c r="I1513">
        <v>57852</v>
      </c>
      <c r="J1513">
        <v>16.399999999999999</v>
      </c>
      <c r="K1513">
        <v>120</v>
      </c>
      <c r="L1513" t="s">
        <v>86</v>
      </c>
      <c r="M1513">
        <v>19.73</v>
      </c>
      <c r="N1513">
        <v>59661</v>
      </c>
      <c r="O1513">
        <v>28016</v>
      </c>
      <c r="P1513" t="s">
        <v>4001</v>
      </c>
      <c r="Q1513" t="s">
        <v>61</v>
      </c>
      <c r="R1513" t="s">
        <v>28</v>
      </c>
      <c r="S1513" t="s">
        <v>29</v>
      </c>
      <c r="T1513">
        <v>561.16</v>
      </c>
      <c r="U1513">
        <f t="shared" si="322"/>
        <v>489</v>
      </c>
      <c r="V1513">
        <f t="shared" si="323"/>
        <v>176</v>
      </c>
      <c r="W1513">
        <f t="shared" si="324"/>
        <v>150</v>
      </c>
      <c r="X1513">
        <f t="shared" si="325"/>
        <v>0.35149999999999998</v>
      </c>
      <c r="Y1513" s="1">
        <f t="shared" si="326"/>
        <v>25134005</v>
      </c>
      <c r="Z1513">
        <f t="shared" si="327"/>
        <v>51398.783231083842</v>
      </c>
      <c r="AA1513">
        <f t="shared" si="328"/>
        <v>99996</v>
      </c>
      <c r="AB1513">
        <f t="shared" si="329"/>
        <v>5091</v>
      </c>
      <c r="AC1513">
        <f t="shared" si="330"/>
        <v>680783.23999999976</v>
      </c>
      <c r="AD1513">
        <f t="shared" si="331"/>
        <v>1392.1947648261753</v>
      </c>
      <c r="AE1513">
        <f t="shared" si="332"/>
        <v>0.35149999999999998</v>
      </c>
      <c r="AF1513">
        <f t="shared" si="333"/>
        <v>162294669.87000009</v>
      </c>
      <c r="AG1513" t="str">
        <f t="shared" si="334"/>
        <v>Active</v>
      </c>
      <c r="AH1513">
        <f t="shared" si="335"/>
        <v>6733.92</v>
      </c>
    </row>
    <row r="1514" spans="1:34" x14ac:dyDescent="0.35">
      <c r="A1514" t="s">
        <v>4002</v>
      </c>
      <c r="B1514" t="s">
        <v>4003</v>
      </c>
      <c r="C1514">
        <v>43</v>
      </c>
      <c r="D1514" t="s">
        <v>38</v>
      </c>
      <c r="E1514" t="s">
        <v>32</v>
      </c>
      <c r="F1514" t="s">
        <v>59</v>
      </c>
      <c r="G1514">
        <v>144723</v>
      </c>
      <c r="H1514">
        <v>438</v>
      </c>
      <c r="I1514">
        <v>13369</v>
      </c>
      <c r="J1514">
        <v>13.47</v>
      </c>
      <c r="K1514">
        <v>48</v>
      </c>
      <c r="L1514" t="s">
        <v>40</v>
      </c>
      <c r="M1514">
        <v>5.21</v>
      </c>
      <c r="N1514">
        <v>1319</v>
      </c>
      <c r="O1514">
        <v>102766</v>
      </c>
      <c r="P1514" t="s">
        <v>1057</v>
      </c>
      <c r="Q1514" t="s">
        <v>42</v>
      </c>
      <c r="R1514" t="s">
        <v>28</v>
      </c>
      <c r="S1514" t="s">
        <v>43</v>
      </c>
      <c r="T1514">
        <v>316.04000000000002</v>
      </c>
      <c r="U1514">
        <f t="shared" si="322"/>
        <v>488</v>
      </c>
      <c r="V1514">
        <f t="shared" si="323"/>
        <v>176</v>
      </c>
      <c r="W1514">
        <f t="shared" si="324"/>
        <v>149</v>
      </c>
      <c r="X1514">
        <f t="shared" si="325"/>
        <v>0.35149999999999998</v>
      </c>
      <c r="Y1514" s="1">
        <f t="shared" si="326"/>
        <v>25076153</v>
      </c>
      <c r="Z1514">
        <f t="shared" si="327"/>
        <v>51385.559426229505</v>
      </c>
      <c r="AA1514">
        <f t="shared" si="328"/>
        <v>99996</v>
      </c>
      <c r="AB1514">
        <f t="shared" si="329"/>
        <v>5091</v>
      </c>
      <c r="AC1514">
        <f t="shared" si="330"/>
        <v>680222.07999999973</v>
      </c>
      <c r="AD1514">
        <f t="shared" si="331"/>
        <v>1393.8977049180323</v>
      </c>
      <c r="AE1514">
        <f t="shared" si="332"/>
        <v>0.35149999999999998</v>
      </c>
      <c r="AF1514">
        <f t="shared" si="333"/>
        <v>161613886.63000008</v>
      </c>
      <c r="AG1514" t="str">
        <f t="shared" si="334"/>
        <v>Active</v>
      </c>
      <c r="AH1514">
        <f t="shared" si="335"/>
        <v>3792.4800000000005</v>
      </c>
    </row>
    <row r="1515" spans="1:34" x14ac:dyDescent="0.35">
      <c r="A1515" t="s">
        <v>4004</v>
      </c>
      <c r="B1515" t="s">
        <v>4005</v>
      </c>
      <c r="C1515">
        <v>57</v>
      </c>
      <c r="D1515" t="s">
        <v>38</v>
      </c>
      <c r="E1515" t="s">
        <v>23</v>
      </c>
      <c r="F1515" t="s">
        <v>46</v>
      </c>
      <c r="G1515">
        <v>179740</v>
      </c>
      <c r="H1515">
        <v>452</v>
      </c>
      <c r="I1515">
        <v>87298</v>
      </c>
      <c r="J1515">
        <v>18.82</v>
      </c>
      <c r="K1515">
        <v>12</v>
      </c>
      <c r="L1515" t="s">
        <v>33</v>
      </c>
      <c r="M1515">
        <v>19.14</v>
      </c>
      <c r="N1515">
        <v>65983</v>
      </c>
      <c r="O1515">
        <v>138843</v>
      </c>
      <c r="P1515" t="s">
        <v>361</v>
      </c>
      <c r="Q1515" t="s">
        <v>27</v>
      </c>
      <c r="R1515" t="s">
        <v>28</v>
      </c>
      <c r="S1515" t="s">
        <v>35</v>
      </c>
      <c r="T1515">
        <v>8643.9599999999991</v>
      </c>
      <c r="U1515">
        <f t="shared" si="322"/>
        <v>487</v>
      </c>
      <c r="V1515">
        <f t="shared" si="323"/>
        <v>175</v>
      </c>
      <c r="W1515">
        <f t="shared" si="324"/>
        <v>149</v>
      </c>
      <c r="X1515">
        <f t="shared" si="325"/>
        <v>0.35149999999999998</v>
      </c>
      <c r="Y1515" s="1">
        <f t="shared" si="326"/>
        <v>25062784</v>
      </c>
      <c r="Z1515">
        <f t="shared" si="327"/>
        <v>51463.622176591372</v>
      </c>
      <c r="AA1515">
        <f t="shared" si="328"/>
        <v>99996</v>
      </c>
      <c r="AB1515">
        <f t="shared" si="329"/>
        <v>5091</v>
      </c>
      <c r="AC1515">
        <f t="shared" si="330"/>
        <v>679906.03999999969</v>
      </c>
      <c r="AD1515">
        <f t="shared" si="331"/>
        <v>1396.1109650924018</v>
      </c>
      <c r="AE1515">
        <f t="shared" si="332"/>
        <v>0.35149999999999998</v>
      </c>
      <c r="AF1515">
        <f t="shared" si="333"/>
        <v>160933664.55000007</v>
      </c>
      <c r="AG1515" t="str">
        <f t="shared" si="334"/>
        <v>Active</v>
      </c>
      <c r="AH1515">
        <f t="shared" si="335"/>
        <v>103727.51999999999</v>
      </c>
    </row>
    <row r="1516" spans="1:34" x14ac:dyDescent="0.35">
      <c r="A1516" t="s">
        <v>4006</v>
      </c>
      <c r="B1516" t="s">
        <v>4007</v>
      </c>
      <c r="C1516">
        <v>63</v>
      </c>
      <c r="D1516" t="s">
        <v>22</v>
      </c>
      <c r="E1516" t="s">
        <v>23</v>
      </c>
      <c r="F1516" t="s">
        <v>59</v>
      </c>
      <c r="G1516">
        <v>130729</v>
      </c>
      <c r="H1516">
        <v>742</v>
      </c>
      <c r="I1516">
        <v>69826</v>
      </c>
      <c r="J1516">
        <v>8.17</v>
      </c>
      <c r="K1516">
        <v>24</v>
      </c>
      <c r="L1516" t="s">
        <v>40</v>
      </c>
      <c r="M1516">
        <v>36.42</v>
      </c>
      <c r="N1516">
        <v>73559</v>
      </c>
      <c r="O1516">
        <v>178320</v>
      </c>
      <c r="P1516" t="s">
        <v>174</v>
      </c>
      <c r="Q1516" t="s">
        <v>27</v>
      </c>
      <c r="R1516" t="s">
        <v>28</v>
      </c>
      <c r="S1516" t="s">
        <v>49</v>
      </c>
      <c r="T1516">
        <v>3147.12</v>
      </c>
      <c r="U1516">
        <f t="shared" si="322"/>
        <v>486</v>
      </c>
      <c r="V1516">
        <f t="shared" si="323"/>
        <v>175</v>
      </c>
      <c r="W1516">
        <f t="shared" si="324"/>
        <v>149</v>
      </c>
      <c r="X1516">
        <f t="shared" si="325"/>
        <v>0.35149999999999998</v>
      </c>
      <c r="Y1516" s="1">
        <f t="shared" si="326"/>
        <v>24975486</v>
      </c>
      <c r="Z1516">
        <f t="shared" si="327"/>
        <v>51389.888888888891</v>
      </c>
      <c r="AA1516">
        <f t="shared" si="328"/>
        <v>99996</v>
      </c>
      <c r="AB1516">
        <f t="shared" si="329"/>
        <v>5091</v>
      </c>
      <c r="AC1516">
        <f t="shared" si="330"/>
        <v>671262.08</v>
      </c>
      <c r="AD1516">
        <f t="shared" si="331"/>
        <v>1381.1976954732509</v>
      </c>
      <c r="AE1516">
        <f t="shared" si="332"/>
        <v>0.35149999999999998</v>
      </c>
      <c r="AF1516">
        <f t="shared" si="333"/>
        <v>160253758.51000008</v>
      </c>
      <c r="AG1516" t="str">
        <f t="shared" si="334"/>
        <v>Over Paid</v>
      </c>
      <c r="AH1516">
        <f t="shared" si="335"/>
        <v>37765.440000000002</v>
      </c>
    </row>
    <row r="1517" spans="1:34" x14ac:dyDescent="0.35">
      <c r="A1517" t="s">
        <v>4008</v>
      </c>
      <c r="B1517" t="s">
        <v>4009</v>
      </c>
      <c r="C1517">
        <v>55</v>
      </c>
      <c r="D1517" t="s">
        <v>38</v>
      </c>
      <c r="E1517" t="s">
        <v>39</v>
      </c>
      <c r="F1517" t="s">
        <v>24</v>
      </c>
      <c r="G1517">
        <v>154691</v>
      </c>
      <c r="H1517">
        <v>417</v>
      </c>
      <c r="I1517">
        <v>43917</v>
      </c>
      <c r="J1517">
        <v>13.22</v>
      </c>
      <c r="K1517">
        <v>60</v>
      </c>
      <c r="L1517" t="s">
        <v>52</v>
      </c>
      <c r="M1517">
        <v>34.69</v>
      </c>
      <c r="N1517">
        <v>73328</v>
      </c>
      <c r="O1517">
        <v>143709</v>
      </c>
      <c r="P1517" t="s">
        <v>3842</v>
      </c>
      <c r="Q1517" t="s">
        <v>61</v>
      </c>
      <c r="R1517" t="s">
        <v>28</v>
      </c>
      <c r="S1517" t="s">
        <v>35</v>
      </c>
      <c r="T1517">
        <v>828.71</v>
      </c>
      <c r="U1517">
        <f t="shared" si="322"/>
        <v>485</v>
      </c>
      <c r="V1517">
        <f t="shared" si="323"/>
        <v>175</v>
      </c>
      <c r="W1517">
        <f t="shared" si="324"/>
        <v>149</v>
      </c>
      <c r="X1517">
        <f t="shared" si="325"/>
        <v>0.35149999999999998</v>
      </c>
      <c r="Y1517" s="1">
        <f t="shared" si="326"/>
        <v>24905660</v>
      </c>
      <c r="Z1517">
        <f t="shared" si="327"/>
        <v>51351.876288659791</v>
      </c>
      <c r="AA1517">
        <f t="shared" si="328"/>
        <v>99996</v>
      </c>
      <c r="AB1517">
        <f t="shared" si="329"/>
        <v>5091</v>
      </c>
      <c r="AC1517">
        <f t="shared" si="330"/>
        <v>668114.95999999985</v>
      </c>
      <c r="AD1517">
        <f t="shared" si="331"/>
        <v>1377.5566185567006</v>
      </c>
      <c r="AE1517">
        <f t="shared" si="332"/>
        <v>0.35149999999999998</v>
      </c>
      <c r="AF1517">
        <f t="shared" si="333"/>
        <v>159582496.4300001</v>
      </c>
      <c r="AG1517" t="str">
        <f t="shared" si="334"/>
        <v>Active</v>
      </c>
      <c r="AH1517">
        <f t="shared" si="335"/>
        <v>9944.52</v>
      </c>
    </row>
    <row r="1518" spans="1:34" x14ac:dyDescent="0.35">
      <c r="A1518" t="s">
        <v>4010</v>
      </c>
      <c r="B1518" t="s">
        <v>4011</v>
      </c>
      <c r="C1518">
        <v>22</v>
      </c>
      <c r="D1518" t="s">
        <v>38</v>
      </c>
      <c r="E1518" t="s">
        <v>23</v>
      </c>
      <c r="F1518" t="s">
        <v>46</v>
      </c>
      <c r="G1518">
        <v>168400</v>
      </c>
      <c r="H1518">
        <v>846</v>
      </c>
      <c r="I1518">
        <v>12928</v>
      </c>
      <c r="J1518">
        <v>19.34</v>
      </c>
      <c r="K1518">
        <v>12</v>
      </c>
      <c r="L1518" t="s">
        <v>86</v>
      </c>
      <c r="M1518">
        <v>22.61</v>
      </c>
      <c r="N1518">
        <v>4302</v>
      </c>
      <c r="O1518">
        <v>177307</v>
      </c>
      <c r="P1518" t="s">
        <v>4012</v>
      </c>
      <c r="Q1518" t="s">
        <v>42</v>
      </c>
      <c r="R1518" t="s">
        <v>28</v>
      </c>
      <c r="S1518" t="s">
        <v>35</v>
      </c>
      <c r="T1518">
        <v>1285.69</v>
      </c>
      <c r="U1518">
        <f t="shared" si="322"/>
        <v>484</v>
      </c>
      <c r="V1518">
        <f t="shared" si="323"/>
        <v>175</v>
      </c>
      <c r="W1518">
        <f t="shared" si="324"/>
        <v>148</v>
      </c>
      <c r="X1518">
        <f t="shared" si="325"/>
        <v>0.35149999999999998</v>
      </c>
      <c r="Y1518" s="1">
        <f t="shared" si="326"/>
        <v>24861743</v>
      </c>
      <c r="Z1518">
        <f t="shared" si="327"/>
        <v>51367.237603305788</v>
      </c>
      <c r="AA1518">
        <f t="shared" si="328"/>
        <v>99996</v>
      </c>
      <c r="AB1518">
        <f t="shared" si="329"/>
        <v>5091</v>
      </c>
      <c r="AC1518">
        <f t="shared" si="330"/>
        <v>667286.24999999977</v>
      </c>
      <c r="AD1518">
        <f t="shared" si="331"/>
        <v>1378.6905991735532</v>
      </c>
      <c r="AE1518">
        <f t="shared" si="332"/>
        <v>0.35149999999999998</v>
      </c>
      <c r="AF1518">
        <f t="shared" si="333"/>
        <v>158914381.47000009</v>
      </c>
      <c r="AG1518" t="str">
        <f t="shared" si="334"/>
        <v>Active</v>
      </c>
      <c r="AH1518">
        <f t="shared" si="335"/>
        <v>15428.28</v>
      </c>
    </row>
    <row r="1519" spans="1:34" x14ac:dyDescent="0.35">
      <c r="A1519" t="s">
        <v>4013</v>
      </c>
      <c r="B1519" t="s">
        <v>4014</v>
      </c>
      <c r="C1519">
        <v>28</v>
      </c>
      <c r="D1519" t="s">
        <v>22</v>
      </c>
      <c r="E1519" t="s">
        <v>32</v>
      </c>
      <c r="F1519" t="s">
        <v>59</v>
      </c>
      <c r="G1519">
        <v>193512</v>
      </c>
      <c r="H1519">
        <v>682</v>
      </c>
      <c r="I1519">
        <v>11952</v>
      </c>
      <c r="J1519">
        <v>13.98</v>
      </c>
      <c r="K1519">
        <v>48</v>
      </c>
      <c r="L1519" t="s">
        <v>33</v>
      </c>
      <c r="M1519">
        <v>47.37</v>
      </c>
      <c r="N1519">
        <v>44372</v>
      </c>
      <c r="O1519">
        <v>177923</v>
      </c>
      <c r="P1519" t="s">
        <v>4015</v>
      </c>
      <c r="Q1519" t="s">
        <v>42</v>
      </c>
      <c r="R1519" t="s">
        <v>48</v>
      </c>
      <c r="S1519" t="s">
        <v>43</v>
      </c>
      <c r="T1519">
        <v>283.81</v>
      </c>
      <c r="U1519">
        <f t="shared" si="322"/>
        <v>483</v>
      </c>
      <c r="V1519">
        <f t="shared" si="323"/>
        <v>174</v>
      </c>
      <c r="W1519">
        <f t="shared" si="324"/>
        <v>148</v>
      </c>
      <c r="X1519">
        <f t="shared" si="325"/>
        <v>0.35149999999999998</v>
      </c>
      <c r="Y1519" s="1">
        <f t="shared" si="326"/>
        <v>24848815</v>
      </c>
      <c r="Z1519">
        <f t="shared" si="327"/>
        <v>51446.821946169774</v>
      </c>
      <c r="AA1519">
        <f t="shared" si="328"/>
        <v>99996</v>
      </c>
      <c r="AB1519">
        <f t="shared" si="329"/>
        <v>5091</v>
      </c>
      <c r="AC1519">
        <f t="shared" si="330"/>
        <v>666000.55999999971</v>
      </c>
      <c r="AD1519">
        <f t="shared" si="331"/>
        <v>1378.8831469979291</v>
      </c>
      <c r="AE1519">
        <f t="shared" si="332"/>
        <v>0.35149999999999998</v>
      </c>
      <c r="AF1519">
        <f t="shared" si="333"/>
        <v>158247095.22000003</v>
      </c>
      <c r="AG1519" t="str">
        <f t="shared" si="334"/>
        <v>Over Paid</v>
      </c>
      <c r="AH1519">
        <f t="shared" si="335"/>
        <v>3405.7200000000003</v>
      </c>
    </row>
    <row r="1520" spans="1:34" x14ac:dyDescent="0.35">
      <c r="A1520" t="s">
        <v>4016</v>
      </c>
      <c r="B1520" t="s">
        <v>4017</v>
      </c>
      <c r="C1520">
        <v>33</v>
      </c>
      <c r="D1520" t="s">
        <v>22</v>
      </c>
      <c r="E1520" t="s">
        <v>23</v>
      </c>
      <c r="F1520" t="s">
        <v>24</v>
      </c>
      <c r="G1520">
        <v>26957</v>
      </c>
      <c r="H1520">
        <v>623</v>
      </c>
      <c r="I1520">
        <v>23164</v>
      </c>
      <c r="J1520">
        <v>19.62</v>
      </c>
      <c r="K1520">
        <v>24</v>
      </c>
      <c r="L1520" t="s">
        <v>25</v>
      </c>
      <c r="M1520">
        <v>13.52</v>
      </c>
      <c r="N1520">
        <v>28417</v>
      </c>
      <c r="O1520">
        <v>80564</v>
      </c>
      <c r="P1520" t="s">
        <v>126</v>
      </c>
      <c r="Q1520" t="s">
        <v>61</v>
      </c>
      <c r="R1520" t="s">
        <v>48</v>
      </c>
      <c r="S1520" t="s">
        <v>68</v>
      </c>
      <c r="T1520">
        <v>1154.53</v>
      </c>
      <c r="U1520">
        <f t="shared" si="322"/>
        <v>482</v>
      </c>
      <c r="V1520">
        <f t="shared" si="323"/>
        <v>173</v>
      </c>
      <c r="W1520">
        <f t="shared" si="324"/>
        <v>148</v>
      </c>
      <c r="X1520">
        <f t="shared" si="325"/>
        <v>0.35149999999999998</v>
      </c>
      <c r="Y1520" s="1">
        <f t="shared" si="326"/>
        <v>24836863</v>
      </c>
      <c r="Z1520">
        <f t="shared" si="327"/>
        <v>51528.761410788378</v>
      </c>
      <c r="AA1520">
        <f t="shared" si="328"/>
        <v>99996</v>
      </c>
      <c r="AB1520">
        <f t="shared" si="329"/>
        <v>5091</v>
      </c>
      <c r="AC1520">
        <f t="shared" si="330"/>
        <v>665716.74999999965</v>
      </c>
      <c r="AD1520">
        <f t="shared" si="331"/>
        <v>1381.1550829875512</v>
      </c>
      <c r="AE1520">
        <f t="shared" si="332"/>
        <v>0.35149999999999998</v>
      </c>
      <c r="AF1520">
        <f t="shared" si="333"/>
        <v>157581094.66000006</v>
      </c>
      <c r="AG1520" t="str">
        <f t="shared" si="334"/>
        <v>Active</v>
      </c>
      <c r="AH1520">
        <f t="shared" si="335"/>
        <v>13854.36</v>
      </c>
    </row>
    <row r="1521" spans="1:34" x14ac:dyDescent="0.35">
      <c r="A1521" t="s">
        <v>4018</v>
      </c>
      <c r="B1521" t="s">
        <v>4019</v>
      </c>
      <c r="C1521">
        <v>59</v>
      </c>
      <c r="D1521" t="s">
        <v>38</v>
      </c>
      <c r="E1521" t="s">
        <v>32</v>
      </c>
      <c r="F1521" t="s">
        <v>59</v>
      </c>
      <c r="G1521">
        <v>20970</v>
      </c>
      <c r="H1521">
        <v>428</v>
      </c>
      <c r="I1521">
        <v>23438</v>
      </c>
      <c r="J1521">
        <v>8.76</v>
      </c>
      <c r="K1521">
        <v>240</v>
      </c>
      <c r="L1521" t="s">
        <v>86</v>
      </c>
      <c r="M1521">
        <v>24.82</v>
      </c>
      <c r="N1521">
        <v>74525</v>
      </c>
      <c r="O1521">
        <v>146446</v>
      </c>
      <c r="P1521" t="s">
        <v>4020</v>
      </c>
      <c r="Q1521" t="s">
        <v>27</v>
      </c>
      <c r="R1521" t="s">
        <v>28</v>
      </c>
      <c r="S1521" t="s">
        <v>49</v>
      </c>
      <c r="T1521">
        <v>106.21</v>
      </c>
      <c r="U1521">
        <f t="shared" si="322"/>
        <v>481</v>
      </c>
      <c r="V1521">
        <f t="shared" si="323"/>
        <v>173</v>
      </c>
      <c r="W1521">
        <f t="shared" si="324"/>
        <v>147</v>
      </c>
      <c r="X1521">
        <f t="shared" si="325"/>
        <v>0.35149999999999998</v>
      </c>
      <c r="Y1521" s="1">
        <f t="shared" si="326"/>
        <v>24813699</v>
      </c>
      <c r="Z1521">
        <f t="shared" si="327"/>
        <v>51587.731808731805</v>
      </c>
      <c r="AA1521">
        <f t="shared" si="328"/>
        <v>99996</v>
      </c>
      <c r="AB1521">
        <f t="shared" si="329"/>
        <v>5091</v>
      </c>
      <c r="AC1521">
        <f t="shared" si="330"/>
        <v>664562.21999999974</v>
      </c>
      <c r="AD1521">
        <f t="shared" si="331"/>
        <v>1381.6262370062364</v>
      </c>
      <c r="AE1521">
        <f t="shared" si="332"/>
        <v>0.35149999999999998</v>
      </c>
      <c r="AF1521">
        <f t="shared" si="333"/>
        <v>156915377.91000006</v>
      </c>
      <c r="AG1521" t="str">
        <f t="shared" si="334"/>
        <v>Active</v>
      </c>
      <c r="AH1521">
        <f t="shared" si="335"/>
        <v>1274.52</v>
      </c>
    </row>
    <row r="1522" spans="1:34" x14ac:dyDescent="0.35">
      <c r="A1522" t="s">
        <v>4021</v>
      </c>
      <c r="B1522" t="s">
        <v>4022</v>
      </c>
      <c r="C1522">
        <v>64</v>
      </c>
      <c r="D1522" t="s">
        <v>22</v>
      </c>
      <c r="E1522" t="s">
        <v>23</v>
      </c>
      <c r="F1522" t="s">
        <v>24</v>
      </c>
      <c r="G1522">
        <v>62121</v>
      </c>
      <c r="H1522">
        <v>678</v>
      </c>
      <c r="I1522">
        <v>93352</v>
      </c>
      <c r="J1522">
        <v>23.8</v>
      </c>
      <c r="K1522">
        <v>48</v>
      </c>
      <c r="L1522" t="s">
        <v>25</v>
      </c>
      <c r="M1522">
        <v>53.68</v>
      </c>
      <c r="N1522">
        <v>37329</v>
      </c>
      <c r="O1522">
        <v>101456</v>
      </c>
      <c r="P1522" t="s">
        <v>2232</v>
      </c>
      <c r="Q1522" t="s">
        <v>27</v>
      </c>
      <c r="R1522" t="s">
        <v>48</v>
      </c>
      <c r="S1522" t="s">
        <v>35</v>
      </c>
      <c r="T1522">
        <v>2407.6999999999998</v>
      </c>
      <c r="U1522">
        <f t="shared" si="322"/>
        <v>480</v>
      </c>
      <c r="V1522">
        <f t="shared" si="323"/>
        <v>173</v>
      </c>
      <c r="W1522">
        <f t="shared" si="324"/>
        <v>147</v>
      </c>
      <c r="X1522">
        <f t="shared" si="325"/>
        <v>0.35149999999999998</v>
      </c>
      <c r="Y1522" s="1">
        <f t="shared" si="326"/>
        <v>24790261</v>
      </c>
      <c r="Z1522">
        <f t="shared" si="327"/>
        <v>51646.377083333333</v>
      </c>
      <c r="AA1522">
        <f t="shared" si="328"/>
        <v>99996</v>
      </c>
      <c r="AB1522">
        <f t="shared" si="329"/>
        <v>5091</v>
      </c>
      <c r="AC1522">
        <f t="shared" si="330"/>
        <v>664456.00999999978</v>
      </c>
      <c r="AD1522">
        <f t="shared" si="331"/>
        <v>1384.2833541666662</v>
      </c>
      <c r="AE1522">
        <f t="shared" si="332"/>
        <v>0.35149999999999998</v>
      </c>
      <c r="AF1522">
        <f t="shared" si="333"/>
        <v>156250815.69000009</v>
      </c>
      <c r="AG1522" t="str">
        <f t="shared" si="334"/>
        <v>Active</v>
      </c>
      <c r="AH1522">
        <f t="shared" si="335"/>
        <v>28892.399999999998</v>
      </c>
    </row>
    <row r="1523" spans="1:34" x14ac:dyDescent="0.35">
      <c r="A1523" t="s">
        <v>4023</v>
      </c>
      <c r="B1523" t="s">
        <v>4024</v>
      </c>
      <c r="C1523">
        <v>58</v>
      </c>
      <c r="D1523" t="s">
        <v>22</v>
      </c>
      <c r="E1523" t="s">
        <v>23</v>
      </c>
      <c r="F1523" t="s">
        <v>24</v>
      </c>
      <c r="G1523">
        <v>187362</v>
      </c>
      <c r="H1523">
        <v>673</v>
      </c>
      <c r="I1523">
        <v>53003</v>
      </c>
      <c r="J1523">
        <v>5.82</v>
      </c>
      <c r="K1523">
        <v>24</v>
      </c>
      <c r="L1523" t="s">
        <v>33</v>
      </c>
      <c r="M1523">
        <v>9.98</v>
      </c>
      <c r="N1523">
        <v>8963</v>
      </c>
      <c r="O1523">
        <v>27083</v>
      </c>
      <c r="P1523" t="s">
        <v>4025</v>
      </c>
      <c r="Q1523" t="s">
        <v>27</v>
      </c>
      <c r="R1523" t="s">
        <v>28</v>
      </c>
      <c r="S1523" t="s">
        <v>43</v>
      </c>
      <c r="T1523">
        <v>2336.9899999999998</v>
      </c>
      <c r="U1523">
        <f t="shared" si="322"/>
        <v>479</v>
      </c>
      <c r="V1523">
        <f t="shared" si="323"/>
        <v>173</v>
      </c>
      <c r="W1523">
        <f t="shared" si="324"/>
        <v>147</v>
      </c>
      <c r="X1523">
        <f t="shared" si="325"/>
        <v>0.35149999999999998</v>
      </c>
      <c r="Y1523" s="1">
        <f t="shared" si="326"/>
        <v>24696909</v>
      </c>
      <c r="Z1523">
        <f t="shared" si="327"/>
        <v>51559.308977035493</v>
      </c>
      <c r="AA1523">
        <f t="shared" si="328"/>
        <v>99996</v>
      </c>
      <c r="AB1523">
        <f t="shared" si="329"/>
        <v>5091</v>
      </c>
      <c r="AC1523">
        <f t="shared" si="330"/>
        <v>662048.30999999982</v>
      </c>
      <c r="AD1523">
        <f t="shared" si="331"/>
        <v>1382.1467849686844</v>
      </c>
      <c r="AE1523">
        <f t="shared" si="332"/>
        <v>0.35149999999999998</v>
      </c>
      <c r="AF1523">
        <f t="shared" si="333"/>
        <v>155586359.6800001</v>
      </c>
      <c r="AG1523" t="str">
        <f t="shared" si="334"/>
        <v>Active</v>
      </c>
      <c r="AH1523">
        <f t="shared" si="335"/>
        <v>28043.879999999997</v>
      </c>
    </row>
    <row r="1524" spans="1:34" x14ac:dyDescent="0.35">
      <c r="A1524" t="s">
        <v>4026</v>
      </c>
      <c r="B1524" t="s">
        <v>4027</v>
      </c>
      <c r="C1524">
        <v>49</v>
      </c>
      <c r="D1524" t="s">
        <v>22</v>
      </c>
      <c r="E1524" t="s">
        <v>39</v>
      </c>
      <c r="F1524" t="s">
        <v>59</v>
      </c>
      <c r="G1524">
        <v>71762</v>
      </c>
      <c r="H1524">
        <v>413</v>
      </c>
      <c r="I1524">
        <v>14930</v>
      </c>
      <c r="J1524">
        <v>4.6500000000000004</v>
      </c>
      <c r="K1524">
        <v>180</v>
      </c>
      <c r="L1524" t="s">
        <v>40</v>
      </c>
      <c r="M1524">
        <v>57.09</v>
      </c>
      <c r="N1524">
        <v>18715</v>
      </c>
      <c r="O1524">
        <v>52312</v>
      </c>
      <c r="P1524" t="s">
        <v>759</v>
      </c>
      <c r="Q1524" t="s">
        <v>42</v>
      </c>
      <c r="R1524" t="s">
        <v>48</v>
      </c>
      <c r="S1524" t="s">
        <v>43</v>
      </c>
      <c r="T1524">
        <v>86.8</v>
      </c>
      <c r="U1524">
        <f t="shared" si="322"/>
        <v>478</v>
      </c>
      <c r="V1524">
        <f t="shared" si="323"/>
        <v>173</v>
      </c>
      <c r="W1524">
        <f t="shared" si="324"/>
        <v>147</v>
      </c>
      <c r="X1524">
        <f t="shared" si="325"/>
        <v>0.35149999999999998</v>
      </c>
      <c r="Y1524" s="1">
        <f t="shared" si="326"/>
        <v>24643906</v>
      </c>
      <c r="Z1524">
        <f t="shared" si="327"/>
        <v>51556.288702928869</v>
      </c>
      <c r="AA1524">
        <f t="shared" si="328"/>
        <v>99996</v>
      </c>
      <c r="AB1524">
        <f t="shared" si="329"/>
        <v>5091</v>
      </c>
      <c r="AC1524">
        <f t="shared" si="330"/>
        <v>659711.31999999972</v>
      </c>
      <c r="AD1524">
        <f t="shared" si="331"/>
        <v>1380.1492050209199</v>
      </c>
      <c r="AE1524">
        <f t="shared" si="332"/>
        <v>0.35149999999999998</v>
      </c>
      <c r="AF1524">
        <f t="shared" si="333"/>
        <v>154924311.37000009</v>
      </c>
      <c r="AG1524" t="str">
        <f t="shared" si="334"/>
        <v>Active</v>
      </c>
      <c r="AH1524">
        <f t="shared" si="335"/>
        <v>1041.5999999999999</v>
      </c>
    </row>
    <row r="1525" spans="1:34" x14ac:dyDescent="0.35">
      <c r="A1525" t="s">
        <v>4028</v>
      </c>
      <c r="B1525" t="s">
        <v>4029</v>
      </c>
      <c r="C1525">
        <v>45</v>
      </c>
      <c r="D1525" t="s">
        <v>38</v>
      </c>
      <c r="E1525" t="s">
        <v>39</v>
      </c>
      <c r="F1525" t="s">
        <v>59</v>
      </c>
      <c r="G1525">
        <v>133373</v>
      </c>
      <c r="H1525">
        <v>729</v>
      </c>
      <c r="I1525">
        <v>46131</v>
      </c>
      <c r="J1525">
        <v>23.87</v>
      </c>
      <c r="K1525">
        <v>12</v>
      </c>
      <c r="L1525" t="s">
        <v>52</v>
      </c>
      <c r="M1525">
        <v>26.79</v>
      </c>
      <c r="N1525">
        <v>67748</v>
      </c>
      <c r="O1525">
        <v>108610</v>
      </c>
      <c r="P1525" t="s">
        <v>4030</v>
      </c>
      <c r="Q1525" t="s">
        <v>61</v>
      </c>
      <c r="R1525" t="s">
        <v>48</v>
      </c>
      <c r="S1525" t="s">
        <v>35</v>
      </c>
      <c r="T1525">
        <v>4761.87</v>
      </c>
      <c r="U1525">
        <f t="shared" si="322"/>
        <v>477</v>
      </c>
      <c r="V1525">
        <f t="shared" si="323"/>
        <v>172</v>
      </c>
      <c r="W1525">
        <f t="shared" si="324"/>
        <v>147</v>
      </c>
      <c r="X1525">
        <f t="shared" si="325"/>
        <v>0.35149999999999998</v>
      </c>
      <c r="Y1525" s="1">
        <f t="shared" si="326"/>
        <v>24628976</v>
      </c>
      <c r="Z1525">
        <f t="shared" si="327"/>
        <v>51633.073375262058</v>
      </c>
      <c r="AA1525">
        <f t="shared" si="328"/>
        <v>99996</v>
      </c>
      <c r="AB1525">
        <f t="shared" si="329"/>
        <v>5091</v>
      </c>
      <c r="AC1525">
        <f t="shared" si="330"/>
        <v>659624.51999999979</v>
      </c>
      <c r="AD1525">
        <f t="shared" si="331"/>
        <v>1382.8606289308173</v>
      </c>
      <c r="AE1525">
        <f t="shared" si="332"/>
        <v>0.35149999999999998</v>
      </c>
      <c r="AF1525">
        <f t="shared" si="333"/>
        <v>154264600.05000004</v>
      </c>
      <c r="AG1525" t="str">
        <f t="shared" si="334"/>
        <v>Active</v>
      </c>
      <c r="AH1525">
        <f t="shared" si="335"/>
        <v>57142.44</v>
      </c>
    </row>
    <row r="1526" spans="1:34" x14ac:dyDescent="0.35">
      <c r="A1526" t="s">
        <v>4031</v>
      </c>
      <c r="B1526" t="s">
        <v>4032</v>
      </c>
      <c r="C1526">
        <v>22</v>
      </c>
      <c r="D1526" t="s">
        <v>22</v>
      </c>
      <c r="E1526" t="s">
        <v>32</v>
      </c>
      <c r="F1526" t="s">
        <v>59</v>
      </c>
      <c r="G1526">
        <v>118720</v>
      </c>
      <c r="H1526">
        <v>820</v>
      </c>
      <c r="I1526">
        <v>85176</v>
      </c>
      <c r="J1526">
        <v>4.9800000000000004</v>
      </c>
      <c r="K1526">
        <v>24</v>
      </c>
      <c r="L1526" t="s">
        <v>86</v>
      </c>
      <c r="M1526">
        <v>11.43</v>
      </c>
      <c r="N1526">
        <v>30535</v>
      </c>
      <c r="O1526">
        <v>12059</v>
      </c>
      <c r="P1526" t="s">
        <v>4033</v>
      </c>
      <c r="Q1526" t="s">
        <v>27</v>
      </c>
      <c r="R1526" t="s">
        <v>48</v>
      </c>
      <c r="S1526" t="s">
        <v>35</v>
      </c>
      <c r="T1526">
        <v>3725.74</v>
      </c>
      <c r="U1526">
        <f t="shared" si="322"/>
        <v>476</v>
      </c>
      <c r="V1526">
        <f t="shared" si="323"/>
        <v>172</v>
      </c>
      <c r="W1526">
        <f t="shared" si="324"/>
        <v>146</v>
      </c>
      <c r="X1526">
        <f t="shared" si="325"/>
        <v>0.35149999999999998</v>
      </c>
      <c r="Y1526" s="1">
        <f t="shared" si="326"/>
        <v>24582845</v>
      </c>
      <c r="Z1526">
        <f t="shared" si="327"/>
        <v>51644.632352941175</v>
      </c>
      <c r="AA1526">
        <f t="shared" si="328"/>
        <v>99996</v>
      </c>
      <c r="AB1526">
        <f t="shared" si="329"/>
        <v>5091</v>
      </c>
      <c r="AC1526">
        <f t="shared" si="330"/>
        <v>654862.64999999979</v>
      </c>
      <c r="AD1526">
        <f t="shared" si="331"/>
        <v>1375.7618697478988</v>
      </c>
      <c r="AE1526">
        <f t="shared" si="332"/>
        <v>0.35149999999999998</v>
      </c>
      <c r="AF1526">
        <f t="shared" si="333"/>
        <v>153604975.53000006</v>
      </c>
      <c r="AG1526" t="str">
        <f t="shared" si="334"/>
        <v>Over Paid</v>
      </c>
      <c r="AH1526">
        <f t="shared" si="335"/>
        <v>44708.88</v>
      </c>
    </row>
    <row r="1527" spans="1:34" x14ac:dyDescent="0.35">
      <c r="A1527" t="s">
        <v>4034</v>
      </c>
      <c r="B1527" t="s">
        <v>4035</v>
      </c>
      <c r="C1527">
        <v>28</v>
      </c>
      <c r="D1527" t="s">
        <v>38</v>
      </c>
      <c r="E1527" t="s">
        <v>23</v>
      </c>
      <c r="F1527" t="s">
        <v>59</v>
      </c>
      <c r="G1527">
        <v>53770</v>
      </c>
      <c r="H1527">
        <v>423</v>
      </c>
      <c r="I1527">
        <v>48394</v>
      </c>
      <c r="J1527">
        <v>4.72</v>
      </c>
      <c r="K1527">
        <v>12</v>
      </c>
      <c r="L1527" t="s">
        <v>33</v>
      </c>
      <c r="M1527">
        <v>6.58</v>
      </c>
      <c r="N1527">
        <v>5875</v>
      </c>
      <c r="O1527">
        <v>245042</v>
      </c>
      <c r="P1527" t="s">
        <v>1417</v>
      </c>
      <c r="Q1527" t="s">
        <v>27</v>
      </c>
      <c r="R1527" t="s">
        <v>28</v>
      </c>
      <c r="S1527" t="s">
        <v>29</v>
      </c>
      <c r="T1527">
        <v>4223.18</v>
      </c>
      <c r="U1527">
        <f t="shared" si="322"/>
        <v>475</v>
      </c>
      <c r="V1527">
        <f t="shared" si="323"/>
        <v>172</v>
      </c>
      <c r="W1527">
        <f t="shared" si="324"/>
        <v>146</v>
      </c>
      <c r="X1527">
        <f t="shared" si="325"/>
        <v>0.35149999999999998</v>
      </c>
      <c r="Y1527" s="1">
        <f t="shared" si="326"/>
        <v>24497669</v>
      </c>
      <c r="Z1527">
        <f t="shared" si="327"/>
        <v>51574.04</v>
      </c>
      <c r="AA1527">
        <f t="shared" si="328"/>
        <v>99996</v>
      </c>
      <c r="AB1527">
        <f t="shared" si="329"/>
        <v>5091</v>
      </c>
      <c r="AC1527">
        <f t="shared" si="330"/>
        <v>651136.9099999998</v>
      </c>
      <c r="AD1527">
        <f t="shared" si="331"/>
        <v>1370.8145473684206</v>
      </c>
      <c r="AE1527">
        <f t="shared" si="332"/>
        <v>0.35149999999999998</v>
      </c>
      <c r="AF1527">
        <f t="shared" si="333"/>
        <v>152950112.88000008</v>
      </c>
      <c r="AG1527" t="str">
        <f t="shared" si="334"/>
        <v>Active</v>
      </c>
      <c r="AH1527">
        <f t="shared" si="335"/>
        <v>50678.16</v>
      </c>
    </row>
    <row r="1528" spans="1:34" x14ac:dyDescent="0.35">
      <c r="A1528" t="s">
        <v>4036</v>
      </c>
      <c r="B1528" t="s">
        <v>4037</v>
      </c>
      <c r="C1528">
        <v>42</v>
      </c>
      <c r="D1528" t="s">
        <v>38</v>
      </c>
      <c r="E1528" t="s">
        <v>32</v>
      </c>
      <c r="F1528" t="s">
        <v>59</v>
      </c>
      <c r="G1528">
        <v>105325</v>
      </c>
      <c r="H1528">
        <v>489</v>
      </c>
      <c r="I1528">
        <v>80236</v>
      </c>
      <c r="J1528">
        <v>23.28</v>
      </c>
      <c r="K1528">
        <v>36</v>
      </c>
      <c r="L1528" t="s">
        <v>25</v>
      </c>
      <c r="M1528">
        <v>58.49</v>
      </c>
      <c r="N1528">
        <v>10432</v>
      </c>
      <c r="O1528">
        <v>35288</v>
      </c>
      <c r="P1528" t="s">
        <v>4038</v>
      </c>
      <c r="Q1528" t="s">
        <v>27</v>
      </c>
      <c r="R1528" t="s">
        <v>48</v>
      </c>
      <c r="S1528" t="s">
        <v>35</v>
      </c>
      <c r="T1528">
        <v>2747.64</v>
      </c>
      <c r="U1528">
        <f t="shared" si="322"/>
        <v>474</v>
      </c>
      <c r="V1528">
        <f t="shared" si="323"/>
        <v>172</v>
      </c>
      <c r="W1528">
        <f t="shared" si="324"/>
        <v>146</v>
      </c>
      <c r="X1528">
        <f t="shared" si="325"/>
        <v>0.35149999999999998</v>
      </c>
      <c r="Y1528" s="1">
        <f t="shared" si="326"/>
        <v>24449275</v>
      </c>
      <c r="Z1528">
        <f t="shared" si="327"/>
        <v>51580.748945147679</v>
      </c>
      <c r="AA1528">
        <f t="shared" si="328"/>
        <v>99996</v>
      </c>
      <c r="AB1528">
        <f t="shared" si="329"/>
        <v>5091</v>
      </c>
      <c r="AC1528">
        <f t="shared" si="330"/>
        <v>646913.72999999986</v>
      </c>
      <c r="AD1528">
        <f t="shared" si="331"/>
        <v>1364.7968987341769</v>
      </c>
      <c r="AE1528">
        <f t="shared" si="332"/>
        <v>0.35149999999999998</v>
      </c>
      <c r="AF1528">
        <f t="shared" si="333"/>
        <v>152298975.97000006</v>
      </c>
      <c r="AG1528" t="str">
        <f t="shared" si="334"/>
        <v>Over Paid</v>
      </c>
      <c r="AH1528">
        <f t="shared" si="335"/>
        <v>32971.68</v>
      </c>
    </row>
    <row r="1529" spans="1:34" x14ac:dyDescent="0.35">
      <c r="A1529" t="s">
        <v>4039</v>
      </c>
      <c r="B1529" t="s">
        <v>4040</v>
      </c>
      <c r="C1529">
        <v>43</v>
      </c>
      <c r="D1529" t="s">
        <v>38</v>
      </c>
      <c r="E1529" t="s">
        <v>39</v>
      </c>
      <c r="F1529" t="s">
        <v>46</v>
      </c>
      <c r="G1529">
        <v>49546</v>
      </c>
      <c r="H1529">
        <v>543</v>
      </c>
      <c r="I1529">
        <v>77908</v>
      </c>
      <c r="J1529">
        <v>7.39</v>
      </c>
      <c r="K1529">
        <v>12</v>
      </c>
      <c r="L1529" t="s">
        <v>40</v>
      </c>
      <c r="M1529">
        <v>40.950000000000003</v>
      </c>
      <c r="N1529">
        <v>22058</v>
      </c>
      <c r="O1529">
        <v>145059</v>
      </c>
      <c r="P1529" t="s">
        <v>3326</v>
      </c>
      <c r="Q1529" t="s">
        <v>42</v>
      </c>
      <c r="R1529" t="s">
        <v>28</v>
      </c>
      <c r="S1529" t="s">
        <v>43</v>
      </c>
      <c r="T1529">
        <v>6972.12</v>
      </c>
      <c r="U1529">
        <f t="shared" si="322"/>
        <v>473</v>
      </c>
      <c r="V1529">
        <f t="shared" si="323"/>
        <v>172</v>
      </c>
      <c r="W1529">
        <f t="shared" si="324"/>
        <v>146</v>
      </c>
      <c r="X1529">
        <f t="shared" si="325"/>
        <v>0.35149999999999998</v>
      </c>
      <c r="Y1529" s="1">
        <f t="shared" si="326"/>
        <v>24369039</v>
      </c>
      <c r="Z1529">
        <f t="shared" si="327"/>
        <v>51520.167019027482</v>
      </c>
      <c r="AA1529">
        <f t="shared" si="328"/>
        <v>99996</v>
      </c>
      <c r="AB1529">
        <f t="shared" si="329"/>
        <v>5091</v>
      </c>
      <c r="AC1529">
        <f t="shared" si="330"/>
        <v>644166.08999999985</v>
      </c>
      <c r="AD1529">
        <f t="shared" si="331"/>
        <v>1361.8733403805493</v>
      </c>
      <c r="AE1529">
        <f t="shared" si="332"/>
        <v>0.35149999999999998</v>
      </c>
      <c r="AF1529">
        <f t="shared" si="333"/>
        <v>151652062.24000004</v>
      </c>
      <c r="AG1529" t="str">
        <f t="shared" si="334"/>
        <v>Active</v>
      </c>
      <c r="AH1529">
        <f t="shared" si="335"/>
        <v>83665.440000000002</v>
      </c>
    </row>
    <row r="1530" spans="1:34" x14ac:dyDescent="0.35">
      <c r="A1530" t="s">
        <v>4041</v>
      </c>
      <c r="B1530" t="s">
        <v>4042</v>
      </c>
      <c r="C1530">
        <v>38</v>
      </c>
      <c r="D1530" t="s">
        <v>22</v>
      </c>
      <c r="E1530" t="s">
        <v>32</v>
      </c>
      <c r="F1530" t="s">
        <v>24</v>
      </c>
      <c r="G1530">
        <v>127028</v>
      </c>
      <c r="H1530">
        <v>615</v>
      </c>
      <c r="I1530">
        <v>92180</v>
      </c>
      <c r="J1530">
        <v>8.9499999999999993</v>
      </c>
      <c r="K1530">
        <v>60</v>
      </c>
      <c r="L1530" t="s">
        <v>86</v>
      </c>
      <c r="M1530">
        <v>30.95</v>
      </c>
      <c r="N1530">
        <v>39295</v>
      </c>
      <c r="O1530">
        <v>148690</v>
      </c>
      <c r="P1530" t="s">
        <v>3744</v>
      </c>
      <c r="Q1530" t="s">
        <v>61</v>
      </c>
      <c r="R1530" t="s">
        <v>28</v>
      </c>
      <c r="S1530" t="s">
        <v>43</v>
      </c>
      <c r="T1530">
        <v>1673.84</v>
      </c>
      <c r="U1530">
        <f t="shared" si="322"/>
        <v>472</v>
      </c>
      <c r="V1530">
        <f t="shared" si="323"/>
        <v>171</v>
      </c>
      <c r="W1530">
        <f t="shared" si="324"/>
        <v>146</v>
      </c>
      <c r="X1530">
        <f t="shared" si="325"/>
        <v>0.35149999999999998</v>
      </c>
      <c r="Y1530" s="1">
        <f t="shared" si="326"/>
        <v>24291131</v>
      </c>
      <c r="Z1530">
        <f t="shared" si="327"/>
        <v>51464.260593220337</v>
      </c>
      <c r="AA1530">
        <f t="shared" si="328"/>
        <v>99996</v>
      </c>
      <c r="AB1530">
        <f t="shared" si="329"/>
        <v>5091</v>
      </c>
      <c r="AC1530">
        <f t="shared" si="330"/>
        <v>637193.96999999986</v>
      </c>
      <c r="AD1530">
        <f t="shared" si="331"/>
        <v>1349.9872245762708</v>
      </c>
      <c r="AE1530">
        <f t="shared" si="332"/>
        <v>0.35149999999999998</v>
      </c>
      <c r="AF1530">
        <f t="shared" si="333"/>
        <v>151007896.15000004</v>
      </c>
      <c r="AG1530" t="str">
        <f t="shared" si="334"/>
        <v>Over Paid</v>
      </c>
      <c r="AH1530">
        <f t="shared" si="335"/>
        <v>20086.079999999998</v>
      </c>
    </row>
    <row r="1531" spans="1:34" x14ac:dyDescent="0.35">
      <c r="A1531" t="s">
        <v>4043</v>
      </c>
      <c r="B1531" t="s">
        <v>4044</v>
      </c>
      <c r="C1531">
        <v>45</v>
      </c>
      <c r="D1531" t="s">
        <v>22</v>
      </c>
      <c r="E1531" t="s">
        <v>32</v>
      </c>
      <c r="F1531" t="s">
        <v>46</v>
      </c>
      <c r="G1531">
        <v>173889</v>
      </c>
      <c r="H1531">
        <v>538</v>
      </c>
      <c r="I1531">
        <v>47183</v>
      </c>
      <c r="J1531">
        <v>14.1</v>
      </c>
      <c r="K1531">
        <v>60</v>
      </c>
      <c r="L1531" t="s">
        <v>25</v>
      </c>
      <c r="M1531">
        <v>10.47</v>
      </c>
      <c r="N1531">
        <v>53856</v>
      </c>
      <c r="O1531">
        <v>177240</v>
      </c>
      <c r="P1531" t="s">
        <v>391</v>
      </c>
      <c r="Q1531" t="s">
        <v>42</v>
      </c>
      <c r="R1531" t="s">
        <v>28</v>
      </c>
      <c r="S1531" t="s">
        <v>29</v>
      </c>
      <c r="T1531">
        <v>897.26</v>
      </c>
      <c r="U1531">
        <f t="shared" si="322"/>
        <v>471</v>
      </c>
      <c r="V1531">
        <f t="shared" si="323"/>
        <v>171</v>
      </c>
      <c r="W1531">
        <f t="shared" si="324"/>
        <v>145</v>
      </c>
      <c r="X1531">
        <f t="shared" si="325"/>
        <v>0.35149999999999998</v>
      </c>
      <c r="Y1531" s="1">
        <f t="shared" si="326"/>
        <v>24198951</v>
      </c>
      <c r="Z1531">
        <f t="shared" si="327"/>
        <v>51377.815286624202</v>
      </c>
      <c r="AA1531">
        <f t="shared" si="328"/>
        <v>99996</v>
      </c>
      <c r="AB1531">
        <f t="shared" si="329"/>
        <v>5091</v>
      </c>
      <c r="AC1531">
        <f t="shared" si="330"/>
        <v>635520.13</v>
      </c>
      <c r="AD1531">
        <f t="shared" si="331"/>
        <v>1349.2996390658175</v>
      </c>
      <c r="AE1531">
        <f t="shared" si="332"/>
        <v>0.35149999999999998</v>
      </c>
      <c r="AF1531">
        <f t="shared" si="333"/>
        <v>150370702.18000004</v>
      </c>
      <c r="AG1531" t="str">
        <f t="shared" si="334"/>
        <v>Active</v>
      </c>
      <c r="AH1531">
        <f t="shared" si="335"/>
        <v>10767.119999999999</v>
      </c>
    </row>
    <row r="1532" spans="1:34" x14ac:dyDescent="0.35">
      <c r="A1532" t="s">
        <v>4045</v>
      </c>
      <c r="B1532" t="s">
        <v>4046</v>
      </c>
      <c r="C1532">
        <v>40</v>
      </c>
      <c r="D1532" t="s">
        <v>38</v>
      </c>
      <c r="E1532" t="s">
        <v>32</v>
      </c>
      <c r="F1532" t="s">
        <v>46</v>
      </c>
      <c r="G1532">
        <v>167851</v>
      </c>
      <c r="H1532">
        <v>835</v>
      </c>
      <c r="I1532">
        <v>24801</v>
      </c>
      <c r="J1532">
        <v>10.53</v>
      </c>
      <c r="K1532">
        <v>240</v>
      </c>
      <c r="L1532" t="s">
        <v>40</v>
      </c>
      <c r="M1532">
        <v>49.93</v>
      </c>
      <c r="N1532">
        <v>74490</v>
      </c>
      <c r="O1532">
        <v>108509</v>
      </c>
      <c r="P1532" t="s">
        <v>4047</v>
      </c>
      <c r="Q1532" t="s">
        <v>61</v>
      </c>
      <c r="R1532" t="s">
        <v>48</v>
      </c>
      <c r="S1532" t="s">
        <v>43</v>
      </c>
      <c r="T1532">
        <v>114.22</v>
      </c>
      <c r="U1532">
        <f t="shared" si="322"/>
        <v>470</v>
      </c>
      <c r="V1532">
        <f t="shared" si="323"/>
        <v>170</v>
      </c>
      <c r="W1532">
        <f t="shared" si="324"/>
        <v>145</v>
      </c>
      <c r="X1532">
        <f t="shared" si="325"/>
        <v>0.35149999999999998</v>
      </c>
      <c r="Y1532" s="1">
        <f t="shared" si="326"/>
        <v>24151768</v>
      </c>
      <c r="Z1532">
        <f t="shared" si="327"/>
        <v>51386.740425531912</v>
      </c>
      <c r="AA1532">
        <f t="shared" si="328"/>
        <v>99996</v>
      </c>
      <c r="AB1532">
        <f t="shared" si="329"/>
        <v>5091</v>
      </c>
      <c r="AC1532">
        <f t="shared" si="330"/>
        <v>634622.87</v>
      </c>
      <c r="AD1532">
        <f t="shared" si="331"/>
        <v>1350.2614255319149</v>
      </c>
      <c r="AE1532">
        <f t="shared" si="332"/>
        <v>0.35149999999999998</v>
      </c>
      <c r="AF1532">
        <f t="shared" si="333"/>
        <v>149735182.05000007</v>
      </c>
      <c r="AG1532" t="str">
        <f t="shared" si="334"/>
        <v>Active</v>
      </c>
      <c r="AH1532">
        <f t="shared" si="335"/>
        <v>1370.6399999999999</v>
      </c>
    </row>
    <row r="1533" spans="1:34" x14ac:dyDescent="0.35">
      <c r="A1533" t="s">
        <v>4048</v>
      </c>
      <c r="B1533" t="s">
        <v>4049</v>
      </c>
      <c r="C1533">
        <v>64</v>
      </c>
      <c r="D1533" t="s">
        <v>22</v>
      </c>
      <c r="E1533" t="s">
        <v>23</v>
      </c>
      <c r="F1533" t="s">
        <v>24</v>
      </c>
      <c r="G1533">
        <v>87321</v>
      </c>
      <c r="H1533">
        <v>744</v>
      </c>
      <c r="I1533">
        <v>15322</v>
      </c>
      <c r="J1533">
        <v>23.18</v>
      </c>
      <c r="K1533">
        <v>240</v>
      </c>
      <c r="L1533" t="s">
        <v>52</v>
      </c>
      <c r="M1533">
        <v>10.65</v>
      </c>
      <c r="N1533">
        <v>49177</v>
      </c>
      <c r="O1533">
        <v>164770</v>
      </c>
      <c r="P1533" t="s">
        <v>811</v>
      </c>
      <c r="Q1533" t="s">
        <v>42</v>
      </c>
      <c r="R1533" t="s">
        <v>28</v>
      </c>
      <c r="S1533" t="s">
        <v>49</v>
      </c>
      <c r="T1533">
        <v>78.64</v>
      </c>
      <c r="U1533">
        <f t="shared" si="322"/>
        <v>469</v>
      </c>
      <c r="V1533">
        <f t="shared" si="323"/>
        <v>170</v>
      </c>
      <c r="W1533">
        <f t="shared" si="324"/>
        <v>144</v>
      </c>
      <c r="X1533">
        <f t="shared" si="325"/>
        <v>0.35149999999999998</v>
      </c>
      <c r="Y1533" s="1">
        <f t="shared" si="326"/>
        <v>24126967</v>
      </c>
      <c r="Z1533">
        <f t="shared" si="327"/>
        <v>51443.426439232411</v>
      </c>
      <c r="AA1533">
        <f t="shared" si="328"/>
        <v>99996</v>
      </c>
      <c r="AB1533">
        <f t="shared" si="329"/>
        <v>5091</v>
      </c>
      <c r="AC1533">
        <f t="shared" si="330"/>
        <v>634508.65</v>
      </c>
      <c r="AD1533">
        <f t="shared" si="331"/>
        <v>1352.896908315565</v>
      </c>
      <c r="AE1533">
        <f t="shared" si="332"/>
        <v>0.35149999999999998</v>
      </c>
      <c r="AF1533">
        <f t="shared" si="333"/>
        <v>149100559.1800001</v>
      </c>
      <c r="AG1533" t="str">
        <f t="shared" si="334"/>
        <v>Active</v>
      </c>
      <c r="AH1533">
        <f t="shared" si="335"/>
        <v>943.68000000000006</v>
      </c>
    </row>
    <row r="1534" spans="1:34" x14ac:dyDescent="0.35">
      <c r="A1534" t="s">
        <v>4050</v>
      </c>
      <c r="B1534" t="s">
        <v>4051</v>
      </c>
      <c r="C1534">
        <v>39</v>
      </c>
      <c r="D1534" t="s">
        <v>38</v>
      </c>
      <c r="E1534" t="s">
        <v>23</v>
      </c>
      <c r="F1534" t="s">
        <v>46</v>
      </c>
      <c r="G1534">
        <v>141829</v>
      </c>
      <c r="H1534">
        <v>661</v>
      </c>
      <c r="I1534">
        <v>42325</v>
      </c>
      <c r="J1534">
        <v>20.39</v>
      </c>
      <c r="K1534">
        <v>60</v>
      </c>
      <c r="L1534" t="s">
        <v>40</v>
      </c>
      <c r="M1534">
        <v>24.59</v>
      </c>
      <c r="N1534">
        <v>79215</v>
      </c>
      <c r="O1534">
        <v>131530</v>
      </c>
      <c r="P1534" t="s">
        <v>927</v>
      </c>
      <c r="Q1534" t="s">
        <v>27</v>
      </c>
      <c r="R1534" t="s">
        <v>48</v>
      </c>
      <c r="S1534" t="s">
        <v>68</v>
      </c>
      <c r="T1534">
        <v>849.25</v>
      </c>
      <c r="U1534">
        <f t="shared" si="322"/>
        <v>468</v>
      </c>
      <c r="V1534">
        <f t="shared" si="323"/>
        <v>169</v>
      </c>
      <c r="W1534">
        <f t="shared" si="324"/>
        <v>144</v>
      </c>
      <c r="X1534">
        <f t="shared" si="325"/>
        <v>0.35149999999999998</v>
      </c>
      <c r="Y1534" s="1">
        <f t="shared" si="326"/>
        <v>24111645</v>
      </c>
      <c r="Z1534">
        <f t="shared" si="327"/>
        <v>51520.608974358976</v>
      </c>
      <c r="AA1534">
        <f t="shared" si="328"/>
        <v>99996</v>
      </c>
      <c r="AB1534">
        <f t="shared" si="329"/>
        <v>5091</v>
      </c>
      <c r="AC1534">
        <f t="shared" si="330"/>
        <v>634430.01</v>
      </c>
      <c r="AD1534">
        <f t="shared" si="331"/>
        <v>1355.6196794871796</v>
      </c>
      <c r="AE1534">
        <f t="shared" si="332"/>
        <v>0.35149999999999998</v>
      </c>
      <c r="AF1534">
        <f t="shared" si="333"/>
        <v>148466050.53000009</v>
      </c>
      <c r="AG1534" t="str">
        <f t="shared" si="334"/>
        <v>Active</v>
      </c>
      <c r="AH1534">
        <f t="shared" si="335"/>
        <v>10191</v>
      </c>
    </row>
    <row r="1535" spans="1:34" x14ac:dyDescent="0.35">
      <c r="A1535" t="s">
        <v>4052</v>
      </c>
      <c r="B1535" t="s">
        <v>4053</v>
      </c>
      <c r="C1535">
        <v>24</v>
      </c>
      <c r="D1535" t="s">
        <v>22</v>
      </c>
      <c r="E1535" t="s">
        <v>39</v>
      </c>
      <c r="F1535" t="s">
        <v>59</v>
      </c>
      <c r="G1535">
        <v>139671</v>
      </c>
      <c r="H1535">
        <v>363</v>
      </c>
      <c r="I1535">
        <v>76785</v>
      </c>
      <c r="J1535">
        <v>10.72</v>
      </c>
      <c r="K1535">
        <v>48</v>
      </c>
      <c r="L1535" t="s">
        <v>33</v>
      </c>
      <c r="M1535">
        <v>37.26</v>
      </c>
      <c r="N1535">
        <v>69566</v>
      </c>
      <c r="O1535">
        <v>32398</v>
      </c>
      <c r="P1535" t="s">
        <v>4054</v>
      </c>
      <c r="Q1535" t="s">
        <v>42</v>
      </c>
      <c r="R1535" t="s">
        <v>28</v>
      </c>
      <c r="S1535" t="s">
        <v>35</v>
      </c>
      <c r="T1535">
        <v>1771.17</v>
      </c>
      <c r="U1535">
        <f t="shared" si="322"/>
        <v>467</v>
      </c>
      <c r="V1535">
        <f t="shared" si="323"/>
        <v>169</v>
      </c>
      <c r="W1535">
        <f t="shared" si="324"/>
        <v>144</v>
      </c>
      <c r="X1535">
        <f t="shared" si="325"/>
        <v>0.35149999999999998</v>
      </c>
      <c r="Y1535" s="1">
        <f t="shared" si="326"/>
        <v>24069320</v>
      </c>
      <c r="Z1535">
        <f t="shared" si="327"/>
        <v>51540.299785867239</v>
      </c>
      <c r="AA1535">
        <f t="shared" si="328"/>
        <v>99996</v>
      </c>
      <c r="AB1535">
        <f t="shared" si="329"/>
        <v>5091</v>
      </c>
      <c r="AC1535">
        <f t="shared" si="330"/>
        <v>633580.75999999989</v>
      </c>
      <c r="AD1535">
        <f t="shared" si="331"/>
        <v>1356.7039828693787</v>
      </c>
      <c r="AE1535">
        <f t="shared" si="332"/>
        <v>0.35149999999999998</v>
      </c>
      <c r="AF1535">
        <f t="shared" si="333"/>
        <v>147831620.5200001</v>
      </c>
      <c r="AG1535" t="str">
        <f t="shared" si="334"/>
        <v>Active</v>
      </c>
      <c r="AH1535">
        <f t="shared" si="335"/>
        <v>21254.04</v>
      </c>
    </row>
    <row r="1536" spans="1:34" x14ac:dyDescent="0.35">
      <c r="A1536" t="s">
        <v>4055</v>
      </c>
      <c r="B1536" t="s">
        <v>4056</v>
      </c>
      <c r="C1536">
        <v>31</v>
      </c>
      <c r="D1536" t="s">
        <v>22</v>
      </c>
      <c r="E1536" t="s">
        <v>23</v>
      </c>
      <c r="F1536" t="s">
        <v>59</v>
      </c>
      <c r="G1536">
        <v>91973</v>
      </c>
      <c r="H1536">
        <v>395</v>
      </c>
      <c r="I1536">
        <v>45748</v>
      </c>
      <c r="J1536">
        <v>20.36</v>
      </c>
      <c r="K1536">
        <v>12</v>
      </c>
      <c r="L1536" t="s">
        <v>25</v>
      </c>
      <c r="M1536">
        <v>6.22</v>
      </c>
      <c r="N1536">
        <v>3377</v>
      </c>
      <c r="O1536">
        <v>37643</v>
      </c>
      <c r="P1536" t="s">
        <v>3706</v>
      </c>
      <c r="Q1536" t="s">
        <v>27</v>
      </c>
      <c r="R1536" t="s">
        <v>48</v>
      </c>
      <c r="S1536" t="s">
        <v>35</v>
      </c>
      <c r="T1536">
        <v>4588.5200000000004</v>
      </c>
      <c r="U1536">
        <f t="shared" si="322"/>
        <v>466</v>
      </c>
      <c r="V1536">
        <f t="shared" si="323"/>
        <v>168</v>
      </c>
      <c r="W1536">
        <f t="shared" si="324"/>
        <v>144</v>
      </c>
      <c r="X1536">
        <f t="shared" si="325"/>
        <v>0.35149999999999998</v>
      </c>
      <c r="Y1536" s="1">
        <f t="shared" si="326"/>
        <v>23992535</v>
      </c>
      <c r="Z1536">
        <f t="shared" si="327"/>
        <v>51486.126609442057</v>
      </c>
      <c r="AA1536">
        <f t="shared" si="328"/>
        <v>99996</v>
      </c>
      <c r="AB1536">
        <f t="shared" si="329"/>
        <v>5091</v>
      </c>
      <c r="AC1536">
        <f t="shared" si="330"/>
        <v>631809.59000000008</v>
      </c>
      <c r="AD1536">
        <f t="shared" si="331"/>
        <v>1355.8145708154509</v>
      </c>
      <c r="AE1536">
        <f t="shared" si="332"/>
        <v>0.35149999999999998</v>
      </c>
      <c r="AF1536">
        <f t="shared" si="333"/>
        <v>147198039.76000011</v>
      </c>
      <c r="AG1536" t="str">
        <f t="shared" si="334"/>
        <v>Active</v>
      </c>
      <c r="AH1536">
        <f t="shared" si="335"/>
        <v>55062.240000000005</v>
      </c>
    </row>
    <row r="1537" spans="1:34" x14ac:dyDescent="0.35">
      <c r="A1537" t="s">
        <v>4057</v>
      </c>
      <c r="B1537" t="s">
        <v>4058</v>
      </c>
      <c r="C1537">
        <v>38</v>
      </c>
      <c r="D1537" t="s">
        <v>22</v>
      </c>
      <c r="E1537" t="s">
        <v>23</v>
      </c>
      <c r="F1537" t="s">
        <v>59</v>
      </c>
      <c r="G1537">
        <v>115471</v>
      </c>
      <c r="H1537">
        <v>703</v>
      </c>
      <c r="I1537">
        <v>54120</v>
      </c>
      <c r="J1537">
        <v>4.55</v>
      </c>
      <c r="K1537">
        <v>24</v>
      </c>
      <c r="L1537" t="s">
        <v>40</v>
      </c>
      <c r="M1537">
        <v>45.09</v>
      </c>
      <c r="N1537">
        <v>5949</v>
      </c>
      <c r="O1537">
        <v>193623</v>
      </c>
      <c r="P1537" t="s">
        <v>826</v>
      </c>
      <c r="Q1537" t="s">
        <v>61</v>
      </c>
      <c r="R1537" t="s">
        <v>28</v>
      </c>
      <c r="S1537" t="s">
        <v>35</v>
      </c>
      <c r="T1537">
        <v>2357.6</v>
      </c>
      <c r="U1537">
        <f t="shared" si="322"/>
        <v>465</v>
      </c>
      <c r="V1537">
        <f t="shared" si="323"/>
        <v>168</v>
      </c>
      <c r="W1537">
        <f t="shared" si="324"/>
        <v>144</v>
      </c>
      <c r="X1537">
        <f t="shared" si="325"/>
        <v>0.35149999999999998</v>
      </c>
      <c r="Y1537" s="1">
        <f t="shared" si="326"/>
        <v>23946787</v>
      </c>
      <c r="Z1537">
        <f t="shared" si="327"/>
        <v>51498.466666666667</v>
      </c>
      <c r="AA1537">
        <f t="shared" si="328"/>
        <v>99996</v>
      </c>
      <c r="AB1537">
        <f t="shared" si="329"/>
        <v>5091</v>
      </c>
      <c r="AC1537">
        <f t="shared" si="330"/>
        <v>627221.07000000007</v>
      </c>
      <c r="AD1537">
        <f t="shared" si="331"/>
        <v>1348.8625161290324</v>
      </c>
      <c r="AE1537">
        <f t="shared" si="332"/>
        <v>0.35149999999999998</v>
      </c>
      <c r="AF1537">
        <f t="shared" si="333"/>
        <v>146566230.17000011</v>
      </c>
      <c r="AG1537" t="str">
        <f t="shared" si="334"/>
        <v>Over Paid</v>
      </c>
      <c r="AH1537">
        <f t="shared" si="335"/>
        <v>28291.199999999997</v>
      </c>
    </row>
    <row r="1538" spans="1:34" x14ac:dyDescent="0.35">
      <c r="A1538" t="s">
        <v>4059</v>
      </c>
      <c r="B1538" t="s">
        <v>4060</v>
      </c>
      <c r="C1538">
        <v>24</v>
      </c>
      <c r="D1538" t="s">
        <v>22</v>
      </c>
      <c r="E1538" t="s">
        <v>23</v>
      </c>
      <c r="F1538" t="s">
        <v>59</v>
      </c>
      <c r="G1538">
        <v>56131</v>
      </c>
      <c r="H1538">
        <v>783</v>
      </c>
      <c r="I1538">
        <v>17857</v>
      </c>
      <c r="J1538">
        <v>11.11</v>
      </c>
      <c r="K1538">
        <v>48</v>
      </c>
      <c r="L1538" t="s">
        <v>52</v>
      </c>
      <c r="M1538">
        <v>55.25</v>
      </c>
      <c r="N1538">
        <v>77958</v>
      </c>
      <c r="O1538">
        <v>205725</v>
      </c>
      <c r="P1538" t="s">
        <v>4061</v>
      </c>
      <c r="Q1538" t="s">
        <v>61</v>
      </c>
      <c r="R1538" t="s">
        <v>48</v>
      </c>
      <c r="S1538" t="s">
        <v>35</v>
      </c>
      <c r="T1538">
        <v>413.35</v>
      </c>
      <c r="U1538">
        <f t="shared" ref="U1538:U1601" si="336">COUNTA(A1538:A3537)</f>
        <v>464</v>
      </c>
      <c r="V1538">
        <f t="shared" ref="V1538:V1601" si="337">COUNTIF(Q1538:Q3537,"APPROVED")</f>
        <v>168</v>
      </c>
      <c r="W1538">
        <f t="shared" ref="W1538:W1601" si="338">COUNTIF(Q1538:Q3538,"Rejected")</f>
        <v>143</v>
      </c>
      <c r="X1538">
        <f t="shared" ref="X1538:X1601" si="339">703/2000</f>
        <v>0.35149999999999998</v>
      </c>
      <c r="Y1538" s="1">
        <f t="shared" ref="Y1538:Y1601" si="340">SUM(I1538:I3537)</f>
        <v>23892667</v>
      </c>
      <c r="Z1538">
        <f t="shared" ref="Z1538:Z1601" si="341">AVERAGE(I1538:I21537)</f>
        <v>51492.816810344826</v>
      </c>
      <c r="AA1538">
        <f t="shared" ref="AA1538:AA1601" si="342">MAX(I1538:I3537)</f>
        <v>99996</v>
      </c>
      <c r="AB1538">
        <f t="shared" ref="AB1538:AB1601" si="343">MIN(I1538:I3537)</f>
        <v>5091</v>
      </c>
      <c r="AC1538">
        <f t="shared" ref="AC1538:AC1601" si="344">SUM(T1538:T3537)</f>
        <v>624863.47000000009</v>
      </c>
      <c r="AD1538">
        <f t="shared" ref="AD1538:AD1601" si="345">AVERAGE(T1538:T3537)</f>
        <v>1346.6885129310347</v>
      </c>
      <c r="AE1538">
        <f t="shared" ref="AE1538:AE1601" si="346">703/2000</f>
        <v>0.35149999999999998</v>
      </c>
      <c r="AF1538">
        <f t="shared" ref="AF1538:AF1601" si="347">SUM(AC1538:AC3537)</f>
        <v>145939009.10000008</v>
      </c>
      <c r="AG1538" t="str">
        <f t="shared" ref="AG1538:AG1601" si="348">IF(AH1538=0,"Bad", IF(AH1537&lt;I1537, "Active", IF(AH1537=I1537, "Good", "Over Paid")))</f>
        <v>Active</v>
      </c>
      <c r="AH1538">
        <f t="shared" ref="AH1538:AH1601" si="349">T1538*12</f>
        <v>4960.2000000000007</v>
      </c>
    </row>
    <row r="1539" spans="1:34" x14ac:dyDescent="0.35">
      <c r="A1539" t="s">
        <v>4062</v>
      </c>
      <c r="B1539" t="s">
        <v>4063</v>
      </c>
      <c r="C1539">
        <v>34</v>
      </c>
      <c r="D1539" t="s">
        <v>38</v>
      </c>
      <c r="E1539" t="s">
        <v>39</v>
      </c>
      <c r="F1539" t="s">
        <v>24</v>
      </c>
      <c r="G1539">
        <v>106064</v>
      </c>
      <c r="H1539">
        <v>362</v>
      </c>
      <c r="I1539">
        <v>48138</v>
      </c>
      <c r="J1539">
        <v>21.91</v>
      </c>
      <c r="K1539">
        <v>360</v>
      </c>
      <c r="L1539" t="s">
        <v>33</v>
      </c>
      <c r="M1539">
        <v>34.99</v>
      </c>
      <c r="N1539">
        <v>35119</v>
      </c>
      <c r="O1539">
        <v>53594</v>
      </c>
      <c r="P1539" t="s">
        <v>4064</v>
      </c>
      <c r="Q1539" t="s">
        <v>27</v>
      </c>
      <c r="R1539" t="s">
        <v>28</v>
      </c>
      <c r="S1539" t="s">
        <v>29</v>
      </c>
      <c r="T1539">
        <v>163.01</v>
      </c>
      <c r="U1539">
        <f t="shared" si="336"/>
        <v>463</v>
      </c>
      <c r="V1539">
        <f t="shared" si="337"/>
        <v>168</v>
      </c>
      <c r="W1539">
        <f t="shared" si="338"/>
        <v>142</v>
      </c>
      <c r="X1539">
        <f t="shared" si="339"/>
        <v>0.35149999999999998</v>
      </c>
      <c r="Y1539" s="1">
        <f t="shared" si="340"/>
        <v>23874810</v>
      </c>
      <c r="Z1539">
        <f t="shared" si="341"/>
        <v>51565.464362850973</v>
      </c>
      <c r="AA1539">
        <f t="shared" si="342"/>
        <v>99996</v>
      </c>
      <c r="AB1539">
        <f t="shared" si="343"/>
        <v>5091</v>
      </c>
      <c r="AC1539">
        <f t="shared" si="344"/>
        <v>624450.12000000011</v>
      </c>
      <c r="AD1539">
        <f t="shared" si="345"/>
        <v>1348.7043628509721</v>
      </c>
      <c r="AE1539">
        <f t="shared" si="346"/>
        <v>0.35149999999999998</v>
      </c>
      <c r="AF1539">
        <f t="shared" si="347"/>
        <v>145314145.63000005</v>
      </c>
      <c r="AG1539" t="str">
        <f t="shared" si="348"/>
        <v>Active</v>
      </c>
      <c r="AH1539">
        <f t="shared" si="349"/>
        <v>1956.12</v>
      </c>
    </row>
    <row r="1540" spans="1:34" x14ac:dyDescent="0.35">
      <c r="A1540" t="s">
        <v>4065</v>
      </c>
      <c r="B1540" t="s">
        <v>4066</v>
      </c>
      <c r="C1540">
        <v>53</v>
      </c>
      <c r="D1540" t="s">
        <v>22</v>
      </c>
      <c r="E1540" t="s">
        <v>32</v>
      </c>
      <c r="F1540" t="s">
        <v>46</v>
      </c>
      <c r="G1540">
        <v>55116</v>
      </c>
      <c r="H1540">
        <v>762</v>
      </c>
      <c r="I1540">
        <v>5673</v>
      </c>
      <c r="J1540">
        <v>18.75</v>
      </c>
      <c r="K1540">
        <v>24</v>
      </c>
      <c r="L1540" t="s">
        <v>25</v>
      </c>
      <c r="M1540">
        <v>27.31</v>
      </c>
      <c r="N1540">
        <v>16134</v>
      </c>
      <c r="O1540">
        <v>230016</v>
      </c>
      <c r="P1540" t="s">
        <v>535</v>
      </c>
      <c r="Q1540" t="s">
        <v>27</v>
      </c>
      <c r="R1540" t="s">
        <v>48</v>
      </c>
      <c r="S1540" t="s">
        <v>68</v>
      </c>
      <c r="T1540">
        <v>280.7</v>
      </c>
      <c r="U1540">
        <f t="shared" si="336"/>
        <v>462</v>
      </c>
      <c r="V1540">
        <f t="shared" si="337"/>
        <v>168</v>
      </c>
      <c r="W1540">
        <f t="shared" si="338"/>
        <v>142</v>
      </c>
      <c r="X1540">
        <f t="shared" si="339"/>
        <v>0.35149999999999998</v>
      </c>
      <c r="Y1540" s="1">
        <f t="shared" si="340"/>
        <v>23826672</v>
      </c>
      <c r="Z1540">
        <f t="shared" si="341"/>
        <v>51572.883116883117</v>
      </c>
      <c r="AA1540">
        <f t="shared" si="342"/>
        <v>99996</v>
      </c>
      <c r="AB1540">
        <f t="shared" si="343"/>
        <v>5091</v>
      </c>
      <c r="AC1540">
        <f t="shared" si="344"/>
        <v>624287.1100000001</v>
      </c>
      <c r="AD1540">
        <f t="shared" si="345"/>
        <v>1351.270800865801</v>
      </c>
      <c r="AE1540">
        <f t="shared" si="346"/>
        <v>0.35149999999999998</v>
      </c>
      <c r="AF1540">
        <f t="shared" si="347"/>
        <v>144689695.51000005</v>
      </c>
      <c r="AG1540" t="str">
        <f t="shared" si="348"/>
        <v>Active</v>
      </c>
      <c r="AH1540">
        <f t="shared" si="349"/>
        <v>3368.3999999999996</v>
      </c>
    </row>
    <row r="1541" spans="1:34" x14ac:dyDescent="0.35">
      <c r="A1541" t="s">
        <v>4067</v>
      </c>
      <c r="B1541" t="s">
        <v>4068</v>
      </c>
      <c r="C1541">
        <v>35</v>
      </c>
      <c r="D1541" t="s">
        <v>22</v>
      </c>
      <c r="E1541" t="s">
        <v>23</v>
      </c>
      <c r="F1541" t="s">
        <v>24</v>
      </c>
      <c r="G1541">
        <v>95065</v>
      </c>
      <c r="H1541">
        <v>363</v>
      </c>
      <c r="I1541">
        <v>75610</v>
      </c>
      <c r="J1541">
        <v>14.51</v>
      </c>
      <c r="K1541">
        <v>60</v>
      </c>
      <c r="L1541" t="s">
        <v>25</v>
      </c>
      <c r="M1541">
        <v>50.26</v>
      </c>
      <c r="N1541">
        <v>53374</v>
      </c>
      <c r="O1541">
        <v>71090</v>
      </c>
      <c r="P1541" t="s">
        <v>3357</v>
      </c>
      <c r="Q1541" t="s">
        <v>27</v>
      </c>
      <c r="R1541" t="s">
        <v>28</v>
      </c>
      <c r="S1541" t="s">
        <v>43</v>
      </c>
      <c r="T1541">
        <v>1443.02</v>
      </c>
      <c r="U1541">
        <f t="shared" si="336"/>
        <v>461</v>
      </c>
      <c r="V1541">
        <f t="shared" si="337"/>
        <v>168</v>
      </c>
      <c r="W1541">
        <f t="shared" si="338"/>
        <v>142</v>
      </c>
      <c r="X1541">
        <f t="shared" si="339"/>
        <v>0.35149999999999998</v>
      </c>
      <c r="Y1541" s="1">
        <f t="shared" si="340"/>
        <v>23820999</v>
      </c>
      <c r="Z1541">
        <f t="shared" si="341"/>
        <v>51672.449023861169</v>
      </c>
      <c r="AA1541">
        <f t="shared" si="342"/>
        <v>99996</v>
      </c>
      <c r="AB1541">
        <f t="shared" si="343"/>
        <v>5091</v>
      </c>
      <c r="AC1541">
        <f t="shared" si="344"/>
        <v>624006.41000000015</v>
      </c>
      <c r="AD1541">
        <f t="shared" si="345"/>
        <v>1353.5930802603041</v>
      </c>
      <c r="AE1541">
        <f t="shared" si="346"/>
        <v>0.35149999999999998</v>
      </c>
      <c r="AF1541">
        <f t="shared" si="347"/>
        <v>144065408.4000001</v>
      </c>
      <c r="AG1541" t="str">
        <f t="shared" si="348"/>
        <v>Active</v>
      </c>
      <c r="AH1541">
        <f t="shared" si="349"/>
        <v>17316.239999999998</v>
      </c>
    </row>
    <row r="1542" spans="1:34" x14ac:dyDescent="0.35">
      <c r="A1542" t="s">
        <v>4069</v>
      </c>
      <c r="B1542" t="s">
        <v>4070</v>
      </c>
      <c r="C1542">
        <v>61</v>
      </c>
      <c r="D1542" t="s">
        <v>38</v>
      </c>
      <c r="E1542" t="s">
        <v>32</v>
      </c>
      <c r="F1542" t="s">
        <v>59</v>
      </c>
      <c r="G1542">
        <v>127390</v>
      </c>
      <c r="H1542">
        <v>699</v>
      </c>
      <c r="I1542">
        <v>86416</v>
      </c>
      <c r="J1542">
        <v>6.37</v>
      </c>
      <c r="K1542">
        <v>48</v>
      </c>
      <c r="L1542" t="s">
        <v>40</v>
      </c>
      <c r="M1542">
        <v>29.25</v>
      </c>
      <c r="N1542">
        <v>15950</v>
      </c>
      <c r="O1542">
        <v>205031</v>
      </c>
      <c r="P1542" t="s">
        <v>2246</v>
      </c>
      <c r="Q1542" t="s">
        <v>61</v>
      </c>
      <c r="R1542" t="s">
        <v>28</v>
      </c>
      <c r="S1542" t="s">
        <v>49</v>
      </c>
      <c r="T1542">
        <v>1915.01</v>
      </c>
      <c r="U1542">
        <f t="shared" si="336"/>
        <v>460</v>
      </c>
      <c r="V1542">
        <f t="shared" si="337"/>
        <v>168</v>
      </c>
      <c r="W1542">
        <f t="shared" si="338"/>
        <v>142</v>
      </c>
      <c r="X1542">
        <f t="shared" si="339"/>
        <v>0.35149999999999998</v>
      </c>
      <c r="Y1542" s="1">
        <f t="shared" si="340"/>
        <v>23745389</v>
      </c>
      <c r="Z1542">
        <f t="shared" si="341"/>
        <v>51620.410869565218</v>
      </c>
      <c r="AA1542">
        <f t="shared" si="342"/>
        <v>99996</v>
      </c>
      <c r="AB1542">
        <f t="shared" si="343"/>
        <v>5091</v>
      </c>
      <c r="AC1542">
        <f t="shared" si="344"/>
        <v>622563.39000000013</v>
      </c>
      <c r="AD1542">
        <f t="shared" si="345"/>
        <v>1353.3986739130437</v>
      </c>
      <c r="AE1542">
        <f t="shared" si="346"/>
        <v>0.35149999999999998</v>
      </c>
      <c r="AF1542">
        <f t="shared" si="347"/>
        <v>143441401.9900001</v>
      </c>
      <c r="AG1542" t="str">
        <f t="shared" si="348"/>
        <v>Active</v>
      </c>
      <c r="AH1542">
        <f t="shared" si="349"/>
        <v>22980.12</v>
      </c>
    </row>
    <row r="1543" spans="1:34" x14ac:dyDescent="0.35">
      <c r="A1543" t="s">
        <v>4071</v>
      </c>
      <c r="B1543" t="s">
        <v>4072</v>
      </c>
      <c r="C1543">
        <v>58</v>
      </c>
      <c r="D1543" t="s">
        <v>38</v>
      </c>
      <c r="E1543" t="s">
        <v>39</v>
      </c>
      <c r="F1543" t="s">
        <v>24</v>
      </c>
      <c r="G1543">
        <v>57411</v>
      </c>
      <c r="H1543">
        <v>775</v>
      </c>
      <c r="I1543">
        <v>63793</v>
      </c>
      <c r="J1543">
        <v>15.46</v>
      </c>
      <c r="K1543">
        <v>24</v>
      </c>
      <c r="L1543" t="s">
        <v>25</v>
      </c>
      <c r="M1543">
        <v>38.5</v>
      </c>
      <c r="N1543">
        <v>56687</v>
      </c>
      <c r="O1543">
        <v>224551</v>
      </c>
      <c r="P1543" t="s">
        <v>2512</v>
      </c>
      <c r="Q1543" t="s">
        <v>61</v>
      </c>
      <c r="R1543" t="s">
        <v>48</v>
      </c>
      <c r="S1543" t="s">
        <v>35</v>
      </c>
      <c r="T1543">
        <v>3068.97</v>
      </c>
      <c r="U1543">
        <f t="shared" si="336"/>
        <v>459</v>
      </c>
      <c r="V1543">
        <f t="shared" si="337"/>
        <v>168</v>
      </c>
      <c r="W1543">
        <f t="shared" si="338"/>
        <v>141</v>
      </c>
      <c r="X1543">
        <f t="shared" si="339"/>
        <v>0.35149999999999998</v>
      </c>
      <c r="Y1543" s="1">
        <f t="shared" si="340"/>
        <v>23658973</v>
      </c>
      <c r="Z1543">
        <f t="shared" si="341"/>
        <v>51544.603485838779</v>
      </c>
      <c r="AA1543">
        <f t="shared" si="342"/>
        <v>99996</v>
      </c>
      <c r="AB1543">
        <f t="shared" si="343"/>
        <v>5091</v>
      </c>
      <c r="AC1543">
        <f t="shared" si="344"/>
        <v>620648.38</v>
      </c>
      <c r="AD1543">
        <f t="shared" si="345"/>
        <v>1352.1751198257082</v>
      </c>
      <c r="AE1543">
        <f t="shared" si="346"/>
        <v>0.35149999999999998</v>
      </c>
      <c r="AF1543">
        <f t="shared" si="347"/>
        <v>142818838.60000005</v>
      </c>
      <c r="AG1543" t="str">
        <f t="shared" si="348"/>
        <v>Active</v>
      </c>
      <c r="AH1543">
        <f t="shared" si="349"/>
        <v>36827.64</v>
      </c>
    </row>
    <row r="1544" spans="1:34" x14ac:dyDescent="0.35">
      <c r="A1544" t="s">
        <v>4073</v>
      </c>
      <c r="B1544" t="s">
        <v>4074</v>
      </c>
      <c r="C1544">
        <v>30</v>
      </c>
      <c r="D1544" t="s">
        <v>38</v>
      </c>
      <c r="E1544" t="s">
        <v>23</v>
      </c>
      <c r="F1544" t="s">
        <v>59</v>
      </c>
      <c r="G1544">
        <v>187143</v>
      </c>
      <c r="H1544">
        <v>567</v>
      </c>
      <c r="I1544">
        <v>70180</v>
      </c>
      <c r="J1544">
        <v>8.92</v>
      </c>
      <c r="K1544">
        <v>240</v>
      </c>
      <c r="L1544" t="s">
        <v>52</v>
      </c>
      <c r="M1544">
        <v>52.24</v>
      </c>
      <c r="N1544">
        <v>65869</v>
      </c>
      <c r="O1544">
        <v>39403</v>
      </c>
      <c r="P1544" t="s">
        <v>340</v>
      </c>
      <c r="Q1544" t="s">
        <v>27</v>
      </c>
      <c r="R1544" t="s">
        <v>28</v>
      </c>
      <c r="S1544" t="s">
        <v>29</v>
      </c>
      <c r="T1544">
        <v>318.5</v>
      </c>
      <c r="U1544">
        <f t="shared" si="336"/>
        <v>458</v>
      </c>
      <c r="V1544">
        <f t="shared" si="337"/>
        <v>168</v>
      </c>
      <c r="W1544">
        <f t="shared" si="338"/>
        <v>140</v>
      </c>
      <c r="X1544">
        <f t="shared" si="339"/>
        <v>0.35149999999999998</v>
      </c>
      <c r="Y1544" s="1">
        <f t="shared" si="340"/>
        <v>23595180</v>
      </c>
      <c r="Z1544">
        <f t="shared" si="341"/>
        <v>51517.860262008733</v>
      </c>
      <c r="AA1544">
        <f t="shared" si="342"/>
        <v>99996</v>
      </c>
      <c r="AB1544">
        <f t="shared" si="343"/>
        <v>5091</v>
      </c>
      <c r="AC1544">
        <f t="shared" si="344"/>
        <v>617579.41</v>
      </c>
      <c r="AD1544">
        <f t="shared" si="345"/>
        <v>1348.4266593886464</v>
      </c>
      <c r="AE1544">
        <f t="shared" si="346"/>
        <v>0.35149999999999998</v>
      </c>
      <c r="AF1544">
        <f t="shared" si="347"/>
        <v>142198190.22000009</v>
      </c>
      <c r="AG1544" t="str">
        <f t="shared" si="348"/>
        <v>Active</v>
      </c>
      <c r="AH1544">
        <f t="shared" si="349"/>
        <v>3822</v>
      </c>
    </row>
    <row r="1545" spans="1:34" x14ac:dyDescent="0.35">
      <c r="A1545" t="s">
        <v>4075</v>
      </c>
      <c r="B1545" t="s">
        <v>4076</v>
      </c>
      <c r="C1545">
        <v>44</v>
      </c>
      <c r="D1545" t="s">
        <v>22</v>
      </c>
      <c r="E1545" t="s">
        <v>39</v>
      </c>
      <c r="F1545" t="s">
        <v>24</v>
      </c>
      <c r="G1545">
        <v>110198</v>
      </c>
      <c r="H1545">
        <v>656</v>
      </c>
      <c r="I1545">
        <v>24528</v>
      </c>
      <c r="J1545">
        <v>17.989999999999998</v>
      </c>
      <c r="K1545">
        <v>12</v>
      </c>
      <c r="L1545" t="s">
        <v>25</v>
      </c>
      <c r="M1545">
        <v>30.09</v>
      </c>
      <c r="N1545">
        <v>47648</v>
      </c>
      <c r="O1545">
        <v>243090</v>
      </c>
      <c r="P1545" t="s">
        <v>777</v>
      </c>
      <c r="Q1545" t="s">
        <v>42</v>
      </c>
      <c r="R1545" t="s">
        <v>48</v>
      </c>
      <c r="S1545" t="s">
        <v>43</v>
      </c>
      <c r="T1545">
        <v>2411.7199999999998</v>
      </c>
      <c r="U1545">
        <f t="shared" si="336"/>
        <v>457</v>
      </c>
      <c r="V1545">
        <f t="shared" si="337"/>
        <v>168</v>
      </c>
      <c r="W1545">
        <f t="shared" si="338"/>
        <v>140</v>
      </c>
      <c r="X1545">
        <f t="shared" si="339"/>
        <v>0.35149999999999998</v>
      </c>
      <c r="Y1545" s="1">
        <f t="shared" si="340"/>
        <v>23525000</v>
      </c>
      <c r="Z1545">
        <f t="shared" si="341"/>
        <v>51477.024070021878</v>
      </c>
      <c r="AA1545">
        <f t="shared" si="342"/>
        <v>99996</v>
      </c>
      <c r="AB1545">
        <f t="shared" si="343"/>
        <v>5091</v>
      </c>
      <c r="AC1545">
        <f t="shared" si="344"/>
        <v>617260.91</v>
      </c>
      <c r="AD1545">
        <f t="shared" si="345"/>
        <v>1350.6803282275712</v>
      </c>
      <c r="AE1545">
        <f t="shared" si="346"/>
        <v>0.35149999999999998</v>
      </c>
      <c r="AF1545">
        <f t="shared" si="347"/>
        <v>141580610.81000003</v>
      </c>
      <c r="AG1545" t="str">
        <f t="shared" si="348"/>
        <v>Active</v>
      </c>
      <c r="AH1545">
        <f t="shared" si="349"/>
        <v>28940.639999999999</v>
      </c>
    </row>
    <row r="1546" spans="1:34" x14ac:dyDescent="0.35">
      <c r="A1546" t="s">
        <v>4077</v>
      </c>
      <c r="B1546" t="s">
        <v>4078</v>
      </c>
      <c r="C1546">
        <v>43</v>
      </c>
      <c r="D1546" t="s">
        <v>22</v>
      </c>
      <c r="E1546" t="s">
        <v>39</v>
      </c>
      <c r="F1546" t="s">
        <v>24</v>
      </c>
      <c r="G1546">
        <v>169965</v>
      </c>
      <c r="H1546">
        <v>725</v>
      </c>
      <c r="I1546">
        <v>93707</v>
      </c>
      <c r="J1546">
        <v>10.4</v>
      </c>
      <c r="K1546">
        <v>60</v>
      </c>
      <c r="L1546" t="s">
        <v>40</v>
      </c>
      <c r="M1546">
        <v>34.15</v>
      </c>
      <c r="N1546">
        <v>54983</v>
      </c>
      <c r="O1546">
        <v>64921</v>
      </c>
      <c r="P1546" t="s">
        <v>4079</v>
      </c>
      <c r="Q1546" t="s">
        <v>61</v>
      </c>
      <c r="R1546" t="s">
        <v>48</v>
      </c>
      <c r="S1546" t="s">
        <v>35</v>
      </c>
      <c r="T1546">
        <v>1724.21</v>
      </c>
      <c r="U1546">
        <f t="shared" si="336"/>
        <v>456</v>
      </c>
      <c r="V1546">
        <f t="shared" si="337"/>
        <v>167</v>
      </c>
      <c r="W1546">
        <f t="shared" si="338"/>
        <v>140</v>
      </c>
      <c r="X1546">
        <f t="shared" si="339"/>
        <v>0.35149999999999998</v>
      </c>
      <c r="Y1546" s="1">
        <f t="shared" si="340"/>
        <v>23500472</v>
      </c>
      <c r="Z1546">
        <f t="shared" si="341"/>
        <v>51536.122807017542</v>
      </c>
      <c r="AA1546">
        <f t="shared" si="342"/>
        <v>99996</v>
      </c>
      <c r="AB1546">
        <f t="shared" si="343"/>
        <v>5091</v>
      </c>
      <c r="AC1546">
        <f t="shared" si="344"/>
        <v>614849.19000000006</v>
      </c>
      <c r="AD1546">
        <f t="shared" si="345"/>
        <v>1348.3534868421054</v>
      </c>
      <c r="AE1546">
        <f t="shared" si="346"/>
        <v>0.35149999999999998</v>
      </c>
      <c r="AF1546">
        <f t="shared" si="347"/>
        <v>140963349.90000004</v>
      </c>
      <c r="AG1546" t="str">
        <f t="shared" si="348"/>
        <v>Over Paid</v>
      </c>
      <c r="AH1546">
        <f t="shared" si="349"/>
        <v>20690.52</v>
      </c>
    </row>
    <row r="1547" spans="1:34" x14ac:dyDescent="0.35">
      <c r="A1547" t="s">
        <v>4080</v>
      </c>
      <c r="B1547" t="s">
        <v>4081</v>
      </c>
      <c r="C1547">
        <v>46</v>
      </c>
      <c r="D1547" t="s">
        <v>22</v>
      </c>
      <c r="E1547" t="s">
        <v>23</v>
      </c>
      <c r="F1547" t="s">
        <v>24</v>
      </c>
      <c r="G1547">
        <v>78649</v>
      </c>
      <c r="H1547">
        <v>384</v>
      </c>
      <c r="I1547">
        <v>45078</v>
      </c>
      <c r="J1547">
        <v>12.73</v>
      </c>
      <c r="K1547">
        <v>360</v>
      </c>
      <c r="L1547" t="s">
        <v>33</v>
      </c>
      <c r="M1547">
        <v>59.44</v>
      </c>
      <c r="N1547">
        <v>63965</v>
      </c>
      <c r="O1547">
        <v>106239</v>
      </c>
      <c r="P1547" t="s">
        <v>263</v>
      </c>
      <c r="Q1547" t="s">
        <v>27</v>
      </c>
      <c r="R1547" t="s">
        <v>28</v>
      </c>
      <c r="S1547" t="s">
        <v>43</v>
      </c>
      <c r="T1547">
        <v>141.16</v>
      </c>
      <c r="U1547">
        <f t="shared" si="336"/>
        <v>455</v>
      </c>
      <c r="V1547">
        <f t="shared" si="337"/>
        <v>167</v>
      </c>
      <c r="W1547">
        <f t="shared" si="338"/>
        <v>139</v>
      </c>
      <c r="X1547">
        <f t="shared" si="339"/>
        <v>0.35149999999999998</v>
      </c>
      <c r="Y1547" s="1">
        <f t="shared" si="340"/>
        <v>23406765</v>
      </c>
      <c r="Z1547">
        <f t="shared" si="341"/>
        <v>51443.439560439561</v>
      </c>
      <c r="AA1547">
        <f t="shared" si="342"/>
        <v>99996</v>
      </c>
      <c r="AB1547">
        <f t="shared" si="343"/>
        <v>5091</v>
      </c>
      <c r="AC1547">
        <f t="shared" si="344"/>
        <v>613124.98</v>
      </c>
      <c r="AD1547">
        <f t="shared" si="345"/>
        <v>1347.5274285714286</v>
      </c>
      <c r="AE1547">
        <f t="shared" si="346"/>
        <v>0.35149999999999998</v>
      </c>
      <c r="AF1547">
        <f t="shared" si="347"/>
        <v>140348500.71000001</v>
      </c>
      <c r="AG1547" t="str">
        <f t="shared" si="348"/>
        <v>Active</v>
      </c>
      <c r="AH1547">
        <f t="shared" si="349"/>
        <v>1693.92</v>
      </c>
    </row>
    <row r="1548" spans="1:34" x14ac:dyDescent="0.35">
      <c r="A1548" t="s">
        <v>4082</v>
      </c>
      <c r="B1548" t="s">
        <v>4083</v>
      </c>
      <c r="C1548">
        <v>28</v>
      </c>
      <c r="D1548" t="s">
        <v>38</v>
      </c>
      <c r="E1548" t="s">
        <v>39</v>
      </c>
      <c r="F1548" t="s">
        <v>24</v>
      </c>
      <c r="G1548">
        <v>179732</v>
      </c>
      <c r="H1548">
        <v>345</v>
      </c>
      <c r="I1548">
        <v>21978</v>
      </c>
      <c r="J1548">
        <v>15.1</v>
      </c>
      <c r="K1548">
        <v>180</v>
      </c>
      <c r="L1548" t="s">
        <v>40</v>
      </c>
      <c r="M1548">
        <v>7.67</v>
      </c>
      <c r="N1548">
        <v>37947</v>
      </c>
      <c r="O1548">
        <v>107902</v>
      </c>
      <c r="P1548" t="s">
        <v>424</v>
      </c>
      <c r="Q1548" t="s">
        <v>61</v>
      </c>
      <c r="R1548" t="s">
        <v>28</v>
      </c>
      <c r="S1548" t="s">
        <v>29</v>
      </c>
      <c r="T1548">
        <v>140.54</v>
      </c>
      <c r="U1548">
        <f t="shared" si="336"/>
        <v>454</v>
      </c>
      <c r="V1548">
        <f t="shared" si="337"/>
        <v>167</v>
      </c>
      <c r="W1548">
        <f t="shared" si="338"/>
        <v>139</v>
      </c>
      <c r="X1548">
        <f t="shared" si="339"/>
        <v>0.35149999999999998</v>
      </c>
      <c r="Y1548" s="1">
        <f t="shared" si="340"/>
        <v>23361687</v>
      </c>
      <c r="Z1548">
        <f t="shared" si="341"/>
        <v>51457.46035242291</v>
      </c>
      <c r="AA1548">
        <f t="shared" si="342"/>
        <v>99996</v>
      </c>
      <c r="AB1548">
        <f t="shared" si="343"/>
        <v>5091</v>
      </c>
      <c r="AC1548">
        <f t="shared" si="344"/>
        <v>612983.81999999995</v>
      </c>
      <c r="AD1548">
        <f t="shared" si="345"/>
        <v>1350.1846255506607</v>
      </c>
      <c r="AE1548">
        <f t="shared" si="346"/>
        <v>0.35149999999999998</v>
      </c>
      <c r="AF1548">
        <f t="shared" si="347"/>
        <v>139735375.72999996</v>
      </c>
      <c r="AG1548" t="str">
        <f t="shared" si="348"/>
        <v>Active</v>
      </c>
      <c r="AH1548">
        <f t="shared" si="349"/>
        <v>1686.48</v>
      </c>
    </row>
    <row r="1549" spans="1:34" x14ac:dyDescent="0.35">
      <c r="A1549" t="s">
        <v>4084</v>
      </c>
      <c r="B1549" t="s">
        <v>4085</v>
      </c>
      <c r="C1549">
        <v>32</v>
      </c>
      <c r="D1549" t="s">
        <v>22</v>
      </c>
      <c r="E1549" t="s">
        <v>32</v>
      </c>
      <c r="F1549" t="s">
        <v>24</v>
      </c>
      <c r="G1549">
        <v>102027</v>
      </c>
      <c r="H1549">
        <v>723</v>
      </c>
      <c r="I1549">
        <v>63253</v>
      </c>
      <c r="J1549">
        <v>14.97</v>
      </c>
      <c r="K1549">
        <v>240</v>
      </c>
      <c r="L1549" t="s">
        <v>40</v>
      </c>
      <c r="M1549">
        <v>29.83</v>
      </c>
      <c r="N1549">
        <v>45377</v>
      </c>
      <c r="O1549">
        <v>74702</v>
      </c>
      <c r="P1549" t="s">
        <v>2194</v>
      </c>
      <c r="Q1549" t="s">
        <v>42</v>
      </c>
      <c r="R1549" t="s">
        <v>48</v>
      </c>
      <c r="S1549" t="s">
        <v>49</v>
      </c>
      <c r="T1549">
        <v>303.01</v>
      </c>
      <c r="U1549">
        <f t="shared" si="336"/>
        <v>453</v>
      </c>
      <c r="V1549">
        <f t="shared" si="337"/>
        <v>167</v>
      </c>
      <c r="W1549">
        <f t="shared" si="338"/>
        <v>138</v>
      </c>
      <c r="X1549">
        <f t="shared" si="339"/>
        <v>0.35149999999999998</v>
      </c>
      <c r="Y1549" s="1">
        <f t="shared" si="340"/>
        <v>23339709</v>
      </c>
      <c r="Z1549">
        <f t="shared" si="341"/>
        <v>51522.536423841062</v>
      </c>
      <c r="AA1549">
        <f t="shared" si="342"/>
        <v>99996</v>
      </c>
      <c r="AB1549">
        <f t="shared" si="343"/>
        <v>5091</v>
      </c>
      <c r="AC1549">
        <f t="shared" si="344"/>
        <v>612843.28</v>
      </c>
      <c r="AD1549">
        <f t="shared" si="345"/>
        <v>1352.8549227373069</v>
      </c>
      <c r="AE1549">
        <f t="shared" si="346"/>
        <v>0.35149999999999998</v>
      </c>
      <c r="AF1549">
        <f t="shared" si="347"/>
        <v>139122391.90999997</v>
      </c>
      <c r="AG1549" t="str">
        <f t="shared" si="348"/>
        <v>Active</v>
      </c>
      <c r="AH1549">
        <f t="shared" si="349"/>
        <v>3636.12</v>
      </c>
    </row>
    <row r="1550" spans="1:34" x14ac:dyDescent="0.35">
      <c r="A1550" t="s">
        <v>4086</v>
      </c>
      <c r="B1550" t="s">
        <v>4087</v>
      </c>
      <c r="C1550">
        <v>46</v>
      </c>
      <c r="D1550" t="s">
        <v>22</v>
      </c>
      <c r="E1550" t="s">
        <v>23</v>
      </c>
      <c r="F1550" t="s">
        <v>59</v>
      </c>
      <c r="G1550">
        <v>31466</v>
      </c>
      <c r="H1550">
        <v>521</v>
      </c>
      <c r="I1550">
        <v>64150</v>
      </c>
      <c r="J1550">
        <v>5.32</v>
      </c>
      <c r="K1550">
        <v>120</v>
      </c>
      <c r="L1550" t="s">
        <v>52</v>
      </c>
      <c r="M1550">
        <v>16.079999999999998</v>
      </c>
      <c r="N1550">
        <v>10836</v>
      </c>
      <c r="O1550">
        <v>51680</v>
      </c>
      <c r="P1550" t="s">
        <v>4088</v>
      </c>
      <c r="Q1550" t="s">
        <v>42</v>
      </c>
      <c r="R1550" t="s">
        <v>48</v>
      </c>
      <c r="S1550" t="s">
        <v>29</v>
      </c>
      <c r="T1550">
        <v>563.02</v>
      </c>
      <c r="U1550">
        <f t="shared" si="336"/>
        <v>452</v>
      </c>
      <c r="V1550">
        <f t="shared" si="337"/>
        <v>166</v>
      </c>
      <c r="W1550">
        <f t="shared" si="338"/>
        <v>138</v>
      </c>
      <c r="X1550">
        <f t="shared" si="339"/>
        <v>0.35149999999999998</v>
      </c>
      <c r="Y1550" s="1">
        <f t="shared" si="340"/>
        <v>23276456</v>
      </c>
      <c r="Z1550">
        <f t="shared" si="341"/>
        <v>51496.58407079646</v>
      </c>
      <c r="AA1550">
        <f t="shared" si="342"/>
        <v>99996</v>
      </c>
      <c r="AB1550">
        <f t="shared" si="343"/>
        <v>5091</v>
      </c>
      <c r="AC1550">
        <f t="shared" si="344"/>
        <v>612540.2699999999</v>
      </c>
      <c r="AD1550">
        <f t="shared" si="345"/>
        <v>1355.177588495575</v>
      </c>
      <c r="AE1550">
        <f t="shared" si="346"/>
        <v>0.35149999999999998</v>
      </c>
      <c r="AF1550">
        <f t="shared" si="347"/>
        <v>138509548.62999997</v>
      </c>
      <c r="AG1550" t="str">
        <f t="shared" si="348"/>
        <v>Active</v>
      </c>
      <c r="AH1550">
        <f t="shared" si="349"/>
        <v>6756.24</v>
      </c>
    </row>
    <row r="1551" spans="1:34" x14ac:dyDescent="0.35">
      <c r="A1551" t="s">
        <v>4089</v>
      </c>
      <c r="B1551" t="s">
        <v>4090</v>
      </c>
      <c r="C1551">
        <v>65</v>
      </c>
      <c r="D1551" t="s">
        <v>38</v>
      </c>
      <c r="E1551" t="s">
        <v>23</v>
      </c>
      <c r="F1551" t="s">
        <v>46</v>
      </c>
      <c r="G1551">
        <v>166981</v>
      </c>
      <c r="H1551">
        <v>680</v>
      </c>
      <c r="I1551">
        <v>97815</v>
      </c>
      <c r="J1551">
        <v>15.95</v>
      </c>
      <c r="K1551">
        <v>24</v>
      </c>
      <c r="L1551" t="s">
        <v>86</v>
      </c>
      <c r="M1551">
        <v>35.159999999999997</v>
      </c>
      <c r="N1551">
        <v>7943</v>
      </c>
      <c r="O1551">
        <v>106710</v>
      </c>
      <c r="P1551" t="s">
        <v>1843</v>
      </c>
      <c r="Q1551" t="s">
        <v>42</v>
      </c>
      <c r="R1551" t="s">
        <v>28</v>
      </c>
      <c r="S1551" t="s">
        <v>43</v>
      </c>
      <c r="T1551">
        <v>4725.6899999999996</v>
      </c>
      <c r="U1551">
        <f t="shared" si="336"/>
        <v>451</v>
      </c>
      <c r="V1551">
        <f t="shared" si="337"/>
        <v>165</v>
      </c>
      <c r="W1551">
        <f t="shared" si="338"/>
        <v>138</v>
      </c>
      <c r="X1551">
        <f t="shared" si="339"/>
        <v>0.35149999999999998</v>
      </c>
      <c r="Y1551" s="1">
        <f t="shared" si="340"/>
        <v>23212306</v>
      </c>
      <c r="Z1551">
        <f t="shared" si="341"/>
        <v>51468.527716186254</v>
      </c>
      <c r="AA1551">
        <f t="shared" si="342"/>
        <v>99996</v>
      </c>
      <c r="AB1551">
        <f t="shared" si="343"/>
        <v>5091</v>
      </c>
      <c r="AC1551">
        <f t="shared" si="344"/>
        <v>611977.24999999988</v>
      </c>
      <c r="AD1551">
        <f t="shared" si="345"/>
        <v>1356.9340354767182</v>
      </c>
      <c r="AE1551">
        <f t="shared" si="346"/>
        <v>0.35149999999999998</v>
      </c>
      <c r="AF1551">
        <f t="shared" si="347"/>
        <v>137897008.35999995</v>
      </c>
      <c r="AG1551" t="str">
        <f t="shared" si="348"/>
        <v>Active</v>
      </c>
      <c r="AH1551">
        <f t="shared" si="349"/>
        <v>56708.28</v>
      </c>
    </row>
    <row r="1552" spans="1:34" x14ac:dyDescent="0.35">
      <c r="A1552" t="s">
        <v>4091</v>
      </c>
      <c r="B1552" t="s">
        <v>4092</v>
      </c>
      <c r="C1552">
        <v>40</v>
      </c>
      <c r="D1552" t="s">
        <v>22</v>
      </c>
      <c r="E1552" t="s">
        <v>39</v>
      </c>
      <c r="F1552" t="s">
        <v>24</v>
      </c>
      <c r="G1552">
        <v>190405</v>
      </c>
      <c r="H1552">
        <v>567</v>
      </c>
      <c r="I1552">
        <v>24675</v>
      </c>
      <c r="J1552">
        <v>8.92</v>
      </c>
      <c r="K1552">
        <v>360</v>
      </c>
      <c r="L1552" t="s">
        <v>25</v>
      </c>
      <c r="M1552">
        <v>29.14</v>
      </c>
      <c r="N1552">
        <v>73389</v>
      </c>
      <c r="O1552">
        <v>205647</v>
      </c>
      <c r="P1552" t="s">
        <v>4093</v>
      </c>
      <c r="Q1552" t="s">
        <v>27</v>
      </c>
      <c r="R1552" t="s">
        <v>48</v>
      </c>
      <c r="S1552" t="s">
        <v>49</v>
      </c>
      <c r="T1552">
        <v>74.66</v>
      </c>
      <c r="U1552">
        <f t="shared" si="336"/>
        <v>450</v>
      </c>
      <c r="V1552">
        <f t="shared" si="337"/>
        <v>164</v>
      </c>
      <c r="W1552">
        <f t="shared" si="338"/>
        <v>138</v>
      </c>
      <c r="X1552">
        <f t="shared" si="339"/>
        <v>0.35149999999999998</v>
      </c>
      <c r="Y1552" s="1">
        <f t="shared" si="340"/>
        <v>23114491</v>
      </c>
      <c r="Z1552">
        <f t="shared" si="341"/>
        <v>51365.535555555558</v>
      </c>
      <c r="AA1552">
        <f t="shared" si="342"/>
        <v>99996</v>
      </c>
      <c r="AB1552">
        <f t="shared" si="343"/>
        <v>5091</v>
      </c>
      <c r="AC1552">
        <f t="shared" si="344"/>
        <v>607251.55999999994</v>
      </c>
      <c r="AD1552">
        <f t="shared" si="345"/>
        <v>1349.4479111111109</v>
      </c>
      <c r="AE1552">
        <f t="shared" si="346"/>
        <v>0.35149999999999998</v>
      </c>
      <c r="AF1552">
        <f t="shared" si="347"/>
        <v>137285031.10999995</v>
      </c>
      <c r="AG1552" t="str">
        <f t="shared" si="348"/>
        <v>Active</v>
      </c>
      <c r="AH1552">
        <f t="shared" si="349"/>
        <v>895.92</v>
      </c>
    </row>
    <row r="1553" spans="1:34" x14ac:dyDescent="0.35">
      <c r="A1553" t="s">
        <v>4094</v>
      </c>
      <c r="B1553" t="s">
        <v>4095</v>
      </c>
      <c r="C1553">
        <v>41</v>
      </c>
      <c r="D1553" t="s">
        <v>22</v>
      </c>
      <c r="E1553" t="s">
        <v>23</v>
      </c>
      <c r="F1553" t="s">
        <v>59</v>
      </c>
      <c r="G1553">
        <v>154341</v>
      </c>
      <c r="H1553">
        <v>702</v>
      </c>
      <c r="I1553">
        <v>23653</v>
      </c>
      <c r="J1553">
        <v>12.3</v>
      </c>
      <c r="K1553">
        <v>24</v>
      </c>
      <c r="L1553" t="s">
        <v>86</v>
      </c>
      <c r="M1553">
        <v>44.33</v>
      </c>
      <c r="N1553">
        <v>63456</v>
      </c>
      <c r="O1553">
        <v>37695</v>
      </c>
      <c r="P1553" t="s">
        <v>4096</v>
      </c>
      <c r="Q1553" t="s">
        <v>42</v>
      </c>
      <c r="R1553" t="s">
        <v>48</v>
      </c>
      <c r="S1553" t="s">
        <v>49</v>
      </c>
      <c r="T1553">
        <v>1106.76</v>
      </c>
      <c r="U1553">
        <f t="shared" si="336"/>
        <v>449</v>
      </c>
      <c r="V1553">
        <f t="shared" si="337"/>
        <v>164</v>
      </c>
      <c r="W1553">
        <f t="shared" si="338"/>
        <v>138</v>
      </c>
      <c r="X1553">
        <f t="shared" si="339"/>
        <v>0.35149999999999998</v>
      </c>
      <c r="Y1553" s="1">
        <f t="shared" si="340"/>
        <v>23089816</v>
      </c>
      <c r="Z1553">
        <f t="shared" si="341"/>
        <v>51424.979955456569</v>
      </c>
      <c r="AA1553">
        <f t="shared" si="342"/>
        <v>99996</v>
      </c>
      <c r="AB1553">
        <f t="shared" si="343"/>
        <v>5091</v>
      </c>
      <c r="AC1553">
        <f t="shared" si="344"/>
        <v>607176.89999999991</v>
      </c>
      <c r="AD1553">
        <f t="shared" si="345"/>
        <v>1352.287082405345</v>
      </c>
      <c r="AE1553">
        <f t="shared" si="346"/>
        <v>0.35149999999999998</v>
      </c>
      <c r="AF1553">
        <f t="shared" si="347"/>
        <v>136677779.54999995</v>
      </c>
      <c r="AG1553" t="str">
        <f t="shared" si="348"/>
        <v>Active</v>
      </c>
      <c r="AH1553">
        <f t="shared" si="349"/>
        <v>13281.119999999999</v>
      </c>
    </row>
    <row r="1554" spans="1:34" x14ac:dyDescent="0.35">
      <c r="A1554" t="s">
        <v>4097</v>
      </c>
      <c r="B1554" t="s">
        <v>4098</v>
      </c>
      <c r="C1554">
        <v>44</v>
      </c>
      <c r="D1554" t="s">
        <v>22</v>
      </c>
      <c r="E1554" t="s">
        <v>23</v>
      </c>
      <c r="F1554" t="s">
        <v>24</v>
      </c>
      <c r="G1554">
        <v>198758</v>
      </c>
      <c r="H1554">
        <v>554</v>
      </c>
      <c r="I1554">
        <v>88382</v>
      </c>
      <c r="J1554">
        <v>5.86</v>
      </c>
      <c r="K1554">
        <v>48</v>
      </c>
      <c r="L1554" t="s">
        <v>52</v>
      </c>
      <c r="M1554">
        <v>44.33</v>
      </c>
      <c r="N1554">
        <v>70989</v>
      </c>
      <c r="O1554">
        <v>240654</v>
      </c>
      <c r="P1554" t="s">
        <v>1576</v>
      </c>
      <c r="Q1554" t="s">
        <v>42</v>
      </c>
      <c r="R1554" t="s">
        <v>48</v>
      </c>
      <c r="S1554" t="s">
        <v>35</v>
      </c>
      <c r="T1554">
        <v>1949.19</v>
      </c>
      <c r="U1554">
        <f t="shared" si="336"/>
        <v>448</v>
      </c>
      <c r="V1554">
        <f t="shared" si="337"/>
        <v>163</v>
      </c>
      <c r="W1554">
        <f t="shared" si="338"/>
        <v>138</v>
      </c>
      <c r="X1554">
        <f t="shared" si="339"/>
        <v>0.35149999999999998</v>
      </c>
      <c r="Y1554" s="1">
        <f t="shared" si="340"/>
        <v>23066163</v>
      </c>
      <c r="Z1554">
        <f t="shared" si="341"/>
        <v>51486.970982142855</v>
      </c>
      <c r="AA1554">
        <f t="shared" si="342"/>
        <v>99996</v>
      </c>
      <c r="AB1554">
        <f t="shared" si="343"/>
        <v>5091</v>
      </c>
      <c r="AC1554">
        <f t="shared" si="344"/>
        <v>606070.1399999999</v>
      </c>
      <c r="AD1554">
        <f t="shared" si="345"/>
        <v>1352.8351339285712</v>
      </c>
      <c r="AE1554">
        <f t="shared" si="346"/>
        <v>0.35149999999999998</v>
      </c>
      <c r="AF1554">
        <f t="shared" si="347"/>
        <v>136070602.64999998</v>
      </c>
      <c r="AG1554" t="str">
        <f t="shared" si="348"/>
        <v>Active</v>
      </c>
      <c r="AH1554">
        <f t="shared" si="349"/>
        <v>23390.28</v>
      </c>
    </row>
    <row r="1555" spans="1:34" x14ac:dyDescent="0.35">
      <c r="A1555" t="s">
        <v>4099</v>
      </c>
      <c r="B1555" t="s">
        <v>4100</v>
      </c>
      <c r="C1555">
        <v>63</v>
      </c>
      <c r="D1555" t="s">
        <v>22</v>
      </c>
      <c r="E1555" t="s">
        <v>23</v>
      </c>
      <c r="F1555" t="s">
        <v>59</v>
      </c>
      <c r="G1555">
        <v>183294</v>
      </c>
      <c r="H1555">
        <v>786</v>
      </c>
      <c r="I1555">
        <v>67676</v>
      </c>
      <c r="J1555">
        <v>11.81</v>
      </c>
      <c r="K1555">
        <v>12</v>
      </c>
      <c r="L1555" t="s">
        <v>25</v>
      </c>
      <c r="M1555">
        <v>22.45</v>
      </c>
      <c r="N1555">
        <v>19076</v>
      </c>
      <c r="O1555">
        <v>54595</v>
      </c>
      <c r="P1555" t="s">
        <v>1912</v>
      </c>
      <c r="Q1555" t="s">
        <v>27</v>
      </c>
      <c r="R1555" t="s">
        <v>28</v>
      </c>
      <c r="S1555" t="s">
        <v>29</v>
      </c>
      <c r="T1555">
        <v>6305.71</v>
      </c>
      <c r="U1555">
        <f t="shared" si="336"/>
        <v>447</v>
      </c>
      <c r="V1555">
        <f t="shared" si="337"/>
        <v>162</v>
      </c>
      <c r="W1555">
        <f t="shared" si="338"/>
        <v>138</v>
      </c>
      <c r="X1555">
        <f t="shared" si="339"/>
        <v>0.35149999999999998</v>
      </c>
      <c r="Y1555" s="1">
        <f t="shared" si="340"/>
        <v>22977781</v>
      </c>
      <c r="Z1555">
        <f t="shared" si="341"/>
        <v>51404.43176733781</v>
      </c>
      <c r="AA1555">
        <f t="shared" si="342"/>
        <v>99996</v>
      </c>
      <c r="AB1555">
        <f t="shared" si="343"/>
        <v>5091</v>
      </c>
      <c r="AC1555">
        <f t="shared" si="344"/>
        <v>604120.94999999995</v>
      </c>
      <c r="AD1555">
        <f t="shared" si="345"/>
        <v>1351.5010067114092</v>
      </c>
      <c r="AE1555">
        <f t="shared" si="346"/>
        <v>0.35149999999999998</v>
      </c>
      <c r="AF1555">
        <f t="shared" si="347"/>
        <v>135464532.50999999</v>
      </c>
      <c r="AG1555" t="str">
        <f t="shared" si="348"/>
        <v>Active</v>
      </c>
      <c r="AH1555">
        <f t="shared" si="349"/>
        <v>75668.52</v>
      </c>
    </row>
    <row r="1556" spans="1:34" x14ac:dyDescent="0.35">
      <c r="A1556" t="s">
        <v>4101</v>
      </c>
      <c r="B1556" t="s">
        <v>4102</v>
      </c>
      <c r="C1556">
        <v>52</v>
      </c>
      <c r="D1556" t="s">
        <v>38</v>
      </c>
      <c r="E1556" t="s">
        <v>23</v>
      </c>
      <c r="F1556" t="s">
        <v>46</v>
      </c>
      <c r="G1556">
        <v>132852</v>
      </c>
      <c r="H1556">
        <v>419</v>
      </c>
      <c r="I1556">
        <v>68292</v>
      </c>
      <c r="J1556">
        <v>9.06</v>
      </c>
      <c r="K1556">
        <v>240</v>
      </c>
      <c r="L1556" t="s">
        <v>86</v>
      </c>
      <c r="M1556">
        <v>39.19</v>
      </c>
      <c r="N1556">
        <v>54702</v>
      </c>
      <c r="O1556">
        <v>226371</v>
      </c>
      <c r="P1556" t="s">
        <v>1725</v>
      </c>
      <c r="Q1556" t="s">
        <v>27</v>
      </c>
      <c r="R1556" t="s">
        <v>48</v>
      </c>
      <c r="S1556" t="s">
        <v>29</v>
      </c>
      <c r="T1556">
        <v>310.33</v>
      </c>
      <c r="U1556">
        <f t="shared" si="336"/>
        <v>446</v>
      </c>
      <c r="V1556">
        <f t="shared" si="337"/>
        <v>162</v>
      </c>
      <c r="W1556">
        <f t="shared" si="338"/>
        <v>138</v>
      </c>
      <c r="X1556">
        <f t="shared" si="339"/>
        <v>0.35149999999999998</v>
      </c>
      <c r="Y1556" s="1">
        <f t="shared" si="340"/>
        <v>22910105</v>
      </c>
      <c r="Z1556">
        <f t="shared" si="341"/>
        <v>51367.94843049327</v>
      </c>
      <c r="AA1556">
        <f t="shared" si="342"/>
        <v>99996</v>
      </c>
      <c r="AB1556">
        <f t="shared" si="343"/>
        <v>5091</v>
      </c>
      <c r="AC1556">
        <f t="shared" si="344"/>
        <v>597815.23999999987</v>
      </c>
      <c r="AD1556">
        <f t="shared" si="345"/>
        <v>1340.392914798206</v>
      </c>
      <c r="AE1556">
        <f t="shared" si="346"/>
        <v>0.35149999999999998</v>
      </c>
      <c r="AF1556">
        <f t="shared" si="347"/>
        <v>134860411.56</v>
      </c>
      <c r="AG1556" t="str">
        <f t="shared" si="348"/>
        <v>Over Paid</v>
      </c>
      <c r="AH1556">
        <f t="shared" si="349"/>
        <v>3723.96</v>
      </c>
    </row>
    <row r="1557" spans="1:34" x14ac:dyDescent="0.35">
      <c r="A1557" t="s">
        <v>4103</v>
      </c>
      <c r="B1557" t="s">
        <v>4104</v>
      </c>
      <c r="C1557">
        <v>57</v>
      </c>
      <c r="D1557" t="s">
        <v>38</v>
      </c>
      <c r="E1557" t="s">
        <v>39</v>
      </c>
      <c r="F1557" t="s">
        <v>24</v>
      </c>
      <c r="G1557">
        <v>158727</v>
      </c>
      <c r="H1557">
        <v>652</v>
      </c>
      <c r="I1557">
        <v>11032</v>
      </c>
      <c r="J1557">
        <v>5.94</v>
      </c>
      <c r="K1557">
        <v>60</v>
      </c>
      <c r="L1557" t="s">
        <v>52</v>
      </c>
      <c r="M1557">
        <v>49.23</v>
      </c>
      <c r="N1557">
        <v>24683</v>
      </c>
      <c r="O1557">
        <v>66925</v>
      </c>
      <c r="P1557" t="s">
        <v>2509</v>
      </c>
      <c r="Q1557" t="s">
        <v>42</v>
      </c>
      <c r="R1557" t="s">
        <v>48</v>
      </c>
      <c r="S1557" t="s">
        <v>49</v>
      </c>
      <c r="T1557">
        <v>194.79</v>
      </c>
      <c r="U1557">
        <f t="shared" si="336"/>
        <v>445</v>
      </c>
      <c r="V1557">
        <f t="shared" si="337"/>
        <v>162</v>
      </c>
      <c r="W1557">
        <f t="shared" si="338"/>
        <v>138</v>
      </c>
      <c r="X1557">
        <f t="shared" si="339"/>
        <v>0.35149999999999998</v>
      </c>
      <c r="Y1557" s="1">
        <f t="shared" si="340"/>
        <v>22841813</v>
      </c>
      <c r="Z1557">
        <f t="shared" si="341"/>
        <v>51329.916853932584</v>
      </c>
      <c r="AA1557">
        <f t="shared" si="342"/>
        <v>99996</v>
      </c>
      <c r="AB1557">
        <f t="shared" si="343"/>
        <v>5091</v>
      </c>
      <c r="AC1557">
        <f t="shared" si="344"/>
        <v>597504.90999999992</v>
      </c>
      <c r="AD1557">
        <f t="shared" si="345"/>
        <v>1342.7076629213482</v>
      </c>
      <c r="AE1557">
        <f t="shared" si="346"/>
        <v>0.35149999999999998</v>
      </c>
      <c r="AF1557">
        <f t="shared" si="347"/>
        <v>134262596.31999999</v>
      </c>
      <c r="AG1557" t="str">
        <f t="shared" si="348"/>
        <v>Active</v>
      </c>
      <c r="AH1557">
        <f t="shared" si="349"/>
        <v>2337.48</v>
      </c>
    </row>
    <row r="1558" spans="1:34" x14ac:dyDescent="0.35">
      <c r="A1558" t="s">
        <v>4105</v>
      </c>
      <c r="B1558" t="s">
        <v>4106</v>
      </c>
      <c r="C1558">
        <v>25</v>
      </c>
      <c r="D1558" t="s">
        <v>22</v>
      </c>
      <c r="E1558" t="s">
        <v>23</v>
      </c>
      <c r="F1558" t="s">
        <v>46</v>
      </c>
      <c r="G1558">
        <v>172174</v>
      </c>
      <c r="H1558">
        <v>639</v>
      </c>
      <c r="I1558">
        <v>13600</v>
      </c>
      <c r="J1558">
        <v>12.4</v>
      </c>
      <c r="K1558">
        <v>120</v>
      </c>
      <c r="L1558" t="s">
        <v>33</v>
      </c>
      <c r="M1558">
        <v>15.74</v>
      </c>
      <c r="N1558">
        <v>16602</v>
      </c>
      <c r="O1558">
        <v>83701</v>
      </c>
      <c r="P1558" t="s">
        <v>171</v>
      </c>
      <c r="Q1558" t="s">
        <v>42</v>
      </c>
      <c r="R1558" t="s">
        <v>28</v>
      </c>
      <c r="S1558" t="s">
        <v>29</v>
      </c>
      <c r="T1558">
        <v>127.39</v>
      </c>
      <c r="U1558">
        <f t="shared" si="336"/>
        <v>444</v>
      </c>
      <c r="V1558">
        <f t="shared" si="337"/>
        <v>161</v>
      </c>
      <c r="W1558">
        <f t="shared" si="338"/>
        <v>138</v>
      </c>
      <c r="X1558">
        <f t="shared" si="339"/>
        <v>0.35149999999999998</v>
      </c>
      <c r="Y1558" s="1">
        <f t="shared" si="340"/>
        <v>22830781</v>
      </c>
      <c r="Z1558">
        <f t="shared" si="341"/>
        <v>51420.677927927929</v>
      </c>
      <c r="AA1558">
        <f t="shared" si="342"/>
        <v>99996</v>
      </c>
      <c r="AB1558">
        <f t="shared" si="343"/>
        <v>5091</v>
      </c>
      <c r="AC1558">
        <f t="shared" si="344"/>
        <v>597310.11999999988</v>
      </c>
      <c r="AD1558">
        <f t="shared" si="345"/>
        <v>1345.2930630630628</v>
      </c>
      <c r="AE1558">
        <f t="shared" si="346"/>
        <v>0.35149999999999998</v>
      </c>
      <c r="AF1558">
        <f t="shared" si="347"/>
        <v>133665091.40999997</v>
      </c>
      <c r="AG1558" t="str">
        <f t="shared" si="348"/>
        <v>Active</v>
      </c>
      <c r="AH1558">
        <f t="shared" si="349"/>
        <v>1528.68</v>
      </c>
    </row>
    <row r="1559" spans="1:34" x14ac:dyDescent="0.35">
      <c r="A1559" t="s">
        <v>4107</v>
      </c>
      <c r="B1559" t="s">
        <v>4108</v>
      </c>
      <c r="C1559">
        <v>29</v>
      </c>
      <c r="D1559" t="s">
        <v>38</v>
      </c>
      <c r="E1559" t="s">
        <v>32</v>
      </c>
      <c r="F1559" t="s">
        <v>46</v>
      </c>
      <c r="G1559">
        <v>77222</v>
      </c>
      <c r="H1559">
        <v>804</v>
      </c>
      <c r="I1559">
        <v>40772</v>
      </c>
      <c r="J1559">
        <v>8.41</v>
      </c>
      <c r="K1559">
        <v>240</v>
      </c>
      <c r="L1559" t="s">
        <v>86</v>
      </c>
      <c r="M1559">
        <v>31.22</v>
      </c>
      <c r="N1559">
        <v>953</v>
      </c>
      <c r="O1559">
        <v>191793</v>
      </c>
      <c r="P1559" t="s">
        <v>1555</v>
      </c>
      <c r="Q1559" t="s">
        <v>61</v>
      </c>
      <c r="R1559" t="s">
        <v>28</v>
      </c>
      <c r="S1559" t="s">
        <v>43</v>
      </c>
      <c r="T1559">
        <v>184.17</v>
      </c>
      <c r="U1559">
        <f t="shared" si="336"/>
        <v>443</v>
      </c>
      <c r="V1559">
        <f t="shared" si="337"/>
        <v>160</v>
      </c>
      <c r="W1559">
        <f t="shared" si="338"/>
        <v>138</v>
      </c>
      <c r="X1559">
        <f t="shared" si="339"/>
        <v>0.35149999999999998</v>
      </c>
      <c r="Y1559" s="1">
        <f t="shared" si="340"/>
        <v>22817181</v>
      </c>
      <c r="Z1559">
        <f t="shared" si="341"/>
        <v>51506.051918735895</v>
      </c>
      <c r="AA1559">
        <f t="shared" si="342"/>
        <v>99996</v>
      </c>
      <c r="AB1559">
        <f t="shared" si="343"/>
        <v>5091</v>
      </c>
      <c r="AC1559">
        <f t="shared" si="344"/>
        <v>597182.72999999986</v>
      </c>
      <c r="AD1559">
        <f t="shared" si="345"/>
        <v>1348.0422799097062</v>
      </c>
      <c r="AE1559">
        <f t="shared" si="346"/>
        <v>0.35149999999999998</v>
      </c>
      <c r="AF1559">
        <f t="shared" si="347"/>
        <v>133067781.28999996</v>
      </c>
      <c r="AG1559" t="str">
        <f t="shared" si="348"/>
        <v>Active</v>
      </c>
      <c r="AH1559">
        <f t="shared" si="349"/>
        <v>2210.04</v>
      </c>
    </row>
    <row r="1560" spans="1:34" x14ac:dyDescent="0.35">
      <c r="A1560" t="s">
        <v>4109</v>
      </c>
      <c r="B1560" t="s">
        <v>4110</v>
      </c>
      <c r="C1560">
        <v>28</v>
      </c>
      <c r="D1560" t="s">
        <v>38</v>
      </c>
      <c r="E1560" t="s">
        <v>32</v>
      </c>
      <c r="F1560" t="s">
        <v>59</v>
      </c>
      <c r="G1560">
        <v>60753</v>
      </c>
      <c r="H1560">
        <v>817</v>
      </c>
      <c r="I1560">
        <v>58876</v>
      </c>
      <c r="J1560">
        <v>6.69</v>
      </c>
      <c r="K1560">
        <v>240</v>
      </c>
      <c r="L1560" t="s">
        <v>33</v>
      </c>
      <c r="M1560">
        <v>48.57</v>
      </c>
      <c r="N1560">
        <v>60990</v>
      </c>
      <c r="O1560">
        <v>198311</v>
      </c>
      <c r="P1560" t="s">
        <v>1464</v>
      </c>
      <c r="Q1560" t="s">
        <v>27</v>
      </c>
      <c r="R1560" t="s">
        <v>28</v>
      </c>
      <c r="S1560" t="s">
        <v>43</v>
      </c>
      <c r="T1560">
        <v>261.73</v>
      </c>
      <c r="U1560">
        <f t="shared" si="336"/>
        <v>442</v>
      </c>
      <c r="V1560">
        <f t="shared" si="337"/>
        <v>160</v>
      </c>
      <c r="W1560">
        <f t="shared" si="338"/>
        <v>137</v>
      </c>
      <c r="X1560">
        <f t="shared" si="339"/>
        <v>0.35149999999999998</v>
      </c>
      <c r="Y1560" s="1">
        <f t="shared" si="340"/>
        <v>22776409</v>
      </c>
      <c r="Z1560">
        <f t="shared" si="341"/>
        <v>51530.337104072401</v>
      </c>
      <c r="AA1560">
        <f t="shared" si="342"/>
        <v>99996</v>
      </c>
      <c r="AB1560">
        <f t="shared" si="343"/>
        <v>5091</v>
      </c>
      <c r="AC1560">
        <f t="shared" si="344"/>
        <v>596998.55999999982</v>
      </c>
      <c r="AD1560">
        <f t="shared" si="345"/>
        <v>1350.6754751131218</v>
      </c>
      <c r="AE1560">
        <f t="shared" si="346"/>
        <v>0.35149999999999998</v>
      </c>
      <c r="AF1560">
        <f t="shared" si="347"/>
        <v>132470598.55999997</v>
      </c>
      <c r="AG1560" t="str">
        <f t="shared" si="348"/>
        <v>Active</v>
      </c>
      <c r="AH1560">
        <f t="shared" si="349"/>
        <v>3140.76</v>
      </c>
    </row>
    <row r="1561" spans="1:34" x14ac:dyDescent="0.35">
      <c r="A1561" t="s">
        <v>4111</v>
      </c>
      <c r="B1561" t="s">
        <v>4112</v>
      </c>
      <c r="C1561">
        <v>34</v>
      </c>
      <c r="D1561" t="s">
        <v>38</v>
      </c>
      <c r="E1561" t="s">
        <v>23</v>
      </c>
      <c r="F1561" t="s">
        <v>24</v>
      </c>
      <c r="G1561">
        <v>93556</v>
      </c>
      <c r="H1561">
        <v>486</v>
      </c>
      <c r="I1561">
        <v>76125</v>
      </c>
      <c r="J1561">
        <v>6.87</v>
      </c>
      <c r="K1561">
        <v>360</v>
      </c>
      <c r="L1561" t="s">
        <v>33</v>
      </c>
      <c r="M1561">
        <v>11.31</v>
      </c>
      <c r="N1561">
        <v>77691</v>
      </c>
      <c r="O1561">
        <v>211627</v>
      </c>
      <c r="P1561" t="s">
        <v>4113</v>
      </c>
      <c r="Q1561" t="s">
        <v>61</v>
      </c>
      <c r="R1561" t="s">
        <v>28</v>
      </c>
      <c r="S1561" t="s">
        <v>35</v>
      </c>
      <c r="T1561">
        <v>225.99</v>
      </c>
      <c r="U1561">
        <f t="shared" si="336"/>
        <v>441</v>
      </c>
      <c r="V1561">
        <f t="shared" si="337"/>
        <v>160</v>
      </c>
      <c r="W1561">
        <f t="shared" si="338"/>
        <v>137</v>
      </c>
      <c r="X1561">
        <f t="shared" si="339"/>
        <v>0.35149999999999998</v>
      </c>
      <c r="Y1561" s="1">
        <f t="shared" si="340"/>
        <v>22717533</v>
      </c>
      <c r="Z1561">
        <f t="shared" si="341"/>
        <v>51513.680272108846</v>
      </c>
      <c r="AA1561">
        <f t="shared" si="342"/>
        <v>99996</v>
      </c>
      <c r="AB1561">
        <f t="shared" si="343"/>
        <v>5091</v>
      </c>
      <c r="AC1561">
        <f t="shared" si="344"/>
        <v>596736.82999999984</v>
      </c>
      <c r="AD1561">
        <f t="shared" si="345"/>
        <v>1353.1447392290245</v>
      </c>
      <c r="AE1561">
        <f t="shared" si="346"/>
        <v>0.35149999999999998</v>
      </c>
      <c r="AF1561">
        <f t="shared" si="347"/>
        <v>131873599.99999999</v>
      </c>
      <c r="AG1561" t="str">
        <f t="shared" si="348"/>
        <v>Active</v>
      </c>
      <c r="AH1561">
        <f t="shared" si="349"/>
        <v>2711.88</v>
      </c>
    </row>
    <row r="1562" spans="1:34" x14ac:dyDescent="0.35">
      <c r="A1562" t="s">
        <v>4114</v>
      </c>
      <c r="B1562" t="s">
        <v>4115</v>
      </c>
      <c r="C1562">
        <v>37</v>
      </c>
      <c r="D1562" t="s">
        <v>22</v>
      </c>
      <c r="E1562" t="s">
        <v>23</v>
      </c>
      <c r="F1562" t="s">
        <v>59</v>
      </c>
      <c r="G1562">
        <v>162915</v>
      </c>
      <c r="H1562">
        <v>660</v>
      </c>
      <c r="I1562">
        <v>22816</v>
      </c>
      <c r="J1562">
        <v>22.86</v>
      </c>
      <c r="K1562">
        <v>120</v>
      </c>
      <c r="L1562" t="s">
        <v>25</v>
      </c>
      <c r="M1562">
        <v>11.81</v>
      </c>
      <c r="N1562">
        <v>55873</v>
      </c>
      <c r="O1562">
        <v>212296</v>
      </c>
      <c r="P1562" t="s">
        <v>4116</v>
      </c>
      <c r="Q1562" t="s">
        <v>27</v>
      </c>
      <c r="R1562" t="s">
        <v>28</v>
      </c>
      <c r="S1562" t="s">
        <v>35</v>
      </c>
      <c r="T1562">
        <v>233.6</v>
      </c>
      <c r="U1562">
        <f t="shared" si="336"/>
        <v>440</v>
      </c>
      <c r="V1562">
        <f t="shared" si="337"/>
        <v>160</v>
      </c>
      <c r="W1562">
        <f t="shared" si="338"/>
        <v>136</v>
      </c>
      <c r="X1562">
        <f t="shared" si="339"/>
        <v>0.35149999999999998</v>
      </c>
      <c r="Y1562" s="1">
        <f t="shared" si="340"/>
        <v>22641408</v>
      </c>
      <c r="Z1562">
        <f t="shared" si="341"/>
        <v>51457.745454545453</v>
      </c>
      <c r="AA1562">
        <f t="shared" si="342"/>
        <v>99996</v>
      </c>
      <c r="AB1562">
        <f t="shared" si="343"/>
        <v>5091</v>
      </c>
      <c r="AC1562">
        <f t="shared" si="344"/>
        <v>596510.83999999985</v>
      </c>
      <c r="AD1562">
        <f t="shared" si="345"/>
        <v>1355.7064545454541</v>
      </c>
      <c r="AE1562">
        <f t="shared" si="346"/>
        <v>0.35149999999999998</v>
      </c>
      <c r="AF1562">
        <f t="shared" si="347"/>
        <v>131276863.16999999</v>
      </c>
      <c r="AG1562" t="str">
        <f t="shared" si="348"/>
        <v>Active</v>
      </c>
      <c r="AH1562">
        <f t="shared" si="349"/>
        <v>2803.2</v>
      </c>
    </row>
    <row r="1563" spans="1:34" x14ac:dyDescent="0.35">
      <c r="A1563" t="s">
        <v>4117</v>
      </c>
      <c r="B1563" t="s">
        <v>4118</v>
      </c>
      <c r="C1563">
        <v>44</v>
      </c>
      <c r="D1563" t="s">
        <v>38</v>
      </c>
      <c r="E1563" t="s">
        <v>23</v>
      </c>
      <c r="F1563" t="s">
        <v>59</v>
      </c>
      <c r="G1563">
        <v>45425</v>
      </c>
      <c r="H1563">
        <v>816</v>
      </c>
      <c r="I1563">
        <v>16531</v>
      </c>
      <c r="J1563">
        <v>14.48</v>
      </c>
      <c r="K1563">
        <v>360</v>
      </c>
      <c r="L1563" t="s">
        <v>86</v>
      </c>
      <c r="M1563">
        <v>25.61</v>
      </c>
      <c r="N1563">
        <v>23314</v>
      </c>
      <c r="O1563">
        <v>38055</v>
      </c>
      <c r="P1563" t="s">
        <v>4119</v>
      </c>
      <c r="Q1563" t="s">
        <v>61</v>
      </c>
      <c r="R1563" t="s">
        <v>28</v>
      </c>
      <c r="S1563" t="s">
        <v>35</v>
      </c>
      <c r="T1563">
        <v>52.57</v>
      </c>
      <c r="U1563">
        <f t="shared" si="336"/>
        <v>439</v>
      </c>
      <c r="V1563">
        <f t="shared" si="337"/>
        <v>160</v>
      </c>
      <c r="W1563">
        <f t="shared" si="338"/>
        <v>136</v>
      </c>
      <c r="X1563">
        <f t="shared" si="339"/>
        <v>0.35149999999999998</v>
      </c>
      <c r="Y1563" s="1">
        <f t="shared" si="340"/>
        <v>22618592</v>
      </c>
      <c r="Z1563">
        <f t="shared" si="341"/>
        <v>51522.988610478358</v>
      </c>
      <c r="AA1563">
        <f t="shared" si="342"/>
        <v>99996</v>
      </c>
      <c r="AB1563">
        <f t="shared" si="343"/>
        <v>5091</v>
      </c>
      <c r="AC1563">
        <f t="shared" si="344"/>
        <v>596277.23999999987</v>
      </c>
      <c r="AD1563">
        <f t="shared" si="345"/>
        <v>1358.2625056947604</v>
      </c>
      <c r="AE1563">
        <f t="shared" si="346"/>
        <v>0.35149999999999998</v>
      </c>
      <c r="AF1563">
        <f t="shared" si="347"/>
        <v>130680352.32999997</v>
      </c>
      <c r="AG1563" t="str">
        <f t="shared" si="348"/>
        <v>Active</v>
      </c>
      <c r="AH1563">
        <f t="shared" si="349"/>
        <v>630.84</v>
      </c>
    </row>
    <row r="1564" spans="1:34" x14ac:dyDescent="0.35">
      <c r="A1564" t="s">
        <v>4120</v>
      </c>
      <c r="B1564" t="s">
        <v>4121</v>
      </c>
      <c r="C1564">
        <v>43</v>
      </c>
      <c r="D1564" t="s">
        <v>38</v>
      </c>
      <c r="E1564" t="s">
        <v>39</v>
      </c>
      <c r="F1564" t="s">
        <v>24</v>
      </c>
      <c r="G1564">
        <v>63630</v>
      </c>
      <c r="H1564">
        <v>324</v>
      </c>
      <c r="I1564">
        <v>51040</v>
      </c>
      <c r="J1564">
        <v>6.84</v>
      </c>
      <c r="K1564">
        <v>48</v>
      </c>
      <c r="L1564" t="s">
        <v>86</v>
      </c>
      <c r="M1564">
        <v>25.39</v>
      </c>
      <c r="N1564">
        <v>72344</v>
      </c>
      <c r="O1564">
        <v>179631</v>
      </c>
      <c r="P1564" t="s">
        <v>1392</v>
      </c>
      <c r="Q1564" t="s">
        <v>42</v>
      </c>
      <c r="R1564" t="s">
        <v>48</v>
      </c>
      <c r="S1564" t="s">
        <v>43</v>
      </c>
      <c r="T1564">
        <v>1136.07</v>
      </c>
      <c r="U1564">
        <f t="shared" si="336"/>
        <v>438</v>
      </c>
      <c r="V1564">
        <f t="shared" si="337"/>
        <v>160</v>
      </c>
      <c r="W1564">
        <f t="shared" si="338"/>
        <v>135</v>
      </c>
      <c r="X1564">
        <f t="shared" si="339"/>
        <v>0.35149999999999998</v>
      </c>
      <c r="Y1564" s="1">
        <f t="shared" si="340"/>
        <v>22602061</v>
      </c>
      <c r="Z1564">
        <f t="shared" si="341"/>
        <v>51602.878995433792</v>
      </c>
      <c r="AA1564">
        <f t="shared" si="342"/>
        <v>99996</v>
      </c>
      <c r="AB1564">
        <f t="shared" si="343"/>
        <v>5091</v>
      </c>
      <c r="AC1564">
        <f t="shared" si="344"/>
        <v>596224.66999999981</v>
      </c>
      <c r="AD1564">
        <f t="shared" si="345"/>
        <v>1361.2435388127849</v>
      </c>
      <c r="AE1564">
        <f t="shared" si="346"/>
        <v>0.35149999999999998</v>
      </c>
      <c r="AF1564">
        <f t="shared" si="347"/>
        <v>130084075.08999996</v>
      </c>
      <c r="AG1564" t="str">
        <f t="shared" si="348"/>
        <v>Active</v>
      </c>
      <c r="AH1564">
        <f t="shared" si="349"/>
        <v>13632.84</v>
      </c>
    </row>
    <row r="1565" spans="1:34" x14ac:dyDescent="0.35">
      <c r="A1565" t="s">
        <v>4122</v>
      </c>
      <c r="B1565" t="s">
        <v>4123</v>
      </c>
      <c r="C1565">
        <v>61</v>
      </c>
      <c r="D1565" t="s">
        <v>38</v>
      </c>
      <c r="E1565" t="s">
        <v>32</v>
      </c>
      <c r="F1565" t="s">
        <v>24</v>
      </c>
      <c r="G1565">
        <v>77805</v>
      </c>
      <c r="H1565">
        <v>457</v>
      </c>
      <c r="I1565">
        <v>47143</v>
      </c>
      <c r="J1565">
        <v>12.46</v>
      </c>
      <c r="K1565">
        <v>48</v>
      </c>
      <c r="L1565" t="s">
        <v>25</v>
      </c>
      <c r="M1565">
        <v>54.75</v>
      </c>
      <c r="N1565">
        <v>10876</v>
      </c>
      <c r="O1565">
        <v>10115</v>
      </c>
      <c r="P1565" t="s">
        <v>949</v>
      </c>
      <c r="Q1565" t="s">
        <v>42</v>
      </c>
      <c r="R1565" t="s">
        <v>48</v>
      </c>
      <c r="S1565" t="s">
        <v>43</v>
      </c>
      <c r="T1565">
        <v>1104.52</v>
      </c>
      <c r="U1565">
        <f t="shared" si="336"/>
        <v>437</v>
      </c>
      <c r="V1565">
        <f t="shared" si="337"/>
        <v>159</v>
      </c>
      <c r="W1565">
        <f t="shared" si="338"/>
        <v>135</v>
      </c>
      <c r="X1565">
        <f t="shared" si="339"/>
        <v>0.35149999999999998</v>
      </c>
      <c r="Y1565" s="1">
        <f t="shared" si="340"/>
        <v>22551021</v>
      </c>
      <c r="Z1565">
        <f t="shared" si="341"/>
        <v>51604.167048054922</v>
      </c>
      <c r="AA1565">
        <f t="shared" si="342"/>
        <v>99996</v>
      </c>
      <c r="AB1565">
        <f t="shared" si="343"/>
        <v>5091</v>
      </c>
      <c r="AC1565">
        <f t="shared" si="344"/>
        <v>595088.59999999986</v>
      </c>
      <c r="AD1565">
        <f t="shared" si="345"/>
        <v>1361.7588100686496</v>
      </c>
      <c r="AE1565">
        <f t="shared" si="346"/>
        <v>0.35149999999999998</v>
      </c>
      <c r="AF1565">
        <f t="shared" si="347"/>
        <v>129487850.41999997</v>
      </c>
      <c r="AG1565" t="str">
        <f t="shared" si="348"/>
        <v>Active</v>
      </c>
      <c r="AH1565">
        <f t="shared" si="349"/>
        <v>13254.24</v>
      </c>
    </row>
    <row r="1566" spans="1:34" x14ac:dyDescent="0.35">
      <c r="A1566" t="s">
        <v>4124</v>
      </c>
      <c r="B1566" t="s">
        <v>4125</v>
      </c>
      <c r="C1566">
        <v>33</v>
      </c>
      <c r="D1566" t="s">
        <v>38</v>
      </c>
      <c r="E1566" t="s">
        <v>39</v>
      </c>
      <c r="F1566" t="s">
        <v>59</v>
      </c>
      <c r="G1566">
        <v>29498</v>
      </c>
      <c r="H1566">
        <v>736</v>
      </c>
      <c r="I1566">
        <v>15422</v>
      </c>
      <c r="J1566">
        <v>12.14</v>
      </c>
      <c r="K1566">
        <v>240</v>
      </c>
      <c r="L1566" t="s">
        <v>86</v>
      </c>
      <c r="M1566">
        <v>25.42</v>
      </c>
      <c r="N1566">
        <v>11538</v>
      </c>
      <c r="O1566">
        <v>167299</v>
      </c>
      <c r="P1566" t="s">
        <v>2503</v>
      </c>
      <c r="Q1566" t="s">
        <v>61</v>
      </c>
      <c r="R1566" t="s">
        <v>28</v>
      </c>
      <c r="S1566" t="s">
        <v>29</v>
      </c>
      <c r="T1566">
        <v>72.06</v>
      </c>
      <c r="U1566">
        <f t="shared" si="336"/>
        <v>436</v>
      </c>
      <c r="V1566">
        <f t="shared" si="337"/>
        <v>158</v>
      </c>
      <c r="W1566">
        <f t="shared" si="338"/>
        <v>135</v>
      </c>
      <c r="X1566">
        <f t="shared" si="339"/>
        <v>0.35149999999999998</v>
      </c>
      <c r="Y1566" s="1">
        <f t="shared" si="340"/>
        <v>22503878</v>
      </c>
      <c r="Z1566">
        <f t="shared" si="341"/>
        <v>51614.399082568809</v>
      </c>
      <c r="AA1566">
        <f t="shared" si="342"/>
        <v>99996</v>
      </c>
      <c r="AB1566">
        <f t="shared" si="343"/>
        <v>5091</v>
      </c>
      <c r="AC1566">
        <f t="shared" si="344"/>
        <v>593984.07999999984</v>
      </c>
      <c r="AD1566">
        <f t="shared" si="345"/>
        <v>1362.3488073394492</v>
      </c>
      <c r="AE1566">
        <f t="shared" si="346"/>
        <v>0.35149999999999998</v>
      </c>
      <c r="AF1566">
        <f t="shared" si="347"/>
        <v>128892761.81999996</v>
      </c>
      <c r="AG1566" t="str">
        <f t="shared" si="348"/>
        <v>Active</v>
      </c>
      <c r="AH1566">
        <f t="shared" si="349"/>
        <v>864.72</v>
      </c>
    </row>
    <row r="1567" spans="1:34" x14ac:dyDescent="0.35">
      <c r="A1567" t="s">
        <v>4126</v>
      </c>
      <c r="B1567" t="s">
        <v>4127</v>
      </c>
      <c r="C1567">
        <v>51</v>
      </c>
      <c r="D1567" t="s">
        <v>38</v>
      </c>
      <c r="E1567" t="s">
        <v>23</v>
      </c>
      <c r="F1567" t="s">
        <v>24</v>
      </c>
      <c r="G1567">
        <v>149276</v>
      </c>
      <c r="H1567">
        <v>688</v>
      </c>
      <c r="I1567">
        <v>36669</v>
      </c>
      <c r="J1567">
        <v>13.36</v>
      </c>
      <c r="K1567">
        <v>180</v>
      </c>
      <c r="L1567" t="s">
        <v>25</v>
      </c>
      <c r="M1567">
        <v>15.33</v>
      </c>
      <c r="N1567">
        <v>30468</v>
      </c>
      <c r="O1567">
        <v>215616</v>
      </c>
      <c r="P1567" t="s">
        <v>4128</v>
      </c>
      <c r="Q1567" t="s">
        <v>61</v>
      </c>
      <c r="R1567" t="s">
        <v>48</v>
      </c>
      <c r="S1567" t="s">
        <v>35</v>
      </c>
      <c r="T1567">
        <v>230.93</v>
      </c>
      <c r="U1567">
        <f t="shared" si="336"/>
        <v>435</v>
      </c>
      <c r="V1567">
        <f t="shared" si="337"/>
        <v>158</v>
      </c>
      <c r="W1567">
        <f t="shared" si="338"/>
        <v>134</v>
      </c>
      <c r="X1567">
        <f t="shared" si="339"/>
        <v>0.35149999999999998</v>
      </c>
      <c r="Y1567" s="1">
        <f t="shared" si="340"/>
        <v>22488456</v>
      </c>
      <c r="Z1567">
        <f t="shared" si="341"/>
        <v>51697.599999999999</v>
      </c>
      <c r="AA1567">
        <f t="shared" si="342"/>
        <v>99996</v>
      </c>
      <c r="AB1567">
        <f t="shared" si="343"/>
        <v>5091</v>
      </c>
      <c r="AC1567">
        <f t="shared" si="344"/>
        <v>593912.01999999979</v>
      </c>
      <c r="AD1567">
        <f t="shared" si="345"/>
        <v>1365.3149885057467</v>
      </c>
      <c r="AE1567">
        <f t="shared" si="346"/>
        <v>0.35149999999999998</v>
      </c>
      <c r="AF1567">
        <f t="shared" si="347"/>
        <v>128298777.73999996</v>
      </c>
      <c r="AG1567" t="str">
        <f t="shared" si="348"/>
        <v>Active</v>
      </c>
      <c r="AH1567">
        <f t="shared" si="349"/>
        <v>2771.16</v>
      </c>
    </row>
    <row r="1568" spans="1:34" x14ac:dyDescent="0.35">
      <c r="A1568" t="s">
        <v>4129</v>
      </c>
      <c r="B1568" t="s">
        <v>4130</v>
      </c>
      <c r="C1568">
        <v>36</v>
      </c>
      <c r="D1568" t="s">
        <v>22</v>
      </c>
      <c r="E1568" t="s">
        <v>23</v>
      </c>
      <c r="F1568" t="s">
        <v>46</v>
      </c>
      <c r="G1568">
        <v>52099</v>
      </c>
      <c r="H1568">
        <v>760</v>
      </c>
      <c r="I1568">
        <v>45579</v>
      </c>
      <c r="J1568">
        <v>6.35</v>
      </c>
      <c r="K1568">
        <v>60</v>
      </c>
      <c r="L1568" t="s">
        <v>25</v>
      </c>
      <c r="M1568">
        <v>9.26</v>
      </c>
      <c r="N1568">
        <v>38176</v>
      </c>
      <c r="O1568">
        <v>52071</v>
      </c>
      <c r="P1568" t="s">
        <v>171</v>
      </c>
      <c r="Q1568" t="s">
        <v>27</v>
      </c>
      <c r="R1568" t="s">
        <v>48</v>
      </c>
      <c r="S1568" t="s">
        <v>35</v>
      </c>
      <c r="T1568">
        <v>807.89</v>
      </c>
      <c r="U1568">
        <f t="shared" si="336"/>
        <v>434</v>
      </c>
      <c r="V1568">
        <f t="shared" si="337"/>
        <v>158</v>
      </c>
      <c r="W1568">
        <f t="shared" si="338"/>
        <v>133</v>
      </c>
      <c r="X1568">
        <f t="shared" si="339"/>
        <v>0.35149999999999998</v>
      </c>
      <c r="Y1568" s="1">
        <f t="shared" si="340"/>
        <v>22451787</v>
      </c>
      <c r="Z1568">
        <f t="shared" si="341"/>
        <v>51732.228110599077</v>
      </c>
      <c r="AA1568">
        <f t="shared" si="342"/>
        <v>99996</v>
      </c>
      <c r="AB1568">
        <f t="shared" si="343"/>
        <v>5091</v>
      </c>
      <c r="AC1568">
        <f t="shared" si="344"/>
        <v>593681.08999999985</v>
      </c>
      <c r="AD1568">
        <f t="shared" si="345"/>
        <v>1367.928778801843</v>
      </c>
      <c r="AE1568">
        <f t="shared" si="346"/>
        <v>0.35149999999999998</v>
      </c>
      <c r="AF1568">
        <f t="shared" si="347"/>
        <v>127704865.71999997</v>
      </c>
      <c r="AG1568" t="str">
        <f t="shared" si="348"/>
        <v>Active</v>
      </c>
      <c r="AH1568">
        <f t="shared" si="349"/>
        <v>9694.68</v>
      </c>
    </row>
    <row r="1569" spans="1:34" x14ac:dyDescent="0.35">
      <c r="A1569" t="s">
        <v>4131</v>
      </c>
      <c r="B1569" t="s">
        <v>4132</v>
      </c>
      <c r="C1569">
        <v>33</v>
      </c>
      <c r="D1569" t="s">
        <v>38</v>
      </c>
      <c r="E1569" t="s">
        <v>32</v>
      </c>
      <c r="F1569" t="s">
        <v>24</v>
      </c>
      <c r="G1569">
        <v>101634</v>
      </c>
      <c r="H1569">
        <v>452</v>
      </c>
      <c r="I1569">
        <v>8279</v>
      </c>
      <c r="J1569">
        <v>9.81</v>
      </c>
      <c r="K1569">
        <v>240</v>
      </c>
      <c r="L1569" t="s">
        <v>33</v>
      </c>
      <c r="M1569">
        <v>13.61</v>
      </c>
      <c r="N1569">
        <v>70256</v>
      </c>
      <c r="O1569">
        <v>223070</v>
      </c>
      <c r="P1569" t="s">
        <v>4133</v>
      </c>
      <c r="Q1569" t="s">
        <v>61</v>
      </c>
      <c r="R1569" t="s">
        <v>28</v>
      </c>
      <c r="S1569" t="s">
        <v>43</v>
      </c>
      <c r="T1569">
        <v>37.880000000000003</v>
      </c>
      <c r="U1569">
        <f t="shared" si="336"/>
        <v>433</v>
      </c>
      <c r="V1569">
        <f t="shared" si="337"/>
        <v>158</v>
      </c>
      <c r="W1569">
        <f t="shared" si="338"/>
        <v>133</v>
      </c>
      <c r="X1569">
        <f t="shared" si="339"/>
        <v>0.35149999999999998</v>
      </c>
      <c r="Y1569" s="1">
        <f t="shared" si="340"/>
        <v>22406208</v>
      </c>
      <c r="Z1569">
        <f t="shared" si="341"/>
        <v>51746.438799076212</v>
      </c>
      <c r="AA1569">
        <f t="shared" si="342"/>
        <v>99996</v>
      </c>
      <c r="AB1569">
        <f t="shared" si="343"/>
        <v>5091</v>
      </c>
      <c r="AC1569">
        <f t="shared" si="344"/>
        <v>592873.19999999984</v>
      </c>
      <c r="AD1569">
        <f t="shared" si="345"/>
        <v>1369.2221709006924</v>
      </c>
      <c r="AE1569">
        <f t="shared" si="346"/>
        <v>0.35149999999999998</v>
      </c>
      <c r="AF1569">
        <f t="shared" si="347"/>
        <v>127111184.62999997</v>
      </c>
      <c r="AG1569" t="str">
        <f t="shared" si="348"/>
        <v>Active</v>
      </c>
      <c r="AH1569">
        <f t="shared" si="349"/>
        <v>454.56000000000006</v>
      </c>
    </row>
    <row r="1570" spans="1:34" x14ac:dyDescent="0.35">
      <c r="A1570" t="s">
        <v>4134</v>
      </c>
      <c r="B1570" t="s">
        <v>4135</v>
      </c>
      <c r="C1570">
        <v>48</v>
      </c>
      <c r="D1570" t="s">
        <v>22</v>
      </c>
      <c r="E1570" t="s">
        <v>23</v>
      </c>
      <c r="F1570" t="s">
        <v>46</v>
      </c>
      <c r="G1570">
        <v>70694</v>
      </c>
      <c r="H1570">
        <v>452</v>
      </c>
      <c r="I1570">
        <v>69465</v>
      </c>
      <c r="J1570">
        <v>20.61</v>
      </c>
      <c r="K1570">
        <v>12</v>
      </c>
      <c r="L1570" t="s">
        <v>33</v>
      </c>
      <c r="M1570">
        <v>21.47</v>
      </c>
      <c r="N1570">
        <v>70913</v>
      </c>
      <c r="O1570">
        <v>189598</v>
      </c>
      <c r="P1570" t="s">
        <v>4136</v>
      </c>
      <c r="Q1570" t="s">
        <v>42</v>
      </c>
      <c r="R1570" t="s">
        <v>48</v>
      </c>
      <c r="S1570" t="s">
        <v>35</v>
      </c>
      <c r="T1570">
        <v>6981.81</v>
      </c>
      <c r="U1570">
        <f t="shared" si="336"/>
        <v>432</v>
      </c>
      <c r="V1570">
        <f t="shared" si="337"/>
        <v>158</v>
      </c>
      <c r="W1570">
        <f t="shared" si="338"/>
        <v>132</v>
      </c>
      <c r="X1570">
        <f t="shared" si="339"/>
        <v>0.35149999999999998</v>
      </c>
      <c r="Y1570" s="1">
        <f t="shared" si="340"/>
        <v>22397929</v>
      </c>
      <c r="Z1570">
        <f t="shared" si="341"/>
        <v>51847.057870370372</v>
      </c>
      <c r="AA1570">
        <f t="shared" si="342"/>
        <v>99996</v>
      </c>
      <c r="AB1570">
        <f t="shared" si="343"/>
        <v>5091</v>
      </c>
      <c r="AC1570">
        <f t="shared" si="344"/>
        <v>592835.31999999983</v>
      </c>
      <c r="AD1570">
        <f t="shared" si="345"/>
        <v>1372.3039814814811</v>
      </c>
      <c r="AE1570">
        <f t="shared" si="346"/>
        <v>0.35149999999999998</v>
      </c>
      <c r="AF1570">
        <f t="shared" si="347"/>
        <v>126518311.42999998</v>
      </c>
      <c r="AG1570" t="str">
        <f t="shared" si="348"/>
        <v>Active</v>
      </c>
      <c r="AH1570">
        <f t="shared" si="349"/>
        <v>83781.72</v>
      </c>
    </row>
    <row r="1571" spans="1:34" x14ac:dyDescent="0.35">
      <c r="A1571" t="s">
        <v>4137</v>
      </c>
      <c r="B1571" t="s">
        <v>4138</v>
      </c>
      <c r="C1571">
        <v>23</v>
      </c>
      <c r="D1571" t="s">
        <v>38</v>
      </c>
      <c r="E1571" t="s">
        <v>39</v>
      </c>
      <c r="F1571" t="s">
        <v>46</v>
      </c>
      <c r="G1571">
        <v>21022</v>
      </c>
      <c r="H1571">
        <v>507</v>
      </c>
      <c r="I1571">
        <v>41686</v>
      </c>
      <c r="J1571">
        <v>5.99</v>
      </c>
      <c r="K1571">
        <v>48</v>
      </c>
      <c r="L1571" t="s">
        <v>33</v>
      </c>
      <c r="M1571">
        <v>40.590000000000003</v>
      </c>
      <c r="N1571">
        <v>6316</v>
      </c>
      <c r="O1571">
        <v>24897</v>
      </c>
      <c r="P1571" t="s">
        <v>4139</v>
      </c>
      <c r="Q1571" t="s">
        <v>42</v>
      </c>
      <c r="R1571" t="s">
        <v>28</v>
      </c>
      <c r="S1571" t="s">
        <v>68</v>
      </c>
      <c r="T1571">
        <v>920.48</v>
      </c>
      <c r="U1571">
        <f t="shared" si="336"/>
        <v>431</v>
      </c>
      <c r="V1571">
        <f t="shared" si="337"/>
        <v>157</v>
      </c>
      <c r="W1571">
        <f t="shared" si="338"/>
        <v>132</v>
      </c>
      <c r="X1571">
        <f t="shared" si="339"/>
        <v>0.35149999999999998</v>
      </c>
      <c r="Y1571" s="1">
        <f t="shared" si="340"/>
        <v>22328464</v>
      </c>
      <c r="Z1571">
        <f t="shared" si="341"/>
        <v>51806.18097447796</v>
      </c>
      <c r="AA1571">
        <f t="shared" si="342"/>
        <v>99996</v>
      </c>
      <c r="AB1571">
        <f t="shared" si="343"/>
        <v>5091</v>
      </c>
      <c r="AC1571">
        <f t="shared" si="344"/>
        <v>585853.51</v>
      </c>
      <c r="AD1571">
        <f t="shared" si="345"/>
        <v>1359.2888863109049</v>
      </c>
      <c r="AE1571">
        <f t="shared" si="346"/>
        <v>0.35149999999999998</v>
      </c>
      <c r="AF1571">
        <f t="shared" si="347"/>
        <v>125925476.10999998</v>
      </c>
      <c r="AG1571" t="str">
        <f t="shared" si="348"/>
        <v>Over Paid</v>
      </c>
      <c r="AH1571">
        <f t="shared" si="349"/>
        <v>11045.76</v>
      </c>
    </row>
    <row r="1572" spans="1:34" x14ac:dyDescent="0.35">
      <c r="A1572" t="s">
        <v>4140</v>
      </c>
      <c r="B1572" t="s">
        <v>4141</v>
      </c>
      <c r="C1572">
        <v>31</v>
      </c>
      <c r="D1572" t="s">
        <v>22</v>
      </c>
      <c r="E1572" t="s">
        <v>23</v>
      </c>
      <c r="F1572" t="s">
        <v>24</v>
      </c>
      <c r="G1572">
        <v>107196</v>
      </c>
      <c r="H1572">
        <v>334</v>
      </c>
      <c r="I1572">
        <v>79817</v>
      </c>
      <c r="J1572">
        <v>15.51</v>
      </c>
      <c r="K1572">
        <v>240</v>
      </c>
      <c r="L1572" t="s">
        <v>86</v>
      </c>
      <c r="M1572">
        <v>12.38</v>
      </c>
      <c r="N1572">
        <v>73229</v>
      </c>
      <c r="O1572">
        <v>81296</v>
      </c>
      <c r="P1572" t="s">
        <v>4142</v>
      </c>
      <c r="Q1572" t="s">
        <v>27</v>
      </c>
      <c r="R1572" t="s">
        <v>28</v>
      </c>
      <c r="S1572" t="s">
        <v>29</v>
      </c>
      <c r="T1572">
        <v>384.15</v>
      </c>
      <c r="U1572">
        <f t="shared" si="336"/>
        <v>430</v>
      </c>
      <c r="V1572">
        <f t="shared" si="337"/>
        <v>156</v>
      </c>
      <c r="W1572">
        <f t="shared" si="338"/>
        <v>132</v>
      </c>
      <c r="X1572">
        <f t="shared" si="339"/>
        <v>0.35149999999999998</v>
      </c>
      <c r="Y1572" s="1">
        <f t="shared" si="340"/>
        <v>22286778</v>
      </c>
      <c r="Z1572">
        <f t="shared" si="341"/>
        <v>51829.716279069769</v>
      </c>
      <c r="AA1572">
        <f t="shared" si="342"/>
        <v>99996</v>
      </c>
      <c r="AB1572">
        <f t="shared" si="343"/>
        <v>5091</v>
      </c>
      <c r="AC1572">
        <f t="shared" si="344"/>
        <v>584933.02999999991</v>
      </c>
      <c r="AD1572">
        <f t="shared" si="345"/>
        <v>1360.3093720930231</v>
      </c>
      <c r="AE1572">
        <f t="shared" si="346"/>
        <v>0.35149999999999998</v>
      </c>
      <c r="AF1572">
        <f t="shared" si="347"/>
        <v>125339622.59999998</v>
      </c>
      <c r="AG1572" t="str">
        <f t="shared" si="348"/>
        <v>Active</v>
      </c>
      <c r="AH1572">
        <f t="shared" si="349"/>
        <v>4609.7999999999993</v>
      </c>
    </row>
    <row r="1573" spans="1:34" x14ac:dyDescent="0.35">
      <c r="A1573" t="s">
        <v>4143</v>
      </c>
      <c r="B1573" t="s">
        <v>4144</v>
      </c>
      <c r="C1573">
        <v>54</v>
      </c>
      <c r="D1573" t="s">
        <v>38</v>
      </c>
      <c r="E1573" t="s">
        <v>23</v>
      </c>
      <c r="F1573" t="s">
        <v>24</v>
      </c>
      <c r="G1573">
        <v>64905</v>
      </c>
      <c r="H1573">
        <v>635</v>
      </c>
      <c r="I1573">
        <v>52253</v>
      </c>
      <c r="J1573">
        <v>5.14</v>
      </c>
      <c r="K1573">
        <v>60</v>
      </c>
      <c r="L1573" t="s">
        <v>40</v>
      </c>
      <c r="M1573">
        <v>33.229999999999997</v>
      </c>
      <c r="N1573">
        <v>69649</v>
      </c>
      <c r="O1573">
        <v>153284</v>
      </c>
      <c r="P1573" t="s">
        <v>296</v>
      </c>
      <c r="Q1573" t="s">
        <v>42</v>
      </c>
      <c r="R1573" t="s">
        <v>48</v>
      </c>
      <c r="S1573" t="s">
        <v>49</v>
      </c>
      <c r="T1573">
        <v>915.65</v>
      </c>
      <c r="U1573">
        <f t="shared" si="336"/>
        <v>429</v>
      </c>
      <c r="V1573">
        <f t="shared" si="337"/>
        <v>156</v>
      </c>
      <c r="W1573">
        <f t="shared" si="338"/>
        <v>132</v>
      </c>
      <c r="X1573">
        <f t="shared" si="339"/>
        <v>0.35149999999999998</v>
      </c>
      <c r="Y1573" s="1">
        <f t="shared" si="340"/>
        <v>22206961</v>
      </c>
      <c r="Z1573">
        <f t="shared" si="341"/>
        <v>51764.477855477853</v>
      </c>
      <c r="AA1573">
        <f t="shared" si="342"/>
        <v>99996</v>
      </c>
      <c r="AB1573">
        <f t="shared" si="343"/>
        <v>5091</v>
      </c>
      <c r="AC1573">
        <f t="shared" si="344"/>
        <v>584548.88</v>
      </c>
      <c r="AD1573">
        <f t="shared" si="345"/>
        <v>1362.5848018648019</v>
      </c>
      <c r="AE1573">
        <f t="shared" si="346"/>
        <v>0.35149999999999998</v>
      </c>
      <c r="AF1573">
        <f t="shared" si="347"/>
        <v>124754689.56999998</v>
      </c>
      <c r="AG1573" t="str">
        <f t="shared" si="348"/>
        <v>Active</v>
      </c>
      <c r="AH1573">
        <f t="shared" si="349"/>
        <v>10987.8</v>
      </c>
    </row>
    <row r="1574" spans="1:34" x14ac:dyDescent="0.35">
      <c r="A1574" t="s">
        <v>4145</v>
      </c>
      <c r="B1574" t="s">
        <v>4146</v>
      </c>
      <c r="C1574">
        <v>32</v>
      </c>
      <c r="D1574" t="s">
        <v>22</v>
      </c>
      <c r="E1574" t="s">
        <v>23</v>
      </c>
      <c r="F1574" t="s">
        <v>24</v>
      </c>
      <c r="G1574">
        <v>75708</v>
      </c>
      <c r="H1574">
        <v>762</v>
      </c>
      <c r="I1574">
        <v>44633</v>
      </c>
      <c r="J1574">
        <v>18</v>
      </c>
      <c r="K1574">
        <v>24</v>
      </c>
      <c r="L1574" t="s">
        <v>86</v>
      </c>
      <c r="M1574">
        <v>34.049999999999997</v>
      </c>
      <c r="N1574">
        <v>14983</v>
      </c>
      <c r="O1574">
        <v>225353</v>
      </c>
      <c r="P1574" t="s">
        <v>4147</v>
      </c>
      <c r="Q1574" t="s">
        <v>42</v>
      </c>
      <c r="R1574" t="s">
        <v>28</v>
      </c>
      <c r="S1574" t="s">
        <v>43</v>
      </c>
      <c r="T1574">
        <v>2194.46</v>
      </c>
      <c r="U1574">
        <f t="shared" si="336"/>
        <v>428</v>
      </c>
      <c r="V1574">
        <f t="shared" si="337"/>
        <v>155</v>
      </c>
      <c r="W1574">
        <f t="shared" si="338"/>
        <v>132</v>
      </c>
      <c r="X1574">
        <f t="shared" si="339"/>
        <v>0.35149999999999998</v>
      </c>
      <c r="Y1574" s="1">
        <f t="shared" si="340"/>
        <v>22154708</v>
      </c>
      <c r="Z1574">
        <f t="shared" si="341"/>
        <v>51763.336448598129</v>
      </c>
      <c r="AA1574">
        <f t="shared" si="342"/>
        <v>99996</v>
      </c>
      <c r="AB1574">
        <f t="shared" si="343"/>
        <v>5091</v>
      </c>
      <c r="AC1574">
        <f t="shared" si="344"/>
        <v>583633.2300000001</v>
      </c>
      <c r="AD1574">
        <f t="shared" si="345"/>
        <v>1363.6290420560749</v>
      </c>
      <c r="AE1574">
        <f t="shared" si="346"/>
        <v>0.35149999999999998</v>
      </c>
      <c r="AF1574">
        <f t="shared" si="347"/>
        <v>124170140.68999998</v>
      </c>
      <c r="AG1574" t="str">
        <f t="shared" si="348"/>
        <v>Active</v>
      </c>
      <c r="AH1574">
        <f t="shared" si="349"/>
        <v>26333.52</v>
      </c>
    </row>
    <row r="1575" spans="1:34" x14ac:dyDescent="0.35">
      <c r="A1575" t="s">
        <v>4148</v>
      </c>
      <c r="B1575" t="s">
        <v>4149</v>
      </c>
      <c r="C1575">
        <v>23</v>
      </c>
      <c r="D1575" t="s">
        <v>38</v>
      </c>
      <c r="E1575" t="s">
        <v>32</v>
      </c>
      <c r="F1575" t="s">
        <v>24</v>
      </c>
      <c r="G1575">
        <v>171310</v>
      </c>
      <c r="H1575">
        <v>462</v>
      </c>
      <c r="I1575">
        <v>30585</v>
      </c>
      <c r="J1575">
        <v>15.91</v>
      </c>
      <c r="K1575">
        <v>48</v>
      </c>
      <c r="L1575" t="s">
        <v>52</v>
      </c>
      <c r="M1575">
        <v>41.37</v>
      </c>
      <c r="N1575">
        <v>33221</v>
      </c>
      <c r="O1575">
        <v>190981</v>
      </c>
      <c r="P1575" t="s">
        <v>2459</v>
      </c>
      <c r="Q1575" t="s">
        <v>27</v>
      </c>
      <c r="R1575" t="s">
        <v>28</v>
      </c>
      <c r="S1575" t="s">
        <v>35</v>
      </c>
      <c r="T1575">
        <v>738.56</v>
      </c>
      <c r="U1575">
        <f t="shared" si="336"/>
        <v>427</v>
      </c>
      <c r="V1575">
        <f t="shared" si="337"/>
        <v>154</v>
      </c>
      <c r="W1575">
        <f t="shared" si="338"/>
        <v>132</v>
      </c>
      <c r="X1575">
        <f t="shared" si="339"/>
        <v>0.35149999999999998</v>
      </c>
      <c r="Y1575" s="1">
        <f t="shared" si="340"/>
        <v>22110075</v>
      </c>
      <c r="Z1575">
        <f t="shared" si="341"/>
        <v>51780.035128805619</v>
      </c>
      <c r="AA1575">
        <f t="shared" si="342"/>
        <v>99996</v>
      </c>
      <c r="AB1575">
        <f t="shared" si="343"/>
        <v>5091</v>
      </c>
      <c r="AC1575">
        <f t="shared" si="344"/>
        <v>581438.77</v>
      </c>
      <c r="AD1575">
        <f t="shared" si="345"/>
        <v>1361.6833021077284</v>
      </c>
      <c r="AE1575">
        <f t="shared" si="346"/>
        <v>0.35149999999999998</v>
      </c>
      <c r="AF1575">
        <f t="shared" si="347"/>
        <v>123586507.45999999</v>
      </c>
      <c r="AG1575" t="str">
        <f t="shared" si="348"/>
        <v>Active</v>
      </c>
      <c r="AH1575">
        <f t="shared" si="349"/>
        <v>8862.7199999999993</v>
      </c>
    </row>
    <row r="1576" spans="1:34" x14ac:dyDescent="0.35">
      <c r="A1576" t="s">
        <v>4150</v>
      </c>
      <c r="B1576" t="s">
        <v>4151</v>
      </c>
      <c r="C1576">
        <v>55</v>
      </c>
      <c r="D1576" t="s">
        <v>22</v>
      </c>
      <c r="E1576" t="s">
        <v>23</v>
      </c>
      <c r="F1576" t="s">
        <v>59</v>
      </c>
      <c r="G1576">
        <v>41866</v>
      </c>
      <c r="H1576">
        <v>361</v>
      </c>
      <c r="I1576">
        <v>47967</v>
      </c>
      <c r="J1576">
        <v>8.25</v>
      </c>
      <c r="K1576">
        <v>360</v>
      </c>
      <c r="L1576" t="s">
        <v>86</v>
      </c>
      <c r="M1576">
        <v>34.47</v>
      </c>
      <c r="N1576">
        <v>45160</v>
      </c>
      <c r="O1576">
        <v>174238</v>
      </c>
      <c r="P1576" t="s">
        <v>1090</v>
      </c>
      <c r="Q1576" t="s">
        <v>27</v>
      </c>
      <c r="R1576" t="s">
        <v>48</v>
      </c>
      <c r="S1576" t="s">
        <v>35</v>
      </c>
      <c r="T1576">
        <v>144.22999999999999</v>
      </c>
      <c r="U1576">
        <f t="shared" si="336"/>
        <v>426</v>
      </c>
      <c r="V1576">
        <f t="shared" si="337"/>
        <v>154</v>
      </c>
      <c r="W1576">
        <f t="shared" si="338"/>
        <v>132</v>
      </c>
      <c r="X1576">
        <f t="shared" si="339"/>
        <v>0.35149999999999998</v>
      </c>
      <c r="Y1576" s="1">
        <f t="shared" si="340"/>
        <v>22079490</v>
      </c>
      <c r="Z1576">
        <f t="shared" si="341"/>
        <v>51829.788732394365</v>
      </c>
      <c r="AA1576">
        <f t="shared" si="342"/>
        <v>99996</v>
      </c>
      <c r="AB1576">
        <f t="shared" si="343"/>
        <v>5091</v>
      </c>
      <c r="AC1576">
        <f t="shared" si="344"/>
        <v>580700.21</v>
      </c>
      <c r="AD1576">
        <f t="shared" si="345"/>
        <v>1363.1460328638498</v>
      </c>
      <c r="AE1576">
        <f t="shared" si="346"/>
        <v>0.35149999999999998</v>
      </c>
      <c r="AF1576">
        <f t="shared" si="347"/>
        <v>123005068.69000001</v>
      </c>
      <c r="AG1576" t="str">
        <f t="shared" si="348"/>
        <v>Active</v>
      </c>
      <c r="AH1576">
        <f t="shared" si="349"/>
        <v>1730.7599999999998</v>
      </c>
    </row>
    <row r="1577" spans="1:34" x14ac:dyDescent="0.35">
      <c r="A1577" t="s">
        <v>4152</v>
      </c>
      <c r="B1577" t="s">
        <v>4153</v>
      </c>
      <c r="C1577">
        <v>56</v>
      </c>
      <c r="D1577" t="s">
        <v>38</v>
      </c>
      <c r="E1577" t="s">
        <v>32</v>
      </c>
      <c r="F1577" t="s">
        <v>46</v>
      </c>
      <c r="G1577">
        <v>113222</v>
      </c>
      <c r="H1577">
        <v>651</v>
      </c>
      <c r="I1577">
        <v>66373</v>
      </c>
      <c r="J1577">
        <v>12.12</v>
      </c>
      <c r="K1577">
        <v>120</v>
      </c>
      <c r="L1577" t="s">
        <v>25</v>
      </c>
      <c r="M1577">
        <v>7.11</v>
      </c>
      <c r="N1577">
        <v>14811</v>
      </c>
      <c r="O1577">
        <v>45938</v>
      </c>
      <c r="P1577" t="s">
        <v>4154</v>
      </c>
      <c r="Q1577" t="s">
        <v>27</v>
      </c>
      <c r="R1577" t="s">
        <v>48</v>
      </c>
      <c r="S1577" t="s">
        <v>29</v>
      </c>
      <c r="T1577">
        <v>620.15</v>
      </c>
      <c r="U1577">
        <f t="shared" si="336"/>
        <v>425</v>
      </c>
      <c r="V1577">
        <f t="shared" si="337"/>
        <v>154</v>
      </c>
      <c r="W1577">
        <f t="shared" si="338"/>
        <v>132</v>
      </c>
      <c r="X1577">
        <f t="shared" si="339"/>
        <v>0.35149999999999998</v>
      </c>
      <c r="Y1577" s="1">
        <f t="shared" si="340"/>
        <v>22031523</v>
      </c>
      <c r="Z1577">
        <f t="shared" si="341"/>
        <v>51838.87764705882</v>
      </c>
      <c r="AA1577">
        <f t="shared" si="342"/>
        <v>99996</v>
      </c>
      <c r="AB1577">
        <f t="shared" si="343"/>
        <v>5091</v>
      </c>
      <c r="AC1577">
        <f t="shared" si="344"/>
        <v>580555.98</v>
      </c>
      <c r="AD1577">
        <f t="shared" si="345"/>
        <v>1366.0140705882352</v>
      </c>
      <c r="AE1577">
        <f t="shared" si="346"/>
        <v>0.35149999999999998</v>
      </c>
      <c r="AF1577">
        <f t="shared" si="347"/>
        <v>122424368.48</v>
      </c>
      <c r="AG1577" t="str">
        <f t="shared" si="348"/>
        <v>Active</v>
      </c>
      <c r="AH1577">
        <f t="shared" si="349"/>
        <v>7441.7999999999993</v>
      </c>
    </row>
    <row r="1578" spans="1:34" x14ac:dyDescent="0.35">
      <c r="A1578" t="s">
        <v>4155</v>
      </c>
      <c r="B1578" t="s">
        <v>4156</v>
      </c>
      <c r="C1578">
        <v>43</v>
      </c>
      <c r="D1578" t="s">
        <v>22</v>
      </c>
      <c r="E1578" t="s">
        <v>23</v>
      </c>
      <c r="F1578" t="s">
        <v>46</v>
      </c>
      <c r="G1578">
        <v>189787</v>
      </c>
      <c r="H1578">
        <v>514</v>
      </c>
      <c r="I1578">
        <v>20806</v>
      </c>
      <c r="J1578">
        <v>8.7799999999999994</v>
      </c>
      <c r="K1578">
        <v>36</v>
      </c>
      <c r="L1578" t="s">
        <v>52</v>
      </c>
      <c r="M1578">
        <v>43.73</v>
      </c>
      <c r="N1578">
        <v>61731</v>
      </c>
      <c r="O1578">
        <v>25704</v>
      </c>
      <c r="P1578" t="s">
        <v>4157</v>
      </c>
      <c r="Q1578" t="s">
        <v>42</v>
      </c>
      <c r="R1578" t="s">
        <v>48</v>
      </c>
      <c r="S1578" t="s">
        <v>35</v>
      </c>
      <c r="T1578">
        <v>628.69000000000005</v>
      </c>
      <c r="U1578">
        <f t="shared" si="336"/>
        <v>424</v>
      </c>
      <c r="V1578">
        <f t="shared" si="337"/>
        <v>154</v>
      </c>
      <c r="W1578">
        <f t="shared" si="338"/>
        <v>132</v>
      </c>
      <c r="X1578">
        <f t="shared" si="339"/>
        <v>0.35149999999999998</v>
      </c>
      <c r="Y1578" s="1">
        <f t="shared" si="340"/>
        <v>21965150</v>
      </c>
      <c r="Z1578">
        <f t="shared" si="341"/>
        <v>51804.599056603773</v>
      </c>
      <c r="AA1578">
        <f t="shared" si="342"/>
        <v>99996</v>
      </c>
      <c r="AB1578">
        <f t="shared" si="343"/>
        <v>5091</v>
      </c>
      <c r="AC1578">
        <f t="shared" si="344"/>
        <v>579935.82999999996</v>
      </c>
      <c r="AD1578">
        <f t="shared" si="345"/>
        <v>1367.7731839622641</v>
      </c>
      <c r="AE1578">
        <f t="shared" si="346"/>
        <v>0.35149999999999998</v>
      </c>
      <c r="AF1578">
        <f t="shared" si="347"/>
        <v>121843812.5</v>
      </c>
      <c r="AG1578" t="str">
        <f t="shared" si="348"/>
        <v>Active</v>
      </c>
      <c r="AH1578">
        <f t="shared" si="349"/>
        <v>7544.2800000000007</v>
      </c>
    </row>
    <row r="1579" spans="1:34" x14ac:dyDescent="0.35">
      <c r="A1579" t="s">
        <v>4158</v>
      </c>
      <c r="B1579" t="s">
        <v>4159</v>
      </c>
      <c r="C1579">
        <v>49</v>
      </c>
      <c r="D1579" t="s">
        <v>38</v>
      </c>
      <c r="E1579" t="s">
        <v>39</v>
      </c>
      <c r="F1579" t="s">
        <v>24</v>
      </c>
      <c r="G1579">
        <v>59911</v>
      </c>
      <c r="H1579">
        <v>749</v>
      </c>
      <c r="I1579">
        <v>83541</v>
      </c>
      <c r="J1579">
        <v>8.58</v>
      </c>
      <c r="K1579">
        <v>48</v>
      </c>
      <c r="L1579" t="s">
        <v>33</v>
      </c>
      <c r="M1579">
        <v>40.4</v>
      </c>
      <c r="N1579">
        <v>11152</v>
      </c>
      <c r="O1579">
        <v>222792</v>
      </c>
      <c r="P1579" t="s">
        <v>1673</v>
      </c>
      <c r="Q1579" t="s">
        <v>61</v>
      </c>
      <c r="R1579" t="s">
        <v>28</v>
      </c>
      <c r="S1579" t="s">
        <v>29</v>
      </c>
      <c r="T1579">
        <v>1889.77</v>
      </c>
      <c r="U1579">
        <f t="shared" si="336"/>
        <v>423</v>
      </c>
      <c r="V1579">
        <f t="shared" si="337"/>
        <v>153</v>
      </c>
      <c r="W1579">
        <f t="shared" si="338"/>
        <v>132</v>
      </c>
      <c r="X1579">
        <f t="shared" si="339"/>
        <v>0.35149999999999998</v>
      </c>
      <c r="Y1579" s="1">
        <f t="shared" si="340"/>
        <v>21944344</v>
      </c>
      <c r="Z1579">
        <f t="shared" si="341"/>
        <v>51877.881796690308</v>
      </c>
      <c r="AA1579">
        <f t="shared" si="342"/>
        <v>99996</v>
      </c>
      <c r="AB1579">
        <f t="shared" si="343"/>
        <v>5091</v>
      </c>
      <c r="AC1579">
        <f t="shared" si="344"/>
        <v>579307.14</v>
      </c>
      <c r="AD1579">
        <f t="shared" si="345"/>
        <v>1369.520425531915</v>
      </c>
      <c r="AE1579">
        <f t="shared" si="346"/>
        <v>0.35149999999999998</v>
      </c>
      <c r="AF1579">
        <f t="shared" si="347"/>
        <v>121263876.66999999</v>
      </c>
      <c r="AG1579" t="str">
        <f t="shared" si="348"/>
        <v>Active</v>
      </c>
      <c r="AH1579">
        <f t="shared" si="349"/>
        <v>22677.239999999998</v>
      </c>
    </row>
    <row r="1580" spans="1:34" x14ac:dyDescent="0.35">
      <c r="A1580" t="s">
        <v>4160</v>
      </c>
      <c r="B1580" t="s">
        <v>4161</v>
      </c>
      <c r="C1580">
        <v>43</v>
      </c>
      <c r="D1580" t="s">
        <v>22</v>
      </c>
      <c r="E1580" t="s">
        <v>23</v>
      </c>
      <c r="F1580" t="s">
        <v>59</v>
      </c>
      <c r="G1580">
        <v>129277</v>
      </c>
      <c r="H1580">
        <v>614</v>
      </c>
      <c r="I1580">
        <v>44529</v>
      </c>
      <c r="J1580">
        <v>7.62</v>
      </c>
      <c r="K1580">
        <v>240</v>
      </c>
      <c r="L1580" t="s">
        <v>40</v>
      </c>
      <c r="M1580">
        <v>26.92</v>
      </c>
      <c r="N1580">
        <v>8778</v>
      </c>
      <c r="O1580">
        <v>123994</v>
      </c>
      <c r="P1580" t="s">
        <v>4162</v>
      </c>
      <c r="Q1580" t="s">
        <v>27</v>
      </c>
      <c r="R1580" t="s">
        <v>28</v>
      </c>
      <c r="S1580" t="s">
        <v>29</v>
      </c>
      <c r="T1580">
        <v>199.68</v>
      </c>
      <c r="U1580">
        <f t="shared" si="336"/>
        <v>422</v>
      </c>
      <c r="V1580">
        <f t="shared" si="337"/>
        <v>153</v>
      </c>
      <c r="W1580">
        <f t="shared" si="338"/>
        <v>131</v>
      </c>
      <c r="X1580">
        <f t="shared" si="339"/>
        <v>0.35149999999999998</v>
      </c>
      <c r="Y1580" s="1">
        <f t="shared" si="340"/>
        <v>21860803</v>
      </c>
      <c r="Z1580">
        <f t="shared" si="341"/>
        <v>51802.850710900471</v>
      </c>
      <c r="AA1580">
        <f t="shared" si="342"/>
        <v>99996</v>
      </c>
      <c r="AB1580">
        <f t="shared" si="343"/>
        <v>5091</v>
      </c>
      <c r="AC1580">
        <f t="shared" si="344"/>
        <v>577417.37</v>
      </c>
      <c r="AD1580">
        <f t="shared" si="345"/>
        <v>1368.2876066350711</v>
      </c>
      <c r="AE1580">
        <f t="shared" si="346"/>
        <v>0.35149999999999998</v>
      </c>
      <c r="AF1580">
        <f t="shared" si="347"/>
        <v>120684569.53</v>
      </c>
      <c r="AG1580" t="str">
        <f t="shared" si="348"/>
        <v>Active</v>
      </c>
      <c r="AH1580">
        <f t="shared" si="349"/>
        <v>2396.16</v>
      </c>
    </row>
    <row r="1581" spans="1:34" x14ac:dyDescent="0.35">
      <c r="A1581" t="s">
        <v>4163</v>
      </c>
      <c r="B1581" t="s">
        <v>4164</v>
      </c>
      <c r="C1581">
        <v>52</v>
      </c>
      <c r="D1581" t="s">
        <v>38</v>
      </c>
      <c r="E1581" t="s">
        <v>32</v>
      </c>
      <c r="F1581" t="s">
        <v>59</v>
      </c>
      <c r="G1581">
        <v>20274</v>
      </c>
      <c r="H1581">
        <v>604</v>
      </c>
      <c r="I1581">
        <v>82140</v>
      </c>
      <c r="J1581">
        <v>15.77</v>
      </c>
      <c r="K1581">
        <v>24</v>
      </c>
      <c r="L1581" t="s">
        <v>86</v>
      </c>
      <c r="M1581">
        <v>47.23</v>
      </c>
      <c r="N1581">
        <v>50990</v>
      </c>
      <c r="O1581">
        <v>186887</v>
      </c>
      <c r="P1581" t="s">
        <v>185</v>
      </c>
      <c r="Q1581" t="s">
        <v>42</v>
      </c>
      <c r="R1581" t="s">
        <v>48</v>
      </c>
      <c r="S1581" t="s">
        <v>49</v>
      </c>
      <c r="T1581">
        <v>3962.23</v>
      </c>
      <c r="U1581">
        <f t="shared" si="336"/>
        <v>421</v>
      </c>
      <c r="V1581">
        <f t="shared" si="337"/>
        <v>153</v>
      </c>
      <c r="W1581">
        <f t="shared" si="338"/>
        <v>131</v>
      </c>
      <c r="X1581">
        <f t="shared" si="339"/>
        <v>0.35149999999999998</v>
      </c>
      <c r="Y1581" s="1">
        <f t="shared" si="340"/>
        <v>21816274</v>
      </c>
      <c r="Z1581">
        <f t="shared" si="341"/>
        <v>51820.128266033251</v>
      </c>
      <c r="AA1581">
        <f t="shared" si="342"/>
        <v>99996</v>
      </c>
      <c r="AB1581">
        <f t="shared" si="343"/>
        <v>5091</v>
      </c>
      <c r="AC1581">
        <f t="shared" si="344"/>
        <v>577217.68999999994</v>
      </c>
      <c r="AD1581">
        <f t="shared" si="345"/>
        <v>1371.0633966745843</v>
      </c>
      <c r="AE1581">
        <f t="shared" si="346"/>
        <v>0.35149999999999998</v>
      </c>
      <c r="AF1581">
        <f t="shared" si="347"/>
        <v>120107152.16</v>
      </c>
      <c r="AG1581" t="str">
        <f t="shared" si="348"/>
        <v>Active</v>
      </c>
      <c r="AH1581">
        <f t="shared" si="349"/>
        <v>47546.76</v>
      </c>
    </row>
    <row r="1582" spans="1:34" x14ac:dyDescent="0.35">
      <c r="A1582" t="s">
        <v>4165</v>
      </c>
      <c r="B1582" t="s">
        <v>4166</v>
      </c>
      <c r="C1582">
        <v>60</v>
      </c>
      <c r="D1582" t="s">
        <v>22</v>
      </c>
      <c r="E1582" t="s">
        <v>23</v>
      </c>
      <c r="F1582" t="s">
        <v>59</v>
      </c>
      <c r="G1582">
        <v>52035</v>
      </c>
      <c r="H1582">
        <v>695</v>
      </c>
      <c r="I1582">
        <v>93046</v>
      </c>
      <c r="J1582">
        <v>23.96</v>
      </c>
      <c r="K1582">
        <v>36</v>
      </c>
      <c r="L1582" t="s">
        <v>40</v>
      </c>
      <c r="M1582">
        <v>12.23</v>
      </c>
      <c r="N1582">
        <v>55653</v>
      </c>
      <c r="O1582">
        <v>25354</v>
      </c>
      <c r="P1582" t="s">
        <v>2642</v>
      </c>
      <c r="Q1582" t="s">
        <v>61</v>
      </c>
      <c r="R1582" t="s">
        <v>28</v>
      </c>
      <c r="S1582" t="s">
        <v>35</v>
      </c>
      <c r="T1582">
        <v>3203.88</v>
      </c>
      <c r="U1582">
        <f t="shared" si="336"/>
        <v>420</v>
      </c>
      <c r="V1582">
        <f t="shared" si="337"/>
        <v>152</v>
      </c>
      <c r="W1582">
        <f t="shared" si="338"/>
        <v>131</v>
      </c>
      <c r="X1582">
        <f t="shared" si="339"/>
        <v>0.35149999999999998</v>
      </c>
      <c r="Y1582" s="1">
        <f t="shared" si="340"/>
        <v>21734134</v>
      </c>
      <c r="Z1582">
        <f t="shared" si="341"/>
        <v>51747.938095238096</v>
      </c>
      <c r="AA1582">
        <f t="shared" si="342"/>
        <v>99996</v>
      </c>
      <c r="AB1582">
        <f t="shared" si="343"/>
        <v>5091</v>
      </c>
      <c r="AC1582">
        <f t="shared" si="344"/>
        <v>573255.46</v>
      </c>
      <c r="AD1582">
        <f t="shared" si="345"/>
        <v>1364.8939523809522</v>
      </c>
      <c r="AE1582">
        <f t="shared" si="346"/>
        <v>0.35149999999999998</v>
      </c>
      <c r="AF1582">
        <f t="shared" si="347"/>
        <v>119529934.47000001</v>
      </c>
      <c r="AG1582" t="str">
        <f t="shared" si="348"/>
        <v>Active</v>
      </c>
      <c r="AH1582">
        <f t="shared" si="349"/>
        <v>38446.559999999998</v>
      </c>
    </row>
    <row r="1583" spans="1:34" x14ac:dyDescent="0.35">
      <c r="A1583" t="s">
        <v>4167</v>
      </c>
      <c r="B1583" t="s">
        <v>4168</v>
      </c>
      <c r="C1583">
        <v>55</v>
      </c>
      <c r="D1583" t="s">
        <v>38</v>
      </c>
      <c r="E1583" t="s">
        <v>32</v>
      </c>
      <c r="F1583" t="s">
        <v>46</v>
      </c>
      <c r="G1583">
        <v>116614</v>
      </c>
      <c r="H1583">
        <v>669</v>
      </c>
      <c r="I1583">
        <v>18864</v>
      </c>
      <c r="J1583">
        <v>13.93</v>
      </c>
      <c r="K1583">
        <v>180</v>
      </c>
      <c r="L1583" t="s">
        <v>86</v>
      </c>
      <c r="M1583">
        <v>58.75</v>
      </c>
      <c r="N1583">
        <v>21498</v>
      </c>
      <c r="O1583">
        <v>39771</v>
      </c>
      <c r="P1583" t="s">
        <v>4169</v>
      </c>
      <c r="Q1583" t="s">
        <v>27</v>
      </c>
      <c r="R1583" t="s">
        <v>48</v>
      </c>
      <c r="S1583" t="s">
        <v>49</v>
      </c>
      <c r="T1583">
        <v>119.4</v>
      </c>
      <c r="U1583">
        <f t="shared" si="336"/>
        <v>419</v>
      </c>
      <c r="V1583">
        <f t="shared" si="337"/>
        <v>152</v>
      </c>
      <c r="W1583">
        <f t="shared" si="338"/>
        <v>130</v>
      </c>
      <c r="X1583">
        <f t="shared" si="339"/>
        <v>0.35149999999999998</v>
      </c>
      <c r="Y1583" s="1">
        <f t="shared" si="340"/>
        <v>21641088</v>
      </c>
      <c r="Z1583">
        <f t="shared" si="341"/>
        <v>51649.374701670647</v>
      </c>
      <c r="AA1583">
        <f t="shared" si="342"/>
        <v>99996</v>
      </c>
      <c r="AB1583">
        <f t="shared" si="343"/>
        <v>5091</v>
      </c>
      <c r="AC1583">
        <f t="shared" si="344"/>
        <v>570051.57999999996</v>
      </c>
      <c r="AD1583">
        <f t="shared" si="345"/>
        <v>1360.5049642004772</v>
      </c>
      <c r="AE1583">
        <f t="shared" si="346"/>
        <v>0.35149999999999998</v>
      </c>
      <c r="AF1583">
        <f t="shared" si="347"/>
        <v>118956679.01000001</v>
      </c>
      <c r="AG1583" t="str">
        <f t="shared" si="348"/>
        <v>Active</v>
      </c>
      <c r="AH1583">
        <f t="shared" si="349"/>
        <v>1432.8000000000002</v>
      </c>
    </row>
    <row r="1584" spans="1:34" x14ac:dyDescent="0.35">
      <c r="A1584" t="s">
        <v>4170</v>
      </c>
      <c r="B1584" t="s">
        <v>4171</v>
      </c>
      <c r="C1584">
        <v>64</v>
      </c>
      <c r="D1584" t="s">
        <v>22</v>
      </c>
      <c r="E1584" t="s">
        <v>23</v>
      </c>
      <c r="F1584" t="s">
        <v>24</v>
      </c>
      <c r="G1584">
        <v>39012</v>
      </c>
      <c r="H1584">
        <v>828</v>
      </c>
      <c r="I1584">
        <v>25672</v>
      </c>
      <c r="J1584">
        <v>3.76</v>
      </c>
      <c r="K1584">
        <v>36</v>
      </c>
      <c r="L1584" t="s">
        <v>86</v>
      </c>
      <c r="M1584">
        <v>32.6</v>
      </c>
      <c r="N1584">
        <v>61434</v>
      </c>
      <c r="O1584">
        <v>170229</v>
      </c>
      <c r="P1584" t="s">
        <v>2311</v>
      </c>
      <c r="Q1584" t="s">
        <v>27</v>
      </c>
      <c r="R1584" t="s">
        <v>28</v>
      </c>
      <c r="S1584" t="s">
        <v>35</v>
      </c>
      <c r="T1584">
        <v>739.92</v>
      </c>
      <c r="U1584">
        <f t="shared" si="336"/>
        <v>418</v>
      </c>
      <c r="V1584">
        <f t="shared" si="337"/>
        <v>152</v>
      </c>
      <c r="W1584">
        <f t="shared" si="338"/>
        <v>130</v>
      </c>
      <c r="X1584">
        <f t="shared" si="339"/>
        <v>0.35149999999999998</v>
      </c>
      <c r="Y1584" s="1">
        <f t="shared" si="340"/>
        <v>21622224</v>
      </c>
      <c r="Z1584">
        <f t="shared" si="341"/>
        <v>51727.808612440189</v>
      </c>
      <c r="AA1584">
        <f t="shared" si="342"/>
        <v>99996</v>
      </c>
      <c r="AB1584">
        <f t="shared" si="343"/>
        <v>5091</v>
      </c>
      <c r="AC1584">
        <f t="shared" si="344"/>
        <v>569932.17999999993</v>
      </c>
      <c r="AD1584">
        <f t="shared" si="345"/>
        <v>1363.4741148325356</v>
      </c>
      <c r="AE1584">
        <f t="shared" si="346"/>
        <v>0.35149999999999998</v>
      </c>
      <c r="AF1584">
        <f t="shared" si="347"/>
        <v>118386627.43000001</v>
      </c>
      <c r="AG1584" t="str">
        <f t="shared" si="348"/>
        <v>Active</v>
      </c>
      <c r="AH1584">
        <f t="shared" si="349"/>
        <v>8879.0399999999991</v>
      </c>
    </row>
    <row r="1585" spans="1:34" x14ac:dyDescent="0.35">
      <c r="A1585" t="s">
        <v>4172</v>
      </c>
      <c r="B1585" t="s">
        <v>4173</v>
      </c>
      <c r="C1585">
        <v>42</v>
      </c>
      <c r="D1585" t="s">
        <v>22</v>
      </c>
      <c r="E1585" t="s">
        <v>32</v>
      </c>
      <c r="F1585" t="s">
        <v>24</v>
      </c>
      <c r="G1585">
        <v>42122</v>
      </c>
      <c r="H1585">
        <v>509</v>
      </c>
      <c r="I1585">
        <v>94443</v>
      </c>
      <c r="J1585">
        <v>21.09</v>
      </c>
      <c r="K1585">
        <v>240</v>
      </c>
      <c r="L1585" t="s">
        <v>52</v>
      </c>
      <c r="M1585">
        <v>9.83</v>
      </c>
      <c r="N1585">
        <v>23336</v>
      </c>
      <c r="O1585">
        <v>109122</v>
      </c>
      <c r="P1585" t="s">
        <v>126</v>
      </c>
      <c r="Q1585" t="s">
        <v>42</v>
      </c>
      <c r="R1585" t="s">
        <v>48</v>
      </c>
      <c r="S1585" t="s">
        <v>68</v>
      </c>
      <c r="T1585">
        <v>476.5</v>
      </c>
      <c r="U1585">
        <f t="shared" si="336"/>
        <v>417</v>
      </c>
      <c r="V1585">
        <f t="shared" si="337"/>
        <v>152</v>
      </c>
      <c r="W1585">
        <f t="shared" si="338"/>
        <v>130</v>
      </c>
      <c r="X1585">
        <f t="shared" si="339"/>
        <v>0.35149999999999998</v>
      </c>
      <c r="Y1585" s="1">
        <f t="shared" si="340"/>
        <v>21596552</v>
      </c>
      <c r="Z1585">
        <f t="shared" si="341"/>
        <v>51790.292565947246</v>
      </c>
      <c r="AA1585">
        <f t="shared" si="342"/>
        <v>99996</v>
      </c>
      <c r="AB1585">
        <f t="shared" si="343"/>
        <v>5091</v>
      </c>
      <c r="AC1585">
        <f t="shared" si="344"/>
        <v>569192.25999999989</v>
      </c>
      <c r="AD1585">
        <f t="shared" si="345"/>
        <v>1364.9694484412466</v>
      </c>
      <c r="AE1585">
        <f t="shared" si="346"/>
        <v>0.35149999999999998</v>
      </c>
      <c r="AF1585">
        <f t="shared" si="347"/>
        <v>117816695.25</v>
      </c>
      <c r="AG1585" t="str">
        <f t="shared" si="348"/>
        <v>Active</v>
      </c>
      <c r="AH1585">
        <f t="shared" si="349"/>
        <v>5718</v>
      </c>
    </row>
    <row r="1586" spans="1:34" x14ac:dyDescent="0.35">
      <c r="A1586" t="s">
        <v>4174</v>
      </c>
      <c r="B1586" t="s">
        <v>4175</v>
      </c>
      <c r="C1586">
        <v>35</v>
      </c>
      <c r="D1586" t="s">
        <v>22</v>
      </c>
      <c r="E1586" t="s">
        <v>32</v>
      </c>
      <c r="F1586" t="s">
        <v>46</v>
      </c>
      <c r="G1586">
        <v>167221</v>
      </c>
      <c r="H1586">
        <v>457</v>
      </c>
      <c r="I1586">
        <v>28946</v>
      </c>
      <c r="J1586">
        <v>11.46</v>
      </c>
      <c r="K1586">
        <v>36</v>
      </c>
      <c r="L1586" t="s">
        <v>25</v>
      </c>
      <c r="M1586">
        <v>29.72</v>
      </c>
      <c r="N1586">
        <v>54094</v>
      </c>
      <c r="O1586">
        <v>36273</v>
      </c>
      <c r="P1586" t="s">
        <v>4176</v>
      </c>
      <c r="Q1586" t="s">
        <v>27</v>
      </c>
      <c r="R1586" t="s">
        <v>48</v>
      </c>
      <c r="S1586" t="s">
        <v>68</v>
      </c>
      <c r="T1586">
        <v>896.2</v>
      </c>
      <c r="U1586">
        <f t="shared" si="336"/>
        <v>416</v>
      </c>
      <c r="V1586">
        <f t="shared" si="337"/>
        <v>151</v>
      </c>
      <c r="W1586">
        <f t="shared" si="338"/>
        <v>130</v>
      </c>
      <c r="X1586">
        <f t="shared" si="339"/>
        <v>0.35149999999999998</v>
      </c>
      <c r="Y1586" s="1">
        <f t="shared" si="340"/>
        <v>21502109</v>
      </c>
      <c r="Z1586">
        <f t="shared" si="341"/>
        <v>51687.762019230766</v>
      </c>
      <c r="AA1586">
        <f t="shared" si="342"/>
        <v>99996</v>
      </c>
      <c r="AB1586">
        <f t="shared" si="343"/>
        <v>5091</v>
      </c>
      <c r="AC1586">
        <f t="shared" si="344"/>
        <v>568715.76</v>
      </c>
      <c r="AD1586">
        <f t="shared" si="345"/>
        <v>1367.1051923076923</v>
      </c>
      <c r="AE1586">
        <f t="shared" si="346"/>
        <v>0.35149999999999998</v>
      </c>
      <c r="AF1586">
        <f t="shared" si="347"/>
        <v>117247502.98999998</v>
      </c>
      <c r="AG1586" t="str">
        <f t="shared" si="348"/>
        <v>Active</v>
      </c>
      <c r="AH1586">
        <f t="shared" si="349"/>
        <v>10754.400000000001</v>
      </c>
    </row>
    <row r="1587" spans="1:34" x14ac:dyDescent="0.35">
      <c r="A1587" t="s">
        <v>4177</v>
      </c>
      <c r="B1587" t="s">
        <v>4178</v>
      </c>
      <c r="C1587">
        <v>35</v>
      </c>
      <c r="D1587" t="s">
        <v>38</v>
      </c>
      <c r="E1587" t="s">
        <v>23</v>
      </c>
      <c r="F1587" t="s">
        <v>59</v>
      </c>
      <c r="G1587">
        <v>72358</v>
      </c>
      <c r="H1587">
        <v>781</v>
      </c>
      <c r="I1587">
        <v>86176</v>
      </c>
      <c r="J1587">
        <v>7.03</v>
      </c>
      <c r="K1587">
        <v>36</v>
      </c>
      <c r="L1587" t="s">
        <v>86</v>
      </c>
      <c r="M1587">
        <v>15.14</v>
      </c>
      <c r="N1587">
        <v>57949</v>
      </c>
      <c r="O1587">
        <v>82697</v>
      </c>
      <c r="P1587" t="s">
        <v>1716</v>
      </c>
      <c r="Q1587" t="s">
        <v>27</v>
      </c>
      <c r="R1587" t="s">
        <v>48</v>
      </c>
      <c r="S1587" t="s">
        <v>68</v>
      </c>
      <c r="T1587">
        <v>2562.06</v>
      </c>
      <c r="U1587">
        <f t="shared" si="336"/>
        <v>415</v>
      </c>
      <c r="V1587">
        <f t="shared" si="337"/>
        <v>151</v>
      </c>
      <c r="W1587">
        <f t="shared" si="338"/>
        <v>130</v>
      </c>
      <c r="X1587">
        <f t="shared" si="339"/>
        <v>0.35149999999999998</v>
      </c>
      <c r="Y1587" s="1">
        <f t="shared" si="340"/>
        <v>21473163</v>
      </c>
      <c r="Z1587">
        <f t="shared" si="341"/>
        <v>51742.561445783133</v>
      </c>
      <c r="AA1587">
        <f t="shared" si="342"/>
        <v>99996</v>
      </c>
      <c r="AB1587">
        <f t="shared" si="343"/>
        <v>5091</v>
      </c>
      <c r="AC1587">
        <f t="shared" si="344"/>
        <v>567819.55999999994</v>
      </c>
      <c r="AD1587">
        <f t="shared" si="345"/>
        <v>1368.2399036144577</v>
      </c>
      <c r="AE1587">
        <f t="shared" si="346"/>
        <v>0.35149999999999998</v>
      </c>
      <c r="AF1587">
        <f t="shared" si="347"/>
        <v>116678787.22999997</v>
      </c>
      <c r="AG1587" t="str">
        <f t="shared" si="348"/>
        <v>Active</v>
      </c>
      <c r="AH1587">
        <f t="shared" si="349"/>
        <v>30744.720000000001</v>
      </c>
    </row>
    <row r="1588" spans="1:34" x14ac:dyDescent="0.35">
      <c r="A1588" t="s">
        <v>4179</v>
      </c>
      <c r="B1588" t="s">
        <v>4180</v>
      </c>
      <c r="C1588">
        <v>49</v>
      </c>
      <c r="D1588" t="s">
        <v>38</v>
      </c>
      <c r="E1588" t="s">
        <v>23</v>
      </c>
      <c r="F1588" t="s">
        <v>24</v>
      </c>
      <c r="G1588">
        <v>140738</v>
      </c>
      <c r="H1588">
        <v>776</v>
      </c>
      <c r="I1588">
        <v>6923</v>
      </c>
      <c r="J1588">
        <v>14.74</v>
      </c>
      <c r="K1588">
        <v>180</v>
      </c>
      <c r="L1588" t="s">
        <v>33</v>
      </c>
      <c r="M1588">
        <v>59.94</v>
      </c>
      <c r="N1588">
        <v>19236</v>
      </c>
      <c r="O1588">
        <v>75874</v>
      </c>
      <c r="P1588" t="s">
        <v>3948</v>
      </c>
      <c r="Q1588" t="s">
        <v>61</v>
      </c>
      <c r="R1588" t="s">
        <v>48</v>
      </c>
      <c r="S1588" t="s">
        <v>35</v>
      </c>
      <c r="T1588">
        <v>44.13</v>
      </c>
      <c r="U1588">
        <f t="shared" si="336"/>
        <v>414</v>
      </c>
      <c r="V1588">
        <f t="shared" si="337"/>
        <v>151</v>
      </c>
      <c r="W1588">
        <f t="shared" si="338"/>
        <v>130</v>
      </c>
      <c r="X1588">
        <f t="shared" si="339"/>
        <v>0.35149999999999998</v>
      </c>
      <c r="Y1588" s="1">
        <f t="shared" si="340"/>
        <v>21386987</v>
      </c>
      <c r="Z1588">
        <f t="shared" si="341"/>
        <v>51659.388888888891</v>
      </c>
      <c r="AA1588">
        <f t="shared" si="342"/>
        <v>99996</v>
      </c>
      <c r="AB1588">
        <f t="shared" si="343"/>
        <v>5091</v>
      </c>
      <c r="AC1588">
        <f t="shared" si="344"/>
        <v>565257.50000000012</v>
      </c>
      <c r="AD1588">
        <f t="shared" si="345"/>
        <v>1365.3562801932369</v>
      </c>
      <c r="AE1588">
        <f t="shared" si="346"/>
        <v>0.35149999999999998</v>
      </c>
      <c r="AF1588">
        <f t="shared" si="347"/>
        <v>116110967.66999997</v>
      </c>
      <c r="AG1588" t="str">
        <f t="shared" si="348"/>
        <v>Active</v>
      </c>
      <c r="AH1588">
        <f t="shared" si="349"/>
        <v>529.56000000000006</v>
      </c>
    </row>
    <row r="1589" spans="1:34" x14ac:dyDescent="0.35">
      <c r="A1589" t="s">
        <v>4181</v>
      </c>
      <c r="B1589" t="s">
        <v>4182</v>
      </c>
      <c r="C1589">
        <v>53</v>
      </c>
      <c r="D1589" t="s">
        <v>22</v>
      </c>
      <c r="E1589" t="s">
        <v>32</v>
      </c>
      <c r="F1589" t="s">
        <v>24</v>
      </c>
      <c r="G1589">
        <v>27056</v>
      </c>
      <c r="H1589">
        <v>807</v>
      </c>
      <c r="I1589">
        <v>56837</v>
      </c>
      <c r="J1589">
        <v>21.13</v>
      </c>
      <c r="K1589">
        <v>24</v>
      </c>
      <c r="L1589" t="s">
        <v>25</v>
      </c>
      <c r="M1589">
        <v>9.5299999999999994</v>
      </c>
      <c r="N1589">
        <v>3150</v>
      </c>
      <c r="O1589">
        <v>126791</v>
      </c>
      <c r="P1589" t="s">
        <v>4183</v>
      </c>
      <c r="Q1589" t="s">
        <v>42</v>
      </c>
      <c r="R1589" t="s">
        <v>48</v>
      </c>
      <c r="S1589" t="s">
        <v>68</v>
      </c>
      <c r="T1589">
        <v>2868.61</v>
      </c>
      <c r="U1589">
        <f t="shared" si="336"/>
        <v>413</v>
      </c>
      <c r="V1589">
        <f t="shared" si="337"/>
        <v>151</v>
      </c>
      <c r="W1589">
        <f t="shared" si="338"/>
        <v>129</v>
      </c>
      <c r="X1589">
        <f t="shared" si="339"/>
        <v>0.35149999999999998</v>
      </c>
      <c r="Y1589" s="1">
        <f t="shared" si="340"/>
        <v>21380064</v>
      </c>
      <c r="Z1589">
        <f t="shared" si="341"/>
        <v>51767.709443099273</v>
      </c>
      <c r="AA1589">
        <f t="shared" si="342"/>
        <v>99996</v>
      </c>
      <c r="AB1589">
        <f t="shared" si="343"/>
        <v>5091</v>
      </c>
      <c r="AC1589">
        <f t="shared" si="344"/>
        <v>565213.37000000011</v>
      </c>
      <c r="AD1589">
        <f t="shared" si="345"/>
        <v>1368.5553753026636</v>
      </c>
      <c r="AE1589">
        <f t="shared" si="346"/>
        <v>0.35149999999999998</v>
      </c>
      <c r="AF1589">
        <f t="shared" si="347"/>
        <v>115545710.16999997</v>
      </c>
      <c r="AG1589" t="str">
        <f t="shared" si="348"/>
        <v>Active</v>
      </c>
      <c r="AH1589">
        <f t="shared" si="349"/>
        <v>34423.32</v>
      </c>
    </row>
    <row r="1590" spans="1:34" x14ac:dyDescent="0.35">
      <c r="A1590" t="s">
        <v>4184</v>
      </c>
      <c r="B1590" t="s">
        <v>4185</v>
      </c>
      <c r="C1590">
        <v>31</v>
      </c>
      <c r="D1590" t="s">
        <v>22</v>
      </c>
      <c r="E1590" t="s">
        <v>39</v>
      </c>
      <c r="F1590" t="s">
        <v>46</v>
      </c>
      <c r="G1590">
        <v>154690</v>
      </c>
      <c r="H1590">
        <v>596</v>
      </c>
      <c r="I1590">
        <v>99360</v>
      </c>
      <c r="J1590">
        <v>5.82</v>
      </c>
      <c r="K1590">
        <v>12</v>
      </c>
      <c r="L1590" t="s">
        <v>40</v>
      </c>
      <c r="M1590">
        <v>48.06</v>
      </c>
      <c r="N1590">
        <v>235</v>
      </c>
      <c r="O1590">
        <v>241791</v>
      </c>
      <c r="P1590" t="s">
        <v>1846</v>
      </c>
      <c r="Q1590" t="s">
        <v>61</v>
      </c>
      <c r="R1590" t="s">
        <v>28</v>
      </c>
      <c r="S1590" t="s">
        <v>49</v>
      </c>
      <c r="T1590">
        <v>8761.9</v>
      </c>
      <c r="U1590">
        <f t="shared" si="336"/>
        <v>412</v>
      </c>
      <c r="V1590">
        <f t="shared" si="337"/>
        <v>150</v>
      </c>
      <c r="W1590">
        <f t="shared" si="338"/>
        <v>129</v>
      </c>
      <c r="X1590">
        <f t="shared" si="339"/>
        <v>0.35149999999999998</v>
      </c>
      <c r="Y1590" s="1">
        <f t="shared" si="340"/>
        <v>21323227</v>
      </c>
      <c r="Z1590">
        <f t="shared" si="341"/>
        <v>51755.405339805824</v>
      </c>
      <c r="AA1590">
        <f t="shared" si="342"/>
        <v>99996</v>
      </c>
      <c r="AB1590">
        <f t="shared" si="343"/>
        <v>5091</v>
      </c>
      <c r="AC1590">
        <f t="shared" si="344"/>
        <v>562344.76000000013</v>
      </c>
      <c r="AD1590">
        <f t="shared" si="345"/>
        <v>1364.9144660194179</v>
      </c>
      <c r="AE1590">
        <f t="shared" si="346"/>
        <v>0.35149999999999998</v>
      </c>
      <c r="AF1590">
        <f t="shared" si="347"/>
        <v>114980496.79999998</v>
      </c>
      <c r="AG1590" t="str">
        <f t="shared" si="348"/>
        <v>Active</v>
      </c>
      <c r="AH1590">
        <f t="shared" si="349"/>
        <v>105142.79999999999</v>
      </c>
    </row>
    <row r="1591" spans="1:34" x14ac:dyDescent="0.35">
      <c r="A1591" t="s">
        <v>4186</v>
      </c>
      <c r="B1591" t="s">
        <v>4187</v>
      </c>
      <c r="C1591">
        <v>38</v>
      </c>
      <c r="D1591" t="s">
        <v>22</v>
      </c>
      <c r="E1591" t="s">
        <v>32</v>
      </c>
      <c r="F1591" t="s">
        <v>46</v>
      </c>
      <c r="G1591">
        <v>40412</v>
      </c>
      <c r="H1591">
        <v>715</v>
      </c>
      <c r="I1591">
        <v>54338</v>
      </c>
      <c r="J1591">
        <v>10.58</v>
      </c>
      <c r="K1591">
        <v>240</v>
      </c>
      <c r="L1591" t="s">
        <v>40</v>
      </c>
      <c r="M1591">
        <v>54.24</v>
      </c>
      <c r="N1591">
        <v>52673</v>
      </c>
      <c r="O1591">
        <v>77941</v>
      </c>
      <c r="P1591" t="s">
        <v>430</v>
      </c>
      <c r="Q1591" t="s">
        <v>27</v>
      </c>
      <c r="R1591" t="s">
        <v>28</v>
      </c>
      <c r="S1591" t="s">
        <v>68</v>
      </c>
      <c r="T1591">
        <v>250.36</v>
      </c>
      <c r="U1591">
        <f t="shared" si="336"/>
        <v>411</v>
      </c>
      <c r="V1591">
        <f t="shared" si="337"/>
        <v>150</v>
      </c>
      <c r="W1591">
        <f t="shared" si="338"/>
        <v>128</v>
      </c>
      <c r="X1591">
        <f t="shared" si="339"/>
        <v>0.35149999999999998</v>
      </c>
      <c r="Y1591" s="1">
        <f t="shared" si="340"/>
        <v>21223867</v>
      </c>
      <c r="Z1591">
        <f t="shared" si="341"/>
        <v>51639.579075425791</v>
      </c>
      <c r="AA1591">
        <f t="shared" si="342"/>
        <v>99996</v>
      </c>
      <c r="AB1591">
        <f t="shared" si="343"/>
        <v>5091</v>
      </c>
      <c r="AC1591">
        <f t="shared" si="344"/>
        <v>553582.8600000001</v>
      </c>
      <c r="AD1591">
        <f t="shared" si="345"/>
        <v>1346.9169343065696</v>
      </c>
      <c r="AE1591">
        <f t="shared" si="346"/>
        <v>0.35149999999999998</v>
      </c>
      <c r="AF1591">
        <f t="shared" si="347"/>
        <v>114418152.03999999</v>
      </c>
      <c r="AG1591" t="str">
        <f t="shared" si="348"/>
        <v>Over Paid</v>
      </c>
      <c r="AH1591">
        <f t="shared" si="349"/>
        <v>3004.32</v>
      </c>
    </row>
    <row r="1592" spans="1:34" x14ac:dyDescent="0.35">
      <c r="A1592" t="s">
        <v>4188</v>
      </c>
      <c r="B1592" t="s">
        <v>4189</v>
      </c>
      <c r="C1592">
        <v>40</v>
      </c>
      <c r="D1592" t="s">
        <v>22</v>
      </c>
      <c r="E1592" t="s">
        <v>23</v>
      </c>
      <c r="F1592" t="s">
        <v>24</v>
      </c>
      <c r="G1592">
        <v>124503</v>
      </c>
      <c r="H1592">
        <v>626</v>
      </c>
      <c r="I1592">
        <v>46588</v>
      </c>
      <c r="J1592">
        <v>16.579999999999998</v>
      </c>
      <c r="K1592">
        <v>360</v>
      </c>
      <c r="L1592" t="s">
        <v>25</v>
      </c>
      <c r="M1592">
        <v>16.510000000000002</v>
      </c>
      <c r="N1592">
        <v>27706</v>
      </c>
      <c r="O1592">
        <v>68894</v>
      </c>
      <c r="P1592" t="s">
        <v>3307</v>
      </c>
      <c r="Q1592" t="s">
        <v>42</v>
      </c>
      <c r="R1592" t="s">
        <v>28</v>
      </c>
      <c r="S1592" t="s">
        <v>68</v>
      </c>
      <c r="T1592">
        <v>150.87</v>
      </c>
      <c r="U1592">
        <f t="shared" si="336"/>
        <v>410</v>
      </c>
      <c r="V1592">
        <f t="shared" si="337"/>
        <v>150</v>
      </c>
      <c r="W1592">
        <f t="shared" si="338"/>
        <v>128</v>
      </c>
      <c r="X1592">
        <f t="shared" si="339"/>
        <v>0.35149999999999998</v>
      </c>
      <c r="Y1592" s="1">
        <f t="shared" si="340"/>
        <v>21169529</v>
      </c>
      <c r="Z1592">
        <f t="shared" si="341"/>
        <v>51632.997560975607</v>
      </c>
      <c r="AA1592">
        <f t="shared" si="342"/>
        <v>99996</v>
      </c>
      <c r="AB1592">
        <f t="shared" si="343"/>
        <v>5091</v>
      </c>
      <c r="AC1592">
        <f t="shared" si="344"/>
        <v>553332.50000000012</v>
      </c>
      <c r="AD1592">
        <f t="shared" si="345"/>
        <v>1349.5914634146345</v>
      </c>
      <c r="AE1592">
        <f t="shared" si="346"/>
        <v>0.35149999999999998</v>
      </c>
      <c r="AF1592">
        <f t="shared" si="347"/>
        <v>113864569.17999999</v>
      </c>
      <c r="AG1592" t="str">
        <f t="shared" si="348"/>
        <v>Active</v>
      </c>
      <c r="AH1592">
        <f t="shared" si="349"/>
        <v>1810.44</v>
      </c>
    </row>
    <row r="1593" spans="1:34" x14ac:dyDescent="0.35">
      <c r="A1593" t="s">
        <v>4190</v>
      </c>
      <c r="B1593" t="s">
        <v>4191</v>
      </c>
      <c r="C1593">
        <v>24</v>
      </c>
      <c r="D1593" t="s">
        <v>38</v>
      </c>
      <c r="E1593" t="s">
        <v>32</v>
      </c>
      <c r="F1593" t="s">
        <v>59</v>
      </c>
      <c r="G1593">
        <v>79128</v>
      </c>
      <c r="H1593">
        <v>539</v>
      </c>
      <c r="I1593">
        <v>8239</v>
      </c>
      <c r="J1593">
        <v>16.690000000000001</v>
      </c>
      <c r="K1593">
        <v>48</v>
      </c>
      <c r="L1593" t="s">
        <v>40</v>
      </c>
      <c r="M1593">
        <v>8.58</v>
      </c>
      <c r="N1593">
        <v>73750</v>
      </c>
      <c r="O1593">
        <v>206800</v>
      </c>
      <c r="P1593" t="s">
        <v>1447</v>
      </c>
      <c r="Q1593" t="s">
        <v>42</v>
      </c>
      <c r="R1593" t="s">
        <v>28</v>
      </c>
      <c r="S1593" t="s">
        <v>35</v>
      </c>
      <c r="T1593">
        <v>200.29</v>
      </c>
      <c r="U1593">
        <f t="shared" si="336"/>
        <v>409</v>
      </c>
      <c r="V1593">
        <f t="shared" si="337"/>
        <v>149</v>
      </c>
      <c r="W1593">
        <f t="shared" si="338"/>
        <v>128</v>
      </c>
      <c r="X1593">
        <f t="shared" si="339"/>
        <v>0.35149999999999998</v>
      </c>
      <c r="Y1593" s="1">
        <f t="shared" si="340"/>
        <v>21122941</v>
      </c>
      <c r="Z1593">
        <f t="shared" si="341"/>
        <v>51645.332518337411</v>
      </c>
      <c r="AA1593">
        <f t="shared" si="342"/>
        <v>99996</v>
      </c>
      <c r="AB1593">
        <f t="shared" si="343"/>
        <v>5091</v>
      </c>
      <c r="AC1593">
        <f t="shared" si="344"/>
        <v>553181.63000000012</v>
      </c>
      <c r="AD1593">
        <f t="shared" si="345"/>
        <v>1352.5223227383865</v>
      </c>
      <c r="AE1593">
        <f t="shared" si="346"/>
        <v>0.35149999999999998</v>
      </c>
      <c r="AF1593">
        <f t="shared" si="347"/>
        <v>113311236.68000001</v>
      </c>
      <c r="AG1593" t="str">
        <f t="shared" si="348"/>
        <v>Active</v>
      </c>
      <c r="AH1593">
        <f t="shared" si="349"/>
        <v>2403.48</v>
      </c>
    </row>
    <row r="1594" spans="1:34" x14ac:dyDescent="0.35">
      <c r="A1594" t="s">
        <v>4192</v>
      </c>
      <c r="B1594" t="s">
        <v>4193</v>
      </c>
      <c r="C1594">
        <v>33</v>
      </c>
      <c r="D1594" t="s">
        <v>22</v>
      </c>
      <c r="E1594" t="s">
        <v>32</v>
      </c>
      <c r="F1594" t="s">
        <v>46</v>
      </c>
      <c r="G1594">
        <v>115641</v>
      </c>
      <c r="H1594">
        <v>730</v>
      </c>
      <c r="I1594">
        <v>24760</v>
      </c>
      <c r="J1594">
        <v>6.17</v>
      </c>
      <c r="K1594">
        <v>360</v>
      </c>
      <c r="L1594" t="s">
        <v>25</v>
      </c>
      <c r="M1594">
        <v>41.94</v>
      </c>
      <c r="N1594">
        <v>59818</v>
      </c>
      <c r="O1594">
        <v>134735</v>
      </c>
      <c r="P1594" t="s">
        <v>4194</v>
      </c>
      <c r="Q1594" t="s">
        <v>42</v>
      </c>
      <c r="R1594" t="s">
        <v>28</v>
      </c>
      <c r="S1594" t="s">
        <v>43</v>
      </c>
      <c r="T1594">
        <v>73.02</v>
      </c>
      <c r="U1594">
        <f t="shared" si="336"/>
        <v>408</v>
      </c>
      <c r="V1594">
        <f t="shared" si="337"/>
        <v>148</v>
      </c>
      <c r="W1594">
        <f t="shared" si="338"/>
        <v>128</v>
      </c>
      <c r="X1594">
        <f t="shared" si="339"/>
        <v>0.35149999999999998</v>
      </c>
      <c r="Y1594" s="1">
        <f t="shared" si="340"/>
        <v>21114702</v>
      </c>
      <c r="Z1594">
        <f t="shared" si="341"/>
        <v>51751.720588235294</v>
      </c>
      <c r="AA1594">
        <f t="shared" si="342"/>
        <v>99996</v>
      </c>
      <c r="AB1594">
        <f t="shared" si="343"/>
        <v>5091</v>
      </c>
      <c r="AC1594">
        <f t="shared" si="344"/>
        <v>552981.34000000008</v>
      </c>
      <c r="AD1594">
        <f t="shared" si="345"/>
        <v>1355.3464215686276</v>
      </c>
      <c r="AE1594">
        <f t="shared" si="346"/>
        <v>0.35149999999999998</v>
      </c>
      <c r="AF1594">
        <f t="shared" si="347"/>
        <v>112758055.05000001</v>
      </c>
      <c r="AG1594" t="str">
        <f t="shared" si="348"/>
        <v>Active</v>
      </c>
      <c r="AH1594">
        <f t="shared" si="349"/>
        <v>876.24</v>
      </c>
    </row>
    <row r="1595" spans="1:34" x14ac:dyDescent="0.35">
      <c r="A1595" t="s">
        <v>4195</v>
      </c>
      <c r="B1595" t="s">
        <v>4196</v>
      </c>
      <c r="C1595">
        <v>53</v>
      </c>
      <c r="D1595" t="s">
        <v>38</v>
      </c>
      <c r="E1595" t="s">
        <v>39</v>
      </c>
      <c r="F1595" t="s">
        <v>46</v>
      </c>
      <c r="G1595">
        <v>124109</v>
      </c>
      <c r="H1595">
        <v>627</v>
      </c>
      <c r="I1595">
        <v>20544</v>
      </c>
      <c r="J1595">
        <v>13.24</v>
      </c>
      <c r="K1595">
        <v>48</v>
      </c>
      <c r="L1595" t="s">
        <v>33</v>
      </c>
      <c r="M1595">
        <v>32.200000000000003</v>
      </c>
      <c r="N1595">
        <v>23176</v>
      </c>
      <c r="O1595">
        <v>87889</v>
      </c>
      <c r="P1595" t="s">
        <v>4197</v>
      </c>
      <c r="Q1595" t="s">
        <v>42</v>
      </c>
      <c r="R1595" t="s">
        <v>28</v>
      </c>
      <c r="S1595" t="s">
        <v>68</v>
      </c>
      <c r="T1595">
        <v>484.67</v>
      </c>
      <c r="U1595">
        <f t="shared" si="336"/>
        <v>407</v>
      </c>
      <c r="V1595">
        <f t="shared" si="337"/>
        <v>147</v>
      </c>
      <c r="W1595">
        <f t="shared" si="338"/>
        <v>128</v>
      </c>
      <c r="X1595">
        <f t="shared" si="339"/>
        <v>0.35149999999999998</v>
      </c>
      <c r="Y1595" s="1">
        <f t="shared" si="340"/>
        <v>21089942</v>
      </c>
      <c r="Z1595">
        <f t="shared" si="341"/>
        <v>51818.039312039313</v>
      </c>
      <c r="AA1595">
        <f t="shared" si="342"/>
        <v>99996</v>
      </c>
      <c r="AB1595">
        <f t="shared" si="343"/>
        <v>5091</v>
      </c>
      <c r="AC1595">
        <f t="shared" si="344"/>
        <v>552908.32000000007</v>
      </c>
      <c r="AD1595">
        <f t="shared" si="345"/>
        <v>1358.4971007371009</v>
      </c>
      <c r="AE1595">
        <f t="shared" si="346"/>
        <v>0.35149999999999998</v>
      </c>
      <c r="AF1595">
        <f t="shared" si="347"/>
        <v>112205073.71000001</v>
      </c>
      <c r="AG1595" t="str">
        <f t="shared" si="348"/>
        <v>Active</v>
      </c>
      <c r="AH1595">
        <f t="shared" si="349"/>
        <v>5816.04</v>
      </c>
    </row>
    <row r="1596" spans="1:34" x14ac:dyDescent="0.35">
      <c r="A1596" t="s">
        <v>4198</v>
      </c>
      <c r="B1596" t="s">
        <v>4199</v>
      </c>
      <c r="C1596">
        <v>32</v>
      </c>
      <c r="D1596" t="s">
        <v>22</v>
      </c>
      <c r="E1596" t="s">
        <v>23</v>
      </c>
      <c r="F1596" t="s">
        <v>59</v>
      </c>
      <c r="G1596">
        <v>125247</v>
      </c>
      <c r="H1596">
        <v>306</v>
      </c>
      <c r="I1596">
        <v>68601</v>
      </c>
      <c r="J1596">
        <v>4.21</v>
      </c>
      <c r="K1596">
        <v>24</v>
      </c>
      <c r="L1596" t="s">
        <v>40</v>
      </c>
      <c r="M1596">
        <v>30.88</v>
      </c>
      <c r="N1596">
        <v>70476</v>
      </c>
      <c r="O1596">
        <v>88592</v>
      </c>
      <c r="P1596" t="s">
        <v>1003</v>
      </c>
      <c r="Q1596" t="s">
        <v>42</v>
      </c>
      <c r="R1596" t="s">
        <v>28</v>
      </c>
      <c r="S1596" t="s">
        <v>29</v>
      </c>
      <c r="T1596">
        <v>2978.71</v>
      </c>
      <c r="U1596">
        <f t="shared" si="336"/>
        <v>406</v>
      </c>
      <c r="V1596">
        <f t="shared" si="337"/>
        <v>146</v>
      </c>
      <c r="W1596">
        <f t="shared" si="338"/>
        <v>128</v>
      </c>
      <c r="X1596">
        <f t="shared" si="339"/>
        <v>0.35149999999999998</v>
      </c>
      <c r="Y1596" s="1">
        <f t="shared" si="340"/>
        <v>21069398</v>
      </c>
      <c r="Z1596">
        <f t="shared" si="341"/>
        <v>51895.068965517239</v>
      </c>
      <c r="AA1596">
        <f t="shared" si="342"/>
        <v>99996</v>
      </c>
      <c r="AB1596">
        <f t="shared" si="343"/>
        <v>5091</v>
      </c>
      <c r="AC1596">
        <f t="shared" si="344"/>
        <v>552423.65000000014</v>
      </c>
      <c r="AD1596">
        <f t="shared" si="345"/>
        <v>1360.6493842364534</v>
      </c>
      <c r="AE1596">
        <f t="shared" si="346"/>
        <v>0.35149999999999998</v>
      </c>
      <c r="AF1596">
        <f t="shared" si="347"/>
        <v>111652165.39000003</v>
      </c>
      <c r="AG1596" t="str">
        <f t="shared" si="348"/>
        <v>Active</v>
      </c>
      <c r="AH1596">
        <f t="shared" si="349"/>
        <v>35744.520000000004</v>
      </c>
    </row>
    <row r="1597" spans="1:34" x14ac:dyDescent="0.35">
      <c r="A1597" t="s">
        <v>4200</v>
      </c>
      <c r="B1597" t="s">
        <v>4201</v>
      </c>
      <c r="C1597">
        <v>37</v>
      </c>
      <c r="D1597" t="s">
        <v>38</v>
      </c>
      <c r="E1597" t="s">
        <v>23</v>
      </c>
      <c r="F1597" t="s">
        <v>46</v>
      </c>
      <c r="G1597">
        <v>107256</v>
      </c>
      <c r="H1597">
        <v>723</v>
      </c>
      <c r="I1597">
        <v>13773</v>
      </c>
      <c r="J1597">
        <v>15.38</v>
      </c>
      <c r="K1597">
        <v>180</v>
      </c>
      <c r="L1597" t="s">
        <v>33</v>
      </c>
      <c r="M1597">
        <v>36.5</v>
      </c>
      <c r="N1597">
        <v>22529</v>
      </c>
      <c r="O1597">
        <v>2862</v>
      </c>
      <c r="P1597" t="s">
        <v>3388</v>
      </c>
      <c r="Q1597" t="s">
        <v>27</v>
      </c>
      <c r="R1597" t="s">
        <v>48</v>
      </c>
      <c r="S1597" t="s">
        <v>29</v>
      </c>
      <c r="T1597">
        <v>88.28</v>
      </c>
      <c r="U1597">
        <f t="shared" si="336"/>
        <v>405</v>
      </c>
      <c r="V1597">
        <f t="shared" si="337"/>
        <v>145</v>
      </c>
      <c r="W1597">
        <f t="shared" si="338"/>
        <v>128</v>
      </c>
      <c r="X1597">
        <f t="shared" si="339"/>
        <v>0.35149999999999998</v>
      </c>
      <c r="Y1597" s="1">
        <f t="shared" si="340"/>
        <v>21000797</v>
      </c>
      <c r="Z1597">
        <f t="shared" si="341"/>
        <v>51853.81975308642</v>
      </c>
      <c r="AA1597">
        <f t="shared" si="342"/>
        <v>99996</v>
      </c>
      <c r="AB1597">
        <f t="shared" si="343"/>
        <v>5091</v>
      </c>
      <c r="AC1597">
        <f t="shared" si="344"/>
        <v>549444.94000000018</v>
      </c>
      <c r="AD1597">
        <f t="shared" si="345"/>
        <v>1356.6541728395066</v>
      </c>
      <c r="AE1597">
        <f t="shared" si="346"/>
        <v>0.35149999999999998</v>
      </c>
      <c r="AF1597">
        <f t="shared" si="347"/>
        <v>111099741.74000001</v>
      </c>
      <c r="AG1597" t="str">
        <f t="shared" si="348"/>
        <v>Active</v>
      </c>
      <c r="AH1597">
        <f t="shared" si="349"/>
        <v>1059.3600000000001</v>
      </c>
    </row>
    <row r="1598" spans="1:34" x14ac:dyDescent="0.35">
      <c r="A1598" t="s">
        <v>4202</v>
      </c>
      <c r="B1598" t="s">
        <v>4203</v>
      </c>
      <c r="C1598">
        <v>45</v>
      </c>
      <c r="D1598" t="s">
        <v>38</v>
      </c>
      <c r="E1598" t="s">
        <v>32</v>
      </c>
      <c r="F1598" t="s">
        <v>59</v>
      </c>
      <c r="G1598">
        <v>197742</v>
      </c>
      <c r="H1598">
        <v>544</v>
      </c>
      <c r="I1598">
        <v>44729</v>
      </c>
      <c r="J1598">
        <v>17.239999999999998</v>
      </c>
      <c r="K1598">
        <v>120</v>
      </c>
      <c r="L1598" t="s">
        <v>33</v>
      </c>
      <c r="M1598">
        <v>29.88</v>
      </c>
      <c r="N1598">
        <v>9140</v>
      </c>
      <c r="O1598">
        <v>49140</v>
      </c>
      <c r="P1598" t="s">
        <v>1801</v>
      </c>
      <c r="Q1598" t="s">
        <v>27</v>
      </c>
      <c r="R1598" t="s">
        <v>48</v>
      </c>
      <c r="S1598" t="s">
        <v>43</v>
      </c>
      <c r="T1598">
        <v>437</v>
      </c>
      <c r="U1598">
        <f t="shared" si="336"/>
        <v>404</v>
      </c>
      <c r="V1598">
        <f t="shared" si="337"/>
        <v>145</v>
      </c>
      <c r="W1598">
        <f t="shared" si="338"/>
        <v>128</v>
      </c>
      <c r="X1598">
        <f t="shared" si="339"/>
        <v>0.35149999999999998</v>
      </c>
      <c r="Y1598" s="1">
        <f t="shared" si="340"/>
        <v>20987024</v>
      </c>
      <c r="Z1598">
        <f t="shared" si="341"/>
        <v>51948.079207920789</v>
      </c>
      <c r="AA1598">
        <f t="shared" si="342"/>
        <v>99996</v>
      </c>
      <c r="AB1598">
        <f t="shared" si="343"/>
        <v>5091</v>
      </c>
      <c r="AC1598">
        <f t="shared" si="344"/>
        <v>549356.66000000015</v>
      </c>
      <c r="AD1598">
        <f t="shared" si="345"/>
        <v>1359.7937128712874</v>
      </c>
      <c r="AE1598">
        <f t="shared" si="346"/>
        <v>0.35149999999999998</v>
      </c>
      <c r="AF1598">
        <f t="shared" si="347"/>
        <v>110550296.80000003</v>
      </c>
      <c r="AG1598" t="str">
        <f t="shared" si="348"/>
        <v>Active</v>
      </c>
      <c r="AH1598">
        <f t="shared" si="349"/>
        <v>5244</v>
      </c>
    </row>
    <row r="1599" spans="1:34" x14ac:dyDescent="0.35">
      <c r="A1599" t="s">
        <v>4204</v>
      </c>
      <c r="B1599" t="s">
        <v>4205</v>
      </c>
      <c r="C1599">
        <v>46</v>
      </c>
      <c r="D1599" t="s">
        <v>22</v>
      </c>
      <c r="E1599" t="s">
        <v>23</v>
      </c>
      <c r="F1599" t="s">
        <v>24</v>
      </c>
      <c r="G1599">
        <v>28698</v>
      </c>
      <c r="H1599">
        <v>550</v>
      </c>
      <c r="I1599">
        <v>23195</v>
      </c>
      <c r="J1599">
        <v>3.52</v>
      </c>
      <c r="K1599">
        <v>12</v>
      </c>
      <c r="L1599" t="s">
        <v>86</v>
      </c>
      <c r="M1599">
        <v>59.2</v>
      </c>
      <c r="N1599">
        <v>64547</v>
      </c>
      <c r="O1599">
        <v>11759</v>
      </c>
      <c r="P1599" t="s">
        <v>2469</v>
      </c>
      <c r="Q1599" t="s">
        <v>27</v>
      </c>
      <c r="R1599" t="s">
        <v>48</v>
      </c>
      <c r="S1599" t="s">
        <v>29</v>
      </c>
      <c r="T1599">
        <v>2000.96</v>
      </c>
      <c r="U1599">
        <f t="shared" si="336"/>
        <v>403</v>
      </c>
      <c r="V1599">
        <f t="shared" si="337"/>
        <v>145</v>
      </c>
      <c r="W1599">
        <f t="shared" si="338"/>
        <v>128</v>
      </c>
      <c r="X1599">
        <f t="shared" si="339"/>
        <v>0.35149999999999998</v>
      </c>
      <c r="Y1599" s="1">
        <f t="shared" si="340"/>
        <v>20942295</v>
      </c>
      <c r="Z1599">
        <f t="shared" si="341"/>
        <v>51965.992555831268</v>
      </c>
      <c r="AA1599">
        <f t="shared" si="342"/>
        <v>99996</v>
      </c>
      <c r="AB1599">
        <f t="shared" si="343"/>
        <v>5091</v>
      </c>
      <c r="AC1599">
        <f t="shared" si="344"/>
        <v>548919.66000000015</v>
      </c>
      <c r="AD1599">
        <f t="shared" si="345"/>
        <v>1362.0835235732013</v>
      </c>
      <c r="AE1599">
        <f t="shared" si="346"/>
        <v>0.35149999999999998</v>
      </c>
      <c r="AF1599">
        <f t="shared" si="347"/>
        <v>110000940.14000003</v>
      </c>
      <c r="AG1599" t="str">
        <f t="shared" si="348"/>
        <v>Active</v>
      </c>
      <c r="AH1599">
        <f t="shared" si="349"/>
        <v>24011.52</v>
      </c>
    </row>
    <row r="1600" spans="1:34" x14ac:dyDescent="0.35">
      <c r="A1600" t="s">
        <v>4206</v>
      </c>
      <c r="B1600" t="s">
        <v>4207</v>
      </c>
      <c r="C1600">
        <v>51</v>
      </c>
      <c r="D1600" t="s">
        <v>38</v>
      </c>
      <c r="E1600" t="s">
        <v>23</v>
      </c>
      <c r="F1600" t="s">
        <v>24</v>
      </c>
      <c r="G1600">
        <v>35845</v>
      </c>
      <c r="H1600">
        <v>484</v>
      </c>
      <c r="I1600">
        <v>6074</v>
      </c>
      <c r="J1600">
        <v>23.72</v>
      </c>
      <c r="K1600">
        <v>360</v>
      </c>
      <c r="L1600" t="s">
        <v>33</v>
      </c>
      <c r="M1600">
        <v>57.28</v>
      </c>
      <c r="N1600">
        <v>60728</v>
      </c>
      <c r="O1600">
        <v>131371</v>
      </c>
      <c r="P1600" t="s">
        <v>1250</v>
      </c>
      <c r="Q1600" t="s">
        <v>42</v>
      </c>
      <c r="R1600" t="s">
        <v>28</v>
      </c>
      <c r="S1600" t="s">
        <v>35</v>
      </c>
      <c r="T1600">
        <v>20.87</v>
      </c>
      <c r="U1600">
        <f t="shared" si="336"/>
        <v>402</v>
      </c>
      <c r="V1600">
        <f t="shared" si="337"/>
        <v>145</v>
      </c>
      <c r="W1600">
        <f t="shared" si="338"/>
        <v>128</v>
      </c>
      <c r="X1600">
        <f t="shared" si="339"/>
        <v>0.35149999999999998</v>
      </c>
      <c r="Y1600" s="1">
        <f t="shared" si="340"/>
        <v>20919100</v>
      </c>
      <c r="Z1600">
        <f t="shared" si="341"/>
        <v>52037.562189054726</v>
      </c>
      <c r="AA1600">
        <f t="shared" si="342"/>
        <v>99996</v>
      </c>
      <c r="AB1600">
        <f t="shared" si="343"/>
        <v>5091</v>
      </c>
      <c r="AC1600">
        <f t="shared" si="344"/>
        <v>546918.70000000019</v>
      </c>
      <c r="AD1600">
        <f t="shared" si="345"/>
        <v>1360.4942786069657</v>
      </c>
      <c r="AE1600">
        <f t="shared" si="346"/>
        <v>0.35149999999999998</v>
      </c>
      <c r="AF1600">
        <f t="shared" si="347"/>
        <v>109452020.48000002</v>
      </c>
      <c r="AG1600" t="str">
        <f t="shared" si="348"/>
        <v>Over Paid</v>
      </c>
      <c r="AH1600">
        <f t="shared" si="349"/>
        <v>250.44</v>
      </c>
    </row>
    <row r="1601" spans="1:34" x14ac:dyDescent="0.35">
      <c r="A1601" t="s">
        <v>4208</v>
      </c>
      <c r="B1601" t="s">
        <v>4209</v>
      </c>
      <c r="C1601">
        <v>44</v>
      </c>
      <c r="D1601" t="s">
        <v>38</v>
      </c>
      <c r="E1601" t="s">
        <v>23</v>
      </c>
      <c r="F1601" t="s">
        <v>59</v>
      </c>
      <c r="G1601">
        <v>116700</v>
      </c>
      <c r="H1601">
        <v>551</v>
      </c>
      <c r="I1601">
        <v>31934</v>
      </c>
      <c r="J1601">
        <v>5.52</v>
      </c>
      <c r="K1601">
        <v>12</v>
      </c>
      <c r="L1601" t="s">
        <v>52</v>
      </c>
      <c r="M1601">
        <v>18.91</v>
      </c>
      <c r="N1601">
        <v>41044</v>
      </c>
      <c r="O1601">
        <v>66623</v>
      </c>
      <c r="P1601" t="s">
        <v>2945</v>
      </c>
      <c r="Q1601" t="s">
        <v>27</v>
      </c>
      <c r="R1601" t="s">
        <v>28</v>
      </c>
      <c r="S1601" t="s">
        <v>35</v>
      </c>
      <c r="T1601">
        <v>2808.06</v>
      </c>
      <c r="U1601">
        <f t="shared" si="336"/>
        <v>401</v>
      </c>
      <c r="V1601">
        <f t="shared" si="337"/>
        <v>144</v>
      </c>
      <c r="W1601">
        <f t="shared" si="338"/>
        <v>128</v>
      </c>
      <c r="X1601">
        <f t="shared" si="339"/>
        <v>0.35149999999999998</v>
      </c>
      <c r="Y1601" s="1">
        <f t="shared" si="340"/>
        <v>20913026</v>
      </c>
      <c r="Z1601">
        <f t="shared" si="341"/>
        <v>52152.184538653368</v>
      </c>
      <c r="AA1601">
        <f t="shared" si="342"/>
        <v>99996</v>
      </c>
      <c r="AB1601">
        <f t="shared" si="343"/>
        <v>5091</v>
      </c>
      <c r="AC1601">
        <f t="shared" si="344"/>
        <v>546897.83000000019</v>
      </c>
      <c r="AD1601">
        <f t="shared" si="345"/>
        <v>1363.8349875311726</v>
      </c>
      <c r="AE1601">
        <f t="shared" si="346"/>
        <v>0.35149999999999998</v>
      </c>
      <c r="AF1601">
        <f t="shared" si="347"/>
        <v>108905101.78000002</v>
      </c>
      <c r="AG1601" t="str">
        <f t="shared" si="348"/>
        <v>Active</v>
      </c>
      <c r="AH1601">
        <f t="shared" si="349"/>
        <v>33696.720000000001</v>
      </c>
    </row>
    <row r="1602" spans="1:34" x14ac:dyDescent="0.35">
      <c r="A1602" t="s">
        <v>4210</v>
      </c>
      <c r="B1602" t="s">
        <v>4211</v>
      </c>
      <c r="C1602">
        <v>32</v>
      </c>
      <c r="D1602" t="s">
        <v>38</v>
      </c>
      <c r="E1602" t="s">
        <v>32</v>
      </c>
      <c r="F1602" t="s">
        <v>46</v>
      </c>
      <c r="G1602">
        <v>197193</v>
      </c>
      <c r="H1602">
        <v>323</v>
      </c>
      <c r="I1602">
        <v>58549</v>
      </c>
      <c r="J1602">
        <v>7.59</v>
      </c>
      <c r="K1602">
        <v>12</v>
      </c>
      <c r="L1602" t="s">
        <v>33</v>
      </c>
      <c r="M1602">
        <v>30.4</v>
      </c>
      <c r="N1602">
        <v>4315</v>
      </c>
      <c r="O1602">
        <v>90416</v>
      </c>
      <c r="P1602" t="s">
        <v>2661</v>
      </c>
      <c r="Q1602" t="s">
        <v>61</v>
      </c>
      <c r="R1602" t="s">
        <v>48</v>
      </c>
      <c r="S1602" t="s">
        <v>49</v>
      </c>
      <c r="T1602">
        <v>5249.41</v>
      </c>
      <c r="U1602">
        <f t="shared" ref="U1602:U1665" si="350">COUNTA(A1602:A3601)</f>
        <v>400</v>
      </c>
      <c r="V1602">
        <f t="shared" ref="V1602:V1665" si="351">COUNTIF(Q1602:Q3601,"APPROVED")</f>
        <v>144</v>
      </c>
      <c r="W1602">
        <f t="shared" ref="W1602:W1665" si="352">COUNTIF(Q1602:Q3602,"Rejected")</f>
        <v>128</v>
      </c>
      <c r="X1602">
        <f t="shared" ref="X1602:X1665" si="353">703/2000</f>
        <v>0.35149999999999998</v>
      </c>
      <c r="Y1602" s="1">
        <f t="shared" ref="Y1602:Y1665" si="354">SUM(I1602:I3601)</f>
        <v>20881092</v>
      </c>
      <c r="Z1602">
        <f t="shared" ref="Z1602:Z1665" si="355">AVERAGE(I1602:I21601)</f>
        <v>52202.73</v>
      </c>
      <c r="AA1602">
        <f t="shared" ref="AA1602:AA1665" si="356">MAX(I1602:I3601)</f>
        <v>99996</v>
      </c>
      <c r="AB1602">
        <f t="shared" ref="AB1602:AB1665" si="357">MIN(I1602:I3601)</f>
        <v>5091</v>
      </c>
      <c r="AC1602">
        <f t="shared" ref="AC1602:AC1665" si="358">SUM(T1602:T3601)</f>
        <v>544089.77</v>
      </c>
      <c r="AD1602">
        <f t="shared" ref="AD1602:AD1665" si="359">AVERAGE(T1602:T3601)</f>
        <v>1360.2244250000001</v>
      </c>
      <c r="AE1602">
        <f t="shared" ref="AE1602:AE1665" si="360">703/2000</f>
        <v>0.35149999999999998</v>
      </c>
      <c r="AF1602">
        <f t="shared" ref="AF1602:AF1665" si="361">SUM(AC1602:AC3601)</f>
        <v>108358203.95000003</v>
      </c>
      <c r="AG1602" t="str">
        <f t="shared" ref="AG1602:AG1665" si="362">IF(AH1602=0,"Bad", IF(AH1601&lt;I1601, "Active", IF(AH1601=I1601, "Good", "Over Paid")))</f>
        <v>Over Paid</v>
      </c>
      <c r="AH1602">
        <f t="shared" ref="AH1602:AH1665" si="363">T1602*12</f>
        <v>62992.92</v>
      </c>
    </row>
    <row r="1603" spans="1:34" x14ac:dyDescent="0.35">
      <c r="A1603" t="s">
        <v>4212</v>
      </c>
      <c r="B1603" t="s">
        <v>4213</v>
      </c>
      <c r="C1603">
        <v>59</v>
      </c>
      <c r="D1603" t="s">
        <v>38</v>
      </c>
      <c r="E1603" t="s">
        <v>32</v>
      </c>
      <c r="F1603" t="s">
        <v>59</v>
      </c>
      <c r="G1603">
        <v>44108</v>
      </c>
      <c r="H1603">
        <v>488</v>
      </c>
      <c r="I1603">
        <v>84654</v>
      </c>
      <c r="J1603">
        <v>21.98</v>
      </c>
      <c r="K1603">
        <v>24</v>
      </c>
      <c r="L1603" t="s">
        <v>25</v>
      </c>
      <c r="M1603">
        <v>29.16</v>
      </c>
      <c r="N1603">
        <v>37883</v>
      </c>
      <c r="O1603">
        <v>31030</v>
      </c>
      <c r="P1603" t="s">
        <v>257</v>
      </c>
      <c r="Q1603" t="s">
        <v>27</v>
      </c>
      <c r="R1603" t="s">
        <v>48</v>
      </c>
      <c r="S1603" t="s">
        <v>35</v>
      </c>
      <c r="T1603">
        <v>4302.54</v>
      </c>
      <c r="U1603">
        <f t="shared" si="350"/>
        <v>399</v>
      </c>
      <c r="V1603">
        <f t="shared" si="351"/>
        <v>144</v>
      </c>
      <c r="W1603">
        <f t="shared" si="352"/>
        <v>127</v>
      </c>
      <c r="X1603">
        <f t="shared" si="353"/>
        <v>0.35149999999999998</v>
      </c>
      <c r="Y1603" s="1">
        <f t="shared" si="354"/>
        <v>20822543</v>
      </c>
      <c r="Z1603">
        <f t="shared" si="355"/>
        <v>52186.824561403511</v>
      </c>
      <c r="AA1603">
        <f t="shared" si="356"/>
        <v>99996</v>
      </c>
      <c r="AB1603">
        <f t="shared" si="357"/>
        <v>5091</v>
      </c>
      <c r="AC1603">
        <f t="shared" si="358"/>
        <v>538840.36000000022</v>
      </c>
      <c r="AD1603">
        <f t="shared" si="359"/>
        <v>1350.4770927318302</v>
      </c>
      <c r="AE1603">
        <f t="shared" si="360"/>
        <v>0.35149999999999998</v>
      </c>
      <c r="AF1603">
        <f t="shared" si="361"/>
        <v>107814114.18000002</v>
      </c>
      <c r="AG1603" t="str">
        <f t="shared" si="362"/>
        <v>Over Paid</v>
      </c>
      <c r="AH1603">
        <f t="shared" si="363"/>
        <v>51630.479999999996</v>
      </c>
    </row>
    <row r="1604" spans="1:34" x14ac:dyDescent="0.35">
      <c r="A1604" t="s">
        <v>4214</v>
      </c>
      <c r="B1604" t="s">
        <v>4215</v>
      </c>
      <c r="C1604">
        <v>29</v>
      </c>
      <c r="D1604" t="s">
        <v>38</v>
      </c>
      <c r="E1604" t="s">
        <v>32</v>
      </c>
      <c r="F1604" t="s">
        <v>59</v>
      </c>
      <c r="G1604">
        <v>119943</v>
      </c>
      <c r="H1604">
        <v>706</v>
      </c>
      <c r="I1604">
        <v>25854</v>
      </c>
      <c r="J1604">
        <v>20.78</v>
      </c>
      <c r="K1604">
        <v>180</v>
      </c>
      <c r="L1604" t="s">
        <v>33</v>
      </c>
      <c r="M1604">
        <v>28.48</v>
      </c>
      <c r="N1604">
        <v>37097</v>
      </c>
      <c r="O1604">
        <v>129417</v>
      </c>
      <c r="P1604" t="s">
        <v>4216</v>
      </c>
      <c r="Q1604" t="s">
        <v>42</v>
      </c>
      <c r="R1604" t="s">
        <v>28</v>
      </c>
      <c r="S1604" t="s">
        <v>29</v>
      </c>
      <c r="T1604">
        <v>173.48</v>
      </c>
      <c r="U1604">
        <f t="shared" si="350"/>
        <v>398</v>
      </c>
      <c r="V1604">
        <f t="shared" si="351"/>
        <v>144</v>
      </c>
      <c r="W1604">
        <f t="shared" si="352"/>
        <v>127</v>
      </c>
      <c r="X1604">
        <f t="shared" si="353"/>
        <v>0.35149999999999998</v>
      </c>
      <c r="Y1604" s="1">
        <f t="shared" si="354"/>
        <v>20737889</v>
      </c>
      <c r="Z1604">
        <f t="shared" si="355"/>
        <v>52105.248743718592</v>
      </c>
      <c r="AA1604">
        <f t="shared" si="356"/>
        <v>99996</v>
      </c>
      <c r="AB1604">
        <f t="shared" si="357"/>
        <v>5091</v>
      </c>
      <c r="AC1604">
        <f t="shared" si="358"/>
        <v>534537.82000000007</v>
      </c>
      <c r="AD1604">
        <f t="shared" si="359"/>
        <v>1343.0598492462314</v>
      </c>
      <c r="AE1604">
        <f t="shared" si="360"/>
        <v>0.35149999999999998</v>
      </c>
      <c r="AF1604">
        <f t="shared" si="361"/>
        <v>107275273.82000002</v>
      </c>
      <c r="AG1604" t="str">
        <f t="shared" si="362"/>
        <v>Active</v>
      </c>
      <c r="AH1604">
        <f t="shared" si="363"/>
        <v>2081.7599999999998</v>
      </c>
    </row>
    <row r="1605" spans="1:34" x14ac:dyDescent="0.35">
      <c r="A1605" t="s">
        <v>4217</v>
      </c>
      <c r="B1605" t="s">
        <v>4218</v>
      </c>
      <c r="C1605">
        <v>25</v>
      </c>
      <c r="D1605" t="s">
        <v>22</v>
      </c>
      <c r="E1605" t="s">
        <v>39</v>
      </c>
      <c r="F1605" t="s">
        <v>59</v>
      </c>
      <c r="G1605">
        <v>46220</v>
      </c>
      <c r="H1605">
        <v>559</v>
      </c>
      <c r="I1605">
        <v>55601</v>
      </c>
      <c r="J1605">
        <v>14.23</v>
      </c>
      <c r="K1605">
        <v>24</v>
      </c>
      <c r="L1605" t="s">
        <v>86</v>
      </c>
      <c r="M1605">
        <v>18.14</v>
      </c>
      <c r="N1605">
        <v>6141</v>
      </c>
      <c r="O1605">
        <v>108581</v>
      </c>
      <c r="P1605" t="s">
        <v>4219</v>
      </c>
      <c r="Q1605" t="s">
        <v>27</v>
      </c>
      <c r="R1605" t="s">
        <v>48</v>
      </c>
      <c r="S1605" t="s">
        <v>35</v>
      </c>
      <c r="T1605">
        <v>2646.38</v>
      </c>
      <c r="U1605">
        <f t="shared" si="350"/>
        <v>397</v>
      </c>
      <c r="V1605">
        <f t="shared" si="351"/>
        <v>143</v>
      </c>
      <c r="W1605">
        <f t="shared" si="352"/>
        <v>127</v>
      </c>
      <c r="X1605">
        <f t="shared" si="353"/>
        <v>0.35149999999999998</v>
      </c>
      <c r="Y1605" s="1">
        <f t="shared" si="354"/>
        <v>20712035</v>
      </c>
      <c r="Z1605">
        <f t="shared" si="355"/>
        <v>52171.372795969772</v>
      </c>
      <c r="AA1605">
        <f t="shared" si="356"/>
        <v>99996</v>
      </c>
      <c r="AB1605">
        <f t="shared" si="357"/>
        <v>5091</v>
      </c>
      <c r="AC1605">
        <f t="shared" si="358"/>
        <v>534364.34000000008</v>
      </c>
      <c r="AD1605">
        <f t="shared" si="359"/>
        <v>1346.0058942065493</v>
      </c>
      <c r="AE1605">
        <f t="shared" si="360"/>
        <v>0.35149999999999998</v>
      </c>
      <c r="AF1605">
        <f t="shared" si="361"/>
        <v>106740736.00000003</v>
      </c>
      <c r="AG1605" t="str">
        <f t="shared" si="362"/>
        <v>Active</v>
      </c>
      <c r="AH1605">
        <f t="shared" si="363"/>
        <v>31756.560000000001</v>
      </c>
    </row>
    <row r="1606" spans="1:34" x14ac:dyDescent="0.35">
      <c r="A1606" t="s">
        <v>4220</v>
      </c>
      <c r="B1606" t="s">
        <v>4221</v>
      </c>
      <c r="C1606">
        <v>43</v>
      </c>
      <c r="D1606" t="s">
        <v>38</v>
      </c>
      <c r="E1606" t="s">
        <v>39</v>
      </c>
      <c r="F1606" t="s">
        <v>59</v>
      </c>
      <c r="G1606">
        <v>47067</v>
      </c>
      <c r="H1606">
        <v>722</v>
      </c>
      <c r="I1606">
        <v>24327</v>
      </c>
      <c r="J1606">
        <v>10.32</v>
      </c>
      <c r="K1606">
        <v>48</v>
      </c>
      <c r="L1606" t="s">
        <v>25</v>
      </c>
      <c r="M1606">
        <v>10.4</v>
      </c>
      <c r="N1606">
        <v>32838</v>
      </c>
      <c r="O1606">
        <v>104315</v>
      </c>
      <c r="P1606" t="s">
        <v>4222</v>
      </c>
      <c r="Q1606" t="s">
        <v>42</v>
      </c>
      <c r="R1606" t="s">
        <v>48</v>
      </c>
      <c r="S1606" t="s">
        <v>43</v>
      </c>
      <c r="T1606">
        <v>559.12</v>
      </c>
      <c r="U1606">
        <f t="shared" si="350"/>
        <v>396</v>
      </c>
      <c r="V1606">
        <f t="shared" si="351"/>
        <v>143</v>
      </c>
      <c r="W1606">
        <f t="shared" si="352"/>
        <v>127</v>
      </c>
      <c r="X1606">
        <f t="shared" si="353"/>
        <v>0.35149999999999998</v>
      </c>
      <c r="Y1606" s="1">
        <f t="shared" si="354"/>
        <v>20656434</v>
      </c>
      <c r="Z1606">
        <f t="shared" si="355"/>
        <v>52162.71212121212</v>
      </c>
      <c r="AA1606">
        <f t="shared" si="356"/>
        <v>99996</v>
      </c>
      <c r="AB1606">
        <f t="shared" si="357"/>
        <v>5091</v>
      </c>
      <c r="AC1606">
        <f t="shared" si="358"/>
        <v>531717.96</v>
      </c>
      <c r="AD1606">
        <f t="shared" si="359"/>
        <v>1342.722121212121</v>
      </c>
      <c r="AE1606">
        <f t="shared" si="360"/>
        <v>0.35149999999999998</v>
      </c>
      <c r="AF1606">
        <f t="shared" si="361"/>
        <v>106206371.66000001</v>
      </c>
      <c r="AG1606" t="str">
        <f t="shared" si="362"/>
        <v>Active</v>
      </c>
      <c r="AH1606">
        <f t="shared" si="363"/>
        <v>6709.4400000000005</v>
      </c>
    </row>
    <row r="1607" spans="1:34" x14ac:dyDescent="0.35">
      <c r="A1607" t="s">
        <v>4223</v>
      </c>
      <c r="B1607" t="s">
        <v>4224</v>
      </c>
      <c r="C1607">
        <v>42</v>
      </c>
      <c r="D1607" t="s">
        <v>38</v>
      </c>
      <c r="E1607" t="s">
        <v>39</v>
      </c>
      <c r="F1607" t="s">
        <v>59</v>
      </c>
      <c r="G1607">
        <v>124381</v>
      </c>
      <c r="H1607">
        <v>488</v>
      </c>
      <c r="I1607">
        <v>18079</v>
      </c>
      <c r="J1607">
        <v>20.82</v>
      </c>
      <c r="K1607">
        <v>60</v>
      </c>
      <c r="L1607" t="s">
        <v>52</v>
      </c>
      <c r="M1607">
        <v>18.53</v>
      </c>
      <c r="N1607">
        <v>50360</v>
      </c>
      <c r="O1607">
        <v>66575</v>
      </c>
      <c r="P1607" t="s">
        <v>3537</v>
      </c>
      <c r="Q1607" t="s">
        <v>61</v>
      </c>
      <c r="R1607" t="s">
        <v>28</v>
      </c>
      <c r="S1607" t="s">
        <v>43</v>
      </c>
      <c r="T1607">
        <v>364.05</v>
      </c>
      <c r="U1607">
        <f t="shared" si="350"/>
        <v>395</v>
      </c>
      <c r="V1607">
        <f t="shared" si="351"/>
        <v>142</v>
      </c>
      <c r="W1607">
        <f t="shared" si="352"/>
        <v>127</v>
      </c>
      <c r="X1607">
        <f t="shared" si="353"/>
        <v>0.35149999999999998</v>
      </c>
      <c r="Y1607" s="1">
        <f t="shared" si="354"/>
        <v>20632107</v>
      </c>
      <c r="Z1607">
        <f t="shared" si="355"/>
        <v>52233.182278481014</v>
      </c>
      <c r="AA1607">
        <f t="shared" si="356"/>
        <v>99996</v>
      </c>
      <c r="AB1607">
        <f t="shared" si="357"/>
        <v>5091</v>
      </c>
      <c r="AC1607">
        <f t="shared" si="358"/>
        <v>531158.84</v>
      </c>
      <c r="AD1607">
        <f t="shared" si="359"/>
        <v>1344.7059240506328</v>
      </c>
      <c r="AE1607">
        <f t="shared" si="360"/>
        <v>0.35149999999999998</v>
      </c>
      <c r="AF1607">
        <f t="shared" si="361"/>
        <v>105674653.70000002</v>
      </c>
      <c r="AG1607" t="str">
        <f t="shared" si="362"/>
        <v>Active</v>
      </c>
      <c r="AH1607">
        <f t="shared" si="363"/>
        <v>4368.6000000000004</v>
      </c>
    </row>
    <row r="1608" spans="1:34" x14ac:dyDescent="0.35">
      <c r="A1608" t="s">
        <v>4225</v>
      </c>
      <c r="B1608" t="s">
        <v>4226</v>
      </c>
      <c r="C1608">
        <v>64</v>
      </c>
      <c r="D1608" t="s">
        <v>22</v>
      </c>
      <c r="E1608" t="s">
        <v>32</v>
      </c>
      <c r="F1608" t="s">
        <v>59</v>
      </c>
      <c r="G1608">
        <v>173396</v>
      </c>
      <c r="H1608">
        <v>794</v>
      </c>
      <c r="I1608">
        <v>92832</v>
      </c>
      <c r="J1608">
        <v>21.97</v>
      </c>
      <c r="K1608">
        <v>180</v>
      </c>
      <c r="L1608" t="s">
        <v>86</v>
      </c>
      <c r="M1608">
        <v>27.83</v>
      </c>
      <c r="N1608">
        <v>50363</v>
      </c>
      <c r="O1608">
        <v>152674</v>
      </c>
      <c r="P1608" t="s">
        <v>4227</v>
      </c>
      <c r="Q1608" t="s">
        <v>61</v>
      </c>
      <c r="R1608" t="s">
        <v>48</v>
      </c>
      <c r="S1608" t="s">
        <v>49</v>
      </c>
      <c r="T1608">
        <v>629.04</v>
      </c>
      <c r="U1608">
        <f t="shared" si="350"/>
        <v>394</v>
      </c>
      <c r="V1608">
        <f t="shared" si="351"/>
        <v>142</v>
      </c>
      <c r="W1608">
        <f t="shared" si="352"/>
        <v>126</v>
      </c>
      <c r="X1608">
        <f t="shared" si="353"/>
        <v>0.35149999999999998</v>
      </c>
      <c r="Y1608" s="1">
        <f t="shared" si="354"/>
        <v>20614028</v>
      </c>
      <c r="Z1608">
        <f t="shared" si="355"/>
        <v>52319.868020304566</v>
      </c>
      <c r="AA1608">
        <f t="shared" si="356"/>
        <v>99996</v>
      </c>
      <c r="AB1608">
        <f t="shared" si="357"/>
        <v>5091</v>
      </c>
      <c r="AC1608">
        <f t="shared" si="358"/>
        <v>530794.78999999992</v>
      </c>
      <c r="AD1608">
        <f t="shared" si="359"/>
        <v>1347.1948984771573</v>
      </c>
      <c r="AE1608">
        <f t="shared" si="360"/>
        <v>0.35149999999999998</v>
      </c>
      <c r="AF1608">
        <f t="shared" si="361"/>
        <v>105143494.86000001</v>
      </c>
      <c r="AG1608" t="str">
        <f t="shared" si="362"/>
        <v>Active</v>
      </c>
      <c r="AH1608">
        <f t="shared" si="363"/>
        <v>7548.48</v>
      </c>
    </row>
    <row r="1609" spans="1:34" x14ac:dyDescent="0.35">
      <c r="A1609" t="s">
        <v>4228</v>
      </c>
      <c r="B1609" t="s">
        <v>4229</v>
      </c>
      <c r="C1609">
        <v>39</v>
      </c>
      <c r="D1609" t="s">
        <v>22</v>
      </c>
      <c r="E1609" t="s">
        <v>32</v>
      </c>
      <c r="F1609" t="s">
        <v>59</v>
      </c>
      <c r="G1609">
        <v>84394</v>
      </c>
      <c r="H1609">
        <v>364</v>
      </c>
      <c r="I1609">
        <v>97368</v>
      </c>
      <c r="J1609">
        <v>22.91</v>
      </c>
      <c r="K1609">
        <v>60</v>
      </c>
      <c r="L1609" t="s">
        <v>40</v>
      </c>
      <c r="M1609">
        <v>56.63</v>
      </c>
      <c r="N1609">
        <v>13701</v>
      </c>
      <c r="O1609">
        <v>175368</v>
      </c>
      <c r="P1609" t="s">
        <v>985</v>
      </c>
      <c r="Q1609" t="s">
        <v>27</v>
      </c>
      <c r="R1609" t="s">
        <v>48</v>
      </c>
      <c r="S1609" t="s">
        <v>43</v>
      </c>
      <c r="T1609">
        <v>1994.58</v>
      </c>
      <c r="U1609">
        <f t="shared" si="350"/>
        <v>393</v>
      </c>
      <c r="V1609">
        <f t="shared" si="351"/>
        <v>142</v>
      </c>
      <c r="W1609">
        <f t="shared" si="352"/>
        <v>125</v>
      </c>
      <c r="X1609">
        <f t="shared" si="353"/>
        <v>0.35149999999999998</v>
      </c>
      <c r="Y1609" s="1">
        <f t="shared" si="354"/>
        <v>20521196</v>
      </c>
      <c r="Z1609">
        <f t="shared" si="355"/>
        <v>52216.783715012723</v>
      </c>
      <c r="AA1609">
        <f t="shared" si="356"/>
        <v>99996</v>
      </c>
      <c r="AB1609">
        <f t="shared" si="357"/>
        <v>5091</v>
      </c>
      <c r="AC1609">
        <f t="shared" si="358"/>
        <v>530165.74999999988</v>
      </c>
      <c r="AD1609">
        <f t="shared" si="359"/>
        <v>1349.0222646310431</v>
      </c>
      <c r="AE1609">
        <f t="shared" si="360"/>
        <v>0.35149999999999998</v>
      </c>
      <c r="AF1609">
        <f t="shared" si="361"/>
        <v>104612700.07000002</v>
      </c>
      <c r="AG1609" t="str">
        <f t="shared" si="362"/>
        <v>Active</v>
      </c>
      <c r="AH1609">
        <f t="shared" si="363"/>
        <v>23934.959999999999</v>
      </c>
    </row>
    <row r="1610" spans="1:34" x14ac:dyDescent="0.35">
      <c r="A1610" t="s">
        <v>4230</v>
      </c>
      <c r="B1610" t="s">
        <v>4231</v>
      </c>
      <c r="C1610">
        <v>63</v>
      </c>
      <c r="D1610" t="s">
        <v>38</v>
      </c>
      <c r="E1610" t="s">
        <v>39</v>
      </c>
      <c r="F1610" t="s">
        <v>24</v>
      </c>
      <c r="G1610">
        <v>63247</v>
      </c>
      <c r="H1610">
        <v>731</v>
      </c>
      <c r="I1610">
        <v>49537</v>
      </c>
      <c r="J1610">
        <v>19.28</v>
      </c>
      <c r="K1610">
        <v>120</v>
      </c>
      <c r="L1610" t="s">
        <v>40</v>
      </c>
      <c r="M1610">
        <v>19.739999999999998</v>
      </c>
      <c r="N1610">
        <v>6025</v>
      </c>
      <c r="O1610">
        <v>29232</v>
      </c>
      <c r="P1610" t="s">
        <v>4232</v>
      </c>
      <c r="Q1610" t="s">
        <v>61</v>
      </c>
      <c r="R1610" t="s">
        <v>28</v>
      </c>
      <c r="S1610" t="s">
        <v>35</v>
      </c>
      <c r="T1610">
        <v>492.4</v>
      </c>
      <c r="U1610">
        <f t="shared" si="350"/>
        <v>392</v>
      </c>
      <c r="V1610">
        <f t="shared" si="351"/>
        <v>142</v>
      </c>
      <c r="W1610">
        <f t="shared" si="352"/>
        <v>125</v>
      </c>
      <c r="X1610">
        <f t="shared" si="353"/>
        <v>0.35149999999999998</v>
      </c>
      <c r="Y1610" s="1">
        <f t="shared" si="354"/>
        <v>20423828</v>
      </c>
      <c r="Z1610">
        <f t="shared" si="355"/>
        <v>52101.602040816324</v>
      </c>
      <c r="AA1610">
        <f t="shared" si="356"/>
        <v>99996</v>
      </c>
      <c r="AB1610">
        <f t="shared" si="357"/>
        <v>5091</v>
      </c>
      <c r="AC1610">
        <f t="shared" si="358"/>
        <v>528171.16999999993</v>
      </c>
      <c r="AD1610">
        <f t="shared" si="359"/>
        <v>1347.3754336734692</v>
      </c>
      <c r="AE1610">
        <f t="shared" si="360"/>
        <v>0.35149999999999998</v>
      </c>
      <c r="AF1610">
        <f t="shared" si="361"/>
        <v>104082534.32000002</v>
      </c>
      <c r="AG1610" t="str">
        <f t="shared" si="362"/>
        <v>Active</v>
      </c>
      <c r="AH1610">
        <f t="shared" si="363"/>
        <v>5908.7999999999993</v>
      </c>
    </row>
    <row r="1611" spans="1:34" x14ac:dyDescent="0.35">
      <c r="A1611" t="s">
        <v>4233</v>
      </c>
      <c r="B1611" t="s">
        <v>4234</v>
      </c>
      <c r="C1611">
        <v>42</v>
      </c>
      <c r="D1611" t="s">
        <v>22</v>
      </c>
      <c r="E1611" t="s">
        <v>32</v>
      </c>
      <c r="F1611" t="s">
        <v>59</v>
      </c>
      <c r="G1611">
        <v>63308</v>
      </c>
      <c r="H1611">
        <v>612</v>
      </c>
      <c r="I1611">
        <v>29872</v>
      </c>
      <c r="J1611">
        <v>19.690000000000001</v>
      </c>
      <c r="K1611">
        <v>24</v>
      </c>
      <c r="L1611" t="s">
        <v>40</v>
      </c>
      <c r="M1611">
        <v>53.62</v>
      </c>
      <c r="N1611">
        <v>47524</v>
      </c>
      <c r="O1611">
        <v>1671</v>
      </c>
      <c r="P1611" t="s">
        <v>4235</v>
      </c>
      <c r="Q1611" t="s">
        <v>61</v>
      </c>
      <c r="R1611" t="s">
        <v>48</v>
      </c>
      <c r="S1611" t="s">
        <v>43</v>
      </c>
      <c r="T1611">
        <v>1489.74</v>
      </c>
      <c r="U1611">
        <f t="shared" si="350"/>
        <v>391</v>
      </c>
      <c r="V1611">
        <f t="shared" si="351"/>
        <v>142</v>
      </c>
      <c r="W1611">
        <f t="shared" si="352"/>
        <v>124</v>
      </c>
      <c r="X1611">
        <f t="shared" si="353"/>
        <v>0.35149999999999998</v>
      </c>
      <c r="Y1611" s="1">
        <f t="shared" si="354"/>
        <v>20374291</v>
      </c>
      <c r="Z1611">
        <f t="shared" si="355"/>
        <v>52108.16112531969</v>
      </c>
      <c r="AA1611">
        <f t="shared" si="356"/>
        <v>99996</v>
      </c>
      <c r="AB1611">
        <f t="shared" si="357"/>
        <v>5091</v>
      </c>
      <c r="AC1611">
        <f t="shared" si="358"/>
        <v>527678.7699999999</v>
      </c>
      <c r="AD1611">
        <f t="shared" si="359"/>
        <v>1349.562071611253</v>
      </c>
      <c r="AE1611">
        <f t="shared" si="360"/>
        <v>0.35149999999999998</v>
      </c>
      <c r="AF1611">
        <f t="shared" si="361"/>
        <v>103554363.15000002</v>
      </c>
      <c r="AG1611" t="str">
        <f t="shared" si="362"/>
        <v>Active</v>
      </c>
      <c r="AH1611">
        <f t="shared" si="363"/>
        <v>17876.88</v>
      </c>
    </row>
    <row r="1612" spans="1:34" x14ac:dyDescent="0.35">
      <c r="A1612" t="s">
        <v>4236</v>
      </c>
      <c r="B1612" t="s">
        <v>4237</v>
      </c>
      <c r="C1612">
        <v>21</v>
      </c>
      <c r="D1612" t="s">
        <v>22</v>
      </c>
      <c r="E1612" t="s">
        <v>32</v>
      </c>
      <c r="F1612" t="s">
        <v>59</v>
      </c>
      <c r="G1612">
        <v>195022</v>
      </c>
      <c r="H1612">
        <v>463</v>
      </c>
      <c r="I1612">
        <v>17630</v>
      </c>
      <c r="J1612">
        <v>14.13</v>
      </c>
      <c r="K1612">
        <v>36</v>
      </c>
      <c r="L1612" t="s">
        <v>33</v>
      </c>
      <c r="M1612">
        <v>13.75</v>
      </c>
      <c r="N1612">
        <v>11547</v>
      </c>
      <c r="O1612">
        <v>118363</v>
      </c>
      <c r="P1612" t="s">
        <v>1294</v>
      </c>
      <c r="Q1612" t="s">
        <v>61</v>
      </c>
      <c r="R1612" t="s">
        <v>28</v>
      </c>
      <c r="S1612" t="s">
        <v>49</v>
      </c>
      <c r="T1612">
        <v>558.91999999999996</v>
      </c>
      <c r="U1612">
        <f t="shared" si="350"/>
        <v>390</v>
      </c>
      <c r="V1612">
        <f t="shared" si="351"/>
        <v>142</v>
      </c>
      <c r="W1612">
        <f t="shared" si="352"/>
        <v>123</v>
      </c>
      <c r="X1612">
        <f t="shared" si="353"/>
        <v>0.35149999999999998</v>
      </c>
      <c r="Y1612" s="1">
        <f t="shared" si="354"/>
        <v>20344419</v>
      </c>
      <c r="Z1612">
        <f t="shared" si="355"/>
        <v>52165.176923076921</v>
      </c>
      <c r="AA1612">
        <f t="shared" si="356"/>
        <v>99996</v>
      </c>
      <c r="AB1612">
        <f t="shared" si="357"/>
        <v>5091</v>
      </c>
      <c r="AC1612">
        <f t="shared" si="358"/>
        <v>526189.02999999991</v>
      </c>
      <c r="AD1612">
        <f t="shared" si="359"/>
        <v>1349.2026410256408</v>
      </c>
      <c r="AE1612">
        <f t="shared" si="360"/>
        <v>0.35149999999999998</v>
      </c>
      <c r="AF1612">
        <f t="shared" si="361"/>
        <v>103026684.38000001</v>
      </c>
      <c r="AG1612" t="str">
        <f t="shared" si="362"/>
        <v>Active</v>
      </c>
      <c r="AH1612">
        <f t="shared" si="363"/>
        <v>6707.0399999999991</v>
      </c>
    </row>
    <row r="1613" spans="1:34" x14ac:dyDescent="0.35">
      <c r="A1613" t="s">
        <v>4238</v>
      </c>
      <c r="B1613" t="s">
        <v>4239</v>
      </c>
      <c r="C1613">
        <v>53</v>
      </c>
      <c r="D1613" t="s">
        <v>22</v>
      </c>
      <c r="E1613" t="s">
        <v>39</v>
      </c>
      <c r="F1613" t="s">
        <v>24</v>
      </c>
      <c r="G1613">
        <v>54306</v>
      </c>
      <c r="H1613">
        <v>697</v>
      </c>
      <c r="I1613">
        <v>75724</v>
      </c>
      <c r="J1613">
        <v>6.58</v>
      </c>
      <c r="K1613">
        <v>240</v>
      </c>
      <c r="L1613" t="s">
        <v>25</v>
      </c>
      <c r="M1613">
        <v>49.57</v>
      </c>
      <c r="N1613">
        <v>17609</v>
      </c>
      <c r="O1613">
        <v>25186</v>
      </c>
      <c r="P1613" t="s">
        <v>2164</v>
      </c>
      <c r="Q1613" t="s">
        <v>27</v>
      </c>
      <c r="R1613" t="s">
        <v>28</v>
      </c>
      <c r="S1613" t="s">
        <v>68</v>
      </c>
      <c r="T1613">
        <v>336.28</v>
      </c>
      <c r="U1613">
        <f t="shared" si="350"/>
        <v>389</v>
      </c>
      <c r="V1613">
        <f t="shared" si="351"/>
        <v>142</v>
      </c>
      <c r="W1613">
        <f t="shared" si="352"/>
        <v>122</v>
      </c>
      <c r="X1613">
        <f t="shared" si="353"/>
        <v>0.35149999999999998</v>
      </c>
      <c r="Y1613" s="1">
        <f t="shared" si="354"/>
        <v>20326789</v>
      </c>
      <c r="Z1613">
        <f t="shared" si="355"/>
        <v>52253.956298200515</v>
      </c>
      <c r="AA1613">
        <f t="shared" si="356"/>
        <v>99996</v>
      </c>
      <c r="AB1613">
        <f t="shared" si="357"/>
        <v>5091</v>
      </c>
      <c r="AC1613">
        <f t="shared" si="358"/>
        <v>525630.11</v>
      </c>
      <c r="AD1613">
        <f t="shared" si="359"/>
        <v>1351.2342159383034</v>
      </c>
      <c r="AE1613">
        <f t="shared" si="360"/>
        <v>0.35149999999999998</v>
      </c>
      <c r="AF1613">
        <f t="shared" si="361"/>
        <v>102500495.35000002</v>
      </c>
      <c r="AG1613" t="str">
        <f t="shared" si="362"/>
        <v>Active</v>
      </c>
      <c r="AH1613">
        <f t="shared" si="363"/>
        <v>4035.3599999999997</v>
      </c>
    </row>
    <row r="1614" spans="1:34" x14ac:dyDescent="0.35">
      <c r="A1614" t="s">
        <v>4240</v>
      </c>
      <c r="B1614" t="s">
        <v>4241</v>
      </c>
      <c r="C1614">
        <v>58</v>
      </c>
      <c r="D1614" t="s">
        <v>22</v>
      </c>
      <c r="E1614" t="s">
        <v>23</v>
      </c>
      <c r="F1614" t="s">
        <v>59</v>
      </c>
      <c r="G1614">
        <v>182790</v>
      </c>
      <c r="H1614">
        <v>401</v>
      </c>
      <c r="I1614">
        <v>81964</v>
      </c>
      <c r="J1614">
        <v>7.98</v>
      </c>
      <c r="K1614">
        <v>12</v>
      </c>
      <c r="L1614" t="s">
        <v>25</v>
      </c>
      <c r="M1614">
        <v>9.24</v>
      </c>
      <c r="N1614">
        <v>36247</v>
      </c>
      <c r="O1614">
        <v>59692</v>
      </c>
      <c r="P1614" t="s">
        <v>3102</v>
      </c>
      <c r="Q1614" t="s">
        <v>27</v>
      </c>
      <c r="R1614" t="s">
        <v>28</v>
      </c>
      <c r="S1614" t="s">
        <v>29</v>
      </c>
      <c r="T1614">
        <v>7375.39</v>
      </c>
      <c r="U1614">
        <f t="shared" si="350"/>
        <v>388</v>
      </c>
      <c r="V1614">
        <f t="shared" si="351"/>
        <v>142</v>
      </c>
      <c r="W1614">
        <f t="shared" si="352"/>
        <v>122</v>
      </c>
      <c r="X1614">
        <f t="shared" si="353"/>
        <v>0.35149999999999998</v>
      </c>
      <c r="Y1614" s="1">
        <f t="shared" si="354"/>
        <v>20251065</v>
      </c>
      <c r="Z1614">
        <f t="shared" si="355"/>
        <v>52193.466494845357</v>
      </c>
      <c r="AA1614">
        <f t="shared" si="356"/>
        <v>99996</v>
      </c>
      <c r="AB1614">
        <f t="shared" si="357"/>
        <v>5091</v>
      </c>
      <c r="AC1614">
        <f t="shared" si="358"/>
        <v>525293.82999999996</v>
      </c>
      <c r="AD1614">
        <f t="shared" si="359"/>
        <v>1353.8500773195876</v>
      </c>
      <c r="AE1614">
        <f t="shared" si="360"/>
        <v>0.35149999999999998</v>
      </c>
      <c r="AF1614">
        <f t="shared" si="361"/>
        <v>101974865.24000004</v>
      </c>
      <c r="AG1614" t="str">
        <f t="shared" si="362"/>
        <v>Active</v>
      </c>
      <c r="AH1614">
        <f t="shared" si="363"/>
        <v>88504.680000000008</v>
      </c>
    </row>
    <row r="1615" spans="1:34" x14ac:dyDescent="0.35">
      <c r="A1615" t="s">
        <v>4242</v>
      </c>
      <c r="B1615" t="s">
        <v>4243</v>
      </c>
      <c r="C1615">
        <v>34</v>
      </c>
      <c r="D1615" t="s">
        <v>38</v>
      </c>
      <c r="E1615" t="s">
        <v>39</v>
      </c>
      <c r="F1615" t="s">
        <v>46</v>
      </c>
      <c r="G1615">
        <v>36206</v>
      </c>
      <c r="H1615">
        <v>773</v>
      </c>
      <c r="I1615">
        <v>75036</v>
      </c>
      <c r="J1615">
        <v>16.34</v>
      </c>
      <c r="K1615">
        <v>24</v>
      </c>
      <c r="L1615" t="s">
        <v>52</v>
      </c>
      <c r="M1615">
        <v>46.04</v>
      </c>
      <c r="N1615">
        <v>71219</v>
      </c>
      <c r="O1615">
        <v>170388</v>
      </c>
      <c r="P1615" t="s">
        <v>4244</v>
      </c>
      <c r="Q1615" t="s">
        <v>61</v>
      </c>
      <c r="R1615" t="s">
        <v>28</v>
      </c>
      <c r="S1615" t="s">
        <v>68</v>
      </c>
      <c r="T1615">
        <v>3637.37</v>
      </c>
      <c r="U1615">
        <f t="shared" si="350"/>
        <v>387</v>
      </c>
      <c r="V1615">
        <f t="shared" si="351"/>
        <v>142</v>
      </c>
      <c r="W1615">
        <f t="shared" si="352"/>
        <v>122</v>
      </c>
      <c r="X1615">
        <f t="shared" si="353"/>
        <v>0.35149999999999998</v>
      </c>
      <c r="Y1615" s="1">
        <f t="shared" si="354"/>
        <v>20169101</v>
      </c>
      <c r="Z1615">
        <f t="shared" si="355"/>
        <v>52116.540051679585</v>
      </c>
      <c r="AA1615">
        <f t="shared" si="356"/>
        <v>99996</v>
      </c>
      <c r="AB1615">
        <f t="shared" si="357"/>
        <v>5091</v>
      </c>
      <c r="AC1615">
        <f t="shared" si="358"/>
        <v>517918.43999999989</v>
      </c>
      <c r="AD1615">
        <f t="shared" si="359"/>
        <v>1338.2905426356585</v>
      </c>
      <c r="AE1615">
        <f t="shared" si="360"/>
        <v>0.35149999999999998</v>
      </c>
      <c r="AF1615">
        <f t="shared" si="361"/>
        <v>101449571.41000003</v>
      </c>
      <c r="AG1615" t="str">
        <f t="shared" si="362"/>
        <v>Over Paid</v>
      </c>
      <c r="AH1615">
        <f t="shared" si="363"/>
        <v>43648.44</v>
      </c>
    </row>
    <row r="1616" spans="1:34" x14ac:dyDescent="0.35">
      <c r="A1616" t="s">
        <v>4245</v>
      </c>
      <c r="B1616" t="s">
        <v>4246</v>
      </c>
      <c r="C1616">
        <v>44</v>
      </c>
      <c r="D1616" t="s">
        <v>22</v>
      </c>
      <c r="E1616" t="s">
        <v>23</v>
      </c>
      <c r="F1616" t="s">
        <v>46</v>
      </c>
      <c r="G1616">
        <v>57502</v>
      </c>
      <c r="H1616">
        <v>651</v>
      </c>
      <c r="I1616">
        <v>97234</v>
      </c>
      <c r="J1616">
        <v>11.82</v>
      </c>
      <c r="K1616">
        <v>180</v>
      </c>
      <c r="L1616" t="s">
        <v>86</v>
      </c>
      <c r="M1616">
        <v>38.880000000000003</v>
      </c>
      <c r="N1616">
        <v>56014</v>
      </c>
      <c r="O1616">
        <v>56461</v>
      </c>
      <c r="P1616" t="s">
        <v>901</v>
      </c>
      <c r="Q1616" t="s">
        <v>42</v>
      </c>
      <c r="R1616" t="s">
        <v>48</v>
      </c>
      <c r="S1616" t="s">
        <v>49</v>
      </c>
      <c r="T1616">
        <v>604.04</v>
      </c>
      <c r="U1616">
        <f t="shared" si="350"/>
        <v>386</v>
      </c>
      <c r="V1616">
        <f t="shared" si="351"/>
        <v>142</v>
      </c>
      <c r="W1616">
        <f t="shared" si="352"/>
        <v>121</v>
      </c>
      <c r="X1616">
        <f t="shared" si="353"/>
        <v>0.35149999999999998</v>
      </c>
      <c r="Y1616" s="1">
        <f t="shared" si="354"/>
        <v>20094065</v>
      </c>
      <c r="Z1616">
        <f t="shared" si="355"/>
        <v>52057.163212435233</v>
      </c>
      <c r="AA1616">
        <f t="shared" si="356"/>
        <v>99996</v>
      </c>
      <c r="AB1616">
        <f t="shared" si="357"/>
        <v>5091</v>
      </c>
      <c r="AC1616">
        <f t="shared" si="358"/>
        <v>514281.06999999989</v>
      </c>
      <c r="AD1616">
        <f t="shared" si="359"/>
        <v>1332.3343782383417</v>
      </c>
      <c r="AE1616">
        <f t="shared" si="360"/>
        <v>0.35149999999999998</v>
      </c>
      <c r="AF1616">
        <f t="shared" si="361"/>
        <v>100931652.97000004</v>
      </c>
      <c r="AG1616" t="str">
        <f t="shared" si="362"/>
        <v>Active</v>
      </c>
      <c r="AH1616">
        <f t="shared" si="363"/>
        <v>7248.48</v>
      </c>
    </row>
    <row r="1617" spans="1:34" x14ac:dyDescent="0.35">
      <c r="A1617" t="s">
        <v>4247</v>
      </c>
      <c r="B1617" t="s">
        <v>4248</v>
      </c>
      <c r="C1617">
        <v>27</v>
      </c>
      <c r="D1617" t="s">
        <v>22</v>
      </c>
      <c r="E1617" t="s">
        <v>39</v>
      </c>
      <c r="F1617" t="s">
        <v>46</v>
      </c>
      <c r="G1617">
        <v>21059</v>
      </c>
      <c r="H1617">
        <v>305</v>
      </c>
      <c r="I1617">
        <v>30145</v>
      </c>
      <c r="J1617">
        <v>17.850000000000001</v>
      </c>
      <c r="K1617">
        <v>120</v>
      </c>
      <c r="L1617" t="s">
        <v>33</v>
      </c>
      <c r="M1617">
        <v>18.63</v>
      </c>
      <c r="N1617">
        <v>44952</v>
      </c>
      <c r="O1617">
        <v>156512</v>
      </c>
      <c r="P1617" t="s">
        <v>966</v>
      </c>
      <c r="Q1617" t="s">
        <v>42</v>
      </c>
      <c r="R1617" t="s">
        <v>28</v>
      </c>
      <c r="S1617" t="s">
        <v>29</v>
      </c>
      <c r="T1617">
        <v>296.05</v>
      </c>
      <c r="U1617">
        <f t="shared" si="350"/>
        <v>385</v>
      </c>
      <c r="V1617">
        <f t="shared" si="351"/>
        <v>141</v>
      </c>
      <c r="W1617">
        <f t="shared" si="352"/>
        <v>121</v>
      </c>
      <c r="X1617">
        <f t="shared" si="353"/>
        <v>0.35149999999999998</v>
      </c>
      <c r="Y1617" s="1">
        <f t="shared" si="354"/>
        <v>19996831</v>
      </c>
      <c r="Z1617">
        <f t="shared" si="355"/>
        <v>51939.820779220776</v>
      </c>
      <c r="AA1617">
        <f t="shared" si="356"/>
        <v>99996</v>
      </c>
      <c r="AB1617">
        <f t="shared" si="357"/>
        <v>5091</v>
      </c>
      <c r="AC1617">
        <f t="shared" si="358"/>
        <v>513677.02999999997</v>
      </c>
      <c r="AD1617">
        <f t="shared" si="359"/>
        <v>1334.2260519480519</v>
      </c>
      <c r="AE1617">
        <f t="shared" si="360"/>
        <v>0.35149999999999998</v>
      </c>
      <c r="AF1617">
        <f t="shared" si="361"/>
        <v>100417371.90000004</v>
      </c>
      <c r="AG1617" t="str">
        <f t="shared" si="362"/>
        <v>Active</v>
      </c>
      <c r="AH1617">
        <f t="shared" si="363"/>
        <v>3552.6000000000004</v>
      </c>
    </row>
    <row r="1618" spans="1:34" x14ac:dyDescent="0.35">
      <c r="A1618" t="s">
        <v>4249</v>
      </c>
      <c r="B1618" t="s">
        <v>4250</v>
      </c>
      <c r="C1618">
        <v>59</v>
      </c>
      <c r="D1618" t="s">
        <v>38</v>
      </c>
      <c r="E1618" t="s">
        <v>39</v>
      </c>
      <c r="F1618" t="s">
        <v>59</v>
      </c>
      <c r="G1618">
        <v>183284</v>
      </c>
      <c r="H1618">
        <v>575</v>
      </c>
      <c r="I1618">
        <v>18218</v>
      </c>
      <c r="J1618">
        <v>15.28</v>
      </c>
      <c r="K1618">
        <v>24</v>
      </c>
      <c r="L1618" t="s">
        <v>33</v>
      </c>
      <c r="M1618">
        <v>7.52</v>
      </c>
      <c r="N1618">
        <v>34824</v>
      </c>
      <c r="O1618">
        <v>165919</v>
      </c>
      <c r="P1618" t="s">
        <v>4064</v>
      </c>
      <c r="Q1618" t="s">
        <v>42</v>
      </c>
      <c r="R1618" t="s">
        <v>28</v>
      </c>
      <c r="S1618" t="s">
        <v>35</v>
      </c>
      <c r="T1618">
        <v>875.07</v>
      </c>
      <c r="U1618">
        <f t="shared" si="350"/>
        <v>384</v>
      </c>
      <c r="V1618">
        <f t="shared" si="351"/>
        <v>140</v>
      </c>
      <c r="W1618">
        <f t="shared" si="352"/>
        <v>121</v>
      </c>
      <c r="X1618">
        <f t="shared" si="353"/>
        <v>0.35149999999999998</v>
      </c>
      <c r="Y1618" s="1">
        <f t="shared" si="354"/>
        <v>19966686</v>
      </c>
      <c r="Z1618">
        <f t="shared" si="355"/>
        <v>51996.578125</v>
      </c>
      <c r="AA1618">
        <f t="shared" si="356"/>
        <v>99996</v>
      </c>
      <c r="AB1618">
        <f t="shared" si="357"/>
        <v>5091</v>
      </c>
      <c r="AC1618">
        <f t="shared" si="358"/>
        <v>513380.97999999992</v>
      </c>
      <c r="AD1618">
        <f t="shared" si="359"/>
        <v>1336.9296354166665</v>
      </c>
      <c r="AE1618">
        <f t="shared" si="360"/>
        <v>0.35149999999999998</v>
      </c>
      <c r="AF1618">
        <f t="shared" si="361"/>
        <v>99903694.870000035</v>
      </c>
      <c r="AG1618" t="str">
        <f t="shared" si="362"/>
        <v>Active</v>
      </c>
      <c r="AH1618">
        <f t="shared" si="363"/>
        <v>10500.84</v>
      </c>
    </row>
    <row r="1619" spans="1:34" x14ac:dyDescent="0.35">
      <c r="A1619" t="s">
        <v>4251</v>
      </c>
      <c r="B1619" t="s">
        <v>4252</v>
      </c>
      <c r="C1619">
        <v>30</v>
      </c>
      <c r="D1619" t="s">
        <v>22</v>
      </c>
      <c r="E1619" t="s">
        <v>39</v>
      </c>
      <c r="F1619" t="s">
        <v>46</v>
      </c>
      <c r="G1619">
        <v>147975</v>
      </c>
      <c r="H1619">
        <v>717</v>
      </c>
      <c r="I1619">
        <v>99996</v>
      </c>
      <c r="J1619">
        <v>16.89</v>
      </c>
      <c r="K1619">
        <v>120</v>
      </c>
      <c r="L1619" t="s">
        <v>86</v>
      </c>
      <c r="M1619">
        <v>16.100000000000001</v>
      </c>
      <c r="N1619">
        <v>73475</v>
      </c>
      <c r="O1619">
        <v>30553</v>
      </c>
      <c r="P1619" t="s">
        <v>2283</v>
      </c>
      <c r="Q1619" t="s">
        <v>61</v>
      </c>
      <c r="R1619" t="s">
        <v>28</v>
      </c>
      <c r="S1619" t="s">
        <v>43</v>
      </c>
      <c r="T1619">
        <v>974.04</v>
      </c>
      <c r="U1619">
        <f t="shared" si="350"/>
        <v>383</v>
      </c>
      <c r="V1619">
        <f t="shared" si="351"/>
        <v>139</v>
      </c>
      <c r="W1619">
        <f t="shared" si="352"/>
        <v>121</v>
      </c>
      <c r="X1619">
        <f t="shared" si="353"/>
        <v>0.35149999999999998</v>
      </c>
      <c r="Y1619" s="1">
        <f t="shared" si="354"/>
        <v>19948468</v>
      </c>
      <c r="Z1619">
        <f t="shared" si="355"/>
        <v>52084.772845953004</v>
      </c>
      <c r="AA1619">
        <f t="shared" si="356"/>
        <v>99996</v>
      </c>
      <c r="AB1619">
        <f t="shared" si="357"/>
        <v>5091</v>
      </c>
      <c r="AC1619">
        <f t="shared" si="358"/>
        <v>512505.90999999992</v>
      </c>
      <c r="AD1619">
        <f t="shared" si="359"/>
        <v>1338.1355352480416</v>
      </c>
      <c r="AE1619">
        <f t="shared" si="360"/>
        <v>0.35149999999999998</v>
      </c>
      <c r="AF1619">
        <f t="shared" si="361"/>
        <v>99390313.89000003</v>
      </c>
      <c r="AG1619" t="str">
        <f t="shared" si="362"/>
        <v>Active</v>
      </c>
      <c r="AH1619">
        <f t="shared" si="363"/>
        <v>11688.48</v>
      </c>
    </row>
    <row r="1620" spans="1:34" x14ac:dyDescent="0.35">
      <c r="A1620" t="s">
        <v>4253</v>
      </c>
      <c r="B1620" t="s">
        <v>4254</v>
      </c>
      <c r="C1620">
        <v>64</v>
      </c>
      <c r="D1620" t="s">
        <v>38</v>
      </c>
      <c r="E1620" t="s">
        <v>32</v>
      </c>
      <c r="F1620" t="s">
        <v>24</v>
      </c>
      <c r="G1620">
        <v>119725</v>
      </c>
      <c r="H1620">
        <v>662</v>
      </c>
      <c r="I1620">
        <v>6164</v>
      </c>
      <c r="J1620">
        <v>5.6</v>
      </c>
      <c r="K1620">
        <v>180</v>
      </c>
      <c r="L1620" t="s">
        <v>52</v>
      </c>
      <c r="M1620">
        <v>10.74</v>
      </c>
      <c r="N1620">
        <v>42502</v>
      </c>
      <c r="O1620">
        <v>196300</v>
      </c>
      <c r="P1620" t="s">
        <v>4255</v>
      </c>
      <c r="Q1620" t="s">
        <v>61</v>
      </c>
      <c r="R1620" t="s">
        <v>28</v>
      </c>
      <c r="S1620" t="s">
        <v>29</v>
      </c>
      <c r="T1620">
        <v>36.159999999999997</v>
      </c>
      <c r="U1620">
        <f t="shared" si="350"/>
        <v>382</v>
      </c>
      <c r="V1620">
        <f t="shared" si="351"/>
        <v>139</v>
      </c>
      <c r="W1620">
        <f t="shared" si="352"/>
        <v>120</v>
      </c>
      <c r="X1620">
        <f t="shared" si="353"/>
        <v>0.35149999999999998</v>
      </c>
      <c r="Y1620" s="1">
        <f t="shared" si="354"/>
        <v>19848472</v>
      </c>
      <c r="Z1620">
        <f t="shared" si="355"/>
        <v>51959.350785340313</v>
      </c>
      <c r="AA1620">
        <f t="shared" si="356"/>
        <v>99664</v>
      </c>
      <c r="AB1620">
        <f t="shared" si="357"/>
        <v>5091</v>
      </c>
      <c r="AC1620">
        <f t="shared" si="358"/>
        <v>511531.86999999994</v>
      </c>
      <c r="AD1620">
        <f t="shared" si="359"/>
        <v>1339.0886649214658</v>
      </c>
      <c r="AE1620">
        <f t="shared" si="360"/>
        <v>0.35149999999999998</v>
      </c>
      <c r="AF1620">
        <f t="shared" si="361"/>
        <v>98877807.980000019</v>
      </c>
      <c r="AG1620" t="str">
        <f t="shared" si="362"/>
        <v>Active</v>
      </c>
      <c r="AH1620">
        <f t="shared" si="363"/>
        <v>433.91999999999996</v>
      </c>
    </row>
    <row r="1621" spans="1:34" x14ac:dyDescent="0.35">
      <c r="A1621" t="s">
        <v>4256</v>
      </c>
      <c r="B1621" t="s">
        <v>4257</v>
      </c>
      <c r="C1621">
        <v>58</v>
      </c>
      <c r="D1621" t="s">
        <v>38</v>
      </c>
      <c r="E1621" t="s">
        <v>23</v>
      </c>
      <c r="F1621" t="s">
        <v>46</v>
      </c>
      <c r="G1621">
        <v>86317</v>
      </c>
      <c r="H1621">
        <v>848</v>
      </c>
      <c r="I1621">
        <v>76087</v>
      </c>
      <c r="J1621">
        <v>22.66</v>
      </c>
      <c r="K1621">
        <v>48</v>
      </c>
      <c r="L1621" t="s">
        <v>86</v>
      </c>
      <c r="M1621">
        <v>14.53</v>
      </c>
      <c r="N1621">
        <v>10366</v>
      </c>
      <c r="O1621">
        <v>14230</v>
      </c>
      <c r="P1621" t="s">
        <v>3464</v>
      </c>
      <c r="Q1621" t="s">
        <v>61</v>
      </c>
      <c r="R1621" t="s">
        <v>28</v>
      </c>
      <c r="S1621" t="s">
        <v>43</v>
      </c>
      <c r="T1621">
        <v>1944.34</v>
      </c>
      <c r="U1621">
        <f t="shared" si="350"/>
        <v>381</v>
      </c>
      <c r="V1621">
        <f t="shared" si="351"/>
        <v>139</v>
      </c>
      <c r="W1621">
        <f t="shared" si="352"/>
        <v>119</v>
      </c>
      <c r="X1621">
        <f t="shared" si="353"/>
        <v>0.35149999999999998</v>
      </c>
      <c r="Y1621" s="1">
        <f t="shared" si="354"/>
        <v>19842308</v>
      </c>
      <c r="Z1621">
        <f t="shared" si="355"/>
        <v>52079.548556430447</v>
      </c>
      <c r="AA1621">
        <f t="shared" si="356"/>
        <v>99664</v>
      </c>
      <c r="AB1621">
        <f t="shared" si="357"/>
        <v>5091</v>
      </c>
      <c r="AC1621">
        <f t="shared" si="358"/>
        <v>511495.7099999999</v>
      </c>
      <c r="AD1621">
        <f t="shared" si="359"/>
        <v>1342.5084251968501</v>
      </c>
      <c r="AE1621">
        <f t="shared" si="360"/>
        <v>0.35149999999999998</v>
      </c>
      <c r="AF1621">
        <f t="shared" si="361"/>
        <v>98366276.110000029</v>
      </c>
      <c r="AG1621" t="str">
        <f t="shared" si="362"/>
        <v>Active</v>
      </c>
      <c r="AH1621">
        <f t="shared" si="363"/>
        <v>23332.079999999998</v>
      </c>
    </row>
    <row r="1622" spans="1:34" x14ac:dyDescent="0.35">
      <c r="A1622" t="s">
        <v>4258</v>
      </c>
      <c r="B1622" t="s">
        <v>4259</v>
      </c>
      <c r="C1622">
        <v>33</v>
      </c>
      <c r="D1622" t="s">
        <v>38</v>
      </c>
      <c r="E1622" t="s">
        <v>23</v>
      </c>
      <c r="F1622" t="s">
        <v>46</v>
      </c>
      <c r="G1622">
        <v>102835</v>
      </c>
      <c r="H1622">
        <v>383</v>
      </c>
      <c r="I1622">
        <v>78015</v>
      </c>
      <c r="J1622">
        <v>16.239999999999998</v>
      </c>
      <c r="K1622">
        <v>48</v>
      </c>
      <c r="L1622" t="s">
        <v>86</v>
      </c>
      <c r="M1622">
        <v>19.34</v>
      </c>
      <c r="N1622">
        <v>18729</v>
      </c>
      <c r="O1622">
        <v>41475</v>
      </c>
      <c r="P1622" t="s">
        <v>2593</v>
      </c>
      <c r="Q1622" t="s">
        <v>27</v>
      </c>
      <c r="R1622" t="s">
        <v>28</v>
      </c>
      <c r="S1622" t="s">
        <v>29</v>
      </c>
      <c r="T1622">
        <v>1889.26</v>
      </c>
      <c r="U1622">
        <f t="shared" si="350"/>
        <v>380</v>
      </c>
      <c r="V1622">
        <f t="shared" si="351"/>
        <v>139</v>
      </c>
      <c r="W1622">
        <f t="shared" si="352"/>
        <v>118</v>
      </c>
      <c r="X1622">
        <f t="shared" si="353"/>
        <v>0.35149999999999998</v>
      </c>
      <c r="Y1622" s="1">
        <f t="shared" si="354"/>
        <v>19766221</v>
      </c>
      <c r="Z1622">
        <f t="shared" si="355"/>
        <v>52016.371052631577</v>
      </c>
      <c r="AA1622">
        <f t="shared" si="356"/>
        <v>99664</v>
      </c>
      <c r="AB1622">
        <f t="shared" si="357"/>
        <v>5091</v>
      </c>
      <c r="AC1622">
        <f t="shared" si="358"/>
        <v>509551.36999999994</v>
      </c>
      <c r="AD1622">
        <f t="shared" si="359"/>
        <v>1340.9246578947366</v>
      </c>
      <c r="AE1622">
        <f t="shared" si="360"/>
        <v>0.35149999999999998</v>
      </c>
      <c r="AF1622">
        <f t="shared" si="361"/>
        <v>97854780.400000021</v>
      </c>
      <c r="AG1622" t="str">
        <f t="shared" si="362"/>
        <v>Active</v>
      </c>
      <c r="AH1622">
        <f t="shared" si="363"/>
        <v>22671.119999999999</v>
      </c>
    </row>
    <row r="1623" spans="1:34" x14ac:dyDescent="0.35">
      <c r="A1623" t="s">
        <v>4260</v>
      </c>
      <c r="B1623" t="s">
        <v>4261</v>
      </c>
      <c r="C1623">
        <v>43</v>
      </c>
      <c r="D1623" t="s">
        <v>22</v>
      </c>
      <c r="E1623" t="s">
        <v>39</v>
      </c>
      <c r="F1623" t="s">
        <v>59</v>
      </c>
      <c r="G1623">
        <v>98937</v>
      </c>
      <c r="H1623">
        <v>644</v>
      </c>
      <c r="I1623">
        <v>37587</v>
      </c>
      <c r="J1623">
        <v>12.68</v>
      </c>
      <c r="K1623">
        <v>60</v>
      </c>
      <c r="L1623" t="s">
        <v>52</v>
      </c>
      <c r="M1623">
        <v>55.73</v>
      </c>
      <c r="N1623">
        <v>37093</v>
      </c>
      <c r="O1623">
        <v>111278</v>
      </c>
      <c r="P1623" t="s">
        <v>4262</v>
      </c>
      <c r="Q1623" t="s">
        <v>27</v>
      </c>
      <c r="R1623" t="s">
        <v>48</v>
      </c>
      <c r="S1623" t="s">
        <v>29</v>
      </c>
      <c r="T1623">
        <v>705.88</v>
      </c>
      <c r="U1623">
        <f t="shared" si="350"/>
        <v>379</v>
      </c>
      <c r="V1623">
        <f t="shared" si="351"/>
        <v>139</v>
      </c>
      <c r="W1623">
        <f t="shared" si="352"/>
        <v>118</v>
      </c>
      <c r="X1623">
        <f t="shared" si="353"/>
        <v>0.35149999999999998</v>
      </c>
      <c r="Y1623" s="1">
        <f t="shared" si="354"/>
        <v>19688206</v>
      </c>
      <c r="Z1623">
        <f t="shared" si="355"/>
        <v>51947.77308707124</v>
      </c>
      <c r="AA1623">
        <f t="shared" si="356"/>
        <v>99664</v>
      </c>
      <c r="AB1623">
        <f t="shared" si="357"/>
        <v>5091</v>
      </c>
      <c r="AC1623">
        <f t="shared" si="358"/>
        <v>507662.10999999993</v>
      </c>
      <c r="AD1623">
        <f t="shared" si="359"/>
        <v>1339.4778627968335</v>
      </c>
      <c r="AE1623">
        <f t="shared" si="360"/>
        <v>0.35149999999999998</v>
      </c>
      <c r="AF1623">
        <f t="shared" si="361"/>
        <v>97345229.030000016</v>
      </c>
      <c r="AG1623" t="str">
        <f t="shared" si="362"/>
        <v>Active</v>
      </c>
      <c r="AH1623">
        <f t="shared" si="363"/>
        <v>8470.56</v>
      </c>
    </row>
    <row r="1624" spans="1:34" x14ac:dyDescent="0.35">
      <c r="A1624" t="s">
        <v>4263</v>
      </c>
      <c r="B1624" t="s">
        <v>4264</v>
      </c>
      <c r="C1624">
        <v>37</v>
      </c>
      <c r="D1624" t="s">
        <v>38</v>
      </c>
      <c r="E1624" t="s">
        <v>23</v>
      </c>
      <c r="F1624" t="s">
        <v>46</v>
      </c>
      <c r="G1624">
        <v>112513</v>
      </c>
      <c r="H1624">
        <v>534</v>
      </c>
      <c r="I1624">
        <v>56989</v>
      </c>
      <c r="J1624">
        <v>23.26</v>
      </c>
      <c r="K1624">
        <v>12</v>
      </c>
      <c r="L1624" t="s">
        <v>52</v>
      </c>
      <c r="M1624">
        <v>12.35</v>
      </c>
      <c r="N1624">
        <v>53105</v>
      </c>
      <c r="O1624">
        <v>163336</v>
      </c>
      <c r="P1624" t="s">
        <v>1191</v>
      </c>
      <c r="Q1624" t="s">
        <v>42</v>
      </c>
      <c r="R1624" t="s">
        <v>48</v>
      </c>
      <c r="S1624" t="s">
        <v>49</v>
      </c>
      <c r="T1624">
        <v>5853.72</v>
      </c>
      <c r="U1624">
        <f t="shared" si="350"/>
        <v>378</v>
      </c>
      <c r="V1624">
        <f t="shared" si="351"/>
        <v>139</v>
      </c>
      <c r="W1624">
        <f t="shared" si="352"/>
        <v>118</v>
      </c>
      <c r="X1624">
        <f t="shared" si="353"/>
        <v>0.35149999999999998</v>
      </c>
      <c r="Y1624" s="1">
        <f t="shared" si="354"/>
        <v>19650619</v>
      </c>
      <c r="Z1624">
        <f t="shared" si="355"/>
        <v>51985.764550264554</v>
      </c>
      <c r="AA1624">
        <f t="shared" si="356"/>
        <v>99664</v>
      </c>
      <c r="AB1624">
        <f t="shared" si="357"/>
        <v>5091</v>
      </c>
      <c r="AC1624">
        <f t="shared" si="358"/>
        <v>506956.22999999992</v>
      </c>
      <c r="AD1624">
        <f t="shared" si="359"/>
        <v>1341.1540476190473</v>
      </c>
      <c r="AE1624">
        <f t="shared" si="360"/>
        <v>0.35149999999999998</v>
      </c>
      <c r="AF1624">
        <f t="shared" si="361"/>
        <v>96837566.920000017</v>
      </c>
      <c r="AG1624" t="str">
        <f t="shared" si="362"/>
        <v>Active</v>
      </c>
      <c r="AH1624">
        <f t="shared" si="363"/>
        <v>70244.639999999999</v>
      </c>
    </row>
    <row r="1625" spans="1:34" x14ac:dyDescent="0.35">
      <c r="A1625" t="s">
        <v>4265</v>
      </c>
      <c r="B1625" t="s">
        <v>4266</v>
      </c>
      <c r="C1625">
        <v>52</v>
      </c>
      <c r="D1625" t="s">
        <v>22</v>
      </c>
      <c r="E1625" t="s">
        <v>39</v>
      </c>
      <c r="F1625" t="s">
        <v>59</v>
      </c>
      <c r="G1625">
        <v>36966</v>
      </c>
      <c r="H1625">
        <v>508</v>
      </c>
      <c r="I1625">
        <v>36185</v>
      </c>
      <c r="J1625">
        <v>16.010000000000002</v>
      </c>
      <c r="K1625">
        <v>240</v>
      </c>
      <c r="L1625" t="s">
        <v>52</v>
      </c>
      <c r="M1625">
        <v>44.37</v>
      </c>
      <c r="N1625">
        <v>59262</v>
      </c>
      <c r="O1625">
        <v>240462</v>
      </c>
      <c r="P1625" t="s">
        <v>3181</v>
      </c>
      <c r="Q1625" t="s">
        <v>27</v>
      </c>
      <c r="R1625" t="s">
        <v>28</v>
      </c>
      <c r="S1625" t="s">
        <v>43</v>
      </c>
      <c r="T1625">
        <v>174.91</v>
      </c>
      <c r="U1625">
        <f t="shared" si="350"/>
        <v>377</v>
      </c>
      <c r="V1625">
        <f t="shared" si="351"/>
        <v>138</v>
      </c>
      <c r="W1625">
        <f t="shared" si="352"/>
        <v>118</v>
      </c>
      <c r="X1625">
        <f t="shared" si="353"/>
        <v>0.35149999999999998</v>
      </c>
      <c r="Y1625" s="1">
        <f t="shared" si="354"/>
        <v>19593630</v>
      </c>
      <c r="Z1625">
        <f t="shared" si="355"/>
        <v>51972.493368700263</v>
      </c>
      <c r="AA1625">
        <f t="shared" si="356"/>
        <v>99664</v>
      </c>
      <c r="AB1625">
        <f t="shared" si="357"/>
        <v>5091</v>
      </c>
      <c r="AC1625">
        <f t="shared" si="358"/>
        <v>501102.51</v>
      </c>
      <c r="AD1625">
        <f t="shared" si="359"/>
        <v>1329.1843766578249</v>
      </c>
      <c r="AE1625">
        <f t="shared" si="360"/>
        <v>0.35149999999999998</v>
      </c>
      <c r="AF1625">
        <f t="shared" si="361"/>
        <v>96330610.690000013</v>
      </c>
      <c r="AG1625" t="str">
        <f t="shared" si="362"/>
        <v>Over Paid</v>
      </c>
      <c r="AH1625">
        <f t="shared" si="363"/>
        <v>2098.92</v>
      </c>
    </row>
    <row r="1626" spans="1:34" x14ac:dyDescent="0.35">
      <c r="A1626" t="s">
        <v>4267</v>
      </c>
      <c r="B1626" t="s">
        <v>4268</v>
      </c>
      <c r="C1626">
        <v>65</v>
      </c>
      <c r="D1626" t="s">
        <v>38</v>
      </c>
      <c r="E1626" t="s">
        <v>39</v>
      </c>
      <c r="F1626" t="s">
        <v>46</v>
      </c>
      <c r="G1626">
        <v>146244</v>
      </c>
      <c r="H1626">
        <v>455</v>
      </c>
      <c r="I1626">
        <v>65796</v>
      </c>
      <c r="J1626">
        <v>19.05</v>
      </c>
      <c r="K1626">
        <v>360</v>
      </c>
      <c r="L1626" t="s">
        <v>33</v>
      </c>
      <c r="M1626">
        <v>43.46</v>
      </c>
      <c r="N1626">
        <v>22916</v>
      </c>
      <c r="O1626">
        <v>213194</v>
      </c>
      <c r="P1626" t="s">
        <v>4033</v>
      </c>
      <c r="Q1626" t="s">
        <v>42</v>
      </c>
      <c r="R1626" t="s">
        <v>48</v>
      </c>
      <c r="S1626" t="s">
        <v>68</v>
      </c>
      <c r="T1626">
        <v>217.58</v>
      </c>
      <c r="U1626">
        <f t="shared" si="350"/>
        <v>376</v>
      </c>
      <c r="V1626">
        <f t="shared" si="351"/>
        <v>138</v>
      </c>
      <c r="W1626">
        <f t="shared" si="352"/>
        <v>118</v>
      </c>
      <c r="X1626">
        <f t="shared" si="353"/>
        <v>0.35149999999999998</v>
      </c>
      <c r="Y1626" s="1">
        <f t="shared" si="354"/>
        <v>19557445</v>
      </c>
      <c r="Z1626">
        <f t="shared" si="355"/>
        <v>52014.481382978724</v>
      </c>
      <c r="AA1626">
        <f t="shared" si="356"/>
        <v>99664</v>
      </c>
      <c r="AB1626">
        <f t="shared" si="357"/>
        <v>5091</v>
      </c>
      <c r="AC1626">
        <f t="shared" si="358"/>
        <v>500927.6</v>
      </c>
      <c r="AD1626">
        <f t="shared" si="359"/>
        <v>1332.2542553191488</v>
      </c>
      <c r="AE1626">
        <f t="shared" si="360"/>
        <v>0.35149999999999998</v>
      </c>
      <c r="AF1626">
        <f t="shared" si="361"/>
        <v>95829508.180000007</v>
      </c>
      <c r="AG1626" t="str">
        <f t="shared" si="362"/>
        <v>Active</v>
      </c>
      <c r="AH1626">
        <f t="shared" si="363"/>
        <v>2610.96</v>
      </c>
    </row>
    <row r="1627" spans="1:34" x14ac:dyDescent="0.35">
      <c r="A1627" t="s">
        <v>4269</v>
      </c>
      <c r="B1627" t="s">
        <v>4270</v>
      </c>
      <c r="C1627">
        <v>44</v>
      </c>
      <c r="D1627" t="s">
        <v>22</v>
      </c>
      <c r="E1627" t="s">
        <v>32</v>
      </c>
      <c r="F1627" t="s">
        <v>46</v>
      </c>
      <c r="G1627">
        <v>68748</v>
      </c>
      <c r="H1627">
        <v>525</v>
      </c>
      <c r="I1627">
        <v>65632</v>
      </c>
      <c r="J1627">
        <v>8.0299999999999994</v>
      </c>
      <c r="K1627">
        <v>240</v>
      </c>
      <c r="L1627" t="s">
        <v>86</v>
      </c>
      <c r="M1627">
        <v>12.12</v>
      </c>
      <c r="N1627">
        <v>26624</v>
      </c>
      <c r="O1627">
        <v>11894</v>
      </c>
      <c r="P1627" t="s">
        <v>1018</v>
      </c>
      <c r="Q1627" t="s">
        <v>27</v>
      </c>
      <c r="R1627" t="s">
        <v>28</v>
      </c>
      <c r="S1627" t="s">
        <v>35</v>
      </c>
      <c r="T1627">
        <v>295.43</v>
      </c>
      <c r="U1627">
        <f t="shared" si="350"/>
        <v>375</v>
      </c>
      <c r="V1627">
        <f t="shared" si="351"/>
        <v>137</v>
      </c>
      <c r="W1627">
        <f t="shared" si="352"/>
        <v>118</v>
      </c>
      <c r="X1627">
        <f t="shared" si="353"/>
        <v>0.35149999999999998</v>
      </c>
      <c r="Y1627" s="1">
        <f t="shared" si="354"/>
        <v>19491649</v>
      </c>
      <c r="Z1627">
        <f t="shared" si="355"/>
        <v>51977.73066666667</v>
      </c>
      <c r="AA1627">
        <f t="shared" si="356"/>
        <v>99664</v>
      </c>
      <c r="AB1627">
        <f t="shared" si="357"/>
        <v>5091</v>
      </c>
      <c r="AC1627">
        <f t="shared" si="358"/>
        <v>500710.02</v>
      </c>
      <c r="AD1627">
        <f t="shared" si="359"/>
        <v>1335.2267200000001</v>
      </c>
      <c r="AE1627">
        <f t="shared" si="360"/>
        <v>0.35149999999999998</v>
      </c>
      <c r="AF1627">
        <f t="shared" si="361"/>
        <v>95328580.579999998</v>
      </c>
      <c r="AG1627" t="str">
        <f t="shared" si="362"/>
        <v>Active</v>
      </c>
      <c r="AH1627">
        <f t="shared" si="363"/>
        <v>3545.16</v>
      </c>
    </row>
    <row r="1628" spans="1:34" x14ac:dyDescent="0.35">
      <c r="A1628" t="s">
        <v>4271</v>
      </c>
      <c r="B1628" t="s">
        <v>4272</v>
      </c>
      <c r="C1628">
        <v>63</v>
      </c>
      <c r="D1628" t="s">
        <v>38</v>
      </c>
      <c r="E1628" t="s">
        <v>23</v>
      </c>
      <c r="F1628" t="s">
        <v>24</v>
      </c>
      <c r="G1628">
        <v>185336</v>
      </c>
      <c r="H1628">
        <v>319</v>
      </c>
      <c r="I1628">
        <v>39430</v>
      </c>
      <c r="J1628">
        <v>5.63</v>
      </c>
      <c r="K1628">
        <v>180</v>
      </c>
      <c r="L1628" t="s">
        <v>25</v>
      </c>
      <c r="M1628">
        <v>6.05</v>
      </c>
      <c r="N1628">
        <v>37019</v>
      </c>
      <c r="O1628">
        <v>109793</v>
      </c>
      <c r="P1628" t="s">
        <v>3637</v>
      </c>
      <c r="Q1628" t="s">
        <v>42</v>
      </c>
      <c r="R1628" t="s">
        <v>28</v>
      </c>
      <c r="S1628" t="s">
        <v>49</v>
      </c>
      <c r="T1628">
        <v>231.39</v>
      </c>
      <c r="U1628">
        <f t="shared" si="350"/>
        <v>374</v>
      </c>
      <c r="V1628">
        <f t="shared" si="351"/>
        <v>137</v>
      </c>
      <c r="W1628">
        <f t="shared" si="352"/>
        <v>118</v>
      </c>
      <c r="X1628">
        <f t="shared" si="353"/>
        <v>0.35149999999999998</v>
      </c>
      <c r="Y1628" s="1">
        <f t="shared" si="354"/>
        <v>19426017</v>
      </c>
      <c r="Z1628">
        <f t="shared" si="355"/>
        <v>51941.221925133686</v>
      </c>
      <c r="AA1628">
        <f t="shared" si="356"/>
        <v>99664</v>
      </c>
      <c r="AB1628">
        <f t="shared" si="357"/>
        <v>5091</v>
      </c>
      <c r="AC1628">
        <f t="shared" si="358"/>
        <v>500414.59</v>
      </c>
      <c r="AD1628">
        <f t="shared" si="359"/>
        <v>1338.0069251336899</v>
      </c>
      <c r="AE1628">
        <f t="shared" si="360"/>
        <v>0.35149999999999998</v>
      </c>
      <c r="AF1628">
        <f t="shared" si="361"/>
        <v>94827870.560000002</v>
      </c>
      <c r="AG1628" t="str">
        <f t="shared" si="362"/>
        <v>Active</v>
      </c>
      <c r="AH1628">
        <f t="shared" si="363"/>
        <v>2776.68</v>
      </c>
    </row>
    <row r="1629" spans="1:34" x14ac:dyDescent="0.35">
      <c r="A1629" t="s">
        <v>4273</v>
      </c>
      <c r="B1629" t="s">
        <v>4274</v>
      </c>
      <c r="C1629">
        <v>41</v>
      </c>
      <c r="D1629" t="s">
        <v>38</v>
      </c>
      <c r="E1629" t="s">
        <v>23</v>
      </c>
      <c r="F1629" t="s">
        <v>59</v>
      </c>
      <c r="G1629">
        <v>67785</v>
      </c>
      <c r="H1629">
        <v>356</v>
      </c>
      <c r="I1629">
        <v>54234</v>
      </c>
      <c r="J1629">
        <v>3.98</v>
      </c>
      <c r="K1629">
        <v>360</v>
      </c>
      <c r="L1629" t="s">
        <v>86</v>
      </c>
      <c r="M1629">
        <v>25.47</v>
      </c>
      <c r="N1629">
        <v>13975</v>
      </c>
      <c r="O1629">
        <v>196911</v>
      </c>
      <c r="P1629" t="s">
        <v>4275</v>
      </c>
      <c r="Q1629" t="s">
        <v>61</v>
      </c>
      <c r="R1629" t="s">
        <v>28</v>
      </c>
      <c r="S1629" t="s">
        <v>35</v>
      </c>
      <c r="T1629">
        <v>156.65</v>
      </c>
      <c r="U1629">
        <f t="shared" si="350"/>
        <v>373</v>
      </c>
      <c r="V1629">
        <f t="shared" si="351"/>
        <v>136</v>
      </c>
      <c r="W1629">
        <f t="shared" si="352"/>
        <v>118</v>
      </c>
      <c r="X1629">
        <f t="shared" si="353"/>
        <v>0.35149999999999998</v>
      </c>
      <c r="Y1629" s="1">
        <f t="shared" si="354"/>
        <v>19386587</v>
      </c>
      <c r="Z1629">
        <f t="shared" si="355"/>
        <v>51974.764075067025</v>
      </c>
      <c r="AA1629">
        <f t="shared" si="356"/>
        <v>99664</v>
      </c>
      <c r="AB1629">
        <f t="shared" si="357"/>
        <v>5091</v>
      </c>
      <c r="AC1629">
        <f t="shared" si="358"/>
        <v>500183.2</v>
      </c>
      <c r="AD1629">
        <f t="shared" si="359"/>
        <v>1340.9737265415549</v>
      </c>
      <c r="AE1629">
        <f t="shared" si="360"/>
        <v>0.35149999999999998</v>
      </c>
      <c r="AF1629">
        <f t="shared" si="361"/>
        <v>94327455.969999999</v>
      </c>
      <c r="AG1629" t="str">
        <f t="shared" si="362"/>
        <v>Active</v>
      </c>
      <c r="AH1629">
        <f t="shared" si="363"/>
        <v>1879.8000000000002</v>
      </c>
    </row>
    <row r="1630" spans="1:34" x14ac:dyDescent="0.35">
      <c r="A1630" t="s">
        <v>4276</v>
      </c>
      <c r="B1630" t="s">
        <v>4277</v>
      </c>
      <c r="C1630">
        <v>60</v>
      </c>
      <c r="D1630" t="s">
        <v>22</v>
      </c>
      <c r="E1630" t="s">
        <v>32</v>
      </c>
      <c r="F1630" t="s">
        <v>59</v>
      </c>
      <c r="G1630">
        <v>40586</v>
      </c>
      <c r="H1630">
        <v>818</v>
      </c>
      <c r="I1630">
        <v>92011</v>
      </c>
      <c r="J1630">
        <v>11.14</v>
      </c>
      <c r="K1630">
        <v>24</v>
      </c>
      <c r="L1630" t="s">
        <v>52</v>
      </c>
      <c r="M1630">
        <v>6.38</v>
      </c>
      <c r="N1630">
        <v>35991</v>
      </c>
      <c r="O1630">
        <v>137548</v>
      </c>
      <c r="P1630" t="s">
        <v>2259</v>
      </c>
      <c r="Q1630" t="s">
        <v>42</v>
      </c>
      <c r="R1630" t="s">
        <v>28</v>
      </c>
      <c r="S1630" t="s">
        <v>29</v>
      </c>
      <c r="T1630">
        <v>4260.88</v>
      </c>
      <c r="U1630">
        <f t="shared" si="350"/>
        <v>372</v>
      </c>
      <c r="V1630">
        <f t="shared" si="351"/>
        <v>136</v>
      </c>
      <c r="W1630">
        <f t="shared" si="352"/>
        <v>117</v>
      </c>
      <c r="X1630">
        <f t="shared" si="353"/>
        <v>0.35149999999999998</v>
      </c>
      <c r="Y1630" s="1">
        <f t="shared" si="354"/>
        <v>19332353</v>
      </c>
      <c r="Z1630">
        <f t="shared" si="355"/>
        <v>51968.690860215051</v>
      </c>
      <c r="AA1630">
        <f t="shared" si="356"/>
        <v>99664</v>
      </c>
      <c r="AB1630">
        <f t="shared" si="357"/>
        <v>5091</v>
      </c>
      <c r="AC1630">
        <f t="shared" si="358"/>
        <v>500026.55000000005</v>
      </c>
      <c r="AD1630">
        <f t="shared" si="359"/>
        <v>1344.1573924731183</v>
      </c>
      <c r="AE1630">
        <f t="shared" si="360"/>
        <v>0.35149999999999998</v>
      </c>
      <c r="AF1630">
        <f t="shared" si="361"/>
        <v>93827272.769999996</v>
      </c>
      <c r="AG1630" t="str">
        <f t="shared" si="362"/>
        <v>Active</v>
      </c>
      <c r="AH1630">
        <f t="shared" si="363"/>
        <v>51130.559999999998</v>
      </c>
    </row>
    <row r="1631" spans="1:34" x14ac:dyDescent="0.35">
      <c r="A1631" t="s">
        <v>4278</v>
      </c>
      <c r="B1631" t="s">
        <v>4279</v>
      </c>
      <c r="C1631">
        <v>40</v>
      </c>
      <c r="D1631" t="s">
        <v>22</v>
      </c>
      <c r="E1631" t="s">
        <v>32</v>
      </c>
      <c r="F1631" t="s">
        <v>24</v>
      </c>
      <c r="G1631">
        <v>124546</v>
      </c>
      <c r="H1631">
        <v>504</v>
      </c>
      <c r="I1631">
        <v>48418</v>
      </c>
      <c r="J1631">
        <v>19.079999999999998</v>
      </c>
      <c r="K1631">
        <v>120</v>
      </c>
      <c r="L1631" t="s">
        <v>40</v>
      </c>
      <c r="M1631">
        <v>26.13</v>
      </c>
      <c r="N1631">
        <v>7717</v>
      </c>
      <c r="O1631">
        <v>68640</v>
      </c>
      <c r="P1631" t="s">
        <v>4280</v>
      </c>
      <c r="Q1631" t="s">
        <v>61</v>
      </c>
      <c r="R1631" t="s">
        <v>48</v>
      </c>
      <c r="S1631" t="s">
        <v>49</v>
      </c>
      <c r="T1631">
        <v>480.47</v>
      </c>
      <c r="U1631">
        <f t="shared" si="350"/>
        <v>371</v>
      </c>
      <c r="V1631">
        <f t="shared" si="351"/>
        <v>135</v>
      </c>
      <c r="W1631">
        <f t="shared" si="352"/>
        <v>117</v>
      </c>
      <c r="X1631">
        <f t="shared" si="353"/>
        <v>0.35149999999999998</v>
      </c>
      <c r="Y1631" s="1">
        <f t="shared" si="354"/>
        <v>19240342</v>
      </c>
      <c r="Z1631">
        <f t="shared" si="355"/>
        <v>51860.760107816714</v>
      </c>
      <c r="AA1631">
        <f t="shared" si="356"/>
        <v>99664</v>
      </c>
      <c r="AB1631">
        <f t="shared" si="357"/>
        <v>5091</v>
      </c>
      <c r="AC1631">
        <f t="shared" si="358"/>
        <v>495765.67000000004</v>
      </c>
      <c r="AD1631">
        <f t="shared" si="359"/>
        <v>1336.2956064690029</v>
      </c>
      <c r="AE1631">
        <f t="shared" si="360"/>
        <v>0.35149999999999998</v>
      </c>
      <c r="AF1631">
        <f t="shared" si="361"/>
        <v>93327246.219999999</v>
      </c>
      <c r="AG1631" t="str">
        <f t="shared" si="362"/>
        <v>Active</v>
      </c>
      <c r="AH1631">
        <f t="shared" si="363"/>
        <v>5765.64</v>
      </c>
    </row>
    <row r="1632" spans="1:34" x14ac:dyDescent="0.35">
      <c r="A1632" t="s">
        <v>4281</v>
      </c>
      <c r="B1632" t="s">
        <v>4282</v>
      </c>
      <c r="C1632">
        <v>47</v>
      </c>
      <c r="D1632" t="s">
        <v>38</v>
      </c>
      <c r="E1632" t="s">
        <v>23</v>
      </c>
      <c r="F1632" t="s">
        <v>24</v>
      </c>
      <c r="G1632">
        <v>161787</v>
      </c>
      <c r="H1632">
        <v>438</v>
      </c>
      <c r="I1632">
        <v>57708</v>
      </c>
      <c r="J1632">
        <v>11.59</v>
      </c>
      <c r="K1632">
        <v>48</v>
      </c>
      <c r="L1632" t="s">
        <v>86</v>
      </c>
      <c r="M1632">
        <v>47.97</v>
      </c>
      <c r="N1632">
        <v>25958</v>
      </c>
      <c r="O1632">
        <v>143844</v>
      </c>
      <c r="P1632" t="s">
        <v>2177</v>
      </c>
      <c r="Q1632" t="s">
        <v>42</v>
      </c>
      <c r="R1632" t="s">
        <v>48</v>
      </c>
      <c r="S1632" t="s">
        <v>68</v>
      </c>
      <c r="T1632">
        <v>1341.59</v>
      </c>
      <c r="U1632">
        <f t="shared" si="350"/>
        <v>370</v>
      </c>
      <c r="V1632">
        <f t="shared" si="351"/>
        <v>135</v>
      </c>
      <c r="W1632">
        <f t="shared" si="352"/>
        <v>116</v>
      </c>
      <c r="X1632">
        <f t="shared" si="353"/>
        <v>0.35149999999999998</v>
      </c>
      <c r="Y1632" s="1">
        <f t="shared" si="354"/>
        <v>19191924</v>
      </c>
      <c r="Z1632">
        <f t="shared" si="355"/>
        <v>51870.064864864864</v>
      </c>
      <c r="AA1632">
        <f t="shared" si="356"/>
        <v>99664</v>
      </c>
      <c r="AB1632">
        <f t="shared" si="357"/>
        <v>5091</v>
      </c>
      <c r="AC1632">
        <f t="shared" si="358"/>
        <v>495285.2</v>
      </c>
      <c r="AD1632">
        <f t="shared" si="359"/>
        <v>1338.6086486486486</v>
      </c>
      <c r="AE1632">
        <f t="shared" si="360"/>
        <v>0.35149999999999998</v>
      </c>
      <c r="AF1632">
        <f t="shared" si="361"/>
        <v>92831480.549999982</v>
      </c>
      <c r="AG1632" t="str">
        <f t="shared" si="362"/>
        <v>Active</v>
      </c>
      <c r="AH1632">
        <f t="shared" si="363"/>
        <v>16099.079999999998</v>
      </c>
    </row>
    <row r="1633" spans="1:34" x14ac:dyDescent="0.35">
      <c r="A1633" t="s">
        <v>4283</v>
      </c>
      <c r="B1633" t="s">
        <v>4284</v>
      </c>
      <c r="C1633">
        <v>42</v>
      </c>
      <c r="D1633" t="s">
        <v>38</v>
      </c>
      <c r="E1633" t="s">
        <v>39</v>
      </c>
      <c r="F1633" t="s">
        <v>59</v>
      </c>
      <c r="G1633">
        <v>121601</v>
      </c>
      <c r="H1633">
        <v>346</v>
      </c>
      <c r="I1633">
        <v>33127</v>
      </c>
      <c r="J1633">
        <v>6.2</v>
      </c>
      <c r="K1633">
        <v>360</v>
      </c>
      <c r="L1633" t="s">
        <v>33</v>
      </c>
      <c r="M1633">
        <v>30.85</v>
      </c>
      <c r="N1633">
        <v>67112</v>
      </c>
      <c r="O1633">
        <v>124077</v>
      </c>
      <c r="P1633" t="s">
        <v>1303</v>
      </c>
      <c r="Q1633" t="s">
        <v>27</v>
      </c>
      <c r="R1633" t="s">
        <v>28</v>
      </c>
      <c r="S1633" t="s">
        <v>68</v>
      </c>
      <c r="T1633">
        <v>97.72</v>
      </c>
      <c r="U1633">
        <f t="shared" si="350"/>
        <v>369</v>
      </c>
      <c r="V1633">
        <f t="shared" si="351"/>
        <v>134</v>
      </c>
      <c r="W1633">
        <f t="shared" si="352"/>
        <v>116</v>
      </c>
      <c r="X1633">
        <f t="shared" si="353"/>
        <v>0.35149999999999998</v>
      </c>
      <c r="Y1633" s="1">
        <f t="shared" si="354"/>
        <v>19134216</v>
      </c>
      <c r="Z1633">
        <f t="shared" si="355"/>
        <v>51854.243902439026</v>
      </c>
      <c r="AA1633">
        <f t="shared" si="356"/>
        <v>99664</v>
      </c>
      <c r="AB1633">
        <f t="shared" si="357"/>
        <v>5091</v>
      </c>
      <c r="AC1633">
        <f t="shared" si="358"/>
        <v>493943.61000000004</v>
      </c>
      <c r="AD1633">
        <f t="shared" si="359"/>
        <v>1338.6005691056912</v>
      </c>
      <c r="AE1633">
        <f t="shared" si="360"/>
        <v>0.35149999999999998</v>
      </c>
      <c r="AF1633">
        <f t="shared" si="361"/>
        <v>92336195.349999994</v>
      </c>
      <c r="AG1633" t="str">
        <f t="shared" si="362"/>
        <v>Active</v>
      </c>
      <c r="AH1633">
        <f t="shared" si="363"/>
        <v>1172.6399999999999</v>
      </c>
    </row>
    <row r="1634" spans="1:34" x14ac:dyDescent="0.35">
      <c r="A1634" t="s">
        <v>4285</v>
      </c>
      <c r="B1634" t="s">
        <v>4286</v>
      </c>
      <c r="C1634">
        <v>62</v>
      </c>
      <c r="D1634" t="s">
        <v>22</v>
      </c>
      <c r="E1634" t="s">
        <v>32</v>
      </c>
      <c r="F1634" t="s">
        <v>59</v>
      </c>
      <c r="G1634">
        <v>20423</v>
      </c>
      <c r="H1634">
        <v>730</v>
      </c>
      <c r="I1634">
        <v>9585</v>
      </c>
      <c r="J1634">
        <v>5.96</v>
      </c>
      <c r="K1634">
        <v>240</v>
      </c>
      <c r="L1634" t="s">
        <v>52</v>
      </c>
      <c r="M1634">
        <v>51.62</v>
      </c>
      <c r="N1634">
        <v>55728</v>
      </c>
      <c r="O1634">
        <v>23075</v>
      </c>
      <c r="P1634" t="s">
        <v>4287</v>
      </c>
      <c r="Q1634" t="s">
        <v>27</v>
      </c>
      <c r="R1634" t="s">
        <v>48</v>
      </c>
      <c r="S1634" t="s">
        <v>43</v>
      </c>
      <c r="T1634">
        <v>42.32</v>
      </c>
      <c r="U1634">
        <f t="shared" si="350"/>
        <v>368</v>
      </c>
      <c r="V1634">
        <f t="shared" si="351"/>
        <v>134</v>
      </c>
      <c r="W1634">
        <f t="shared" si="352"/>
        <v>116</v>
      </c>
      <c r="X1634">
        <f t="shared" si="353"/>
        <v>0.35149999999999998</v>
      </c>
      <c r="Y1634" s="1">
        <f t="shared" si="354"/>
        <v>19101089</v>
      </c>
      <c r="Z1634">
        <f t="shared" si="355"/>
        <v>51905.133152173912</v>
      </c>
      <c r="AA1634">
        <f t="shared" si="356"/>
        <v>99664</v>
      </c>
      <c r="AB1634">
        <f t="shared" si="357"/>
        <v>5091</v>
      </c>
      <c r="AC1634">
        <f t="shared" si="358"/>
        <v>493845.89</v>
      </c>
      <c r="AD1634">
        <f t="shared" si="359"/>
        <v>1341.972527173913</v>
      </c>
      <c r="AE1634">
        <f t="shared" si="360"/>
        <v>0.35149999999999998</v>
      </c>
      <c r="AF1634">
        <f t="shared" si="361"/>
        <v>91842251.739999995</v>
      </c>
      <c r="AG1634" t="str">
        <f t="shared" si="362"/>
        <v>Active</v>
      </c>
      <c r="AH1634">
        <f t="shared" si="363"/>
        <v>507.84000000000003</v>
      </c>
    </row>
    <row r="1635" spans="1:34" x14ac:dyDescent="0.35">
      <c r="A1635" t="s">
        <v>4288</v>
      </c>
      <c r="B1635" t="s">
        <v>4289</v>
      </c>
      <c r="C1635">
        <v>25</v>
      </c>
      <c r="D1635" t="s">
        <v>22</v>
      </c>
      <c r="E1635" t="s">
        <v>39</v>
      </c>
      <c r="F1635" t="s">
        <v>24</v>
      </c>
      <c r="G1635">
        <v>119708</v>
      </c>
      <c r="H1635">
        <v>417</v>
      </c>
      <c r="I1635">
        <v>78599</v>
      </c>
      <c r="J1635">
        <v>4.74</v>
      </c>
      <c r="K1635">
        <v>360</v>
      </c>
      <c r="L1635" t="s">
        <v>40</v>
      </c>
      <c r="M1635">
        <v>51.95</v>
      </c>
      <c r="N1635">
        <v>23216</v>
      </c>
      <c r="O1635">
        <v>182305</v>
      </c>
      <c r="P1635" t="s">
        <v>41</v>
      </c>
      <c r="Q1635" t="s">
        <v>61</v>
      </c>
      <c r="R1635" t="s">
        <v>48</v>
      </c>
      <c r="S1635" t="s">
        <v>43</v>
      </c>
      <c r="T1635">
        <v>228.68</v>
      </c>
      <c r="U1635">
        <f t="shared" si="350"/>
        <v>367</v>
      </c>
      <c r="V1635">
        <f t="shared" si="351"/>
        <v>134</v>
      </c>
      <c r="W1635">
        <f t="shared" si="352"/>
        <v>116</v>
      </c>
      <c r="X1635">
        <f t="shared" si="353"/>
        <v>0.35149999999999998</v>
      </c>
      <c r="Y1635" s="1">
        <f t="shared" si="354"/>
        <v>19091504</v>
      </c>
      <c r="Z1635">
        <f t="shared" si="355"/>
        <v>52020.446866485014</v>
      </c>
      <c r="AA1635">
        <f t="shared" si="356"/>
        <v>99664</v>
      </c>
      <c r="AB1635">
        <f t="shared" si="357"/>
        <v>5091</v>
      </c>
      <c r="AC1635">
        <f t="shared" si="358"/>
        <v>493803.57</v>
      </c>
      <c r="AD1635">
        <f t="shared" si="359"/>
        <v>1345.5138147138964</v>
      </c>
      <c r="AE1635">
        <f t="shared" si="360"/>
        <v>0.35149999999999998</v>
      </c>
      <c r="AF1635">
        <f t="shared" si="361"/>
        <v>91348405.849999994</v>
      </c>
      <c r="AG1635" t="str">
        <f t="shared" si="362"/>
        <v>Active</v>
      </c>
      <c r="AH1635">
        <f t="shared" si="363"/>
        <v>2744.16</v>
      </c>
    </row>
    <row r="1636" spans="1:34" x14ac:dyDescent="0.35">
      <c r="A1636" t="s">
        <v>4290</v>
      </c>
      <c r="B1636" t="s">
        <v>4291</v>
      </c>
      <c r="C1636">
        <v>33</v>
      </c>
      <c r="D1636" t="s">
        <v>22</v>
      </c>
      <c r="E1636" t="s">
        <v>32</v>
      </c>
      <c r="F1636" t="s">
        <v>24</v>
      </c>
      <c r="G1636">
        <v>190242</v>
      </c>
      <c r="H1636">
        <v>443</v>
      </c>
      <c r="I1636">
        <v>41030</v>
      </c>
      <c r="J1636">
        <v>21.78</v>
      </c>
      <c r="K1636">
        <v>24</v>
      </c>
      <c r="L1636" t="s">
        <v>40</v>
      </c>
      <c r="M1636">
        <v>6.28</v>
      </c>
      <c r="N1636">
        <v>39024</v>
      </c>
      <c r="O1636">
        <v>212501</v>
      </c>
      <c r="P1636" t="s">
        <v>4292</v>
      </c>
      <c r="Q1636" t="s">
        <v>61</v>
      </c>
      <c r="R1636" t="s">
        <v>28</v>
      </c>
      <c r="S1636" t="s">
        <v>43</v>
      </c>
      <c r="T1636">
        <v>2081.9299999999998</v>
      </c>
      <c r="U1636">
        <f t="shared" si="350"/>
        <v>366</v>
      </c>
      <c r="V1636">
        <f t="shared" si="351"/>
        <v>134</v>
      </c>
      <c r="W1636">
        <f t="shared" si="352"/>
        <v>115</v>
      </c>
      <c r="X1636">
        <f t="shared" si="353"/>
        <v>0.35149999999999998</v>
      </c>
      <c r="Y1636" s="1">
        <f t="shared" si="354"/>
        <v>19012905</v>
      </c>
      <c r="Z1636">
        <f t="shared" si="355"/>
        <v>51947.827868852459</v>
      </c>
      <c r="AA1636">
        <f t="shared" si="356"/>
        <v>99664</v>
      </c>
      <c r="AB1636">
        <f t="shared" si="357"/>
        <v>5091</v>
      </c>
      <c r="AC1636">
        <f t="shared" si="358"/>
        <v>493574.89</v>
      </c>
      <c r="AD1636">
        <f t="shared" si="359"/>
        <v>1348.5652732240437</v>
      </c>
      <c r="AE1636">
        <f t="shared" si="360"/>
        <v>0.35149999999999998</v>
      </c>
      <c r="AF1636">
        <f t="shared" si="361"/>
        <v>90854602.280000016</v>
      </c>
      <c r="AG1636" t="str">
        <f t="shared" si="362"/>
        <v>Active</v>
      </c>
      <c r="AH1636">
        <f t="shared" si="363"/>
        <v>24983.159999999996</v>
      </c>
    </row>
    <row r="1637" spans="1:34" x14ac:dyDescent="0.35">
      <c r="A1637" t="s">
        <v>4293</v>
      </c>
      <c r="B1637" t="s">
        <v>4294</v>
      </c>
      <c r="C1637">
        <v>54</v>
      </c>
      <c r="D1637" t="s">
        <v>22</v>
      </c>
      <c r="E1637" t="s">
        <v>23</v>
      </c>
      <c r="F1637" t="s">
        <v>46</v>
      </c>
      <c r="G1637">
        <v>58879</v>
      </c>
      <c r="H1637">
        <v>848</v>
      </c>
      <c r="I1637">
        <v>49654</v>
      </c>
      <c r="J1637">
        <v>5.71</v>
      </c>
      <c r="K1637">
        <v>24</v>
      </c>
      <c r="L1637" t="s">
        <v>86</v>
      </c>
      <c r="M1637">
        <v>55.49</v>
      </c>
      <c r="N1637">
        <v>19603</v>
      </c>
      <c r="O1637">
        <v>21232</v>
      </c>
      <c r="P1637" t="s">
        <v>1503</v>
      </c>
      <c r="Q1637" t="s">
        <v>61</v>
      </c>
      <c r="R1637" t="s">
        <v>28</v>
      </c>
      <c r="S1637" t="s">
        <v>49</v>
      </c>
      <c r="T1637">
        <v>2187.0500000000002</v>
      </c>
      <c r="U1637">
        <f t="shared" si="350"/>
        <v>365</v>
      </c>
      <c r="V1637">
        <f t="shared" si="351"/>
        <v>134</v>
      </c>
      <c r="W1637">
        <f t="shared" si="352"/>
        <v>114</v>
      </c>
      <c r="X1637">
        <f t="shared" si="353"/>
        <v>0.35149999999999998</v>
      </c>
      <c r="Y1637" s="1">
        <f t="shared" si="354"/>
        <v>18971875</v>
      </c>
      <c r="Z1637">
        <f t="shared" si="355"/>
        <v>51977.739726027394</v>
      </c>
      <c r="AA1637">
        <f t="shared" si="356"/>
        <v>99664</v>
      </c>
      <c r="AB1637">
        <f t="shared" si="357"/>
        <v>5091</v>
      </c>
      <c r="AC1637">
        <f t="shared" si="358"/>
        <v>491492.96000000008</v>
      </c>
      <c r="AD1637">
        <f t="shared" si="359"/>
        <v>1346.5560547945208</v>
      </c>
      <c r="AE1637">
        <f t="shared" si="360"/>
        <v>0.35149999999999998</v>
      </c>
      <c r="AF1637">
        <f t="shared" si="361"/>
        <v>90361027.390000001</v>
      </c>
      <c r="AG1637" t="str">
        <f t="shared" si="362"/>
        <v>Active</v>
      </c>
      <c r="AH1637">
        <f t="shared" si="363"/>
        <v>26244.600000000002</v>
      </c>
    </row>
    <row r="1638" spans="1:34" x14ac:dyDescent="0.35">
      <c r="A1638" t="s">
        <v>4295</v>
      </c>
      <c r="B1638" t="s">
        <v>4296</v>
      </c>
      <c r="C1638">
        <v>35</v>
      </c>
      <c r="D1638" t="s">
        <v>38</v>
      </c>
      <c r="E1638" t="s">
        <v>23</v>
      </c>
      <c r="F1638" t="s">
        <v>59</v>
      </c>
      <c r="G1638">
        <v>154061</v>
      </c>
      <c r="H1638">
        <v>720</v>
      </c>
      <c r="I1638">
        <v>89272</v>
      </c>
      <c r="J1638">
        <v>23.48</v>
      </c>
      <c r="K1638">
        <v>12</v>
      </c>
      <c r="L1638" t="s">
        <v>25</v>
      </c>
      <c r="M1638">
        <v>50.76</v>
      </c>
      <c r="N1638">
        <v>66233</v>
      </c>
      <c r="O1638">
        <v>20453</v>
      </c>
      <c r="P1638" t="s">
        <v>4297</v>
      </c>
      <c r="Q1638" t="s">
        <v>61</v>
      </c>
      <c r="R1638" t="s">
        <v>28</v>
      </c>
      <c r="S1638" t="s">
        <v>68</v>
      </c>
      <c r="T1638">
        <v>9186.09</v>
      </c>
      <c r="U1638">
        <f t="shared" si="350"/>
        <v>364</v>
      </c>
      <c r="V1638">
        <f t="shared" si="351"/>
        <v>134</v>
      </c>
      <c r="W1638">
        <f t="shared" si="352"/>
        <v>113</v>
      </c>
      <c r="X1638">
        <f t="shared" si="353"/>
        <v>0.35149999999999998</v>
      </c>
      <c r="Y1638" s="1">
        <f t="shared" si="354"/>
        <v>18922221</v>
      </c>
      <c r="Z1638">
        <f t="shared" si="355"/>
        <v>51984.123626373628</v>
      </c>
      <c r="AA1638">
        <f t="shared" si="356"/>
        <v>99664</v>
      </c>
      <c r="AB1638">
        <f t="shared" si="357"/>
        <v>5091</v>
      </c>
      <c r="AC1638">
        <f t="shared" si="358"/>
        <v>489305.91000000009</v>
      </c>
      <c r="AD1638">
        <f t="shared" si="359"/>
        <v>1344.2470054945059</v>
      </c>
      <c r="AE1638">
        <f t="shared" si="360"/>
        <v>0.35149999999999998</v>
      </c>
      <c r="AF1638">
        <f t="shared" si="361"/>
        <v>89869534.430000007</v>
      </c>
      <c r="AG1638" t="str">
        <f t="shared" si="362"/>
        <v>Active</v>
      </c>
      <c r="AH1638">
        <f t="shared" si="363"/>
        <v>110233.08</v>
      </c>
    </row>
    <row r="1639" spans="1:34" x14ac:dyDescent="0.35">
      <c r="A1639" t="s">
        <v>4298</v>
      </c>
      <c r="B1639" t="s">
        <v>4299</v>
      </c>
      <c r="C1639">
        <v>54</v>
      </c>
      <c r="D1639" t="s">
        <v>38</v>
      </c>
      <c r="E1639" t="s">
        <v>39</v>
      </c>
      <c r="F1639" t="s">
        <v>46</v>
      </c>
      <c r="G1639">
        <v>155897</v>
      </c>
      <c r="H1639">
        <v>436</v>
      </c>
      <c r="I1639">
        <v>39055</v>
      </c>
      <c r="J1639">
        <v>12.99</v>
      </c>
      <c r="K1639">
        <v>48</v>
      </c>
      <c r="L1639" t="s">
        <v>33</v>
      </c>
      <c r="M1639">
        <v>43.23</v>
      </c>
      <c r="N1639">
        <v>1577</v>
      </c>
      <c r="O1639">
        <v>162329</v>
      </c>
      <c r="P1639" t="s">
        <v>263</v>
      </c>
      <c r="Q1639" t="s">
        <v>42</v>
      </c>
      <c r="R1639" t="s">
        <v>48</v>
      </c>
      <c r="S1639" t="s">
        <v>29</v>
      </c>
      <c r="T1639">
        <v>919.34</v>
      </c>
      <c r="U1639">
        <f t="shared" si="350"/>
        <v>363</v>
      </c>
      <c r="V1639">
        <f t="shared" si="351"/>
        <v>134</v>
      </c>
      <c r="W1639">
        <f t="shared" si="352"/>
        <v>112</v>
      </c>
      <c r="X1639">
        <f t="shared" si="353"/>
        <v>0.35149999999999998</v>
      </c>
      <c r="Y1639" s="1">
        <f t="shared" si="354"/>
        <v>18832949</v>
      </c>
      <c r="Z1639">
        <f t="shared" si="355"/>
        <v>51881.402203856749</v>
      </c>
      <c r="AA1639">
        <f t="shared" si="356"/>
        <v>99664</v>
      </c>
      <c r="AB1639">
        <f t="shared" si="357"/>
        <v>5091</v>
      </c>
      <c r="AC1639">
        <f t="shared" si="358"/>
        <v>480119.82</v>
      </c>
      <c r="AD1639">
        <f t="shared" si="359"/>
        <v>1322.6441322314049</v>
      </c>
      <c r="AE1639">
        <f t="shared" si="360"/>
        <v>0.35149999999999998</v>
      </c>
      <c r="AF1639">
        <f t="shared" si="361"/>
        <v>89380228.519999996</v>
      </c>
      <c r="AG1639" t="str">
        <f t="shared" si="362"/>
        <v>Over Paid</v>
      </c>
      <c r="AH1639">
        <f t="shared" si="363"/>
        <v>11032.08</v>
      </c>
    </row>
    <row r="1640" spans="1:34" x14ac:dyDescent="0.35">
      <c r="A1640" t="s">
        <v>4300</v>
      </c>
      <c r="B1640" t="s">
        <v>4301</v>
      </c>
      <c r="C1640">
        <v>41</v>
      </c>
      <c r="D1640" t="s">
        <v>22</v>
      </c>
      <c r="E1640" t="s">
        <v>23</v>
      </c>
      <c r="F1640" t="s">
        <v>24</v>
      </c>
      <c r="G1640">
        <v>55006</v>
      </c>
      <c r="H1640">
        <v>421</v>
      </c>
      <c r="I1640">
        <v>29649</v>
      </c>
      <c r="J1640">
        <v>15.62</v>
      </c>
      <c r="K1640">
        <v>48</v>
      </c>
      <c r="L1640" t="s">
        <v>86</v>
      </c>
      <c r="M1640">
        <v>41.8</v>
      </c>
      <c r="N1640">
        <v>76488</v>
      </c>
      <c r="O1640">
        <v>80594</v>
      </c>
      <c r="P1640" t="s">
        <v>2485</v>
      </c>
      <c r="Q1640" t="s">
        <v>42</v>
      </c>
      <c r="R1640" t="s">
        <v>48</v>
      </c>
      <c r="S1640" t="s">
        <v>35</v>
      </c>
      <c r="T1640">
        <v>714.17</v>
      </c>
      <c r="U1640">
        <f t="shared" si="350"/>
        <v>362</v>
      </c>
      <c r="V1640">
        <f t="shared" si="351"/>
        <v>133</v>
      </c>
      <c r="W1640">
        <f t="shared" si="352"/>
        <v>112</v>
      </c>
      <c r="X1640">
        <f t="shared" si="353"/>
        <v>0.35149999999999998</v>
      </c>
      <c r="Y1640" s="1">
        <f t="shared" si="354"/>
        <v>18793894</v>
      </c>
      <c r="Z1640">
        <f t="shared" si="355"/>
        <v>51916.834254143643</v>
      </c>
      <c r="AA1640">
        <f t="shared" si="356"/>
        <v>99664</v>
      </c>
      <c r="AB1640">
        <f t="shared" si="357"/>
        <v>5091</v>
      </c>
      <c r="AC1640">
        <f t="shared" si="358"/>
        <v>479200.48</v>
      </c>
      <c r="AD1640">
        <f t="shared" si="359"/>
        <v>1323.7582320441988</v>
      </c>
      <c r="AE1640">
        <f t="shared" si="360"/>
        <v>0.35149999999999998</v>
      </c>
      <c r="AF1640">
        <f t="shared" si="361"/>
        <v>88900108.699999988</v>
      </c>
      <c r="AG1640" t="str">
        <f t="shared" si="362"/>
        <v>Active</v>
      </c>
      <c r="AH1640">
        <f t="shared" si="363"/>
        <v>8570.0399999999991</v>
      </c>
    </row>
    <row r="1641" spans="1:34" x14ac:dyDescent="0.35">
      <c r="A1641" t="s">
        <v>4302</v>
      </c>
      <c r="B1641" t="s">
        <v>4303</v>
      </c>
      <c r="C1641">
        <v>29</v>
      </c>
      <c r="D1641" t="s">
        <v>38</v>
      </c>
      <c r="E1641" t="s">
        <v>39</v>
      </c>
      <c r="F1641" t="s">
        <v>59</v>
      </c>
      <c r="G1641">
        <v>39167</v>
      </c>
      <c r="H1641">
        <v>792</v>
      </c>
      <c r="I1641">
        <v>46976</v>
      </c>
      <c r="J1641">
        <v>18.91</v>
      </c>
      <c r="K1641">
        <v>120</v>
      </c>
      <c r="L1641" t="s">
        <v>33</v>
      </c>
      <c r="M1641">
        <v>35.909999999999997</v>
      </c>
      <c r="N1641">
        <v>60302</v>
      </c>
      <c r="O1641">
        <v>176182</v>
      </c>
      <c r="P1641" t="s">
        <v>2769</v>
      </c>
      <c r="Q1641" t="s">
        <v>27</v>
      </c>
      <c r="R1641" t="s">
        <v>48</v>
      </c>
      <c r="S1641" t="s">
        <v>35</v>
      </c>
      <c r="T1641">
        <v>465.49</v>
      </c>
      <c r="U1641">
        <f t="shared" si="350"/>
        <v>361</v>
      </c>
      <c r="V1641">
        <f t="shared" si="351"/>
        <v>132</v>
      </c>
      <c r="W1641">
        <f t="shared" si="352"/>
        <v>112</v>
      </c>
      <c r="X1641">
        <f t="shared" si="353"/>
        <v>0.35149999999999998</v>
      </c>
      <c r="Y1641" s="1">
        <f t="shared" si="354"/>
        <v>18764245</v>
      </c>
      <c r="Z1641">
        <f t="shared" si="355"/>
        <v>51978.518005540165</v>
      </c>
      <c r="AA1641">
        <f t="shared" si="356"/>
        <v>99664</v>
      </c>
      <c r="AB1641">
        <f t="shared" si="357"/>
        <v>5091</v>
      </c>
      <c r="AC1641">
        <f t="shared" si="358"/>
        <v>478486.31</v>
      </c>
      <c r="AD1641">
        <f t="shared" si="359"/>
        <v>1325.4468421052632</v>
      </c>
      <c r="AE1641">
        <f t="shared" si="360"/>
        <v>0.35149999999999998</v>
      </c>
      <c r="AF1641">
        <f t="shared" si="361"/>
        <v>88420908.219999984</v>
      </c>
      <c r="AG1641" t="str">
        <f t="shared" si="362"/>
        <v>Active</v>
      </c>
      <c r="AH1641">
        <f t="shared" si="363"/>
        <v>5585.88</v>
      </c>
    </row>
    <row r="1642" spans="1:34" x14ac:dyDescent="0.35">
      <c r="A1642" t="s">
        <v>4304</v>
      </c>
      <c r="B1642" t="s">
        <v>4305</v>
      </c>
      <c r="C1642">
        <v>55</v>
      </c>
      <c r="D1642" t="s">
        <v>38</v>
      </c>
      <c r="E1642" t="s">
        <v>32</v>
      </c>
      <c r="F1642" t="s">
        <v>24</v>
      </c>
      <c r="G1642">
        <v>92913</v>
      </c>
      <c r="H1642">
        <v>327</v>
      </c>
      <c r="I1642">
        <v>70234</v>
      </c>
      <c r="J1642">
        <v>5.22</v>
      </c>
      <c r="K1642">
        <v>240</v>
      </c>
      <c r="L1642" t="s">
        <v>86</v>
      </c>
      <c r="M1642">
        <v>55.08</v>
      </c>
      <c r="N1642">
        <v>27186</v>
      </c>
      <c r="O1642">
        <v>26355</v>
      </c>
      <c r="P1642" t="s">
        <v>971</v>
      </c>
      <c r="Q1642" t="s">
        <v>27</v>
      </c>
      <c r="R1642" t="s">
        <v>28</v>
      </c>
      <c r="S1642" t="s">
        <v>43</v>
      </c>
      <c r="T1642">
        <v>307.92</v>
      </c>
      <c r="U1642">
        <f t="shared" si="350"/>
        <v>360</v>
      </c>
      <c r="V1642">
        <f t="shared" si="351"/>
        <v>132</v>
      </c>
      <c r="W1642">
        <f t="shared" si="352"/>
        <v>112</v>
      </c>
      <c r="X1642">
        <f t="shared" si="353"/>
        <v>0.35149999999999998</v>
      </c>
      <c r="Y1642" s="1">
        <f t="shared" si="354"/>
        <v>18717269</v>
      </c>
      <c r="Z1642">
        <f t="shared" si="355"/>
        <v>51992.413888888892</v>
      </c>
      <c r="AA1642">
        <f t="shared" si="356"/>
        <v>99664</v>
      </c>
      <c r="AB1642">
        <f t="shared" si="357"/>
        <v>5091</v>
      </c>
      <c r="AC1642">
        <f t="shared" si="358"/>
        <v>478020.82</v>
      </c>
      <c r="AD1642">
        <f t="shared" si="359"/>
        <v>1327.8356111111111</v>
      </c>
      <c r="AE1642">
        <f t="shared" si="360"/>
        <v>0.35149999999999998</v>
      </c>
      <c r="AF1642">
        <f t="shared" si="361"/>
        <v>87942421.909999996</v>
      </c>
      <c r="AG1642" t="str">
        <f t="shared" si="362"/>
        <v>Active</v>
      </c>
      <c r="AH1642">
        <f t="shared" si="363"/>
        <v>3695.04</v>
      </c>
    </row>
    <row r="1643" spans="1:34" x14ac:dyDescent="0.35">
      <c r="A1643" t="s">
        <v>4306</v>
      </c>
      <c r="B1643" t="s">
        <v>4307</v>
      </c>
      <c r="C1643">
        <v>56</v>
      </c>
      <c r="D1643" t="s">
        <v>38</v>
      </c>
      <c r="E1643" t="s">
        <v>39</v>
      </c>
      <c r="F1643" t="s">
        <v>46</v>
      </c>
      <c r="G1643">
        <v>161749</v>
      </c>
      <c r="H1643">
        <v>574</v>
      </c>
      <c r="I1643">
        <v>88009</v>
      </c>
      <c r="J1643">
        <v>12.51</v>
      </c>
      <c r="K1643">
        <v>360</v>
      </c>
      <c r="L1643" t="s">
        <v>52</v>
      </c>
      <c r="M1643">
        <v>20.99</v>
      </c>
      <c r="N1643">
        <v>806</v>
      </c>
      <c r="O1643">
        <v>4522</v>
      </c>
      <c r="P1643" t="s">
        <v>4116</v>
      </c>
      <c r="Q1643" t="s">
        <v>61</v>
      </c>
      <c r="R1643" t="s">
        <v>48</v>
      </c>
      <c r="S1643" t="s">
        <v>29</v>
      </c>
      <c r="T1643">
        <v>275.05</v>
      </c>
      <c r="U1643">
        <f t="shared" si="350"/>
        <v>359</v>
      </c>
      <c r="V1643">
        <f t="shared" si="351"/>
        <v>132</v>
      </c>
      <c r="W1643">
        <f t="shared" si="352"/>
        <v>112</v>
      </c>
      <c r="X1643">
        <f t="shared" si="353"/>
        <v>0.35149999999999998</v>
      </c>
      <c r="Y1643" s="1">
        <f t="shared" si="354"/>
        <v>18647035</v>
      </c>
      <c r="Z1643">
        <f t="shared" si="355"/>
        <v>51941.601671309196</v>
      </c>
      <c r="AA1643">
        <f t="shared" si="356"/>
        <v>99664</v>
      </c>
      <c r="AB1643">
        <f t="shared" si="357"/>
        <v>5091</v>
      </c>
      <c r="AC1643">
        <f t="shared" si="358"/>
        <v>477712.9</v>
      </c>
      <c r="AD1643">
        <f t="shared" si="359"/>
        <v>1330.6766016713093</v>
      </c>
      <c r="AE1643">
        <f t="shared" si="360"/>
        <v>0.35149999999999998</v>
      </c>
      <c r="AF1643">
        <f t="shared" si="361"/>
        <v>87464401.090000004</v>
      </c>
      <c r="AG1643" t="str">
        <f t="shared" si="362"/>
        <v>Active</v>
      </c>
      <c r="AH1643">
        <f t="shared" si="363"/>
        <v>3300.6000000000004</v>
      </c>
    </row>
    <row r="1644" spans="1:34" x14ac:dyDescent="0.35">
      <c r="A1644" t="s">
        <v>4308</v>
      </c>
      <c r="B1644" t="s">
        <v>4309</v>
      </c>
      <c r="C1644">
        <v>23</v>
      </c>
      <c r="D1644" t="s">
        <v>22</v>
      </c>
      <c r="E1644" t="s">
        <v>39</v>
      </c>
      <c r="F1644" t="s">
        <v>59</v>
      </c>
      <c r="G1644">
        <v>188706</v>
      </c>
      <c r="H1644">
        <v>570</v>
      </c>
      <c r="I1644">
        <v>55570</v>
      </c>
      <c r="J1644">
        <v>13</v>
      </c>
      <c r="K1644">
        <v>240</v>
      </c>
      <c r="L1644" t="s">
        <v>52</v>
      </c>
      <c r="M1644">
        <v>9.0500000000000007</v>
      </c>
      <c r="N1644">
        <v>16122</v>
      </c>
      <c r="O1644">
        <v>26769</v>
      </c>
      <c r="P1644" t="s">
        <v>4310</v>
      </c>
      <c r="Q1644" t="s">
        <v>42</v>
      </c>
      <c r="R1644" t="s">
        <v>28</v>
      </c>
      <c r="S1644" t="s">
        <v>68</v>
      </c>
      <c r="T1644">
        <v>261.64</v>
      </c>
      <c r="U1644">
        <f t="shared" si="350"/>
        <v>358</v>
      </c>
      <c r="V1644">
        <f t="shared" si="351"/>
        <v>132</v>
      </c>
      <c r="W1644">
        <f t="shared" si="352"/>
        <v>111</v>
      </c>
      <c r="X1644">
        <f t="shared" si="353"/>
        <v>0.35149999999999998</v>
      </c>
      <c r="Y1644" s="1">
        <f t="shared" si="354"/>
        <v>18559026</v>
      </c>
      <c r="Z1644">
        <f t="shared" si="355"/>
        <v>51840.854748603349</v>
      </c>
      <c r="AA1644">
        <f t="shared" si="356"/>
        <v>99664</v>
      </c>
      <c r="AB1644">
        <f t="shared" si="357"/>
        <v>5091</v>
      </c>
      <c r="AC1644">
        <f t="shared" si="358"/>
        <v>477437.85</v>
      </c>
      <c r="AD1644">
        <f t="shared" si="359"/>
        <v>1333.6252793296089</v>
      </c>
      <c r="AE1644">
        <f t="shared" si="360"/>
        <v>0.35149999999999998</v>
      </c>
      <c r="AF1644">
        <f t="shared" si="361"/>
        <v>86986688.189999983</v>
      </c>
      <c r="AG1644" t="str">
        <f t="shared" si="362"/>
        <v>Active</v>
      </c>
      <c r="AH1644">
        <f t="shared" si="363"/>
        <v>3139.68</v>
      </c>
    </row>
    <row r="1645" spans="1:34" x14ac:dyDescent="0.35">
      <c r="A1645" t="s">
        <v>4311</v>
      </c>
      <c r="B1645" t="s">
        <v>4312</v>
      </c>
      <c r="C1645">
        <v>31</v>
      </c>
      <c r="D1645" t="s">
        <v>22</v>
      </c>
      <c r="E1645" t="s">
        <v>32</v>
      </c>
      <c r="F1645" t="s">
        <v>46</v>
      </c>
      <c r="G1645">
        <v>105991</v>
      </c>
      <c r="H1645">
        <v>729</v>
      </c>
      <c r="I1645">
        <v>56980</v>
      </c>
      <c r="J1645">
        <v>13.55</v>
      </c>
      <c r="K1645">
        <v>24</v>
      </c>
      <c r="L1645" t="s">
        <v>52</v>
      </c>
      <c r="M1645">
        <v>15.71</v>
      </c>
      <c r="N1645">
        <v>20980</v>
      </c>
      <c r="O1645">
        <v>229618</v>
      </c>
      <c r="P1645" t="s">
        <v>2528</v>
      </c>
      <c r="Q1645" t="s">
        <v>61</v>
      </c>
      <c r="R1645" t="s">
        <v>48</v>
      </c>
      <c r="S1645" t="s">
        <v>29</v>
      </c>
      <c r="T1645">
        <v>2695.87</v>
      </c>
      <c r="U1645">
        <f t="shared" si="350"/>
        <v>357</v>
      </c>
      <c r="V1645">
        <f t="shared" si="351"/>
        <v>131</v>
      </c>
      <c r="W1645">
        <f t="shared" si="352"/>
        <v>111</v>
      </c>
      <c r="X1645">
        <f t="shared" si="353"/>
        <v>0.35149999999999998</v>
      </c>
      <c r="Y1645" s="1">
        <f t="shared" si="354"/>
        <v>18503456</v>
      </c>
      <c r="Z1645">
        <f t="shared" si="355"/>
        <v>51830.408963585433</v>
      </c>
      <c r="AA1645">
        <f t="shared" si="356"/>
        <v>99664</v>
      </c>
      <c r="AB1645">
        <f t="shared" si="357"/>
        <v>5091</v>
      </c>
      <c r="AC1645">
        <f t="shared" si="358"/>
        <v>477176.21</v>
      </c>
      <c r="AD1645">
        <f t="shared" si="359"/>
        <v>1336.6280392156864</v>
      </c>
      <c r="AE1645">
        <f t="shared" si="360"/>
        <v>0.35149999999999998</v>
      </c>
      <c r="AF1645">
        <f t="shared" si="361"/>
        <v>86509250.339999989</v>
      </c>
      <c r="AG1645" t="str">
        <f t="shared" si="362"/>
        <v>Active</v>
      </c>
      <c r="AH1645">
        <f t="shared" si="363"/>
        <v>32350.44</v>
      </c>
    </row>
    <row r="1646" spans="1:34" x14ac:dyDescent="0.35">
      <c r="A1646" t="s">
        <v>4313</v>
      </c>
      <c r="B1646" t="s">
        <v>4314</v>
      </c>
      <c r="C1646">
        <v>34</v>
      </c>
      <c r="D1646" t="s">
        <v>22</v>
      </c>
      <c r="E1646" t="s">
        <v>23</v>
      </c>
      <c r="F1646" t="s">
        <v>46</v>
      </c>
      <c r="G1646">
        <v>101569</v>
      </c>
      <c r="H1646">
        <v>421</v>
      </c>
      <c r="I1646">
        <v>7801</v>
      </c>
      <c r="J1646">
        <v>3.64</v>
      </c>
      <c r="K1646">
        <v>12</v>
      </c>
      <c r="L1646" t="s">
        <v>25</v>
      </c>
      <c r="M1646">
        <v>59.5</v>
      </c>
      <c r="N1646">
        <v>41054</v>
      </c>
      <c r="O1646">
        <v>161648</v>
      </c>
      <c r="P1646" t="s">
        <v>1280</v>
      </c>
      <c r="Q1646" t="s">
        <v>27</v>
      </c>
      <c r="R1646" t="s">
        <v>28</v>
      </c>
      <c r="S1646" t="s">
        <v>68</v>
      </c>
      <c r="T1646">
        <v>673.75</v>
      </c>
      <c r="U1646">
        <f t="shared" si="350"/>
        <v>356</v>
      </c>
      <c r="V1646">
        <f t="shared" si="351"/>
        <v>131</v>
      </c>
      <c r="W1646">
        <f t="shared" si="352"/>
        <v>110</v>
      </c>
      <c r="X1646">
        <f t="shared" si="353"/>
        <v>0.35149999999999998</v>
      </c>
      <c r="Y1646" s="1">
        <f t="shared" si="354"/>
        <v>18446476</v>
      </c>
      <c r="Z1646">
        <f t="shared" si="355"/>
        <v>51815.943820224718</v>
      </c>
      <c r="AA1646">
        <f t="shared" si="356"/>
        <v>99664</v>
      </c>
      <c r="AB1646">
        <f t="shared" si="357"/>
        <v>5091</v>
      </c>
      <c r="AC1646">
        <f t="shared" si="358"/>
        <v>474480.34</v>
      </c>
      <c r="AD1646">
        <f t="shared" si="359"/>
        <v>1332.8099438202248</v>
      </c>
      <c r="AE1646">
        <f t="shared" si="360"/>
        <v>0.35149999999999998</v>
      </c>
      <c r="AF1646">
        <f t="shared" si="361"/>
        <v>86032074.129999995</v>
      </c>
      <c r="AG1646" t="str">
        <f t="shared" si="362"/>
        <v>Active</v>
      </c>
      <c r="AH1646">
        <f t="shared" si="363"/>
        <v>8085</v>
      </c>
    </row>
    <row r="1647" spans="1:34" x14ac:dyDescent="0.35">
      <c r="A1647" t="s">
        <v>4315</v>
      </c>
      <c r="B1647" t="s">
        <v>4316</v>
      </c>
      <c r="C1647">
        <v>26</v>
      </c>
      <c r="D1647" t="s">
        <v>38</v>
      </c>
      <c r="E1647" t="s">
        <v>23</v>
      </c>
      <c r="F1647" t="s">
        <v>59</v>
      </c>
      <c r="G1647">
        <v>126353</v>
      </c>
      <c r="H1647">
        <v>774</v>
      </c>
      <c r="I1647">
        <v>36254</v>
      </c>
      <c r="J1647">
        <v>19.41</v>
      </c>
      <c r="K1647">
        <v>36</v>
      </c>
      <c r="L1647" t="s">
        <v>40</v>
      </c>
      <c r="M1647">
        <v>10.24</v>
      </c>
      <c r="N1647">
        <v>14541</v>
      </c>
      <c r="O1647">
        <v>59041</v>
      </c>
      <c r="P1647" t="s">
        <v>4317</v>
      </c>
      <c r="Q1647" t="s">
        <v>42</v>
      </c>
      <c r="R1647" t="s">
        <v>48</v>
      </c>
      <c r="S1647" t="s">
        <v>35</v>
      </c>
      <c r="T1647">
        <v>1202.53</v>
      </c>
      <c r="U1647">
        <f t="shared" si="350"/>
        <v>355</v>
      </c>
      <c r="V1647">
        <f t="shared" si="351"/>
        <v>131</v>
      </c>
      <c r="W1647">
        <f t="shared" si="352"/>
        <v>110</v>
      </c>
      <c r="X1647">
        <f t="shared" si="353"/>
        <v>0.35149999999999998</v>
      </c>
      <c r="Y1647" s="1">
        <f t="shared" si="354"/>
        <v>18438675</v>
      </c>
      <c r="Z1647">
        <f t="shared" si="355"/>
        <v>51939.929577464791</v>
      </c>
      <c r="AA1647">
        <f t="shared" si="356"/>
        <v>99664</v>
      </c>
      <c r="AB1647">
        <f t="shared" si="357"/>
        <v>5091</v>
      </c>
      <c r="AC1647">
        <f t="shared" si="358"/>
        <v>473806.59</v>
      </c>
      <c r="AD1647">
        <f t="shared" si="359"/>
        <v>1334.6664507042253</v>
      </c>
      <c r="AE1647">
        <f t="shared" si="360"/>
        <v>0.35149999999999998</v>
      </c>
      <c r="AF1647">
        <f t="shared" si="361"/>
        <v>85557593.789999992</v>
      </c>
      <c r="AG1647" t="str">
        <f t="shared" si="362"/>
        <v>Over Paid</v>
      </c>
      <c r="AH1647">
        <f t="shared" si="363"/>
        <v>14430.36</v>
      </c>
    </row>
    <row r="1648" spans="1:34" x14ac:dyDescent="0.35">
      <c r="A1648" t="s">
        <v>4318</v>
      </c>
      <c r="B1648" t="s">
        <v>4319</v>
      </c>
      <c r="C1648">
        <v>50</v>
      </c>
      <c r="D1648" t="s">
        <v>38</v>
      </c>
      <c r="E1648" t="s">
        <v>32</v>
      </c>
      <c r="F1648" t="s">
        <v>24</v>
      </c>
      <c r="G1648">
        <v>109814</v>
      </c>
      <c r="H1648">
        <v>418</v>
      </c>
      <c r="I1648">
        <v>28099</v>
      </c>
      <c r="J1648">
        <v>11.51</v>
      </c>
      <c r="K1648">
        <v>180</v>
      </c>
      <c r="L1648" t="s">
        <v>25</v>
      </c>
      <c r="M1648">
        <v>34.520000000000003</v>
      </c>
      <c r="N1648">
        <v>39738</v>
      </c>
      <c r="O1648">
        <v>159504</v>
      </c>
      <c r="P1648" t="s">
        <v>4320</v>
      </c>
      <c r="Q1648" t="s">
        <v>42</v>
      </c>
      <c r="R1648" t="s">
        <v>48</v>
      </c>
      <c r="S1648" t="s">
        <v>43</v>
      </c>
      <c r="T1648">
        <v>174.07</v>
      </c>
      <c r="U1648">
        <f t="shared" si="350"/>
        <v>354</v>
      </c>
      <c r="V1648">
        <f t="shared" si="351"/>
        <v>130</v>
      </c>
      <c r="W1648">
        <f t="shared" si="352"/>
        <v>110</v>
      </c>
      <c r="X1648">
        <f t="shared" si="353"/>
        <v>0.35149999999999998</v>
      </c>
      <c r="Y1648" s="1">
        <f t="shared" si="354"/>
        <v>18402421</v>
      </c>
      <c r="Z1648">
        <f t="shared" si="355"/>
        <v>51984.240112994354</v>
      </c>
      <c r="AA1648">
        <f t="shared" si="356"/>
        <v>99664</v>
      </c>
      <c r="AB1648">
        <f t="shared" si="357"/>
        <v>5091</v>
      </c>
      <c r="AC1648">
        <f t="shared" si="358"/>
        <v>472604.06</v>
      </c>
      <c r="AD1648">
        <f t="shared" si="359"/>
        <v>1335.0397175141243</v>
      </c>
      <c r="AE1648">
        <f t="shared" si="360"/>
        <v>0.35149999999999998</v>
      </c>
      <c r="AF1648">
        <f t="shared" si="361"/>
        <v>85083787.199999988</v>
      </c>
      <c r="AG1648" t="str">
        <f t="shared" si="362"/>
        <v>Active</v>
      </c>
      <c r="AH1648">
        <f t="shared" si="363"/>
        <v>2088.84</v>
      </c>
    </row>
    <row r="1649" spans="1:34" x14ac:dyDescent="0.35">
      <c r="A1649" t="s">
        <v>4321</v>
      </c>
      <c r="B1649" t="s">
        <v>4322</v>
      </c>
      <c r="C1649">
        <v>61</v>
      </c>
      <c r="D1649" t="s">
        <v>38</v>
      </c>
      <c r="E1649" t="s">
        <v>23</v>
      </c>
      <c r="F1649" t="s">
        <v>59</v>
      </c>
      <c r="G1649">
        <v>179461</v>
      </c>
      <c r="H1649">
        <v>799</v>
      </c>
      <c r="I1649">
        <v>21860</v>
      </c>
      <c r="J1649">
        <v>22.14</v>
      </c>
      <c r="K1649">
        <v>24</v>
      </c>
      <c r="L1649" t="s">
        <v>40</v>
      </c>
      <c r="M1649">
        <v>54.01</v>
      </c>
      <c r="N1649">
        <v>66885</v>
      </c>
      <c r="O1649">
        <v>249280</v>
      </c>
      <c r="P1649" t="s">
        <v>2656</v>
      </c>
      <c r="Q1649" t="s">
        <v>27</v>
      </c>
      <c r="R1649" t="s">
        <v>28</v>
      </c>
      <c r="S1649" t="s">
        <v>43</v>
      </c>
      <c r="T1649">
        <v>1112.49</v>
      </c>
      <c r="U1649">
        <f t="shared" si="350"/>
        <v>353</v>
      </c>
      <c r="V1649">
        <f t="shared" si="351"/>
        <v>129</v>
      </c>
      <c r="W1649">
        <f t="shared" si="352"/>
        <v>110</v>
      </c>
      <c r="X1649">
        <f t="shared" si="353"/>
        <v>0.35149999999999998</v>
      </c>
      <c r="Y1649" s="1">
        <f t="shared" si="354"/>
        <v>18374322</v>
      </c>
      <c r="Z1649">
        <f t="shared" si="355"/>
        <v>52051.903682719545</v>
      </c>
      <c r="AA1649">
        <f t="shared" si="356"/>
        <v>99664</v>
      </c>
      <c r="AB1649">
        <f t="shared" si="357"/>
        <v>5091</v>
      </c>
      <c r="AC1649">
        <f t="shared" si="358"/>
        <v>472429.99</v>
      </c>
      <c r="AD1649">
        <f t="shared" si="359"/>
        <v>1338.3285835694051</v>
      </c>
      <c r="AE1649">
        <f t="shared" si="360"/>
        <v>0.35149999999999998</v>
      </c>
      <c r="AF1649">
        <f t="shared" si="361"/>
        <v>84611183.140000001</v>
      </c>
      <c r="AG1649" t="str">
        <f t="shared" si="362"/>
        <v>Active</v>
      </c>
      <c r="AH1649">
        <f t="shared" si="363"/>
        <v>13349.880000000001</v>
      </c>
    </row>
    <row r="1650" spans="1:34" x14ac:dyDescent="0.35">
      <c r="A1650" t="s">
        <v>4323</v>
      </c>
      <c r="B1650" t="s">
        <v>4324</v>
      </c>
      <c r="C1650">
        <v>35</v>
      </c>
      <c r="D1650" t="s">
        <v>38</v>
      </c>
      <c r="E1650" t="s">
        <v>32</v>
      </c>
      <c r="F1650" t="s">
        <v>24</v>
      </c>
      <c r="G1650">
        <v>139226</v>
      </c>
      <c r="H1650">
        <v>479</v>
      </c>
      <c r="I1650">
        <v>64169</v>
      </c>
      <c r="J1650">
        <v>21.42</v>
      </c>
      <c r="K1650">
        <v>36</v>
      </c>
      <c r="L1650" t="s">
        <v>86</v>
      </c>
      <c r="M1650">
        <v>41.61</v>
      </c>
      <c r="N1650">
        <v>47916</v>
      </c>
      <c r="O1650">
        <v>62306</v>
      </c>
      <c r="P1650" t="s">
        <v>4325</v>
      </c>
      <c r="Q1650" t="s">
        <v>42</v>
      </c>
      <c r="R1650" t="s">
        <v>48</v>
      </c>
      <c r="S1650" t="s">
        <v>43</v>
      </c>
      <c r="T1650">
        <v>2164.2800000000002</v>
      </c>
      <c r="U1650">
        <f t="shared" si="350"/>
        <v>352</v>
      </c>
      <c r="V1650">
        <f t="shared" si="351"/>
        <v>129</v>
      </c>
      <c r="W1650">
        <f t="shared" si="352"/>
        <v>110</v>
      </c>
      <c r="X1650">
        <f t="shared" si="353"/>
        <v>0.35149999999999998</v>
      </c>
      <c r="Y1650" s="1">
        <f t="shared" si="354"/>
        <v>18352462</v>
      </c>
      <c r="Z1650">
        <f t="shared" si="355"/>
        <v>52137.67613636364</v>
      </c>
      <c r="AA1650">
        <f t="shared" si="356"/>
        <v>99664</v>
      </c>
      <c r="AB1650">
        <f t="shared" si="357"/>
        <v>5091</v>
      </c>
      <c r="AC1650">
        <f t="shared" si="358"/>
        <v>471317.5</v>
      </c>
      <c r="AD1650">
        <f t="shared" si="359"/>
        <v>1338.9701704545455</v>
      </c>
      <c r="AE1650">
        <f t="shared" si="360"/>
        <v>0.35149999999999998</v>
      </c>
      <c r="AF1650">
        <f t="shared" si="361"/>
        <v>84138753.150000006</v>
      </c>
      <c r="AG1650" t="str">
        <f t="shared" si="362"/>
        <v>Active</v>
      </c>
      <c r="AH1650">
        <f t="shared" si="363"/>
        <v>25971.360000000001</v>
      </c>
    </row>
    <row r="1651" spans="1:34" x14ac:dyDescent="0.35">
      <c r="A1651" t="s">
        <v>4326</v>
      </c>
      <c r="B1651" t="s">
        <v>4327</v>
      </c>
      <c r="C1651">
        <v>33</v>
      </c>
      <c r="D1651" t="s">
        <v>22</v>
      </c>
      <c r="E1651" t="s">
        <v>39</v>
      </c>
      <c r="F1651" t="s">
        <v>59</v>
      </c>
      <c r="G1651">
        <v>69815</v>
      </c>
      <c r="H1651">
        <v>433</v>
      </c>
      <c r="I1651">
        <v>21499</v>
      </c>
      <c r="J1651">
        <v>13.29</v>
      </c>
      <c r="K1651">
        <v>180</v>
      </c>
      <c r="L1651" t="s">
        <v>33</v>
      </c>
      <c r="M1651">
        <v>50.21</v>
      </c>
      <c r="N1651">
        <v>41009</v>
      </c>
      <c r="O1651">
        <v>38398</v>
      </c>
      <c r="P1651" t="s">
        <v>1179</v>
      </c>
      <c r="Q1651" t="s">
        <v>61</v>
      </c>
      <c r="R1651" t="s">
        <v>28</v>
      </c>
      <c r="S1651" t="s">
        <v>68</v>
      </c>
      <c r="T1651">
        <v>135.31</v>
      </c>
      <c r="U1651">
        <f t="shared" si="350"/>
        <v>351</v>
      </c>
      <c r="V1651">
        <f t="shared" si="351"/>
        <v>128</v>
      </c>
      <c r="W1651">
        <f t="shared" si="352"/>
        <v>110</v>
      </c>
      <c r="X1651">
        <f t="shared" si="353"/>
        <v>0.35149999999999998</v>
      </c>
      <c r="Y1651" s="1">
        <f t="shared" si="354"/>
        <v>18288293</v>
      </c>
      <c r="Z1651">
        <f t="shared" si="355"/>
        <v>52103.398860398862</v>
      </c>
      <c r="AA1651">
        <f t="shared" si="356"/>
        <v>99664</v>
      </c>
      <c r="AB1651">
        <f t="shared" si="357"/>
        <v>5091</v>
      </c>
      <c r="AC1651">
        <f t="shared" si="358"/>
        <v>469153.22000000003</v>
      </c>
      <c r="AD1651">
        <f t="shared" si="359"/>
        <v>1336.6188603988605</v>
      </c>
      <c r="AE1651">
        <f t="shared" si="360"/>
        <v>0.35149999999999998</v>
      </c>
      <c r="AF1651">
        <f t="shared" si="361"/>
        <v>83667435.650000006</v>
      </c>
      <c r="AG1651" t="str">
        <f t="shared" si="362"/>
        <v>Active</v>
      </c>
      <c r="AH1651">
        <f t="shared" si="363"/>
        <v>1623.72</v>
      </c>
    </row>
    <row r="1652" spans="1:34" x14ac:dyDescent="0.35">
      <c r="A1652" t="s">
        <v>4328</v>
      </c>
      <c r="B1652" t="s">
        <v>4329</v>
      </c>
      <c r="C1652">
        <v>53</v>
      </c>
      <c r="D1652" t="s">
        <v>22</v>
      </c>
      <c r="E1652" t="s">
        <v>39</v>
      </c>
      <c r="F1652" t="s">
        <v>46</v>
      </c>
      <c r="G1652">
        <v>136174</v>
      </c>
      <c r="H1652">
        <v>724</v>
      </c>
      <c r="I1652">
        <v>85969</v>
      </c>
      <c r="J1652">
        <v>11.93</v>
      </c>
      <c r="K1652">
        <v>36</v>
      </c>
      <c r="L1652" t="s">
        <v>52</v>
      </c>
      <c r="M1652">
        <v>50.52</v>
      </c>
      <c r="N1652">
        <v>6642</v>
      </c>
      <c r="O1652">
        <v>9741</v>
      </c>
      <c r="P1652" t="s">
        <v>74</v>
      </c>
      <c r="Q1652" t="s">
        <v>27</v>
      </c>
      <c r="R1652" t="s">
        <v>28</v>
      </c>
      <c r="S1652" t="s">
        <v>49</v>
      </c>
      <c r="T1652">
        <v>2672.92</v>
      </c>
      <c r="U1652">
        <f t="shared" si="350"/>
        <v>350</v>
      </c>
      <c r="V1652">
        <f t="shared" si="351"/>
        <v>128</v>
      </c>
      <c r="W1652">
        <f t="shared" si="352"/>
        <v>109</v>
      </c>
      <c r="X1652">
        <f t="shared" si="353"/>
        <v>0.35149999999999998</v>
      </c>
      <c r="Y1652" s="1">
        <f t="shared" si="354"/>
        <v>18266794</v>
      </c>
      <c r="Z1652">
        <f t="shared" si="355"/>
        <v>52190.84</v>
      </c>
      <c r="AA1652">
        <f t="shared" si="356"/>
        <v>99664</v>
      </c>
      <c r="AB1652">
        <f t="shared" si="357"/>
        <v>5091</v>
      </c>
      <c r="AC1652">
        <f t="shared" si="358"/>
        <v>469017.91</v>
      </c>
      <c r="AD1652">
        <f t="shared" si="359"/>
        <v>1340.0511714285713</v>
      </c>
      <c r="AE1652">
        <f t="shared" si="360"/>
        <v>0.35149999999999998</v>
      </c>
      <c r="AF1652">
        <f t="shared" si="361"/>
        <v>83198282.429999992</v>
      </c>
      <c r="AG1652" t="str">
        <f t="shared" si="362"/>
        <v>Active</v>
      </c>
      <c r="AH1652">
        <f t="shared" si="363"/>
        <v>32075.040000000001</v>
      </c>
    </row>
    <row r="1653" spans="1:34" x14ac:dyDescent="0.35">
      <c r="A1653" t="s">
        <v>4330</v>
      </c>
      <c r="B1653" t="s">
        <v>4331</v>
      </c>
      <c r="C1653">
        <v>58</v>
      </c>
      <c r="D1653" t="s">
        <v>38</v>
      </c>
      <c r="E1653" t="s">
        <v>32</v>
      </c>
      <c r="F1653" t="s">
        <v>24</v>
      </c>
      <c r="G1653">
        <v>171558</v>
      </c>
      <c r="H1653">
        <v>691</v>
      </c>
      <c r="I1653">
        <v>61506</v>
      </c>
      <c r="J1653">
        <v>23.15</v>
      </c>
      <c r="K1653">
        <v>48</v>
      </c>
      <c r="L1653" t="s">
        <v>40</v>
      </c>
      <c r="M1653">
        <v>57.39</v>
      </c>
      <c r="N1653">
        <v>47984</v>
      </c>
      <c r="O1653">
        <v>127993</v>
      </c>
      <c r="P1653" t="s">
        <v>3547</v>
      </c>
      <c r="Q1653" t="s">
        <v>42</v>
      </c>
      <c r="R1653" t="s">
        <v>48</v>
      </c>
      <c r="S1653" t="s">
        <v>49</v>
      </c>
      <c r="T1653">
        <v>1578.01</v>
      </c>
      <c r="U1653">
        <f t="shared" si="350"/>
        <v>349</v>
      </c>
      <c r="V1653">
        <f t="shared" si="351"/>
        <v>128</v>
      </c>
      <c r="W1653">
        <f t="shared" si="352"/>
        <v>109</v>
      </c>
      <c r="X1653">
        <f t="shared" si="353"/>
        <v>0.35149999999999998</v>
      </c>
      <c r="Y1653" s="1">
        <f t="shared" si="354"/>
        <v>18180825</v>
      </c>
      <c r="Z1653">
        <f t="shared" si="355"/>
        <v>52094.054441260741</v>
      </c>
      <c r="AA1653">
        <f t="shared" si="356"/>
        <v>99664</v>
      </c>
      <c r="AB1653">
        <f t="shared" si="357"/>
        <v>5091</v>
      </c>
      <c r="AC1653">
        <f t="shared" si="358"/>
        <v>466344.99</v>
      </c>
      <c r="AD1653">
        <f t="shared" si="359"/>
        <v>1336.2320630372492</v>
      </c>
      <c r="AE1653">
        <f t="shared" si="360"/>
        <v>0.35149999999999998</v>
      </c>
      <c r="AF1653">
        <f t="shared" si="361"/>
        <v>82729264.519999981</v>
      </c>
      <c r="AG1653" t="str">
        <f t="shared" si="362"/>
        <v>Active</v>
      </c>
      <c r="AH1653">
        <f t="shared" si="363"/>
        <v>18936.12</v>
      </c>
    </row>
    <row r="1654" spans="1:34" x14ac:dyDescent="0.35">
      <c r="A1654" t="s">
        <v>4332</v>
      </c>
      <c r="B1654" t="s">
        <v>4333</v>
      </c>
      <c r="C1654">
        <v>24</v>
      </c>
      <c r="D1654" t="s">
        <v>38</v>
      </c>
      <c r="E1654" t="s">
        <v>39</v>
      </c>
      <c r="F1654" t="s">
        <v>59</v>
      </c>
      <c r="G1654">
        <v>181248</v>
      </c>
      <c r="H1654">
        <v>406</v>
      </c>
      <c r="I1654">
        <v>56746</v>
      </c>
      <c r="J1654">
        <v>16.52</v>
      </c>
      <c r="K1654">
        <v>120</v>
      </c>
      <c r="L1654" t="s">
        <v>33</v>
      </c>
      <c r="M1654">
        <v>48.51</v>
      </c>
      <c r="N1654">
        <v>32909</v>
      </c>
      <c r="O1654">
        <v>230440</v>
      </c>
      <c r="P1654" t="s">
        <v>4334</v>
      </c>
      <c r="Q1654" t="s">
        <v>42</v>
      </c>
      <c r="R1654" t="s">
        <v>48</v>
      </c>
      <c r="S1654" t="s">
        <v>43</v>
      </c>
      <c r="T1654">
        <v>551</v>
      </c>
      <c r="U1654">
        <f t="shared" si="350"/>
        <v>348</v>
      </c>
      <c r="V1654">
        <f t="shared" si="351"/>
        <v>127</v>
      </c>
      <c r="W1654">
        <f t="shared" si="352"/>
        <v>109</v>
      </c>
      <c r="X1654">
        <f t="shared" si="353"/>
        <v>0.35149999999999998</v>
      </c>
      <c r="Y1654" s="1">
        <f t="shared" si="354"/>
        <v>18119319</v>
      </c>
      <c r="Z1654">
        <f t="shared" si="355"/>
        <v>52067.008620689652</v>
      </c>
      <c r="AA1654">
        <f t="shared" si="356"/>
        <v>99664</v>
      </c>
      <c r="AB1654">
        <f t="shared" si="357"/>
        <v>5091</v>
      </c>
      <c r="AC1654">
        <f t="shared" si="358"/>
        <v>464766.98</v>
      </c>
      <c r="AD1654">
        <f t="shared" si="359"/>
        <v>1335.5372988505746</v>
      </c>
      <c r="AE1654">
        <f t="shared" si="360"/>
        <v>0.35149999999999998</v>
      </c>
      <c r="AF1654">
        <f t="shared" si="361"/>
        <v>82262919.529999971</v>
      </c>
      <c r="AG1654" t="str">
        <f t="shared" si="362"/>
        <v>Active</v>
      </c>
      <c r="AH1654">
        <f t="shared" si="363"/>
        <v>6612</v>
      </c>
    </row>
    <row r="1655" spans="1:34" x14ac:dyDescent="0.35">
      <c r="A1655" t="s">
        <v>4335</v>
      </c>
      <c r="B1655" t="s">
        <v>4336</v>
      </c>
      <c r="C1655">
        <v>50</v>
      </c>
      <c r="D1655" t="s">
        <v>22</v>
      </c>
      <c r="E1655" t="s">
        <v>23</v>
      </c>
      <c r="F1655" t="s">
        <v>46</v>
      </c>
      <c r="G1655">
        <v>109204</v>
      </c>
      <c r="H1655">
        <v>684</v>
      </c>
      <c r="I1655">
        <v>29171</v>
      </c>
      <c r="J1655">
        <v>19.170000000000002</v>
      </c>
      <c r="K1655">
        <v>36</v>
      </c>
      <c r="L1655" t="s">
        <v>25</v>
      </c>
      <c r="M1655">
        <v>17.920000000000002</v>
      </c>
      <c r="N1655">
        <v>41500</v>
      </c>
      <c r="O1655">
        <v>90091</v>
      </c>
      <c r="P1655" t="s">
        <v>820</v>
      </c>
      <c r="Q1655" t="s">
        <v>27</v>
      </c>
      <c r="R1655" t="s">
        <v>28</v>
      </c>
      <c r="S1655" t="s">
        <v>35</v>
      </c>
      <c r="T1655">
        <v>965.64</v>
      </c>
      <c r="U1655">
        <f t="shared" si="350"/>
        <v>347</v>
      </c>
      <c r="V1655">
        <f t="shared" si="351"/>
        <v>126</v>
      </c>
      <c r="W1655">
        <f t="shared" si="352"/>
        <v>109</v>
      </c>
      <c r="X1655">
        <f t="shared" si="353"/>
        <v>0.35149999999999998</v>
      </c>
      <c r="Y1655" s="1">
        <f t="shared" si="354"/>
        <v>18062573</v>
      </c>
      <c r="Z1655">
        <f t="shared" si="355"/>
        <v>52053.524495677237</v>
      </c>
      <c r="AA1655">
        <f t="shared" si="356"/>
        <v>99664</v>
      </c>
      <c r="AB1655">
        <f t="shared" si="357"/>
        <v>5091</v>
      </c>
      <c r="AC1655">
        <f t="shared" si="358"/>
        <v>464215.98</v>
      </c>
      <c r="AD1655">
        <f t="shared" si="359"/>
        <v>1337.7982132564841</v>
      </c>
      <c r="AE1655">
        <f t="shared" si="360"/>
        <v>0.35149999999999998</v>
      </c>
      <c r="AF1655">
        <f t="shared" si="361"/>
        <v>81798152.549999967</v>
      </c>
      <c r="AG1655" t="str">
        <f t="shared" si="362"/>
        <v>Active</v>
      </c>
      <c r="AH1655">
        <f t="shared" si="363"/>
        <v>11587.68</v>
      </c>
    </row>
    <row r="1656" spans="1:34" x14ac:dyDescent="0.35">
      <c r="A1656" t="s">
        <v>4337</v>
      </c>
      <c r="B1656" t="s">
        <v>4338</v>
      </c>
      <c r="C1656">
        <v>21</v>
      </c>
      <c r="D1656" t="s">
        <v>38</v>
      </c>
      <c r="E1656" t="s">
        <v>32</v>
      </c>
      <c r="F1656" t="s">
        <v>24</v>
      </c>
      <c r="G1656">
        <v>116641</v>
      </c>
      <c r="H1656">
        <v>575</v>
      </c>
      <c r="I1656">
        <v>20099</v>
      </c>
      <c r="J1656">
        <v>9.17</v>
      </c>
      <c r="K1656">
        <v>48</v>
      </c>
      <c r="L1656" t="s">
        <v>86</v>
      </c>
      <c r="M1656">
        <v>25.72</v>
      </c>
      <c r="N1656">
        <v>10145</v>
      </c>
      <c r="O1656">
        <v>164480</v>
      </c>
      <c r="P1656" t="s">
        <v>2393</v>
      </c>
      <c r="Q1656" t="s">
        <v>42</v>
      </c>
      <c r="R1656" t="s">
        <v>28</v>
      </c>
      <c r="S1656" t="s">
        <v>35</v>
      </c>
      <c r="T1656">
        <v>457.13</v>
      </c>
      <c r="U1656">
        <f t="shared" si="350"/>
        <v>346</v>
      </c>
      <c r="V1656">
        <f t="shared" si="351"/>
        <v>126</v>
      </c>
      <c r="W1656">
        <f t="shared" si="352"/>
        <v>109</v>
      </c>
      <c r="X1656">
        <f t="shared" si="353"/>
        <v>0.35149999999999998</v>
      </c>
      <c r="Y1656" s="1">
        <f t="shared" si="354"/>
        <v>18033402</v>
      </c>
      <c r="Z1656">
        <f t="shared" si="355"/>
        <v>52119.65895953757</v>
      </c>
      <c r="AA1656">
        <f t="shared" si="356"/>
        <v>99664</v>
      </c>
      <c r="AB1656">
        <f t="shared" si="357"/>
        <v>5091</v>
      </c>
      <c r="AC1656">
        <f t="shared" si="358"/>
        <v>463250.33999999997</v>
      </c>
      <c r="AD1656">
        <f t="shared" si="359"/>
        <v>1338.8738150289016</v>
      </c>
      <c r="AE1656">
        <f t="shared" si="360"/>
        <v>0.35149999999999998</v>
      </c>
      <c r="AF1656">
        <f t="shared" si="361"/>
        <v>81333936.569999963</v>
      </c>
      <c r="AG1656" t="str">
        <f t="shared" si="362"/>
        <v>Active</v>
      </c>
      <c r="AH1656">
        <f t="shared" si="363"/>
        <v>5485.5599999999995</v>
      </c>
    </row>
    <row r="1657" spans="1:34" x14ac:dyDescent="0.35">
      <c r="A1657" t="s">
        <v>4339</v>
      </c>
      <c r="B1657" t="s">
        <v>4340</v>
      </c>
      <c r="C1657">
        <v>31</v>
      </c>
      <c r="D1657" t="s">
        <v>38</v>
      </c>
      <c r="E1657" t="s">
        <v>32</v>
      </c>
      <c r="F1657" t="s">
        <v>59</v>
      </c>
      <c r="G1657">
        <v>159967</v>
      </c>
      <c r="H1657">
        <v>620</v>
      </c>
      <c r="I1657">
        <v>42904</v>
      </c>
      <c r="J1657">
        <v>18.48</v>
      </c>
      <c r="K1657">
        <v>12</v>
      </c>
      <c r="L1657" t="s">
        <v>86</v>
      </c>
      <c r="M1657">
        <v>14.6</v>
      </c>
      <c r="N1657">
        <v>34556</v>
      </c>
      <c r="O1657">
        <v>164407</v>
      </c>
      <c r="P1657" t="s">
        <v>3627</v>
      </c>
      <c r="Q1657" t="s">
        <v>61</v>
      </c>
      <c r="R1657" t="s">
        <v>28</v>
      </c>
      <c r="S1657" t="s">
        <v>49</v>
      </c>
      <c r="T1657">
        <v>4236.05</v>
      </c>
      <c r="U1657">
        <f t="shared" si="350"/>
        <v>345</v>
      </c>
      <c r="V1657">
        <f t="shared" si="351"/>
        <v>125</v>
      </c>
      <c r="W1657">
        <f t="shared" si="352"/>
        <v>109</v>
      </c>
      <c r="X1657">
        <f t="shared" si="353"/>
        <v>0.35149999999999998</v>
      </c>
      <c r="Y1657" s="1">
        <f t="shared" si="354"/>
        <v>18013303</v>
      </c>
      <c r="Z1657">
        <f t="shared" si="355"/>
        <v>52212.472463768114</v>
      </c>
      <c r="AA1657">
        <f t="shared" si="356"/>
        <v>99664</v>
      </c>
      <c r="AB1657">
        <f t="shared" si="357"/>
        <v>5091</v>
      </c>
      <c r="AC1657">
        <f t="shared" si="358"/>
        <v>462793.20999999996</v>
      </c>
      <c r="AD1657">
        <f t="shared" si="359"/>
        <v>1341.4295942028984</v>
      </c>
      <c r="AE1657">
        <f t="shared" si="360"/>
        <v>0.35149999999999998</v>
      </c>
      <c r="AF1657">
        <f t="shared" si="361"/>
        <v>80870686.229999945</v>
      </c>
      <c r="AG1657" t="str">
        <f t="shared" si="362"/>
        <v>Active</v>
      </c>
      <c r="AH1657">
        <f t="shared" si="363"/>
        <v>50832.600000000006</v>
      </c>
    </row>
    <row r="1658" spans="1:34" x14ac:dyDescent="0.35">
      <c r="A1658" t="s">
        <v>4341</v>
      </c>
      <c r="B1658" t="s">
        <v>4342</v>
      </c>
      <c r="C1658">
        <v>33</v>
      </c>
      <c r="D1658" t="s">
        <v>22</v>
      </c>
      <c r="E1658" t="s">
        <v>39</v>
      </c>
      <c r="F1658" t="s">
        <v>24</v>
      </c>
      <c r="G1658">
        <v>150955</v>
      </c>
      <c r="H1658">
        <v>611</v>
      </c>
      <c r="I1658">
        <v>31366</v>
      </c>
      <c r="J1658">
        <v>15.79</v>
      </c>
      <c r="K1658">
        <v>60</v>
      </c>
      <c r="L1658" t="s">
        <v>40</v>
      </c>
      <c r="M1658">
        <v>57.94</v>
      </c>
      <c r="N1658">
        <v>54451</v>
      </c>
      <c r="O1658">
        <v>244816</v>
      </c>
      <c r="P1658" t="s">
        <v>4343</v>
      </c>
      <c r="Q1658" t="s">
        <v>42</v>
      </c>
      <c r="R1658" t="s">
        <v>28</v>
      </c>
      <c r="S1658" t="s">
        <v>29</v>
      </c>
      <c r="T1658">
        <v>605.30999999999995</v>
      </c>
      <c r="U1658">
        <f t="shared" si="350"/>
        <v>344</v>
      </c>
      <c r="V1658">
        <f t="shared" si="351"/>
        <v>125</v>
      </c>
      <c r="W1658">
        <f t="shared" si="352"/>
        <v>108</v>
      </c>
      <c r="X1658">
        <f t="shared" si="353"/>
        <v>0.35149999999999998</v>
      </c>
      <c r="Y1658" s="1">
        <f t="shared" si="354"/>
        <v>17970399</v>
      </c>
      <c r="Z1658">
        <f t="shared" si="355"/>
        <v>52239.531976744183</v>
      </c>
      <c r="AA1658">
        <f t="shared" si="356"/>
        <v>99664</v>
      </c>
      <c r="AB1658">
        <f t="shared" si="357"/>
        <v>5091</v>
      </c>
      <c r="AC1658">
        <f t="shared" si="358"/>
        <v>458557.15999999992</v>
      </c>
      <c r="AD1658">
        <f t="shared" si="359"/>
        <v>1333.0149999999996</v>
      </c>
      <c r="AE1658">
        <f t="shared" si="360"/>
        <v>0.35149999999999998</v>
      </c>
      <c r="AF1658">
        <f t="shared" si="361"/>
        <v>80407893.019999951</v>
      </c>
      <c r="AG1658" t="str">
        <f t="shared" si="362"/>
        <v>Over Paid</v>
      </c>
      <c r="AH1658">
        <f t="shared" si="363"/>
        <v>7263.7199999999993</v>
      </c>
    </row>
    <row r="1659" spans="1:34" x14ac:dyDescent="0.35">
      <c r="A1659" t="s">
        <v>4344</v>
      </c>
      <c r="B1659" t="s">
        <v>4345</v>
      </c>
      <c r="C1659">
        <v>26</v>
      </c>
      <c r="D1659" t="s">
        <v>38</v>
      </c>
      <c r="E1659" t="s">
        <v>39</v>
      </c>
      <c r="F1659" t="s">
        <v>46</v>
      </c>
      <c r="G1659">
        <v>67927</v>
      </c>
      <c r="H1659">
        <v>465</v>
      </c>
      <c r="I1659">
        <v>39835</v>
      </c>
      <c r="J1659">
        <v>11.26</v>
      </c>
      <c r="K1659">
        <v>60</v>
      </c>
      <c r="L1659" t="s">
        <v>40</v>
      </c>
      <c r="M1659">
        <v>40.590000000000003</v>
      </c>
      <c r="N1659">
        <v>15497</v>
      </c>
      <c r="O1659">
        <v>217380</v>
      </c>
      <c r="P1659" t="s">
        <v>4346</v>
      </c>
      <c r="Q1659" t="s">
        <v>61</v>
      </c>
      <c r="R1659" t="s">
        <v>48</v>
      </c>
      <c r="S1659" t="s">
        <v>35</v>
      </c>
      <c r="T1659">
        <v>738.67</v>
      </c>
      <c r="U1659">
        <f t="shared" si="350"/>
        <v>343</v>
      </c>
      <c r="V1659">
        <f t="shared" si="351"/>
        <v>124</v>
      </c>
      <c r="W1659">
        <f t="shared" si="352"/>
        <v>108</v>
      </c>
      <c r="X1659">
        <f t="shared" si="353"/>
        <v>0.35149999999999998</v>
      </c>
      <c r="Y1659" s="1">
        <f t="shared" si="354"/>
        <v>17939033</v>
      </c>
      <c r="Z1659">
        <f t="shared" si="355"/>
        <v>52300.387755102041</v>
      </c>
      <c r="AA1659">
        <f t="shared" si="356"/>
        <v>99664</v>
      </c>
      <c r="AB1659">
        <f t="shared" si="357"/>
        <v>5091</v>
      </c>
      <c r="AC1659">
        <f t="shared" si="358"/>
        <v>457951.84999999992</v>
      </c>
      <c r="AD1659">
        <f t="shared" si="359"/>
        <v>1335.1365889212825</v>
      </c>
      <c r="AE1659">
        <f t="shared" si="360"/>
        <v>0.35149999999999998</v>
      </c>
      <c r="AF1659">
        <f t="shared" si="361"/>
        <v>79949335.85999994</v>
      </c>
      <c r="AG1659" t="str">
        <f t="shared" si="362"/>
        <v>Active</v>
      </c>
      <c r="AH1659">
        <f t="shared" si="363"/>
        <v>8864.0399999999991</v>
      </c>
    </row>
    <row r="1660" spans="1:34" x14ac:dyDescent="0.35">
      <c r="A1660" t="s">
        <v>4347</v>
      </c>
      <c r="B1660" t="s">
        <v>4348</v>
      </c>
      <c r="C1660">
        <v>41</v>
      </c>
      <c r="D1660" t="s">
        <v>38</v>
      </c>
      <c r="E1660" t="s">
        <v>32</v>
      </c>
      <c r="F1660" t="s">
        <v>59</v>
      </c>
      <c r="G1660">
        <v>77225</v>
      </c>
      <c r="H1660">
        <v>571</v>
      </c>
      <c r="I1660">
        <v>32818</v>
      </c>
      <c r="J1660">
        <v>13.32</v>
      </c>
      <c r="K1660">
        <v>180</v>
      </c>
      <c r="L1660" t="s">
        <v>25</v>
      </c>
      <c r="M1660">
        <v>9.91</v>
      </c>
      <c r="N1660">
        <v>19200</v>
      </c>
      <c r="O1660">
        <v>156158</v>
      </c>
      <c r="P1660" t="s">
        <v>4349</v>
      </c>
      <c r="Q1660" t="s">
        <v>42</v>
      </c>
      <c r="R1660" t="s">
        <v>28</v>
      </c>
      <c r="S1660" t="s">
        <v>68</v>
      </c>
      <c r="T1660">
        <v>206.61</v>
      </c>
      <c r="U1660">
        <f t="shared" si="350"/>
        <v>342</v>
      </c>
      <c r="V1660">
        <f t="shared" si="351"/>
        <v>124</v>
      </c>
      <c r="W1660">
        <f t="shared" si="352"/>
        <v>107</v>
      </c>
      <c r="X1660">
        <f t="shared" si="353"/>
        <v>0.35149999999999998</v>
      </c>
      <c r="Y1660" s="1">
        <f t="shared" si="354"/>
        <v>17899198</v>
      </c>
      <c r="Z1660">
        <f t="shared" si="355"/>
        <v>52336.836257309944</v>
      </c>
      <c r="AA1660">
        <f t="shared" si="356"/>
        <v>99664</v>
      </c>
      <c r="AB1660">
        <f t="shared" si="357"/>
        <v>5091</v>
      </c>
      <c r="AC1660">
        <f t="shared" si="358"/>
        <v>457213.17999999988</v>
      </c>
      <c r="AD1660">
        <f t="shared" si="359"/>
        <v>1336.8806432748534</v>
      </c>
      <c r="AE1660">
        <f t="shared" si="360"/>
        <v>0.35149999999999998</v>
      </c>
      <c r="AF1660">
        <f t="shared" si="361"/>
        <v>79491384.009999946</v>
      </c>
      <c r="AG1660" t="str">
        <f t="shared" si="362"/>
        <v>Active</v>
      </c>
      <c r="AH1660">
        <f t="shared" si="363"/>
        <v>2479.3200000000002</v>
      </c>
    </row>
    <row r="1661" spans="1:34" x14ac:dyDescent="0.35">
      <c r="A1661" t="s">
        <v>4350</v>
      </c>
      <c r="B1661" t="s">
        <v>4351</v>
      </c>
      <c r="C1661">
        <v>23</v>
      </c>
      <c r="D1661" t="s">
        <v>22</v>
      </c>
      <c r="E1661" t="s">
        <v>32</v>
      </c>
      <c r="F1661" t="s">
        <v>24</v>
      </c>
      <c r="G1661">
        <v>149471</v>
      </c>
      <c r="H1661">
        <v>309</v>
      </c>
      <c r="I1661">
        <v>38534</v>
      </c>
      <c r="J1661">
        <v>6.89</v>
      </c>
      <c r="K1661">
        <v>360</v>
      </c>
      <c r="L1661" t="s">
        <v>25</v>
      </c>
      <c r="M1661">
        <v>6.15</v>
      </c>
      <c r="N1661">
        <v>58466</v>
      </c>
      <c r="O1661">
        <v>218976</v>
      </c>
      <c r="P1661" t="s">
        <v>4352</v>
      </c>
      <c r="Q1661" t="s">
        <v>27</v>
      </c>
      <c r="R1661" t="s">
        <v>48</v>
      </c>
      <c r="S1661" t="s">
        <v>49</v>
      </c>
      <c r="T1661">
        <v>114.41</v>
      </c>
      <c r="U1661">
        <f t="shared" si="350"/>
        <v>341</v>
      </c>
      <c r="V1661">
        <f t="shared" si="351"/>
        <v>123</v>
      </c>
      <c r="W1661">
        <f t="shared" si="352"/>
        <v>107</v>
      </c>
      <c r="X1661">
        <f t="shared" si="353"/>
        <v>0.35149999999999998</v>
      </c>
      <c r="Y1661" s="1">
        <f t="shared" si="354"/>
        <v>17866380</v>
      </c>
      <c r="Z1661">
        <f t="shared" si="355"/>
        <v>52394.076246334313</v>
      </c>
      <c r="AA1661">
        <f t="shared" si="356"/>
        <v>99664</v>
      </c>
      <c r="AB1661">
        <f t="shared" si="357"/>
        <v>5091</v>
      </c>
      <c r="AC1661">
        <f t="shared" si="358"/>
        <v>457006.56999999989</v>
      </c>
      <c r="AD1661">
        <f t="shared" si="359"/>
        <v>1340.1952199413486</v>
      </c>
      <c r="AE1661">
        <f t="shared" si="360"/>
        <v>0.35149999999999998</v>
      </c>
      <c r="AF1661">
        <f t="shared" si="361"/>
        <v>79034170.829999939</v>
      </c>
      <c r="AG1661" t="str">
        <f t="shared" si="362"/>
        <v>Active</v>
      </c>
      <c r="AH1661">
        <f t="shared" si="363"/>
        <v>1372.92</v>
      </c>
    </row>
    <row r="1662" spans="1:34" x14ac:dyDescent="0.35">
      <c r="A1662" t="s">
        <v>4353</v>
      </c>
      <c r="B1662" t="s">
        <v>4354</v>
      </c>
      <c r="C1662">
        <v>29</v>
      </c>
      <c r="D1662" t="s">
        <v>38</v>
      </c>
      <c r="E1662" t="s">
        <v>32</v>
      </c>
      <c r="F1662" t="s">
        <v>46</v>
      </c>
      <c r="G1662">
        <v>110577</v>
      </c>
      <c r="H1662">
        <v>505</v>
      </c>
      <c r="I1662">
        <v>73294</v>
      </c>
      <c r="J1662">
        <v>11.32</v>
      </c>
      <c r="K1662">
        <v>60</v>
      </c>
      <c r="L1662" t="s">
        <v>52</v>
      </c>
      <c r="M1662">
        <v>19.78</v>
      </c>
      <c r="N1662">
        <v>68910</v>
      </c>
      <c r="O1662">
        <v>64599</v>
      </c>
      <c r="P1662" t="s">
        <v>924</v>
      </c>
      <c r="Q1662" t="s">
        <v>27</v>
      </c>
      <c r="R1662" t="s">
        <v>48</v>
      </c>
      <c r="S1662" t="s">
        <v>29</v>
      </c>
      <c r="T1662">
        <v>1359.85</v>
      </c>
      <c r="U1662">
        <f t="shared" si="350"/>
        <v>340</v>
      </c>
      <c r="V1662">
        <f t="shared" si="351"/>
        <v>123</v>
      </c>
      <c r="W1662">
        <f t="shared" si="352"/>
        <v>107</v>
      </c>
      <c r="X1662">
        <f t="shared" si="353"/>
        <v>0.35149999999999998</v>
      </c>
      <c r="Y1662" s="1">
        <f t="shared" si="354"/>
        <v>17827846</v>
      </c>
      <c r="Z1662">
        <f t="shared" si="355"/>
        <v>52434.841176470589</v>
      </c>
      <c r="AA1662">
        <f t="shared" si="356"/>
        <v>99664</v>
      </c>
      <c r="AB1662">
        <f t="shared" si="357"/>
        <v>5091</v>
      </c>
      <c r="AC1662">
        <f t="shared" si="358"/>
        <v>456892.15999999992</v>
      </c>
      <c r="AD1662">
        <f t="shared" si="359"/>
        <v>1343.8004705882352</v>
      </c>
      <c r="AE1662">
        <f t="shared" si="360"/>
        <v>0.35149999999999998</v>
      </c>
      <c r="AF1662">
        <f t="shared" si="361"/>
        <v>78577164.259999931</v>
      </c>
      <c r="AG1662" t="str">
        <f t="shared" si="362"/>
        <v>Active</v>
      </c>
      <c r="AH1662">
        <f t="shared" si="363"/>
        <v>16318.199999999999</v>
      </c>
    </row>
    <row r="1663" spans="1:34" x14ac:dyDescent="0.35">
      <c r="A1663" t="s">
        <v>4355</v>
      </c>
      <c r="B1663" t="s">
        <v>4356</v>
      </c>
      <c r="C1663">
        <v>38</v>
      </c>
      <c r="D1663" t="s">
        <v>38</v>
      </c>
      <c r="E1663" t="s">
        <v>23</v>
      </c>
      <c r="F1663" t="s">
        <v>46</v>
      </c>
      <c r="G1663">
        <v>92256</v>
      </c>
      <c r="H1663">
        <v>696</v>
      </c>
      <c r="I1663">
        <v>82257</v>
      </c>
      <c r="J1663">
        <v>18.22</v>
      </c>
      <c r="K1663">
        <v>120</v>
      </c>
      <c r="L1663" t="s">
        <v>40</v>
      </c>
      <c r="M1663">
        <v>33.58</v>
      </c>
      <c r="N1663">
        <v>49575</v>
      </c>
      <c r="O1663">
        <v>86947</v>
      </c>
      <c r="P1663" t="s">
        <v>535</v>
      </c>
      <c r="Q1663" t="s">
        <v>27</v>
      </c>
      <c r="R1663" t="s">
        <v>28</v>
      </c>
      <c r="S1663" t="s">
        <v>49</v>
      </c>
      <c r="T1663">
        <v>810.37</v>
      </c>
      <c r="U1663">
        <f t="shared" si="350"/>
        <v>339</v>
      </c>
      <c r="V1663">
        <f t="shared" si="351"/>
        <v>123</v>
      </c>
      <c r="W1663">
        <f t="shared" si="352"/>
        <v>107</v>
      </c>
      <c r="X1663">
        <f t="shared" si="353"/>
        <v>0.35149999999999998</v>
      </c>
      <c r="Y1663" s="1">
        <f t="shared" si="354"/>
        <v>17754552</v>
      </c>
      <c r="Z1663">
        <f t="shared" si="355"/>
        <v>52373.309734513277</v>
      </c>
      <c r="AA1663">
        <f t="shared" si="356"/>
        <v>99664</v>
      </c>
      <c r="AB1663">
        <f t="shared" si="357"/>
        <v>5091</v>
      </c>
      <c r="AC1663">
        <f t="shared" si="358"/>
        <v>455532.30999999988</v>
      </c>
      <c r="AD1663">
        <f t="shared" si="359"/>
        <v>1343.7531268436574</v>
      </c>
      <c r="AE1663">
        <f t="shared" si="360"/>
        <v>0.35149999999999998</v>
      </c>
      <c r="AF1663">
        <f t="shared" si="361"/>
        <v>78120272.099999934</v>
      </c>
      <c r="AG1663" t="str">
        <f t="shared" si="362"/>
        <v>Active</v>
      </c>
      <c r="AH1663">
        <f t="shared" si="363"/>
        <v>9724.44</v>
      </c>
    </row>
    <row r="1664" spans="1:34" x14ac:dyDescent="0.35">
      <c r="A1664" t="s">
        <v>4357</v>
      </c>
      <c r="B1664" t="s">
        <v>4358</v>
      </c>
      <c r="C1664">
        <v>35</v>
      </c>
      <c r="D1664" t="s">
        <v>22</v>
      </c>
      <c r="E1664" t="s">
        <v>23</v>
      </c>
      <c r="F1664" t="s">
        <v>59</v>
      </c>
      <c r="G1664">
        <v>120097</v>
      </c>
      <c r="H1664">
        <v>659</v>
      </c>
      <c r="I1664">
        <v>87787</v>
      </c>
      <c r="J1664">
        <v>14.8</v>
      </c>
      <c r="K1664">
        <v>60</v>
      </c>
      <c r="L1664" t="s">
        <v>33</v>
      </c>
      <c r="M1664">
        <v>7.61</v>
      </c>
      <c r="N1664">
        <v>23430</v>
      </c>
      <c r="O1664">
        <v>170389</v>
      </c>
      <c r="P1664" t="s">
        <v>388</v>
      </c>
      <c r="Q1664" t="s">
        <v>61</v>
      </c>
      <c r="R1664" t="s">
        <v>48</v>
      </c>
      <c r="S1664" t="s">
        <v>68</v>
      </c>
      <c r="T1664">
        <v>1679.66</v>
      </c>
      <c r="U1664">
        <f t="shared" si="350"/>
        <v>338</v>
      </c>
      <c r="V1664">
        <f t="shared" si="351"/>
        <v>123</v>
      </c>
      <c r="W1664">
        <f t="shared" si="352"/>
        <v>107</v>
      </c>
      <c r="X1664">
        <f t="shared" si="353"/>
        <v>0.35149999999999998</v>
      </c>
      <c r="Y1664" s="1">
        <f t="shared" si="354"/>
        <v>17672295</v>
      </c>
      <c r="Z1664">
        <f t="shared" si="355"/>
        <v>52284.896449704145</v>
      </c>
      <c r="AA1664">
        <f t="shared" si="356"/>
        <v>99664</v>
      </c>
      <c r="AB1664">
        <f t="shared" si="357"/>
        <v>5091</v>
      </c>
      <c r="AC1664">
        <f t="shared" si="358"/>
        <v>454721.93999999989</v>
      </c>
      <c r="AD1664">
        <f t="shared" si="359"/>
        <v>1345.3311834319522</v>
      </c>
      <c r="AE1664">
        <f t="shared" si="360"/>
        <v>0.35149999999999998</v>
      </c>
      <c r="AF1664">
        <f t="shared" si="361"/>
        <v>77664739.789999932</v>
      </c>
      <c r="AG1664" t="str">
        <f t="shared" si="362"/>
        <v>Active</v>
      </c>
      <c r="AH1664">
        <f t="shared" si="363"/>
        <v>20155.920000000002</v>
      </c>
    </row>
    <row r="1665" spans="1:34" x14ac:dyDescent="0.35">
      <c r="A1665" t="s">
        <v>4359</v>
      </c>
      <c r="B1665" t="s">
        <v>4360</v>
      </c>
      <c r="C1665">
        <v>58</v>
      </c>
      <c r="D1665" t="s">
        <v>38</v>
      </c>
      <c r="E1665" t="s">
        <v>23</v>
      </c>
      <c r="F1665" t="s">
        <v>24</v>
      </c>
      <c r="G1665">
        <v>170658</v>
      </c>
      <c r="H1665">
        <v>545</v>
      </c>
      <c r="I1665">
        <v>75953</v>
      </c>
      <c r="J1665">
        <v>12.08</v>
      </c>
      <c r="K1665">
        <v>60</v>
      </c>
      <c r="L1665" t="s">
        <v>86</v>
      </c>
      <c r="M1665">
        <v>33.880000000000003</v>
      </c>
      <c r="N1665">
        <v>24972</v>
      </c>
      <c r="O1665">
        <v>135324</v>
      </c>
      <c r="P1665" t="s">
        <v>4361</v>
      </c>
      <c r="Q1665" t="s">
        <v>42</v>
      </c>
      <c r="R1665" t="s">
        <v>48</v>
      </c>
      <c r="S1665" t="s">
        <v>29</v>
      </c>
      <c r="T1665">
        <v>1418.8</v>
      </c>
      <c r="U1665">
        <f t="shared" si="350"/>
        <v>337</v>
      </c>
      <c r="V1665">
        <f t="shared" si="351"/>
        <v>123</v>
      </c>
      <c r="W1665">
        <f t="shared" si="352"/>
        <v>106</v>
      </c>
      <c r="X1665">
        <f t="shared" si="353"/>
        <v>0.35149999999999998</v>
      </c>
      <c r="Y1665" s="1">
        <f t="shared" si="354"/>
        <v>17584508</v>
      </c>
      <c r="Z1665">
        <f t="shared" si="355"/>
        <v>52179.548961424334</v>
      </c>
      <c r="AA1665">
        <f t="shared" si="356"/>
        <v>99664</v>
      </c>
      <c r="AB1665">
        <f t="shared" si="357"/>
        <v>5091</v>
      </c>
      <c r="AC1665">
        <f t="shared" si="358"/>
        <v>453042.27999999985</v>
      </c>
      <c r="AD1665">
        <f t="shared" si="359"/>
        <v>1344.3391097922845</v>
      </c>
      <c r="AE1665">
        <f t="shared" si="360"/>
        <v>0.35149999999999998</v>
      </c>
      <c r="AF1665">
        <f t="shared" si="361"/>
        <v>77210017.84999992</v>
      </c>
      <c r="AG1665" t="str">
        <f t="shared" si="362"/>
        <v>Active</v>
      </c>
      <c r="AH1665">
        <f t="shared" si="363"/>
        <v>17025.599999999999</v>
      </c>
    </row>
    <row r="1666" spans="1:34" x14ac:dyDescent="0.35">
      <c r="A1666" t="s">
        <v>4362</v>
      </c>
      <c r="B1666" t="s">
        <v>4363</v>
      </c>
      <c r="C1666">
        <v>24</v>
      </c>
      <c r="D1666" t="s">
        <v>38</v>
      </c>
      <c r="E1666" t="s">
        <v>32</v>
      </c>
      <c r="F1666" t="s">
        <v>24</v>
      </c>
      <c r="G1666">
        <v>58330</v>
      </c>
      <c r="H1666">
        <v>671</v>
      </c>
      <c r="I1666">
        <v>71367</v>
      </c>
      <c r="J1666">
        <v>6.83</v>
      </c>
      <c r="K1666">
        <v>360</v>
      </c>
      <c r="L1666" t="s">
        <v>52</v>
      </c>
      <c r="M1666">
        <v>53.59</v>
      </c>
      <c r="N1666">
        <v>45910</v>
      </c>
      <c r="O1666">
        <v>38103</v>
      </c>
      <c r="P1666" t="s">
        <v>4364</v>
      </c>
      <c r="Q1666" t="s">
        <v>61</v>
      </c>
      <c r="R1666" t="s">
        <v>48</v>
      </c>
      <c r="S1666" t="s">
        <v>49</v>
      </c>
      <c r="T1666">
        <v>211.78</v>
      </c>
      <c r="U1666">
        <f t="shared" ref="U1666:U1729" si="364">COUNTA(A1666:A3665)</f>
        <v>336</v>
      </c>
      <c r="V1666">
        <f t="shared" ref="V1666:V1729" si="365">COUNTIF(Q1666:Q3665,"APPROVED")</f>
        <v>122</v>
      </c>
      <c r="W1666">
        <f t="shared" ref="W1666:W1729" si="366">COUNTIF(Q1666:Q3666,"Rejected")</f>
        <v>106</v>
      </c>
      <c r="X1666">
        <f t="shared" ref="X1666:X1729" si="367">703/2000</f>
        <v>0.35149999999999998</v>
      </c>
      <c r="Y1666" s="1">
        <f t="shared" ref="Y1666:Y1729" si="368">SUM(I1666:I3665)</f>
        <v>17508555</v>
      </c>
      <c r="Z1666">
        <f t="shared" ref="Z1666:Z1729" si="369">AVERAGE(I1666:I21665)</f>
        <v>52108.794642857145</v>
      </c>
      <c r="AA1666">
        <f t="shared" ref="AA1666:AA1729" si="370">MAX(I1666:I3665)</f>
        <v>99664</v>
      </c>
      <c r="AB1666">
        <f t="shared" ref="AB1666:AB1729" si="371">MIN(I1666:I3665)</f>
        <v>5091</v>
      </c>
      <c r="AC1666">
        <f t="shared" ref="AC1666:AC1729" si="372">SUM(T1666:T3665)</f>
        <v>451623.47999999986</v>
      </c>
      <c r="AD1666">
        <f t="shared" ref="AD1666:AD1729" si="373">AVERAGE(T1666:T3665)</f>
        <v>1344.1174999999996</v>
      </c>
      <c r="AE1666">
        <f t="shared" ref="AE1666:AE1729" si="374">703/2000</f>
        <v>0.35149999999999998</v>
      </c>
      <c r="AF1666">
        <f t="shared" ref="AF1666:AF1729" si="375">SUM(AC1666:AC3665)</f>
        <v>76756975.569999903</v>
      </c>
      <c r="AG1666" t="str">
        <f t="shared" ref="AG1666:AG1729" si="376">IF(AH1666=0,"Bad", IF(AH1665&lt;I1665, "Active", IF(AH1665=I1665, "Good", "Over Paid")))</f>
        <v>Active</v>
      </c>
      <c r="AH1666">
        <f t="shared" ref="AH1666:AH1729" si="377">T1666*12</f>
        <v>2541.36</v>
      </c>
    </row>
    <row r="1667" spans="1:34" x14ac:dyDescent="0.35">
      <c r="A1667" t="s">
        <v>4365</v>
      </c>
      <c r="B1667" t="s">
        <v>4366</v>
      </c>
      <c r="C1667">
        <v>48</v>
      </c>
      <c r="D1667" t="s">
        <v>22</v>
      </c>
      <c r="E1667" t="s">
        <v>23</v>
      </c>
      <c r="F1667" t="s">
        <v>24</v>
      </c>
      <c r="G1667">
        <v>105546</v>
      </c>
      <c r="H1667">
        <v>789</v>
      </c>
      <c r="I1667">
        <v>8226</v>
      </c>
      <c r="J1667">
        <v>5.51</v>
      </c>
      <c r="K1667">
        <v>24</v>
      </c>
      <c r="L1667" t="s">
        <v>25</v>
      </c>
      <c r="M1667">
        <v>47</v>
      </c>
      <c r="N1667">
        <v>45826</v>
      </c>
      <c r="O1667">
        <v>171860</v>
      </c>
      <c r="P1667" t="s">
        <v>4367</v>
      </c>
      <c r="Q1667" t="s">
        <v>27</v>
      </c>
      <c r="R1667" t="s">
        <v>48</v>
      </c>
      <c r="S1667" t="s">
        <v>35</v>
      </c>
      <c r="T1667">
        <v>361.64</v>
      </c>
      <c r="U1667">
        <f t="shared" si="364"/>
        <v>335</v>
      </c>
      <c r="V1667">
        <f t="shared" si="365"/>
        <v>122</v>
      </c>
      <c r="W1667">
        <f t="shared" si="366"/>
        <v>105</v>
      </c>
      <c r="X1667">
        <f t="shared" si="367"/>
        <v>0.35149999999999998</v>
      </c>
      <c r="Y1667" s="1">
        <f t="shared" si="368"/>
        <v>17437188</v>
      </c>
      <c r="Z1667">
        <f t="shared" si="369"/>
        <v>52051.307462686564</v>
      </c>
      <c r="AA1667">
        <f t="shared" si="370"/>
        <v>99664</v>
      </c>
      <c r="AB1667">
        <f t="shared" si="371"/>
        <v>5091</v>
      </c>
      <c r="AC1667">
        <f t="shared" si="372"/>
        <v>451411.6999999999</v>
      </c>
      <c r="AD1667">
        <f t="shared" si="373"/>
        <v>1347.4976119402982</v>
      </c>
      <c r="AE1667">
        <f t="shared" si="374"/>
        <v>0.35149999999999998</v>
      </c>
      <c r="AF1667">
        <f t="shared" si="375"/>
        <v>76305352.089999914</v>
      </c>
      <c r="AG1667" t="str">
        <f t="shared" si="376"/>
        <v>Active</v>
      </c>
      <c r="AH1667">
        <f t="shared" si="377"/>
        <v>4339.68</v>
      </c>
    </row>
    <row r="1668" spans="1:34" x14ac:dyDescent="0.35">
      <c r="A1668" t="s">
        <v>4368</v>
      </c>
      <c r="B1668" t="s">
        <v>4369</v>
      </c>
      <c r="C1668">
        <v>47</v>
      </c>
      <c r="D1668" t="s">
        <v>38</v>
      </c>
      <c r="E1668" t="s">
        <v>39</v>
      </c>
      <c r="F1668" t="s">
        <v>46</v>
      </c>
      <c r="G1668">
        <v>88986</v>
      </c>
      <c r="H1668">
        <v>695</v>
      </c>
      <c r="I1668">
        <v>42084</v>
      </c>
      <c r="J1668">
        <v>21.12</v>
      </c>
      <c r="K1668">
        <v>48</v>
      </c>
      <c r="L1668" t="s">
        <v>40</v>
      </c>
      <c r="M1668">
        <v>52.42</v>
      </c>
      <c r="N1668">
        <v>13676</v>
      </c>
      <c r="O1668">
        <v>2226</v>
      </c>
      <c r="P1668" t="s">
        <v>604</v>
      </c>
      <c r="Q1668" t="s">
        <v>27</v>
      </c>
      <c r="R1668" t="s">
        <v>28</v>
      </c>
      <c r="S1668" t="s">
        <v>49</v>
      </c>
      <c r="T1668">
        <v>1061.92</v>
      </c>
      <c r="U1668">
        <f t="shared" si="364"/>
        <v>334</v>
      </c>
      <c r="V1668">
        <f t="shared" si="365"/>
        <v>122</v>
      </c>
      <c r="W1668">
        <f t="shared" si="366"/>
        <v>105</v>
      </c>
      <c r="X1668">
        <f t="shared" si="367"/>
        <v>0.35149999999999998</v>
      </c>
      <c r="Y1668" s="1">
        <f t="shared" si="368"/>
        <v>17428962</v>
      </c>
      <c r="Z1668">
        <f t="shared" si="369"/>
        <v>52182.520958083835</v>
      </c>
      <c r="AA1668">
        <f t="shared" si="370"/>
        <v>99664</v>
      </c>
      <c r="AB1668">
        <f t="shared" si="371"/>
        <v>5091</v>
      </c>
      <c r="AC1668">
        <f t="shared" si="372"/>
        <v>451050.05999999988</v>
      </c>
      <c r="AD1668">
        <f t="shared" si="373"/>
        <v>1350.4492814371254</v>
      </c>
      <c r="AE1668">
        <f t="shared" si="374"/>
        <v>0.35149999999999998</v>
      </c>
      <c r="AF1668">
        <f t="shared" si="375"/>
        <v>75853940.389999926</v>
      </c>
      <c r="AG1668" t="str">
        <f t="shared" si="376"/>
        <v>Active</v>
      </c>
      <c r="AH1668">
        <f t="shared" si="377"/>
        <v>12743.04</v>
      </c>
    </row>
    <row r="1669" spans="1:34" x14ac:dyDescent="0.35">
      <c r="A1669" t="s">
        <v>4370</v>
      </c>
      <c r="B1669" t="s">
        <v>4371</v>
      </c>
      <c r="C1669">
        <v>27</v>
      </c>
      <c r="D1669" t="s">
        <v>38</v>
      </c>
      <c r="E1669" t="s">
        <v>39</v>
      </c>
      <c r="F1669" t="s">
        <v>46</v>
      </c>
      <c r="G1669">
        <v>40159</v>
      </c>
      <c r="H1669">
        <v>415</v>
      </c>
      <c r="I1669">
        <v>18471</v>
      </c>
      <c r="J1669">
        <v>9.6300000000000008</v>
      </c>
      <c r="K1669">
        <v>360</v>
      </c>
      <c r="L1669" t="s">
        <v>86</v>
      </c>
      <c r="M1669">
        <v>16.63</v>
      </c>
      <c r="N1669">
        <v>27655</v>
      </c>
      <c r="O1669">
        <v>242796</v>
      </c>
      <c r="P1669" t="s">
        <v>696</v>
      </c>
      <c r="Q1669" t="s">
        <v>61</v>
      </c>
      <c r="R1669" t="s">
        <v>28</v>
      </c>
      <c r="S1669" t="s">
        <v>35</v>
      </c>
      <c r="T1669">
        <v>56.25</v>
      </c>
      <c r="U1669">
        <f t="shared" si="364"/>
        <v>333</v>
      </c>
      <c r="V1669">
        <f t="shared" si="365"/>
        <v>122</v>
      </c>
      <c r="W1669">
        <f t="shared" si="366"/>
        <v>105</v>
      </c>
      <c r="X1669">
        <f t="shared" si="367"/>
        <v>0.35149999999999998</v>
      </c>
      <c r="Y1669" s="1">
        <f t="shared" si="368"/>
        <v>17386878</v>
      </c>
      <c r="Z1669">
        <f t="shared" si="369"/>
        <v>52212.846846846849</v>
      </c>
      <c r="AA1669">
        <f t="shared" si="370"/>
        <v>99664</v>
      </c>
      <c r="AB1669">
        <f t="shared" si="371"/>
        <v>5091</v>
      </c>
      <c r="AC1669">
        <f t="shared" si="372"/>
        <v>449988.1399999999</v>
      </c>
      <c r="AD1669">
        <f t="shared" si="373"/>
        <v>1351.3157357357354</v>
      </c>
      <c r="AE1669">
        <f t="shared" si="374"/>
        <v>0.35149999999999998</v>
      </c>
      <c r="AF1669">
        <f t="shared" si="375"/>
        <v>75402890.329999924</v>
      </c>
      <c r="AG1669" t="str">
        <f t="shared" si="376"/>
        <v>Active</v>
      </c>
      <c r="AH1669">
        <f t="shared" si="377"/>
        <v>675</v>
      </c>
    </row>
    <row r="1670" spans="1:34" x14ac:dyDescent="0.35">
      <c r="A1670" t="s">
        <v>4372</v>
      </c>
      <c r="B1670" t="s">
        <v>4373</v>
      </c>
      <c r="C1670">
        <v>36</v>
      </c>
      <c r="D1670" t="s">
        <v>38</v>
      </c>
      <c r="E1670" t="s">
        <v>32</v>
      </c>
      <c r="F1670" t="s">
        <v>59</v>
      </c>
      <c r="G1670">
        <v>75660</v>
      </c>
      <c r="H1670">
        <v>595</v>
      </c>
      <c r="I1670">
        <v>50783</v>
      </c>
      <c r="J1670">
        <v>21.48</v>
      </c>
      <c r="K1670">
        <v>24</v>
      </c>
      <c r="L1670" t="s">
        <v>40</v>
      </c>
      <c r="M1670">
        <v>53.3</v>
      </c>
      <c r="N1670">
        <v>34971</v>
      </c>
      <c r="O1670">
        <v>57161</v>
      </c>
      <c r="P1670" t="s">
        <v>87</v>
      </c>
      <c r="Q1670" t="s">
        <v>27</v>
      </c>
      <c r="R1670" t="s">
        <v>48</v>
      </c>
      <c r="S1670" t="s">
        <v>68</v>
      </c>
      <c r="T1670">
        <v>2570.4699999999998</v>
      </c>
      <c r="U1670">
        <f t="shared" si="364"/>
        <v>332</v>
      </c>
      <c r="V1670">
        <f t="shared" si="365"/>
        <v>122</v>
      </c>
      <c r="W1670">
        <f t="shared" si="366"/>
        <v>104</v>
      </c>
      <c r="X1670">
        <f t="shared" si="367"/>
        <v>0.35149999999999998</v>
      </c>
      <c r="Y1670" s="1">
        <f t="shared" si="368"/>
        <v>17368407</v>
      </c>
      <c r="Z1670">
        <f t="shared" si="369"/>
        <v>52314.47891566265</v>
      </c>
      <c r="AA1670">
        <f t="shared" si="370"/>
        <v>99664</v>
      </c>
      <c r="AB1670">
        <f t="shared" si="371"/>
        <v>5091</v>
      </c>
      <c r="AC1670">
        <f t="shared" si="372"/>
        <v>449931.8899999999</v>
      </c>
      <c r="AD1670">
        <f t="shared" si="373"/>
        <v>1355.216536144578</v>
      </c>
      <c r="AE1670">
        <f t="shared" si="374"/>
        <v>0.35149999999999998</v>
      </c>
      <c r="AF1670">
        <f t="shared" si="375"/>
        <v>74952902.189999923</v>
      </c>
      <c r="AG1670" t="str">
        <f t="shared" si="376"/>
        <v>Active</v>
      </c>
      <c r="AH1670">
        <f t="shared" si="377"/>
        <v>30845.64</v>
      </c>
    </row>
    <row r="1671" spans="1:34" x14ac:dyDescent="0.35">
      <c r="A1671" t="s">
        <v>4374</v>
      </c>
      <c r="B1671" t="s">
        <v>4375</v>
      </c>
      <c r="C1671">
        <v>48</v>
      </c>
      <c r="D1671" t="s">
        <v>38</v>
      </c>
      <c r="E1671" t="s">
        <v>32</v>
      </c>
      <c r="F1671" t="s">
        <v>59</v>
      </c>
      <c r="G1671">
        <v>136357</v>
      </c>
      <c r="H1671">
        <v>312</v>
      </c>
      <c r="I1671">
        <v>68033</v>
      </c>
      <c r="J1671">
        <v>20.75</v>
      </c>
      <c r="K1671">
        <v>180</v>
      </c>
      <c r="L1671" t="s">
        <v>40</v>
      </c>
      <c r="M1671">
        <v>35.950000000000003</v>
      </c>
      <c r="N1671">
        <v>57272</v>
      </c>
      <c r="O1671">
        <v>46314</v>
      </c>
      <c r="P1671" t="s">
        <v>4376</v>
      </c>
      <c r="Q1671" t="s">
        <v>61</v>
      </c>
      <c r="R1671" t="s">
        <v>28</v>
      </c>
      <c r="S1671" t="s">
        <v>68</v>
      </c>
      <c r="T1671">
        <v>456.39</v>
      </c>
      <c r="U1671">
        <f t="shared" si="364"/>
        <v>331</v>
      </c>
      <c r="V1671">
        <f t="shared" si="365"/>
        <v>122</v>
      </c>
      <c r="W1671">
        <f t="shared" si="366"/>
        <v>104</v>
      </c>
      <c r="X1671">
        <f t="shared" si="367"/>
        <v>0.35149999999999998</v>
      </c>
      <c r="Y1671" s="1">
        <f t="shared" si="368"/>
        <v>17317624</v>
      </c>
      <c r="Z1671">
        <f t="shared" si="369"/>
        <v>52319.105740181272</v>
      </c>
      <c r="AA1671">
        <f t="shared" si="370"/>
        <v>99664</v>
      </c>
      <c r="AB1671">
        <f t="shared" si="371"/>
        <v>5091</v>
      </c>
      <c r="AC1671">
        <f t="shared" si="372"/>
        <v>447361.41999999987</v>
      </c>
      <c r="AD1671">
        <f t="shared" si="373"/>
        <v>1351.5450755287004</v>
      </c>
      <c r="AE1671">
        <f t="shared" si="374"/>
        <v>0.35149999999999998</v>
      </c>
      <c r="AF1671">
        <f t="shared" si="375"/>
        <v>74502970.299999923</v>
      </c>
      <c r="AG1671" t="str">
        <f t="shared" si="376"/>
        <v>Active</v>
      </c>
      <c r="AH1671">
        <f t="shared" si="377"/>
        <v>5476.68</v>
      </c>
    </row>
    <row r="1672" spans="1:34" x14ac:dyDescent="0.35">
      <c r="A1672" t="s">
        <v>4377</v>
      </c>
      <c r="B1672" t="s">
        <v>4378</v>
      </c>
      <c r="C1672">
        <v>38</v>
      </c>
      <c r="D1672" t="s">
        <v>22</v>
      </c>
      <c r="E1672" t="s">
        <v>23</v>
      </c>
      <c r="F1672" t="s">
        <v>59</v>
      </c>
      <c r="G1672">
        <v>165453</v>
      </c>
      <c r="H1672">
        <v>608</v>
      </c>
      <c r="I1672">
        <v>53320</v>
      </c>
      <c r="J1672">
        <v>23.28</v>
      </c>
      <c r="K1672">
        <v>60</v>
      </c>
      <c r="L1672" t="s">
        <v>25</v>
      </c>
      <c r="M1672">
        <v>11.67</v>
      </c>
      <c r="N1672">
        <v>75528</v>
      </c>
      <c r="O1672">
        <v>227354</v>
      </c>
      <c r="P1672" t="s">
        <v>4379</v>
      </c>
      <c r="Q1672" t="s">
        <v>61</v>
      </c>
      <c r="R1672" t="s">
        <v>28</v>
      </c>
      <c r="S1672" t="s">
        <v>35</v>
      </c>
      <c r="T1672">
        <v>1095.55</v>
      </c>
      <c r="U1672">
        <f t="shared" si="364"/>
        <v>330</v>
      </c>
      <c r="V1672">
        <f t="shared" si="365"/>
        <v>122</v>
      </c>
      <c r="W1672">
        <f t="shared" si="366"/>
        <v>103</v>
      </c>
      <c r="X1672">
        <f t="shared" si="367"/>
        <v>0.35149999999999998</v>
      </c>
      <c r="Y1672" s="1">
        <f t="shared" si="368"/>
        <v>17249591</v>
      </c>
      <c r="Z1672">
        <f t="shared" si="369"/>
        <v>52271.487878787877</v>
      </c>
      <c r="AA1672">
        <f t="shared" si="370"/>
        <v>99664</v>
      </c>
      <c r="AB1672">
        <f t="shared" si="371"/>
        <v>5091</v>
      </c>
      <c r="AC1672">
        <f t="shared" si="372"/>
        <v>446905.02999999985</v>
      </c>
      <c r="AD1672">
        <f t="shared" si="373"/>
        <v>1354.2576666666662</v>
      </c>
      <c r="AE1672">
        <f t="shared" si="374"/>
        <v>0.35149999999999998</v>
      </c>
      <c r="AF1672">
        <f t="shared" si="375"/>
        <v>74055608.879999906</v>
      </c>
      <c r="AG1672" t="str">
        <f t="shared" si="376"/>
        <v>Active</v>
      </c>
      <c r="AH1672">
        <f t="shared" si="377"/>
        <v>13146.599999999999</v>
      </c>
    </row>
    <row r="1673" spans="1:34" x14ac:dyDescent="0.35">
      <c r="A1673" t="s">
        <v>4380</v>
      </c>
      <c r="B1673" t="s">
        <v>4381</v>
      </c>
      <c r="C1673">
        <v>58</v>
      </c>
      <c r="D1673" t="s">
        <v>38</v>
      </c>
      <c r="E1673" t="s">
        <v>32</v>
      </c>
      <c r="F1673" t="s">
        <v>24</v>
      </c>
      <c r="G1673">
        <v>49618</v>
      </c>
      <c r="H1673">
        <v>695</v>
      </c>
      <c r="I1673">
        <v>69151</v>
      </c>
      <c r="J1673">
        <v>8.26</v>
      </c>
      <c r="K1673">
        <v>60</v>
      </c>
      <c r="L1673" t="s">
        <v>86</v>
      </c>
      <c r="M1673">
        <v>47.21</v>
      </c>
      <c r="N1673">
        <v>15971</v>
      </c>
      <c r="O1673">
        <v>225583</v>
      </c>
      <c r="P1673" t="s">
        <v>391</v>
      </c>
      <c r="Q1673" t="s">
        <v>27</v>
      </c>
      <c r="R1673" t="s">
        <v>28</v>
      </c>
      <c r="S1673" t="s">
        <v>68</v>
      </c>
      <c r="T1673">
        <v>1247.71</v>
      </c>
      <c r="U1673">
        <f t="shared" si="364"/>
        <v>329</v>
      </c>
      <c r="V1673">
        <f t="shared" si="365"/>
        <v>122</v>
      </c>
      <c r="W1673">
        <f t="shared" si="366"/>
        <v>102</v>
      </c>
      <c r="X1673">
        <f t="shared" si="367"/>
        <v>0.35149999999999998</v>
      </c>
      <c r="Y1673" s="1">
        <f t="shared" si="368"/>
        <v>17196271</v>
      </c>
      <c r="Z1673">
        <f t="shared" si="369"/>
        <v>52268.300911854101</v>
      </c>
      <c r="AA1673">
        <f t="shared" si="370"/>
        <v>99664</v>
      </c>
      <c r="AB1673">
        <f t="shared" si="371"/>
        <v>5091</v>
      </c>
      <c r="AC1673">
        <f t="shared" si="372"/>
        <v>445809.47999999986</v>
      </c>
      <c r="AD1673">
        <f t="shared" si="373"/>
        <v>1355.0440121580543</v>
      </c>
      <c r="AE1673">
        <f t="shared" si="374"/>
        <v>0.35149999999999998</v>
      </c>
      <c r="AF1673">
        <f t="shared" si="375"/>
        <v>73608703.84999992</v>
      </c>
      <c r="AG1673" t="str">
        <f t="shared" si="376"/>
        <v>Active</v>
      </c>
      <c r="AH1673">
        <f t="shared" si="377"/>
        <v>14972.52</v>
      </c>
    </row>
    <row r="1674" spans="1:34" x14ac:dyDescent="0.35">
      <c r="A1674" t="s">
        <v>4382</v>
      </c>
      <c r="B1674" t="s">
        <v>4383</v>
      </c>
      <c r="C1674">
        <v>21</v>
      </c>
      <c r="D1674" t="s">
        <v>38</v>
      </c>
      <c r="E1674" t="s">
        <v>39</v>
      </c>
      <c r="F1674" t="s">
        <v>46</v>
      </c>
      <c r="G1674">
        <v>71454</v>
      </c>
      <c r="H1674">
        <v>575</v>
      </c>
      <c r="I1674">
        <v>34069</v>
      </c>
      <c r="J1674">
        <v>18.989999999999998</v>
      </c>
      <c r="K1674">
        <v>60</v>
      </c>
      <c r="L1674" t="s">
        <v>40</v>
      </c>
      <c r="M1674">
        <v>44.56</v>
      </c>
      <c r="N1674">
        <v>9834</v>
      </c>
      <c r="O1674">
        <v>197116</v>
      </c>
      <c r="P1674" t="s">
        <v>391</v>
      </c>
      <c r="Q1674" t="s">
        <v>42</v>
      </c>
      <c r="R1674" t="s">
        <v>28</v>
      </c>
      <c r="S1674" t="s">
        <v>35</v>
      </c>
      <c r="T1674">
        <v>675.65</v>
      </c>
      <c r="U1674">
        <f t="shared" si="364"/>
        <v>328</v>
      </c>
      <c r="V1674">
        <f t="shared" si="365"/>
        <v>122</v>
      </c>
      <c r="W1674">
        <f t="shared" si="366"/>
        <v>102</v>
      </c>
      <c r="X1674">
        <f t="shared" si="367"/>
        <v>0.35149999999999998</v>
      </c>
      <c r="Y1674" s="1">
        <f t="shared" si="368"/>
        <v>17127120</v>
      </c>
      <c r="Z1674">
        <f t="shared" si="369"/>
        <v>52216.829268292684</v>
      </c>
      <c r="AA1674">
        <f t="shared" si="370"/>
        <v>99664</v>
      </c>
      <c r="AB1674">
        <f t="shared" si="371"/>
        <v>5091</v>
      </c>
      <c r="AC1674">
        <f t="shared" si="372"/>
        <v>444561.76999999984</v>
      </c>
      <c r="AD1674">
        <f t="shared" si="373"/>
        <v>1355.3712499999995</v>
      </c>
      <c r="AE1674">
        <f t="shared" si="374"/>
        <v>0.35149999999999998</v>
      </c>
      <c r="AF1674">
        <f t="shared" si="375"/>
        <v>73162894.36999993</v>
      </c>
      <c r="AG1674" t="str">
        <f t="shared" si="376"/>
        <v>Active</v>
      </c>
      <c r="AH1674">
        <f t="shared" si="377"/>
        <v>8107.7999999999993</v>
      </c>
    </row>
    <row r="1675" spans="1:34" x14ac:dyDescent="0.35">
      <c r="A1675" t="s">
        <v>4384</v>
      </c>
      <c r="B1675" t="s">
        <v>4385</v>
      </c>
      <c r="C1675">
        <v>54</v>
      </c>
      <c r="D1675" t="s">
        <v>38</v>
      </c>
      <c r="E1675" t="s">
        <v>23</v>
      </c>
      <c r="F1675" t="s">
        <v>46</v>
      </c>
      <c r="G1675">
        <v>188216</v>
      </c>
      <c r="H1675">
        <v>335</v>
      </c>
      <c r="I1675">
        <v>5173</v>
      </c>
      <c r="J1675">
        <v>4.04</v>
      </c>
      <c r="K1675">
        <v>240</v>
      </c>
      <c r="L1675" t="s">
        <v>40</v>
      </c>
      <c r="M1675">
        <v>59.28</v>
      </c>
      <c r="N1675">
        <v>68537</v>
      </c>
      <c r="O1675">
        <v>249416</v>
      </c>
      <c r="P1675" t="s">
        <v>3562</v>
      </c>
      <c r="Q1675" t="s">
        <v>42</v>
      </c>
      <c r="R1675" t="s">
        <v>28</v>
      </c>
      <c r="S1675" t="s">
        <v>49</v>
      </c>
      <c r="T1675">
        <v>22.42</v>
      </c>
      <c r="U1675">
        <f t="shared" si="364"/>
        <v>327</v>
      </c>
      <c r="V1675">
        <f t="shared" si="365"/>
        <v>121</v>
      </c>
      <c r="W1675">
        <f t="shared" si="366"/>
        <v>102</v>
      </c>
      <c r="X1675">
        <f t="shared" si="367"/>
        <v>0.35149999999999998</v>
      </c>
      <c r="Y1675" s="1">
        <f t="shared" si="368"/>
        <v>17093051</v>
      </c>
      <c r="Z1675">
        <f t="shared" si="369"/>
        <v>52272.327217125385</v>
      </c>
      <c r="AA1675">
        <f t="shared" si="370"/>
        <v>99664</v>
      </c>
      <c r="AB1675">
        <f t="shared" si="371"/>
        <v>5091</v>
      </c>
      <c r="AC1675">
        <f t="shared" si="372"/>
        <v>443886.11999999988</v>
      </c>
      <c r="AD1675">
        <f t="shared" si="373"/>
        <v>1357.4499082568805</v>
      </c>
      <c r="AE1675">
        <f t="shared" si="374"/>
        <v>0.35149999999999998</v>
      </c>
      <c r="AF1675">
        <f t="shared" si="375"/>
        <v>72718332.599999934</v>
      </c>
      <c r="AG1675" t="str">
        <f t="shared" si="376"/>
        <v>Active</v>
      </c>
      <c r="AH1675">
        <f t="shared" si="377"/>
        <v>269.04000000000002</v>
      </c>
    </row>
    <row r="1676" spans="1:34" x14ac:dyDescent="0.35">
      <c r="A1676" t="s">
        <v>4386</v>
      </c>
      <c r="B1676" t="s">
        <v>4387</v>
      </c>
      <c r="C1676">
        <v>65</v>
      </c>
      <c r="D1676" t="s">
        <v>22</v>
      </c>
      <c r="E1676" t="s">
        <v>39</v>
      </c>
      <c r="F1676" t="s">
        <v>24</v>
      </c>
      <c r="G1676">
        <v>160134</v>
      </c>
      <c r="H1676">
        <v>812</v>
      </c>
      <c r="I1676">
        <v>97630</v>
      </c>
      <c r="J1676">
        <v>16.18</v>
      </c>
      <c r="K1676">
        <v>180</v>
      </c>
      <c r="L1676" t="s">
        <v>25</v>
      </c>
      <c r="M1676">
        <v>32.83</v>
      </c>
      <c r="N1676">
        <v>6357</v>
      </c>
      <c r="O1676">
        <v>1412</v>
      </c>
      <c r="P1676" t="s">
        <v>4388</v>
      </c>
      <c r="Q1676" t="s">
        <v>27</v>
      </c>
      <c r="R1676" t="s">
        <v>28</v>
      </c>
      <c r="S1676" t="s">
        <v>29</v>
      </c>
      <c r="T1676">
        <v>630.15</v>
      </c>
      <c r="U1676">
        <f t="shared" si="364"/>
        <v>326</v>
      </c>
      <c r="V1676">
        <f t="shared" si="365"/>
        <v>120</v>
      </c>
      <c r="W1676">
        <f t="shared" si="366"/>
        <v>102</v>
      </c>
      <c r="X1676">
        <f t="shared" si="367"/>
        <v>0.35149999999999998</v>
      </c>
      <c r="Y1676" s="1">
        <f t="shared" si="368"/>
        <v>17087878</v>
      </c>
      <c r="Z1676">
        <f t="shared" si="369"/>
        <v>52416.803680981597</v>
      </c>
      <c r="AA1676">
        <f t="shared" si="370"/>
        <v>99664</v>
      </c>
      <c r="AB1676">
        <f t="shared" si="371"/>
        <v>5091</v>
      </c>
      <c r="AC1676">
        <f t="shared" si="372"/>
        <v>443863.69999999984</v>
      </c>
      <c r="AD1676">
        <f t="shared" si="373"/>
        <v>1361.5450920245394</v>
      </c>
      <c r="AE1676">
        <f t="shared" si="374"/>
        <v>0.35149999999999998</v>
      </c>
      <c r="AF1676">
        <f t="shared" si="375"/>
        <v>72274446.479999945</v>
      </c>
      <c r="AG1676" t="str">
        <f t="shared" si="376"/>
        <v>Active</v>
      </c>
      <c r="AH1676">
        <f t="shared" si="377"/>
        <v>7561.7999999999993</v>
      </c>
    </row>
    <row r="1677" spans="1:34" x14ac:dyDescent="0.35">
      <c r="A1677" t="s">
        <v>4389</v>
      </c>
      <c r="B1677" t="s">
        <v>4390</v>
      </c>
      <c r="C1677">
        <v>47</v>
      </c>
      <c r="D1677" t="s">
        <v>38</v>
      </c>
      <c r="E1677" t="s">
        <v>23</v>
      </c>
      <c r="F1677" t="s">
        <v>24</v>
      </c>
      <c r="G1677">
        <v>117274</v>
      </c>
      <c r="H1677">
        <v>447</v>
      </c>
      <c r="I1677">
        <v>23681</v>
      </c>
      <c r="J1677">
        <v>16.41</v>
      </c>
      <c r="K1677">
        <v>240</v>
      </c>
      <c r="L1677" t="s">
        <v>40</v>
      </c>
      <c r="M1677">
        <v>21.24</v>
      </c>
      <c r="N1677">
        <v>68318</v>
      </c>
      <c r="O1677">
        <v>10455</v>
      </c>
      <c r="P1677" t="s">
        <v>1206</v>
      </c>
      <c r="Q1677" t="s">
        <v>27</v>
      </c>
      <c r="R1677" t="s">
        <v>28</v>
      </c>
      <c r="S1677" t="s">
        <v>68</v>
      </c>
      <c r="T1677">
        <v>114.86</v>
      </c>
      <c r="U1677">
        <f t="shared" si="364"/>
        <v>325</v>
      </c>
      <c r="V1677">
        <f t="shared" si="365"/>
        <v>120</v>
      </c>
      <c r="W1677">
        <f t="shared" si="366"/>
        <v>102</v>
      </c>
      <c r="X1677">
        <f t="shared" si="367"/>
        <v>0.35149999999999998</v>
      </c>
      <c r="Y1677" s="1">
        <f t="shared" si="368"/>
        <v>16990248</v>
      </c>
      <c r="Z1677">
        <f t="shared" si="369"/>
        <v>52277.686153846153</v>
      </c>
      <c r="AA1677">
        <f t="shared" si="370"/>
        <v>99664</v>
      </c>
      <c r="AB1677">
        <f t="shared" si="371"/>
        <v>5091</v>
      </c>
      <c r="AC1677">
        <f t="shared" si="372"/>
        <v>443233.54999999987</v>
      </c>
      <c r="AD1677">
        <f t="shared" si="373"/>
        <v>1363.7955384615382</v>
      </c>
      <c r="AE1677">
        <f t="shared" si="374"/>
        <v>0.35149999999999998</v>
      </c>
      <c r="AF1677">
        <f t="shared" si="375"/>
        <v>71830582.779999942</v>
      </c>
      <c r="AG1677" t="str">
        <f t="shared" si="376"/>
        <v>Active</v>
      </c>
      <c r="AH1677">
        <f t="shared" si="377"/>
        <v>1378.32</v>
      </c>
    </row>
    <row r="1678" spans="1:34" x14ac:dyDescent="0.35">
      <c r="A1678" t="s">
        <v>4391</v>
      </c>
      <c r="B1678" t="s">
        <v>4392</v>
      </c>
      <c r="C1678">
        <v>27</v>
      </c>
      <c r="D1678" t="s">
        <v>22</v>
      </c>
      <c r="E1678" t="s">
        <v>32</v>
      </c>
      <c r="F1678" t="s">
        <v>46</v>
      </c>
      <c r="G1678">
        <v>62763</v>
      </c>
      <c r="H1678">
        <v>430</v>
      </c>
      <c r="I1678">
        <v>12669</v>
      </c>
      <c r="J1678">
        <v>6.66</v>
      </c>
      <c r="K1678">
        <v>12</v>
      </c>
      <c r="L1678" t="s">
        <v>25</v>
      </c>
      <c r="M1678">
        <v>56.71</v>
      </c>
      <c r="N1678">
        <v>9983</v>
      </c>
      <c r="O1678">
        <v>29835</v>
      </c>
      <c r="P1678" t="s">
        <v>4393</v>
      </c>
      <c r="Q1678" t="s">
        <v>42</v>
      </c>
      <c r="R1678" t="s">
        <v>48</v>
      </c>
      <c r="S1678" t="s">
        <v>68</v>
      </c>
      <c r="T1678">
        <v>1126.06</v>
      </c>
      <c r="U1678">
        <f t="shared" si="364"/>
        <v>324</v>
      </c>
      <c r="V1678">
        <f t="shared" si="365"/>
        <v>120</v>
      </c>
      <c r="W1678">
        <f t="shared" si="366"/>
        <v>102</v>
      </c>
      <c r="X1678">
        <f t="shared" si="367"/>
        <v>0.35149999999999998</v>
      </c>
      <c r="Y1678" s="1">
        <f t="shared" si="368"/>
        <v>16966567</v>
      </c>
      <c r="Z1678">
        <f t="shared" si="369"/>
        <v>52365.9475308642</v>
      </c>
      <c r="AA1678">
        <f t="shared" si="370"/>
        <v>99664</v>
      </c>
      <c r="AB1678">
        <f t="shared" si="371"/>
        <v>5091</v>
      </c>
      <c r="AC1678">
        <f t="shared" si="372"/>
        <v>443118.68999999989</v>
      </c>
      <c r="AD1678">
        <f t="shared" si="373"/>
        <v>1367.6502777777773</v>
      </c>
      <c r="AE1678">
        <f t="shared" si="374"/>
        <v>0.35149999999999998</v>
      </c>
      <c r="AF1678">
        <f t="shared" si="375"/>
        <v>71387349.22999993</v>
      </c>
      <c r="AG1678" t="str">
        <f t="shared" si="376"/>
        <v>Active</v>
      </c>
      <c r="AH1678">
        <f t="shared" si="377"/>
        <v>13512.72</v>
      </c>
    </row>
    <row r="1679" spans="1:34" x14ac:dyDescent="0.35">
      <c r="A1679" t="s">
        <v>4394</v>
      </c>
      <c r="B1679" t="s">
        <v>4395</v>
      </c>
      <c r="C1679">
        <v>40</v>
      </c>
      <c r="D1679" t="s">
        <v>22</v>
      </c>
      <c r="E1679" t="s">
        <v>32</v>
      </c>
      <c r="F1679" t="s">
        <v>46</v>
      </c>
      <c r="G1679">
        <v>111053</v>
      </c>
      <c r="H1679">
        <v>406</v>
      </c>
      <c r="I1679">
        <v>16783</v>
      </c>
      <c r="J1679">
        <v>9.3000000000000007</v>
      </c>
      <c r="K1679">
        <v>360</v>
      </c>
      <c r="L1679" t="s">
        <v>33</v>
      </c>
      <c r="M1679">
        <v>33.479999999999997</v>
      </c>
      <c r="N1679">
        <v>7243</v>
      </c>
      <c r="O1679">
        <v>223438</v>
      </c>
      <c r="P1679" t="s">
        <v>2876</v>
      </c>
      <c r="Q1679" t="s">
        <v>61</v>
      </c>
      <c r="R1679" t="s">
        <v>48</v>
      </c>
      <c r="S1679" t="s">
        <v>43</v>
      </c>
      <c r="T1679">
        <v>50.96</v>
      </c>
      <c r="U1679">
        <f t="shared" si="364"/>
        <v>323</v>
      </c>
      <c r="V1679">
        <f t="shared" si="365"/>
        <v>119</v>
      </c>
      <c r="W1679">
        <f t="shared" si="366"/>
        <v>102</v>
      </c>
      <c r="X1679">
        <f t="shared" si="367"/>
        <v>0.35149999999999998</v>
      </c>
      <c r="Y1679" s="1">
        <f t="shared" si="368"/>
        <v>16953898</v>
      </c>
      <c r="Z1679">
        <f t="shared" si="369"/>
        <v>52488.848297213619</v>
      </c>
      <c r="AA1679">
        <f t="shared" si="370"/>
        <v>99664</v>
      </c>
      <c r="AB1679">
        <f t="shared" si="371"/>
        <v>5091</v>
      </c>
      <c r="AC1679">
        <f t="shared" si="372"/>
        <v>441992.62999999983</v>
      </c>
      <c r="AD1679">
        <f t="shared" si="373"/>
        <v>1368.3982352941171</v>
      </c>
      <c r="AE1679">
        <f t="shared" si="374"/>
        <v>0.35149999999999998</v>
      </c>
      <c r="AF1679">
        <f t="shared" si="375"/>
        <v>70944230.539999932</v>
      </c>
      <c r="AG1679" t="str">
        <f t="shared" si="376"/>
        <v>Over Paid</v>
      </c>
      <c r="AH1679">
        <f t="shared" si="377"/>
        <v>611.52</v>
      </c>
    </row>
    <row r="1680" spans="1:34" x14ac:dyDescent="0.35">
      <c r="A1680" t="s">
        <v>4396</v>
      </c>
      <c r="B1680" t="s">
        <v>4397</v>
      </c>
      <c r="C1680">
        <v>59</v>
      </c>
      <c r="D1680" t="s">
        <v>38</v>
      </c>
      <c r="E1680" t="s">
        <v>39</v>
      </c>
      <c r="F1680" t="s">
        <v>46</v>
      </c>
      <c r="G1680">
        <v>63481</v>
      </c>
      <c r="H1680">
        <v>555</v>
      </c>
      <c r="I1680">
        <v>16299</v>
      </c>
      <c r="J1680">
        <v>10.93</v>
      </c>
      <c r="K1680">
        <v>60</v>
      </c>
      <c r="L1680" t="s">
        <v>25</v>
      </c>
      <c r="M1680">
        <v>27.81</v>
      </c>
      <c r="N1680">
        <v>23591</v>
      </c>
      <c r="O1680">
        <v>116254</v>
      </c>
      <c r="P1680" t="s">
        <v>4398</v>
      </c>
      <c r="Q1680" t="s">
        <v>42</v>
      </c>
      <c r="R1680" t="s">
        <v>48</v>
      </c>
      <c r="S1680" t="s">
        <v>29</v>
      </c>
      <c r="T1680">
        <v>301.33999999999997</v>
      </c>
      <c r="U1680">
        <f t="shared" si="364"/>
        <v>322</v>
      </c>
      <c r="V1680">
        <f t="shared" si="365"/>
        <v>119</v>
      </c>
      <c r="W1680">
        <f t="shared" si="366"/>
        <v>101</v>
      </c>
      <c r="X1680">
        <f t="shared" si="367"/>
        <v>0.35149999999999998</v>
      </c>
      <c r="Y1680" s="1">
        <f t="shared" si="368"/>
        <v>16937115</v>
      </c>
      <c r="Z1680">
        <f t="shared" si="369"/>
        <v>52599.736024844722</v>
      </c>
      <c r="AA1680">
        <f t="shared" si="370"/>
        <v>99664</v>
      </c>
      <c r="AB1680">
        <f t="shared" si="371"/>
        <v>5091</v>
      </c>
      <c r="AC1680">
        <f t="shared" si="372"/>
        <v>441941.66999999987</v>
      </c>
      <c r="AD1680">
        <f t="shared" si="373"/>
        <v>1372.4896583850928</v>
      </c>
      <c r="AE1680">
        <f t="shared" si="374"/>
        <v>0.35149999999999998</v>
      </c>
      <c r="AF1680">
        <f t="shared" si="375"/>
        <v>70502237.909999937</v>
      </c>
      <c r="AG1680" t="str">
        <f t="shared" si="376"/>
        <v>Active</v>
      </c>
      <c r="AH1680">
        <f t="shared" si="377"/>
        <v>3616.08</v>
      </c>
    </row>
    <row r="1681" spans="1:34" x14ac:dyDescent="0.35">
      <c r="A1681" t="s">
        <v>4399</v>
      </c>
      <c r="B1681" t="s">
        <v>4400</v>
      </c>
      <c r="C1681">
        <v>37</v>
      </c>
      <c r="D1681" t="s">
        <v>38</v>
      </c>
      <c r="E1681" t="s">
        <v>23</v>
      </c>
      <c r="F1681" t="s">
        <v>59</v>
      </c>
      <c r="G1681">
        <v>179365</v>
      </c>
      <c r="H1681">
        <v>553</v>
      </c>
      <c r="I1681">
        <v>82053</v>
      </c>
      <c r="J1681">
        <v>15.87</v>
      </c>
      <c r="K1681">
        <v>48</v>
      </c>
      <c r="L1681" t="s">
        <v>25</v>
      </c>
      <c r="M1681">
        <v>52.46</v>
      </c>
      <c r="N1681">
        <v>77518</v>
      </c>
      <c r="O1681">
        <v>81851</v>
      </c>
      <c r="P1681" t="s">
        <v>1832</v>
      </c>
      <c r="Q1681" t="s">
        <v>61</v>
      </c>
      <c r="R1681" t="s">
        <v>48</v>
      </c>
      <c r="S1681" t="s">
        <v>29</v>
      </c>
      <c r="T1681">
        <v>1980.73</v>
      </c>
      <c r="U1681">
        <f t="shared" si="364"/>
        <v>321</v>
      </c>
      <c r="V1681">
        <f t="shared" si="365"/>
        <v>118</v>
      </c>
      <c r="W1681">
        <f t="shared" si="366"/>
        <v>101</v>
      </c>
      <c r="X1681">
        <f t="shared" si="367"/>
        <v>0.35149999999999998</v>
      </c>
      <c r="Y1681" s="1">
        <f t="shared" si="368"/>
        <v>16920816</v>
      </c>
      <c r="Z1681">
        <f t="shared" si="369"/>
        <v>52712.82242990654</v>
      </c>
      <c r="AA1681">
        <f t="shared" si="370"/>
        <v>99664</v>
      </c>
      <c r="AB1681">
        <f t="shared" si="371"/>
        <v>5091</v>
      </c>
      <c r="AC1681">
        <f t="shared" si="372"/>
        <v>441640.32999999984</v>
      </c>
      <c r="AD1681">
        <f t="shared" si="373"/>
        <v>1375.8265732087223</v>
      </c>
      <c r="AE1681">
        <f t="shared" si="374"/>
        <v>0.35149999999999998</v>
      </c>
      <c r="AF1681">
        <f t="shared" si="375"/>
        <v>70060296.239999935</v>
      </c>
      <c r="AG1681" t="str">
        <f t="shared" si="376"/>
        <v>Active</v>
      </c>
      <c r="AH1681">
        <f t="shared" si="377"/>
        <v>23768.760000000002</v>
      </c>
    </row>
    <row r="1682" spans="1:34" x14ac:dyDescent="0.35">
      <c r="A1682" t="s">
        <v>4401</v>
      </c>
      <c r="B1682" t="s">
        <v>4402</v>
      </c>
      <c r="C1682">
        <v>30</v>
      </c>
      <c r="D1682" t="s">
        <v>38</v>
      </c>
      <c r="E1682" t="s">
        <v>39</v>
      </c>
      <c r="F1682" t="s">
        <v>24</v>
      </c>
      <c r="G1682">
        <v>113107</v>
      </c>
      <c r="H1682">
        <v>626</v>
      </c>
      <c r="I1682">
        <v>71369</v>
      </c>
      <c r="J1682">
        <v>3.62</v>
      </c>
      <c r="K1682">
        <v>48</v>
      </c>
      <c r="L1682" t="s">
        <v>52</v>
      </c>
      <c r="M1682">
        <v>38.14</v>
      </c>
      <c r="N1682">
        <v>29470</v>
      </c>
      <c r="O1682">
        <v>230667</v>
      </c>
      <c r="P1682" t="s">
        <v>4403</v>
      </c>
      <c r="Q1682" t="s">
        <v>61</v>
      </c>
      <c r="R1682" t="s">
        <v>48</v>
      </c>
      <c r="S1682" t="s">
        <v>49</v>
      </c>
      <c r="T1682">
        <v>1540.68</v>
      </c>
      <c r="U1682">
        <f t="shared" si="364"/>
        <v>320</v>
      </c>
      <c r="V1682">
        <f t="shared" si="365"/>
        <v>118</v>
      </c>
      <c r="W1682">
        <f t="shared" si="366"/>
        <v>100</v>
      </c>
      <c r="X1682">
        <f t="shared" si="367"/>
        <v>0.35149999999999998</v>
      </c>
      <c r="Y1682" s="1">
        <f t="shared" si="368"/>
        <v>16838763</v>
      </c>
      <c r="Z1682">
        <f t="shared" si="369"/>
        <v>52621.134375000001</v>
      </c>
      <c r="AA1682">
        <f t="shared" si="370"/>
        <v>99664</v>
      </c>
      <c r="AB1682">
        <f t="shared" si="371"/>
        <v>5091</v>
      </c>
      <c r="AC1682">
        <f t="shared" si="372"/>
        <v>439659.59999999986</v>
      </c>
      <c r="AD1682">
        <f t="shared" si="373"/>
        <v>1373.9362499999995</v>
      </c>
      <c r="AE1682">
        <f t="shared" si="374"/>
        <v>0.35149999999999998</v>
      </c>
      <c r="AF1682">
        <f t="shared" si="375"/>
        <v>69618655.909999937</v>
      </c>
      <c r="AG1682" t="str">
        <f t="shared" si="376"/>
        <v>Active</v>
      </c>
      <c r="AH1682">
        <f t="shared" si="377"/>
        <v>18488.16</v>
      </c>
    </row>
    <row r="1683" spans="1:34" x14ac:dyDescent="0.35">
      <c r="A1683" t="s">
        <v>4404</v>
      </c>
      <c r="B1683" t="s">
        <v>4405</v>
      </c>
      <c r="C1683">
        <v>31</v>
      </c>
      <c r="D1683" t="s">
        <v>22</v>
      </c>
      <c r="E1683" t="s">
        <v>23</v>
      </c>
      <c r="F1683" t="s">
        <v>59</v>
      </c>
      <c r="G1683">
        <v>83500</v>
      </c>
      <c r="H1683">
        <v>415</v>
      </c>
      <c r="I1683">
        <v>75209</v>
      </c>
      <c r="J1683">
        <v>5.78</v>
      </c>
      <c r="K1683">
        <v>360</v>
      </c>
      <c r="L1683" t="s">
        <v>86</v>
      </c>
      <c r="M1683">
        <v>18.350000000000001</v>
      </c>
      <c r="N1683">
        <v>5351</v>
      </c>
      <c r="O1683">
        <v>206195</v>
      </c>
      <c r="P1683" t="s">
        <v>4406</v>
      </c>
      <c r="Q1683" t="s">
        <v>42</v>
      </c>
      <c r="R1683" t="s">
        <v>48</v>
      </c>
      <c r="S1683" t="s">
        <v>68</v>
      </c>
      <c r="T1683">
        <v>220.99</v>
      </c>
      <c r="U1683">
        <f t="shared" si="364"/>
        <v>319</v>
      </c>
      <c r="V1683">
        <f t="shared" si="365"/>
        <v>118</v>
      </c>
      <c r="W1683">
        <f t="shared" si="366"/>
        <v>99</v>
      </c>
      <c r="X1683">
        <f t="shared" si="367"/>
        <v>0.35149999999999998</v>
      </c>
      <c r="Y1683" s="1">
        <f t="shared" si="368"/>
        <v>16767394</v>
      </c>
      <c r="Z1683">
        <f t="shared" si="369"/>
        <v>52562.36363636364</v>
      </c>
      <c r="AA1683">
        <f t="shared" si="370"/>
        <v>99664</v>
      </c>
      <c r="AB1683">
        <f t="shared" si="371"/>
        <v>5091</v>
      </c>
      <c r="AC1683">
        <f t="shared" si="372"/>
        <v>438118.91999999987</v>
      </c>
      <c r="AD1683">
        <f t="shared" si="373"/>
        <v>1373.4135423197488</v>
      </c>
      <c r="AE1683">
        <f t="shared" si="374"/>
        <v>0.35149999999999998</v>
      </c>
      <c r="AF1683">
        <f t="shared" si="375"/>
        <v>69178996.309999943</v>
      </c>
      <c r="AG1683" t="str">
        <f t="shared" si="376"/>
        <v>Active</v>
      </c>
      <c r="AH1683">
        <f t="shared" si="377"/>
        <v>2651.88</v>
      </c>
    </row>
    <row r="1684" spans="1:34" x14ac:dyDescent="0.35">
      <c r="A1684" t="s">
        <v>4407</v>
      </c>
      <c r="B1684" t="s">
        <v>4408</v>
      </c>
      <c r="C1684">
        <v>31</v>
      </c>
      <c r="D1684" t="s">
        <v>22</v>
      </c>
      <c r="E1684" t="s">
        <v>32</v>
      </c>
      <c r="F1684" t="s">
        <v>24</v>
      </c>
      <c r="G1684">
        <v>49043</v>
      </c>
      <c r="H1684">
        <v>633</v>
      </c>
      <c r="I1684">
        <v>92798</v>
      </c>
      <c r="J1684">
        <v>13.2</v>
      </c>
      <c r="K1684">
        <v>60</v>
      </c>
      <c r="L1684" t="s">
        <v>86</v>
      </c>
      <c r="M1684">
        <v>54.52</v>
      </c>
      <c r="N1684">
        <v>78975</v>
      </c>
      <c r="O1684">
        <v>5581</v>
      </c>
      <c r="P1684" t="s">
        <v>553</v>
      </c>
      <c r="Q1684" t="s">
        <v>27</v>
      </c>
      <c r="R1684" t="s">
        <v>48</v>
      </c>
      <c r="S1684" t="s">
        <v>43</v>
      </c>
      <c r="T1684">
        <v>1750.79</v>
      </c>
      <c r="U1684">
        <f t="shared" si="364"/>
        <v>318</v>
      </c>
      <c r="V1684">
        <f t="shared" si="365"/>
        <v>117</v>
      </c>
      <c r="W1684">
        <f t="shared" si="366"/>
        <v>99</v>
      </c>
      <c r="X1684">
        <f t="shared" si="367"/>
        <v>0.35149999999999998</v>
      </c>
      <c r="Y1684" s="1">
        <f t="shared" si="368"/>
        <v>16692185</v>
      </c>
      <c r="Z1684">
        <f t="shared" si="369"/>
        <v>52491.147798742139</v>
      </c>
      <c r="AA1684">
        <f t="shared" si="370"/>
        <v>99664</v>
      </c>
      <c r="AB1684">
        <f t="shared" si="371"/>
        <v>5091</v>
      </c>
      <c r="AC1684">
        <f t="shared" si="372"/>
        <v>437897.92999999988</v>
      </c>
      <c r="AD1684">
        <f t="shared" si="373"/>
        <v>1377.03751572327</v>
      </c>
      <c r="AE1684">
        <f t="shared" si="374"/>
        <v>0.35149999999999998</v>
      </c>
      <c r="AF1684">
        <f t="shared" si="375"/>
        <v>68740877.389999956</v>
      </c>
      <c r="AG1684" t="str">
        <f t="shared" si="376"/>
        <v>Active</v>
      </c>
      <c r="AH1684">
        <f t="shared" si="377"/>
        <v>21009.48</v>
      </c>
    </row>
    <row r="1685" spans="1:34" x14ac:dyDescent="0.35">
      <c r="A1685" t="s">
        <v>4409</v>
      </c>
      <c r="B1685" t="s">
        <v>4410</v>
      </c>
      <c r="C1685">
        <v>29</v>
      </c>
      <c r="D1685" t="s">
        <v>22</v>
      </c>
      <c r="E1685" t="s">
        <v>32</v>
      </c>
      <c r="F1685" t="s">
        <v>24</v>
      </c>
      <c r="G1685">
        <v>50478</v>
      </c>
      <c r="H1685">
        <v>357</v>
      </c>
      <c r="I1685">
        <v>35079</v>
      </c>
      <c r="J1685">
        <v>22.17</v>
      </c>
      <c r="K1685">
        <v>24</v>
      </c>
      <c r="L1685" t="s">
        <v>52</v>
      </c>
      <c r="M1685">
        <v>14.53</v>
      </c>
      <c r="N1685">
        <v>45358</v>
      </c>
      <c r="O1685">
        <v>37376</v>
      </c>
      <c r="P1685" t="s">
        <v>4411</v>
      </c>
      <c r="Q1685" t="s">
        <v>61</v>
      </c>
      <c r="R1685" t="s">
        <v>28</v>
      </c>
      <c r="S1685" t="s">
        <v>35</v>
      </c>
      <c r="T1685">
        <v>1785.67</v>
      </c>
      <c r="U1685">
        <f t="shared" si="364"/>
        <v>317</v>
      </c>
      <c r="V1685">
        <f t="shared" si="365"/>
        <v>117</v>
      </c>
      <c r="W1685">
        <f t="shared" si="366"/>
        <v>99</v>
      </c>
      <c r="X1685">
        <f t="shared" si="367"/>
        <v>0.35149999999999998</v>
      </c>
      <c r="Y1685" s="1">
        <f t="shared" si="368"/>
        <v>16599387</v>
      </c>
      <c r="Z1685">
        <f t="shared" si="369"/>
        <v>52363.996845425871</v>
      </c>
      <c r="AA1685">
        <f t="shared" si="370"/>
        <v>99664</v>
      </c>
      <c r="AB1685">
        <f t="shared" si="371"/>
        <v>5091</v>
      </c>
      <c r="AC1685">
        <f t="shared" si="372"/>
        <v>436147.1399999999</v>
      </c>
      <c r="AD1685">
        <f t="shared" si="373"/>
        <v>1375.858485804416</v>
      </c>
      <c r="AE1685">
        <f t="shared" si="374"/>
        <v>0.35149999999999998</v>
      </c>
      <c r="AF1685">
        <f t="shared" si="375"/>
        <v>68302979.459999964</v>
      </c>
      <c r="AG1685" t="str">
        <f t="shared" si="376"/>
        <v>Active</v>
      </c>
      <c r="AH1685">
        <f t="shared" si="377"/>
        <v>21428.04</v>
      </c>
    </row>
    <row r="1686" spans="1:34" x14ac:dyDescent="0.35">
      <c r="A1686" t="s">
        <v>4412</v>
      </c>
      <c r="B1686" t="s">
        <v>4413</v>
      </c>
      <c r="C1686">
        <v>59</v>
      </c>
      <c r="D1686" t="s">
        <v>22</v>
      </c>
      <c r="E1686" t="s">
        <v>39</v>
      </c>
      <c r="F1686" t="s">
        <v>24</v>
      </c>
      <c r="G1686">
        <v>75110</v>
      </c>
      <c r="H1686">
        <v>451</v>
      </c>
      <c r="I1686">
        <v>96783</v>
      </c>
      <c r="J1686">
        <v>7.05</v>
      </c>
      <c r="K1686">
        <v>24</v>
      </c>
      <c r="L1686" t="s">
        <v>25</v>
      </c>
      <c r="M1686">
        <v>29.78</v>
      </c>
      <c r="N1686">
        <v>26928</v>
      </c>
      <c r="O1686">
        <v>2443</v>
      </c>
      <c r="P1686" t="s">
        <v>4414</v>
      </c>
      <c r="Q1686" t="s">
        <v>42</v>
      </c>
      <c r="R1686" t="s">
        <v>28</v>
      </c>
      <c r="S1686" t="s">
        <v>68</v>
      </c>
      <c r="T1686">
        <v>4316.93</v>
      </c>
      <c r="U1686">
        <f t="shared" si="364"/>
        <v>316</v>
      </c>
      <c r="V1686">
        <f t="shared" si="365"/>
        <v>117</v>
      </c>
      <c r="W1686">
        <f t="shared" si="366"/>
        <v>98</v>
      </c>
      <c r="X1686">
        <f t="shared" si="367"/>
        <v>0.35149999999999998</v>
      </c>
      <c r="Y1686" s="1">
        <f t="shared" si="368"/>
        <v>16564308</v>
      </c>
      <c r="Z1686">
        <f t="shared" si="369"/>
        <v>52418.696202531646</v>
      </c>
      <c r="AA1686">
        <f t="shared" si="370"/>
        <v>99664</v>
      </c>
      <c r="AB1686">
        <f t="shared" si="371"/>
        <v>5091</v>
      </c>
      <c r="AC1686">
        <f t="shared" si="372"/>
        <v>434361.46999999986</v>
      </c>
      <c r="AD1686">
        <f t="shared" si="373"/>
        <v>1374.5616139240501</v>
      </c>
      <c r="AE1686">
        <f t="shared" si="374"/>
        <v>0.35149999999999998</v>
      </c>
      <c r="AF1686">
        <f t="shared" si="375"/>
        <v>67866832.319999948</v>
      </c>
      <c r="AG1686" t="str">
        <f t="shared" si="376"/>
        <v>Active</v>
      </c>
      <c r="AH1686">
        <f t="shared" si="377"/>
        <v>51803.16</v>
      </c>
    </row>
    <row r="1687" spans="1:34" x14ac:dyDescent="0.35">
      <c r="A1687" t="s">
        <v>4415</v>
      </c>
      <c r="B1687" t="s">
        <v>4416</v>
      </c>
      <c r="C1687">
        <v>35</v>
      </c>
      <c r="D1687" t="s">
        <v>38</v>
      </c>
      <c r="E1687" t="s">
        <v>39</v>
      </c>
      <c r="F1687" t="s">
        <v>46</v>
      </c>
      <c r="G1687">
        <v>38372</v>
      </c>
      <c r="H1687">
        <v>799</v>
      </c>
      <c r="I1687">
        <v>74662</v>
      </c>
      <c r="J1687">
        <v>22.61</v>
      </c>
      <c r="K1687">
        <v>48</v>
      </c>
      <c r="L1687" t="s">
        <v>25</v>
      </c>
      <c r="M1687">
        <v>8.4499999999999993</v>
      </c>
      <c r="N1687">
        <v>47060</v>
      </c>
      <c r="O1687">
        <v>228208</v>
      </c>
      <c r="P1687" t="s">
        <v>826</v>
      </c>
      <c r="Q1687" t="s">
        <v>42</v>
      </c>
      <c r="R1687" t="s">
        <v>28</v>
      </c>
      <c r="S1687" t="s">
        <v>35</v>
      </c>
      <c r="T1687">
        <v>1907.15</v>
      </c>
      <c r="U1687">
        <f t="shared" si="364"/>
        <v>315</v>
      </c>
      <c r="V1687">
        <f t="shared" si="365"/>
        <v>116</v>
      </c>
      <c r="W1687">
        <f t="shared" si="366"/>
        <v>98</v>
      </c>
      <c r="X1687">
        <f t="shared" si="367"/>
        <v>0.35149999999999998</v>
      </c>
      <c r="Y1687" s="1">
        <f t="shared" si="368"/>
        <v>16467525</v>
      </c>
      <c r="Z1687">
        <f t="shared" si="369"/>
        <v>52277.857142857145</v>
      </c>
      <c r="AA1687">
        <f t="shared" si="370"/>
        <v>99664</v>
      </c>
      <c r="AB1687">
        <f t="shared" si="371"/>
        <v>5091</v>
      </c>
      <c r="AC1687">
        <f t="shared" si="372"/>
        <v>430044.53999999986</v>
      </c>
      <c r="AD1687">
        <f t="shared" si="373"/>
        <v>1365.2207619047615</v>
      </c>
      <c r="AE1687">
        <f t="shared" si="374"/>
        <v>0.35149999999999998</v>
      </c>
      <c r="AF1687">
        <f t="shared" si="375"/>
        <v>67432470.84999992</v>
      </c>
      <c r="AG1687" t="str">
        <f t="shared" si="376"/>
        <v>Active</v>
      </c>
      <c r="AH1687">
        <f t="shared" si="377"/>
        <v>22885.800000000003</v>
      </c>
    </row>
    <row r="1688" spans="1:34" x14ac:dyDescent="0.35">
      <c r="A1688" t="s">
        <v>4417</v>
      </c>
      <c r="B1688" t="s">
        <v>4418</v>
      </c>
      <c r="C1688">
        <v>26</v>
      </c>
      <c r="D1688" t="s">
        <v>38</v>
      </c>
      <c r="E1688" t="s">
        <v>32</v>
      </c>
      <c r="F1688" t="s">
        <v>46</v>
      </c>
      <c r="G1688">
        <v>89276</v>
      </c>
      <c r="H1688">
        <v>759</v>
      </c>
      <c r="I1688">
        <v>94683</v>
      </c>
      <c r="J1688">
        <v>11.59</v>
      </c>
      <c r="K1688">
        <v>180</v>
      </c>
      <c r="L1688" t="s">
        <v>86</v>
      </c>
      <c r="M1688">
        <v>46.72</v>
      </c>
      <c r="N1688">
        <v>69074</v>
      </c>
      <c r="O1688">
        <v>191831</v>
      </c>
      <c r="P1688" t="s">
        <v>96</v>
      </c>
      <c r="Q1688" t="s">
        <v>61</v>
      </c>
      <c r="R1688" t="s">
        <v>48</v>
      </c>
      <c r="S1688" t="s">
        <v>29</v>
      </c>
      <c r="T1688">
        <v>586.98</v>
      </c>
      <c r="U1688">
        <f t="shared" si="364"/>
        <v>314</v>
      </c>
      <c r="V1688">
        <f t="shared" si="365"/>
        <v>115</v>
      </c>
      <c r="W1688">
        <f t="shared" si="366"/>
        <v>98</v>
      </c>
      <c r="X1688">
        <f t="shared" si="367"/>
        <v>0.35149999999999998</v>
      </c>
      <c r="Y1688" s="1">
        <f t="shared" si="368"/>
        <v>16392863</v>
      </c>
      <c r="Z1688">
        <f t="shared" si="369"/>
        <v>52206.570063694271</v>
      </c>
      <c r="AA1688">
        <f t="shared" si="370"/>
        <v>99664</v>
      </c>
      <c r="AB1688">
        <f t="shared" si="371"/>
        <v>5091</v>
      </c>
      <c r="AC1688">
        <f t="shared" si="372"/>
        <v>428137.3899999999</v>
      </c>
      <c r="AD1688">
        <f t="shared" si="373"/>
        <v>1363.4948726114646</v>
      </c>
      <c r="AE1688">
        <f t="shared" si="374"/>
        <v>0.35149999999999998</v>
      </c>
      <c r="AF1688">
        <f t="shared" si="375"/>
        <v>67002426.309999973</v>
      </c>
      <c r="AG1688" t="str">
        <f t="shared" si="376"/>
        <v>Active</v>
      </c>
      <c r="AH1688">
        <f t="shared" si="377"/>
        <v>7043.76</v>
      </c>
    </row>
    <row r="1689" spans="1:34" x14ac:dyDescent="0.35">
      <c r="A1689" t="s">
        <v>4419</v>
      </c>
      <c r="B1689" t="s">
        <v>4420</v>
      </c>
      <c r="C1689">
        <v>42</v>
      </c>
      <c r="D1689" t="s">
        <v>22</v>
      </c>
      <c r="E1689" t="s">
        <v>32</v>
      </c>
      <c r="F1689" t="s">
        <v>59</v>
      </c>
      <c r="G1689">
        <v>52028</v>
      </c>
      <c r="H1689">
        <v>391</v>
      </c>
      <c r="I1689">
        <v>5683</v>
      </c>
      <c r="J1689">
        <v>17.47</v>
      </c>
      <c r="K1689">
        <v>180</v>
      </c>
      <c r="L1689" t="s">
        <v>25</v>
      </c>
      <c r="M1689">
        <v>20.38</v>
      </c>
      <c r="N1689">
        <v>12027</v>
      </c>
      <c r="O1689">
        <v>158382</v>
      </c>
      <c r="P1689" t="s">
        <v>2792</v>
      </c>
      <c r="Q1689" t="s">
        <v>42</v>
      </c>
      <c r="R1689" t="s">
        <v>28</v>
      </c>
      <c r="S1689" t="s">
        <v>29</v>
      </c>
      <c r="T1689">
        <v>37.090000000000003</v>
      </c>
      <c r="U1689">
        <f t="shared" si="364"/>
        <v>313</v>
      </c>
      <c r="V1689">
        <f t="shared" si="365"/>
        <v>115</v>
      </c>
      <c r="W1689">
        <f t="shared" si="366"/>
        <v>97</v>
      </c>
      <c r="X1689">
        <f t="shared" si="367"/>
        <v>0.35149999999999998</v>
      </c>
      <c r="Y1689" s="1">
        <f t="shared" si="368"/>
        <v>16298180</v>
      </c>
      <c r="Z1689">
        <f t="shared" si="369"/>
        <v>52070.862619808307</v>
      </c>
      <c r="AA1689">
        <f t="shared" si="370"/>
        <v>99664</v>
      </c>
      <c r="AB1689">
        <f t="shared" si="371"/>
        <v>5091</v>
      </c>
      <c r="AC1689">
        <f t="shared" si="372"/>
        <v>427550.40999999986</v>
      </c>
      <c r="AD1689">
        <f t="shared" si="373"/>
        <v>1365.9757507987215</v>
      </c>
      <c r="AE1689">
        <f t="shared" si="374"/>
        <v>0.35149999999999998</v>
      </c>
      <c r="AF1689">
        <f t="shared" si="375"/>
        <v>66574288.919999965</v>
      </c>
      <c r="AG1689" t="str">
        <f t="shared" si="376"/>
        <v>Active</v>
      </c>
      <c r="AH1689">
        <f t="shared" si="377"/>
        <v>445.08000000000004</v>
      </c>
    </row>
    <row r="1690" spans="1:34" x14ac:dyDescent="0.35">
      <c r="A1690" t="s">
        <v>4421</v>
      </c>
      <c r="B1690" t="s">
        <v>4422</v>
      </c>
      <c r="C1690">
        <v>52</v>
      </c>
      <c r="D1690" t="s">
        <v>38</v>
      </c>
      <c r="E1690" t="s">
        <v>23</v>
      </c>
      <c r="F1690" t="s">
        <v>59</v>
      </c>
      <c r="G1690">
        <v>42553</v>
      </c>
      <c r="H1690">
        <v>439</v>
      </c>
      <c r="I1690">
        <v>57517</v>
      </c>
      <c r="J1690">
        <v>16.52</v>
      </c>
      <c r="K1690">
        <v>180</v>
      </c>
      <c r="L1690" t="s">
        <v>52</v>
      </c>
      <c r="M1690">
        <v>42.48</v>
      </c>
      <c r="N1690">
        <v>67558</v>
      </c>
      <c r="O1690">
        <v>124471</v>
      </c>
      <c r="P1690" t="s">
        <v>4033</v>
      </c>
      <c r="Q1690" t="s">
        <v>42</v>
      </c>
      <c r="R1690" t="s">
        <v>48</v>
      </c>
      <c r="S1690" t="s">
        <v>49</v>
      </c>
      <c r="T1690">
        <v>372.33</v>
      </c>
      <c r="U1690">
        <f t="shared" si="364"/>
        <v>312</v>
      </c>
      <c r="V1690">
        <f t="shared" si="365"/>
        <v>114</v>
      </c>
      <c r="W1690">
        <f t="shared" si="366"/>
        <v>97</v>
      </c>
      <c r="X1690">
        <f t="shared" si="367"/>
        <v>0.35149999999999998</v>
      </c>
      <c r="Y1690" s="1">
        <f t="shared" si="368"/>
        <v>16292497</v>
      </c>
      <c r="Z1690">
        <f t="shared" si="369"/>
        <v>52219.541666666664</v>
      </c>
      <c r="AA1690">
        <f t="shared" si="370"/>
        <v>99664</v>
      </c>
      <c r="AB1690">
        <f t="shared" si="371"/>
        <v>5091</v>
      </c>
      <c r="AC1690">
        <f t="shared" si="372"/>
        <v>427513.31999999989</v>
      </c>
      <c r="AD1690">
        <f t="shared" si="373"/>
        <v>1370.2349999999997</v>
      </c>
      <c r="AE1690">
        <f t="shared" si="374"/>
        <v>0.35149999999999998</v>
      </c>
      <c r="AF1690">
        <f t="shared" si="375"/>
        <v>66146738.509999968</v>
      </c>
      <c r="AG1690" t="str">
        <f t="shared" si="376"/>
        <v>Active</v>
      </c>
      <c r="AH1690">
        <f t="shared" si="377"/>
        <v>4467.96</v>
      </c>
    </row>
    <row r="1691" spans="1:34" x14ac:dyDescent="0.35">
      <c r="A1691" t="s">
        <v>4423</v>
      </c>
      <c r="B1691" t="s">
        <v>4424</v>
      </c>
      <c r="C1691">
        <v>59</v>
      </c>
      <c r="D1691" t="s">
        <v>22</v>
      </c>
      <c r="E1691" t="s">
        <v>32</v>
      </c>
      <c r="F1691" t="s">
        <v>46</v>
      </c>
      <c r="G1691">
        <v>181238</v>
      </c>
      <c r="H1691">
        <v>562</v>
      </c>
      <c r="I1691">
        <v>60470</v>
      </c>
      <c r="J1691">
        <v>6.33</v>
      </c>
      <c r="K1691">
        <v>240</v>
      </c>
      <c r="L1691" t="s">
        <v>25</v>
      </c>
      <c r="M1691">
        <v>5.04</v>
      </c>
      <c r="N1691">
        <v>17963</v>
      </c>
      <c r="O1691">
        <v>247609</v>
      </c>
      <c r="P1691" t="s">
        <v>3821</v>
      </c>
      <c r="Q1691" t="s">
        <v>61</v>
      </c>
      <c r="R1691" t="s">
        <v>48</v>
      </c>
      <c r="S1691" t="s">
        <v>29</v>
      </c>
      <c r="T1691">
        <v>267.91000000000003</v>
      </c>
      <c r="U1691">
        <f t="shared" si="364"/>
        <v>311</v>
      </c>
      <c r="V1691">
        <f t="shared" si="365"/>
        <v>113</v>
      </c>
      <c r="W1691">
        <f t="shared" si="366"/>
        <v>97</v>
      </c>
      <c r="X1691">
        <f t="shared" si="367"/>
        <v>0.35149999999999998</v>
      </c>
      <c r="Y1691" s="1">
        <f t="shared" si="368"/>
        <v>16234980</v>
      </c>
      <c r="Z1691">
        <f t="shared" si="369"/>
        <v>52202.508038585212</v>
      </c>
      <c r="AA1691">
        <f t="shared" si="370"/>
        <v>99664</v>
      </c>
      <c r="AB1691">
        <f t="shared" si="371"/>
        <v>5091</v>
      </c>
      <c r="AC1691">
        <f t="shared" si="372"/>
        <v>427140.98999999987</v>
      </c>
      <c r="AD1691">
        <f t="shared" si="373"/>
        <v>1373.4436977491957</v>
      </c>
      <c r="AE1691">
        <f t="shared" si="374"/>
        <v>0.35149999999999998</v>
      </c>
      <c r="AF1691">
        <f t="shared" si="375"/>
        <v>65719225.189999968</v>
      </c>
      <c r="AG1691" t="str">
        <f t="shared" si="376"/>
        <v>Active</v>
      </c>
      <c r="AH1691">
        <f t="shared" si="377"/>
        <v>3214.92</v>
      </c>
    </row>
    <row r="1692" spans="1:34" x14ac:dyDescent="0.35">
      <c r="A1692" t="s">
        <v>4425</v>
      </c>
      <c r="B1692" t="s">
        <v>4426</v>
      </c>
      <c r="C1692">
        <v>48</v>
      </c>
      <c r="D1692" t="s">
        <v>38</v>
      </c>
      <c r="E1692" t="s">
        <v>32</v>
      </c>
      <c r="F1692" t="s">
        <v>24</v>
      </c>
      <c r="G1692">
        <v>116539</v>
      </c>
      <c r="H1692">
        <v>405</v>
      </c>
      <c r="I1692">
        <v>32925</v>
      </c>
      <c r="J1692">
        <v>12.32</v>
      </c>
      <c r="K1692">
        <v>24</v>
      </c>
      <c r="L1692" t="s">
        <v>86</v>
      </c>
      <c r="M1692">
        <v>38.06</v>
      </c>
      <c r="N1692">
        <v>24069</v>
      </c>
      <c r="O1692">
        <v>98748</v>
      </c>
      <c r="P1692" t="s">
        <v>4352</v>
      </c>
      <c r="Q1692" t="s">
        <v>27</v>
      </c>
      <c r="R1692" t="s">
        <v>28</v>
      </c>
      <c r="S1692" t="s">
        <v>29</v>
      </c>
      <c r="T1692">
        <v>1540.89</v>
      </c>
      <c r="U1692">
        <f t="shared" si="364"/>
        <v>310</v>
      </c>
      <c r="V1692">
        <f t="shared" si="365"/>
        <v>113</v>
      </c>
      <c r="W1692">
        <f t="shared" si="366"/>
        <v>96</v>
      </c>
      <c r="X1692">
        <f t="shared" si="367"/>
        <v>0.35149999999999998</v>
      </c>
      <c r="Y1692" s="1">
        <f t="shared" si="368"/>
        <v>16174510</v>
      </c>
      <c r="Z1692">
        <f t="shared" si="369"/>
        <v>52175.838709677417</v>
      </c>
      <c r="AA1692">
        <f t="shared" si="370"/>
        <v>99664</v>
      </c>
      <c r="AB1692">
        <f t="shared" si="371"/>
        <v>5091</v>
      </c>
      <c r="AC1692">
        <f t="shared" si="372"/>
        <v>426873.07999999984</v>
      </c>
      <c r="AD1692">
        <f t="shared" si="373"/>
        <v>1377.0099354838705</v>
      </c>
      <c r="AE1692">
        <f t="shared" si="374"/>
        <v>0.35149999999999998</v>
      </c>
      <c r="AF1692">
        <f t="shared" si="375"/>
        <v>65292084.199999966</v>
      </c>
      <c r="AG1692" t="str">
        <f t="shared" si="376"/>
        <v>Active</v>
      </c>
      <c r="AH1692">
        <f t="shared" si="377"/>
        <v>18490.68</v>
      </c>
    </row>
    <row r="1693" spans="1:34" x14ac:dyDescent="0.35">
      <c r="A1693" t="s">
        <v>4427</v>
      </c>
      <c r="B1693" t="s">
        <v>4428</v>
      </c>
      <c r="C1693">
        <v>37</v>
      </c>
      <c r="D1693" t="s">
        <v>38</v>
      </c>
      <c r="E1693" t="s">
        <v>23</v>
      </c>
      <c r="F1693" t="s">
        <v>59</v>
      </c>
      <c r="G1693">
        <v>137420</v>
      </c>
      <c r="H1693">
        <v>548</v>
      </c>
      <c r="I1693">
        <v>58965</v>
      </c>
      <c r="J1693">
        <v>23.24</v>
      </c>
      <c r="K1693">
        <v>240</v>
      </c>
      <c r="L1693" t="s">
        <v>86</v>
      </c>
      <c r="M1693">
        <v>54.96</v>
      </c>
      <c r="N1693">
        <v>70179</v>
      </c>
      <c r="O1693">
        <v>122085</v>
      </c>
      <c r="P1693" t="s">
        <v>963</v>
      </c>
      <c r="Q1693" t="s">
        <v>27</v>
      </c>
      <c r="R1693" t="s">
        <v>28</v>
      </c>
      <c r="S1693" t="s">
        <v>29</v>
      </c>
      <c r="T1693">
        <v>302.79000000000002</v>
      </c>
      <c r="U1693">
        <f t="shared" si="364"/>
        <v>309</v>
      </c>
      <c r="V1693">
        <f t="shared" si="365"/>
        <v>113</v>
      </c>
      <c r="W1693">
        <f t="shared" si="366"/>
        <v>96</v>
      </c>
      <c r="X1693">
        <f t="shared" si="367"/>
        <v>0.35149999999999998</v>
      </c>
      <c r="Y1693" s="1">
        <f t="shared" si="368"/>
        <v>16141585</v>
      </c>
      <c r="Z1693">
        <f t="shared" si="369"/>
        <v>52238.13915857605</v>
      </c>
      <c r="AA1693">
        <f t="shared" si="370"/>
        <v>99664</v>
      </c>
      <c r="AB1693">
        <f t="shared" si="371"/>
        <v>5091</v>
      </c>
      <c r="AC1693">
        <f t="shared" si="372"/>
        <v>425332.18999999989</v>
      </c>
      <c r="AD1693">
        <f t="shared" si="373"/>
        <v>1376.4795792880254</v>
      </c>
      <c r="AE1693">
        <f t="shared" si="374"/>
        <v>0.35149999999999998</v>
      </c>
      <c r="AF1693">
        <f t="shared" si="375"/>
        <v>64865211.119999975</v>
      </c>
      <c r="AG1693" t="str">
        <f t="shared" si="376"/>
        <v>Active</v>
      </c>
      <c r="AH1693">
        <f t="shared" si="377"/>
        <v>3633.4800000000005</v>
      </c>
    </row>
    <row r="1694" spans="1:34" x14ac:dyDescent="0.35">
      <c r="A1694" t="s">
        <v>4429</v>
      </c>
      <c r="B1694" t="s">
        <v>4430</v>
      </c>
      <c r="C1694">
        <v>21</v>
      </c>
      <c r="D1694" t="s">
        <v>38</v>
      </c>
      <c r="E1694" t="s">
        <v>39</v>
      </c>
      <c r="F1694" t="s">
        <v>24</v>
      </c>
      <c r="G1694">
        <v>113785</v>
      </c>
      <c r="H1694">
        <v>426</v>
      </c>
      <c r="I1694">
        <v>47424</v>
      </c>
      <c r="J1694">
        <v>19.809999999999999</v>
      </c>
      <c r="K1694">
        <v>48</v>
      </c>
      <c r="L1694" t="s">
        <v>52</v>
      </c>
      <c r="M1694">
        <v>57.47</v>
      </c>
      <c r="N1694">
        <v>53350</v>
      </c>
      <c r="O1694">
        <v>132532</v>
      </c>
      <c r="P1694" t="s">
        <v>397</v>
      </c>
      <c r="Q1694" t="s">
        <v>61</v>
      </c>
      <c r="R1694" t="s">
        <v>48</v>
      </c>
      <c r="S1694" t="s">
        <v>43</v>
      </c>
      <c r="T1694">
        <v>1183.72</v>
      </c>
      <c r="U1694">
        <f t="shared" si="364"/>
        <v>308</v>
      </c>
      <c r="V1694">
        <f t="shared" si="365"/>
        <v>113</v>
      </c>
      <c r="W1694">
        <f t="shared" si="366"/>
        <v>96</v>
      </c>
      <c r="X1694">
        <f t="shared" si="367"/>
        <v>0.35149999999999998</v>
      </c>
      <c r="Y1694" s="1">
        <f t="shared" si="368"/>
        <v>16082620</v>
      </c>
      <c r="Z1694">
        <f t="shared" si="369"/>
        <v>52216.2987012987</v>
      </c>
      <c r="AA1694">
        <f t="shared" si="370"/>
        <v>99664</v>
      </c>
      <c r="AB1694">
        <f t="shared" si="371"/>
        <v>5091</v>
      </c>
      <c r="AC1694">
        <f t="shared" si="372"/>
        <v>425029.39999999985</v>
      </c>
      <c r="AD1694">
        <f t="shared" si="373"/>
        <v>1379.9655844155839</v>
      </c>
      <c r="AE1694">
        <f t="shared" si="374"/>
        <v>0.35149999999999998</v>
      </c>
      <c r="AF1694">
        <f t="shared" si="375"/>
        <v>64439878.92999997</v>
      </c>
      <c r="AG1694" t="str">
        <f t="shared" si="376"/>
        <v>Active</v>
      </c>
      <c r="AH1694">
        <f t="shared" si="377"/>
        <v>14204.64</v>
      </c>
    </row>
    <row r="1695" spans="1:34" x14ac:dyDescent="0.35">
      <c r="A1695" t="s">
        <v>4431</v>
      </c>
      <c r="B1695" t="s">
        <v>4432</v>
      </c>
      <c r="C1695">
        <v>34</v>
      </c>
      <c r="D1695" t="s">
        <v>22</v>
      </c>
      <c r="E1695" t="s">
        <v>32</v>
      </c>
      <c r="F1695" t="s">
        <v>46</v>
      </c>
      <c r="G1695">
        <v>149924</v>
      </c>
      <c r="H1695">
        <v>335</v>
      </c>
      <c r="I1695">
        <v>79486</v>
      </c>
      <c r="J1695">
        <v>22.27</v>
      </c>
      <c r="K1695">
        <v>240</v>
      </c>
      <c r="L1695" t="s">
        <v>40</v>
      </c>
      <c r="M1695">
        <v>8.6199999999999992</v>
      </c>
      <c r="N1695">
        <v>45430</v>
      </c>
      <c r="O1695">
        <v>161123</v>
      </c>
      <c r="P1695" t="s">
        <v>1555</v>
      </c>
      <c r="Q1695" t="s">
        <v>27</v>
      </c>
      <c r="R1695" t="s">
        <v>28</v>
      </c>
      <c r="S1695" t="s">
        <v>43</v>
      </c>
      <c r="T1695">
        <v>404.95</v>
      </c>
      <c r="U1695">
        <f t="shared" si="364"/>
        <v>307</v>
      </c>
      <c r="V1695">
        <f t="shared" si="365"/>
        <v>113</v>
      </c>
      <c r="W1695">
        <f t="shared" si="366"/>
        <v>95</v>
      </c>
      <c r="X1695">
        <f t="shared" si="367"/>
        <v>0.35149999999999998</v>
      </c>
      <c r="Y1695" s="1">
        <f t="shared" si="368"/>
        <v>16035196</v>
      </c>
      <c r="Z1695">
        <f t="shared" si="369"/>
        <v>52231.908794788273</v>
      </c>
      <c r="AA1695">
        <f t="shared" si="370"/>
        <v>99664</v>
      </c>
      <c r="AB1695">
        <f t="shared" si="371"/>
        <v>5091</v>
      </c>
      <c r="AC1695">
        <f t="shared" si="372"/>
        <v>423845.67999999988</v>
      </c>
      <c r="AD1695">
        <f t="shared" si="373"/>
        <v>1380.6048208469051</v>
      </c>
      <c r="AE1695">
        <f t="shared" si="374"/>
        <v>0.35149999999999998</v>
      </c>
      <c r="AF1695">
        <f t="shared" si="375"/>
        <v>64014849.529999979</v>
      </c>
      <c r="AG1695" t="str">
        <f t="shared" si="376"/>
        <v>Active</v>
      </c>
      <c r="AH1695">
        <f t="shared" si="377"/>
        <v>4859.3999999999996</v>
      </c>
    </row>
    <row r="1696" spans="1:34" x14ac:dyDescent="0.35">
      <c r="A1696" t="s">
        <v>4433</v>
      </c>
      <c r="B1696" t="s">
        <v>4434</v>
      </c>
      <c r="C1696">
        <v>31</v>
      </c>
      <c r="D1696" t="s">
        <v>22</v>
      </c>
      <c r="E1696" t="s">
        <v>39</v>
      </c>
      <c r="F1696" t="s">
        <v>24</v>
      </c>
      <c r="G1696">
        <v>194518</v>
      </c>
      <c r="H1696">
        <v>753</v>
      </c>
      <c r="I1696">
        <v>25343</v>
      </c>
      <c r="J1696">
        <v>13.2</v>
      </c>
      <c r="K1696">
        <v>360</v>
      </c>
      <c r="L1696" t="s">
        <v>52</v>
      </c>
      <c r="M1696">
        <v>33.15</v>
      </c>
      <c r="N1696">
        <v>16330</v>
      </c>
      <c r="O1696">
        <v>43240</v>
      </c>
      <c r="P1696" t="s">
        <v>4435</v>
      </c>
      <c r="Q1696" t="s">
        <v>61</v>
      </c>
      <c r="R1696" t="s">
        <v>28</v>
      </c>
      <c r="S1696" t="s">
        <v>68</v>
      </c>
      <c r="T1696">
        <v>79.69</v>
      </c>
      <c r="U1696">
        <f t="shared" si="364"/>
        <v>306</v>
      </c>
      <c r="V1696">
        <f t="shared" si="365"/>
        <v>113</v>
      </c>
      <c r="W1696">
        <f t="shared" si="366"/>
        <v>95</v>
      </c>
      <c r="X1696">
        <f t="shared" si="367"/>
        <v>0.35149999999999998</v>
      </c>
      <c r="Y1696" s="1">
        <f t="shared" si="368"/>
        <v>15955710</v>
      </c>
      <c r="Z1696">
        <f t="shared" si="369"/>
        <v>52142.843137254902</v>
      </c>
      <c r="AA1696">
        <f t="shared" si="370"/>
        <v>99664</v>
      </c>
      <c r="AB1696">
        <f t="shared" si="371"/>
        <v>5091</v>
      </c>
      <c r="AC1696">
        <f t="shared" si="372"/>
        <v>423440.72999999986</v>
      </c>
      <c r="AD1696">
        <f t="shared" si="373"/>
        <v>1383.7932352941173</v>
      </c>
      <c r="AE1696">
        <f t="shared" si="374"/>
        <v>0.35149999999999998</v>
      </c>
      <c r="AF1696">
        <f t="shared" si="375"/>
        <v>63591003.849999979</v>
      </c>
      <c r="AG1696" t="str">
        <f t="shared" si="376"/>
        <v>Active</v>
      </c>
      <c r="AH1696">
        <f t="shared" si="377"/>
        <v>956.28</v>
      </c>
    </row>
    <row r="1697" spans="1:34" x14ac:dyDescent="0.35">
      <c r="A1697" t="s">
        <v>4436</v>
      </c>
      <c r="B1697" t="s">
        <v>4437</v>
      </c>
      <c r="C1697">
        <v>51</v>
      </c>
      <c r="D1697" t="s">
        <v>38</v>
      </c>
      <c r="E1697" t="s">
        <v>23</v>
      </c>
      <c r="F1697" t="s">
        <v>46</v>
      </c>
      <c r="G1697">
        <v>186178</v>
      </c>
      <c r="H1697">
        <v>586</v>
      </c>
      <c r="I1697">
        <v>52809</v>
      </c>
      <c r="J1697">
        <v>23.33</v>
      </c>
      <c r="K1697">
        <v>60</v>
      </c>
      <c r="L1697" t="s">
        <v>40</v>
      </c>
      <c r="M1697">
        <v>52.58</v>
      </c>
      <c r="N1697">
        <v>16951</v>
      </c>
      <c r="O1697">
        <v>127171</v>
      </c>
      <c r="P1697" t="s">
        <v>2169</v>
      </c>
      <c r="Q1697" t="s">
        <v>61</v>
      </c>
      <c r="R1697" t="s">
        <v>48</v>
      </c>
      <c r="S1697" t="s">
        <v>49</v>
      </c>
      <c r="T1697">
        <v>1085.49</v>
      </c>
      <c r="U1697">
        <f t="shared" si="364"/>
        <v>305</v>
      </c>
      <c r="V1697">
        <f t="shared" si="365"/>
        <v>113</v>
      </c>
      <c r="W1697">
        <f t="shared" si="366"/>
        <v>94</v>
      </c>
      <c r="X1697">
        <f t="shared" si="367"/>
        <v>0.35149999999999998</v>
      </c>
      <c r="Y1697" s="1">
        <f t="shared" si="368"/>
        <v>15930367</v>
      </c>
      <c r="Z1697">
        <f t="shared" si="369"/>
        <v>52230.711475409837</v>
      </c>
      <c r="AA1697">
        <f t="shared" si="370"/>
        <v>99664</v>
      </c>
      <c r="AB1697">
        <f t="shared" si="371"/>
        <v>5091</v>
      </c>
      <c r="AC1697">
        <f t="shared" si="372"/>
        <v>423361.03999999986</v>
      </c>
      <c r="AD1697">
        <f t="shared" si="373"/>
        <v>1388.0689836065569</v>
      </c>
      <c r="AE1697">
        <f t="shared" si="374"/>
        <v>0.35149999999999998</v>
      </c>
      <c r="AF1697">
        <f t="shared" si="375"/>
        <v>63167563.119999968</v>
      </c>
      <c r="AG1697" t="str">
        <f t="shared" si="376"/>
        <v>Active</v>
      </c>
      <c r="AH1697">
        <f t="shared" si="377"/>
        <v>13025.880000000001</v>
      </c>
    </row>
    <row r="1698" spans="1:34" x14ac:dyDescent="0.35">
      <c r="A1698" t="s">
        <v>4438</v>
      </c>
      <c r="B1698" t="s">
        <v>4439</v>
      </c>
      <c r="C1698">
        <v>34</v>
      </c>
      <c r="D1698" t="s">
        <v>22</v>
      </c>
      <c r="E1698" t="s">
        <v>32</v>
      </c>
      <c r="F1698" t="s">
        <v>59</v>
      </c>
      <c r="G1698">
        <v>169440</v>
      </c>
      <c r="H1698">
        <v>840</v>
      </c>
      <c r="I1698">
        <v>89766</v>
      </c>
      <c r="J1698">
        <v>17.38</v>
      </c>
      <c r="K1698">
        <v>360</v>
      </c>
      <c r="L1698" t="s">
        <v>25</v>
      </c>
      <c r="M1698">
        <v>56.77</v>
      </c>
      <c r="N1698">
        <v>40690</v>
      </c>
      <c r="O1698">
        <v>202994</v>
      </c>
      <c r="P1698" t="s">
        <v>2910</v>
      </c>
      <c r="Q1698" t="s">
        <v>61</v>
      </c>
      <c r="R1698" t="s">
        <v>28</v>
      </c>
      <c r="S1698" t="s">
        <v>43</v>
      </c>
      <c r="T1698">
        <v>292.69</v>
      </c>
      <c r="U1698">
        <f t="shared" si="364"/>
        <v>304</v>
      </c>
      <c r="V1698">
        <f t="shared" si="365"/>
        <v>113</v>
      </c>
      <c r="W1698">
        <f t="shared" si="366"/>
        <v>93</v>
      </c>
      <c r="X1698">
        <f t="shared" si="367"/>
        <v>0.35149999999999998</v>
      </c>
      <c r="Y1698" s="1">
        <f t="shared" si="368"/>
        <v>15877558</v>
      </c>
      <c r="Z1698">
        <f t="shared" si="369"/>
        <v>52228.809210526313</v>
      </c>
      <c r="AA1698">
        <f t="shared" si="370"/>
        <v>99664</v>
      </c>
      <c r="AB1698">
        <f t="shared" si="371"/>
        <v>5091</v>
      </c>
      <c r="AC1698">
        <f t="shared" si="372"/>
        <v>422275.54999999987</v>
      </c>
      <c r="AD1698">
        <f t="shared" si="373"/>
        <v>1389.0643092105258</v>
      </c>
      <c r="AE1698">
        <f t="shared" si="374"/>
        <v>0.35149999999999998</v>
      </c>
      <c r="AF1698">
        <f t="shared" si="375"/>
        <v>62744202.079999968</v>
      </c>
      <c r="AG1698" t="str">
        <f t="shared" si="376"/>
        <v>Active</v>
      </c>
      <c r="AH1698">
        <f t="shared" si="377"/>
        <v>3512.2799999999997</v>
      </c>
    </row>
    <row r="1699" spans="1:34" x14ac:dyDescent="0.35">
      <c r="A1699" t="s">
        <v>4440</v>
      </c>
      <c r="B1699" t="s">
        <v>4441</v>
      </c>
      <c r="C1699">
        <v>40</v>
      </c>
      <c r="D1699" t="s">
        <v>38</v>
      </c>
      <c r="E1699" t="s">
        <v>39</v>
      </c>
      <c r="F1699" t="s">
        <v>59</v>
      </c>
      <c r="G1699">
        <v>29139</v>
      </c>
      <c r="H1699">
        <v>625</v>
      </c>
      <c r="I1699">
        <v>53969</v>
      </c>
      <c r="J1699">
        <v>15.87</v>
      </c>
      <c r="K1699">
        <v>24</v>
      </c>
      <c r="L1699" t="s">
        <v>33</v>
      </c>
      <c r="M1699">
        <v>16.36</v>
      </c>
      <c r="N1699">
        <v>42046</v>
      </c>
      <c r="O1699">
        <v>181119</v>
      </c>
      <c r="P1699" t="s">
        <v>77</v>
      </c>
      <c r="Q1699" t="s">
        <v>42</v>
      </c>
      <c r="R1699" t="s">
        <v>28</v>
      </c>
      <c r="S1699" t="s">
        <v>68</v>
      </c>
      <c r="T1699">
        <v>2605.58</v>
      </c>
      <c r="U1699">
        <f t="shared" si="364"/>
        <v>303</v>
      </c>
      <c r="V1699">
        <f t="shared" si="365"/>
        <v>113</v>
      </c>
      <c r="W1699">
        <f t="shared" si="366"/>
        <v>92</v>
      </c>
      <c r="X1699">
        <f t="shared" si="367"/>
        <v>0.35149999999999998</v>
      </c>
      <c r="Y1699" s="1">
        <f t="shared" si="368"/>
        <v>15787792</v>
      </c>
      <c r="Z1699">
        <f t="shared" si="369"/>
        <v>52104.924092409237</v>
      </c>
      <c r="AA1699">
        <f t="shared" si="370"/>
        <v>99664</v>
      </c>
      <c r="AB1699">
        <f t="shared" si="371"/>
        <v>5091</v>
      </c>
      <c r="AC1699">
        <f t="shared" si="372"/>
        <v>421982.85999999987</v>
      </c>
      <c r="AD1699">
        <f t="shared" si="373"/>
        <v>1392.6827062706266</v>
      </c>
      <c r="AE1699">
        <f t="shared" si="374"/>
        <v>0.35149999999999998</v>
      </c>
      <c r="AF1699">
        <f t="shared" si="375"/>
        <v>62321926.529999971</v>
      </c>
      <c r="AG1699" t="str">
        <f t="shared" si="376"/>
        <v>Active</v>
      </c>
      <c r="AH1699">
        <f t="shared" si="377"/>
        <v>31266.959999999999</v>
      </c>
    </row>
    <row r="1700" spans="1:34" x14ac:dyDescent="0.35">
      <c r="A1700" t="s">
        <v>4442</v>
      </c>
      <c r="B1700" t="s">
        <v>4443</v>
      </c>
      <c r="C1700">
        <v>63</v>
      </c>
      <c r="D1700" t="s">
        <v>38</v>
      </c>
      <c r="E1700" t="s">
        <v>23</v>
      </c>
      <c r="F1700" t="s">
        <v>46</v>
      </c>
      <c r="G1700">
        <v>34105</v>
      </c>
      <c r="H1700">
        <v>504</v>
      </c>
      <c r="I1700">
        <v>80864</v>
      </c>
      <c r="J1700">
        <v>15.91</v>
      </c>
      <c r="K1700">
        <v>240</v>
      </c>
      <c r="L1700" t="s">
        <v>40</v>
      </c>
      <c r="M1700">
        <v>22.67</v>
      </c>
      <c r="N1700">
        <v>25649</v>
      </c>
      <c r="O1700">
        <v>204546</v>
      </c>
      <c r="P1700" t="s">
        <v>498</v>
      </c>
      <c r="Q1700" t="s">
        <v>42</v>
      </c>
      <c r="R1700" t="s">
        <v>48</v>
      </c>
      <c r="S1700" t="s">
        <v>35</v>
      </c>
      <c r="T1700">
        <v>390.54</v>
      </c>
      <c r="U1700">
        <f t="shared" si="364"/>
        <v>302</v>
      </c>
      <c r="V1700">
        <f t="shared" si="365"/>
        <v>112</v>
      </c>
      <c r="W1700">
        <f t="shared" si="366"/>
        <v>92</v>
      </c>
      <c r="X1700">
        <f t="shared" si="367"/>
        <v>0.35149999999999998</v>
      </c>
      <c r="Y1700" s="1">
        <f t="shared" si="368"/>
        <v>15733823</v>
      </c>
      <c r="Z1700">
        <f t="shared" si="369"/>
        <v>52098.751655629138</v>
      </c>
      <c r="AA1700">
        <f t="shared" si="370"/>
        <v>99664</v>
      </c>
      <c r="AB1700">
        <f t="shared" si="371"/>
        <v>5091</v>
      </c>
      <c r="AC1700">
        <f t="shared" si="372"/>
        <v>419377.27999999985</v>
      </c>
      <c r="AD1700">
        <f t="shared" si="373"/>
        <v>1388.6664900662247</v>
      </c>
      <c r="AE1700">
        <f t="shared" si="374"/>
        <v>0.35149999999999998</v>
      </c>
      <c r="AF1700">
        <f t="shared" si="375"/>
        <v>61899943.669999965</v>
      </c>
      <c r="AG1700" t="str">
        <f t="shared" si="376"/>
        <v>Active</v>
      </c>
      <c r="AH1700">
        <f t="shared" si="377"/>
        <v>4686.4800000000005</v>
      </c>
    </row>
    <row r="1701" spans="1:34" x14ac:dyDescent="0.35">
      <c r="A1701" t="s">
        <v>4444</v>
      </c>
      <c r="B1701" t="s">
        <v>4445</v>
      </c>
      <c r="C1701">
        <v>59</v>
      </c>
      <c r="D1701" t="s">
        <v>38</v>
      </c>
      <c r="E1701" t="s">
        <v>39</v>
      </c>
      <c r="F1701" t="s">
        <v>46</v>
      </c>
      <c r="G1701">
        <v>181774</v>
      </c>
      <c r="H1701">
        <v>694</v>
      </c>
      <c r="I1701">
        <v>10356</v>
      </c>
      <c r="J1701">
        <v>4.46</v>
      </c>
      <c r="K1701">
        <v>24</v>
      </c>
      <c r="L1701" t="s">
        <v>25</v>
      </c>
      <c r="M1701">
        <v>55.33</v>
      </c>
      <c r="N1701">
        <v>23285</v>
      </c>
      <c r="O1701">
        <v>181060</v>
      </c>
      <c r="P1701" t="s">
        <v>2837</v>
      </c>
      <c r="Q1701" t="s">
        <v>42</v>
      </c>
      <c r="R1701" t="s">
        <v>28</v>
      </c>
      <c r="S1701" t="s">
        <v>49</v>
      </c>
      <c r="T1701">
        <v>450.74</v>
      </c>
      <c r="U1701">
        <f t="shared" si="364"/>
        <v>301</v>
      </c>
      <c r="V1701">
        <f t="shared" si="365"/>
        <v>111</v>
      </c>
      <c r="W1701">
        <f t="shared" si="366"/>
        <v>92</v>
      </c>
      <c r="X1701">
        <f t="shared" si="367"/>
        <v>0.35149999999999998</v>
      </c>
      <c r="Y1701" s="1">
        <f t="shared" si="368"/>
        <v>15652959</v>
      </c>
      <c r="Z1701">
        <f t="shared" si="369"/>
        <v>52003.186046511626</v>
      </c>
      <c r="AA1701">
        <f t="shared" si="370"/>
        <v>99664</v>
      </c>
      <c r="AB1701">
        <f t="shared" si="371"/>
        <v>5091</v>
      </c>
      <c r="AC1701">
        <f t="shared" si="372"/>
        <v>418986.73999999982</v>
      </c>
      <c r="AD1701">
        <f t="shared" si="373"/>
        <v>1391.982524916943</v>
      </c>
      <c r="AE1701">
        <f t="shared" si="374"/>
        <v>0.35149999999999998</v>
      </c>
      <c r="AF1701">
        <f t="shared" si="375"/>
        <v>61480566.389999963</v>
      </c>
      <c r="AG1701" t="str">
        <f t="shared" si="376"/>
        <v>Active</v>
      </c>
      <c r="AH1701">
        <f t="shared" si="377"/>
        <v>5408.88</v>
      </c>
    </row>
    <row r="1702" spans="1:34" x14ac:dyDescent="0.35">
      <c r="A1702" t="s">
        <v>4446</v>
      </c>
      <c r="B1702" t="s">
        <v>4447</v>
      </c>
      <c r="C1702">
        <v>23</v>
      </c>
      <c r="D1702" t="s">
        <v>22</v>
      </c>
      <c r="E1702" t="s">
        <v>23</v>
      </c>
      <c r="F1702" t="s">
        <v>46</v>
      </c>
      <c r="G1702">
        <v>53798</v>
      </c>
      <c r="H1702">
        <v>701</v>
      </c>
      <c r="I1702">
        <v>63252</v>
      </c>
      <c r="J1702">
        <v>16.690000000000001</v>
      </c>
      <c r="K1702">
        <v>180</v>
      </c>
      <c r="L1702" t="s">
        <v>25</v>
      </c>
      <c r="M1702">
        <v>57.82</v>
      </c>
      <c r="N1702">
        <v>33680</v>
      </c>
      <c r="O1702">
        <v>162503</v>
      </c>
      <c r="P1702" t="s">
        <v>180</v>
      </c>
      <c r="Q1702" t="s">
        <v>27</v>
      </c>
      <c r="R1702" t="s">
        <v>48</v>
      </c>
      <c r="S1702" t="s">
        <v>43</v>
      </c>
      <c r="T1702">
        <v>410.05</v>
      </c>
      <c r="U1702">
        <f t="shared" si="364"/>
        <v>300</v>
      </c>
      <c r="V1702">
        <f t="shared" si="365"/>
        <v>110</v>
      </c>
      <c r="W1702">
        <f t="shared" si="366"/>
        <v>92</v>
      </c>
      <c r="X1702">
        <f t="shared" si="367"/>
        <v>0.35149999999999998</v>
      </c>
      <c r="Y1702" s="1">
        <f t="shared" si="368"/>
        <v>15642603</v>
      </c>
      <c r="Z1702">
        <f t="shared" si="369"/>
        <v>52142.01</v>
      </c>
      <c r="AA1702">
        <f t="shared" si="370"/>
        <v>99664</v>
      </c>
      <c r="AB1702">
        <f t="shared" si="371"/>
        <v>5091</v>
      </c>
      <c r="AC1702">
        <f t="shared" si="372"/>
        <v>418535.99999999983</v>
      </c>
      <c r="AD1702">
        <f t="shared" si="373"/>
        <v>1395.1199999999994</v>
      </c>
      <c r="AE1702">
        <f t="shared" si="374"/>
        <v>0.35149999999999998</v>
      </c>
      <c r="AF1702">
        <f t="shared" si="375"/>
        <v>61061579.649999954</v>
      </c>
      <c r="AG1702" t="str">
        <f t="shared" si="376"/>
        <v>Active</v>
      </c>
      <c r="AH1702">
        <f t="shared" si="377"/>
        <v>4920.6000000000004</v>
      </c>
    </row>
    <row r="1703" spans="1:34" x14ac:dyDescent="0.35">
      <c r="A1703" t="s">
        <v>4448</v>
      </c>
      <c r="B1703" t="s">
        <v>4449</v>
      </c>
      <c r="C1703">
        <v>52</v>
      </c>
      <c r="D1703" t="s">
        <v>38</v>
      </c>
      <c r="E1703" t="s">
        <v>23</v>
      </c>
      <c r="F1703" t="s">
        <v>59</v>
      </c>
      <c r="G1703">
        <v>101242</v>
      </c>
      <c r="H1703">
        <v>689</v>
      </c>
      <c r="I1703">
        <v>96266</v>
      </c>
      <c r="J1703">
        <v>21.12</v>
      </c>
      <c r="K1703">
        <v>240</v>
      </c>
      <c r="L1703" t="s">
        <v>33</v>
      </c>
      <c r="M1703">
        <v>31.33</v>
      </c>
      <c r="N1703">
        <v>29661</v>
      </c>
      <c r="O1703">
        <v>136075</v>
      </c>
      <c r="P1703" t="s">
        <v>1948</v>
      </c>
      <c r="Q1703" t="s">
        <v>61</v>
      </c>
      <c r="R1703" t="s">
        <v>48</v>
      </c>
      <c r="S1703" t="s">
        <v>43</v>
      </c>
      <c r="T1703">
        <v>485.82</v>
      </c>
      <c r="U1703">
        <f t="shared" si="364"/>
        <v>299</v>
      </c>
      <c r="V1703">
        <f t="shared" si="365"/>
        <v>110</v>
      </c>
      <c r="W1703">
        <f t="shared" si="366"/>
        <v>92</v>
      </c>
      <c r="X1703">
        <f t="shared" si="367"/>
        <v>0.35149999999999998</v>
      </c>
      <c r="Y1703" s="1">
        <f t="shared" si="368"/>
        <v>15579351</v>
      </c>
      <c r="Z1703">
        <f t="shared" si="369"/>
        <v>52104.852842809363</v>
      </c>
      <c r="AA1703">
        <f t="shared" si="370"/>
        <v>99664</v>
      </c>
      <c r="AB1703">
        <f t="shared" si="371"/>
        <v>5091</v>
      </c>
      <c r="AC1703">
        <f t="shared" si="372"/>
        <v>418125.94999999984</v>
      </c>
      <c r="AD1703">
        <f t="shared" si="373"/>
        <v>1398.4145484949827</v>
      </c>
      <c r="AE1703">
        <f t="shared" si="374"/>
        <v>0.35149999999999998</v>
      </c>
      <c r="AF1703">
        <f t="shared" si="375"/>
        <v>60643043.649999954</v>
      </c>
      <c r="AG1703" t="str">
        <f t="shared" si="376"/>
        <v>Active</v>
      </c>
      <c r="AH1703">
        <f t="shared" si="377"/>
        <v>5829.84</v>
      </c>
    </row>
    <row r="1704" spans="1:34" x14ac:dyDescent="0.35">
      <c r="A1704" t="s">
        <v>4450</v>
      </c>
      <c r="B1704" t="s">
        <v>4451</v>
      </c>
      <c r="C1704">
        <v>60</v>
      </c>
      <c r="D1704" t="s">
        <v>38</v>
      </c>
      <c r="E1704" t="s">
        <v>23</v>
      </c>
      <c r="F1704" t="s">
        <v>59</v>
      </c>
      <c r="G1704">
        <v>187159</v>
      </c>
      <c r="H1704">
        <v>642</v>
      </c>
      <c r="I1704">
        <v>91529</v>
      </c>
      <c r="J1704">
        <v>14.01</v>
      </c>
      <c r="K1704">
        <v>24</v>
      </c>
      <c r="L1704" t="s">
        <v>25</v>
      </c>
      <c r="M1704">
        <v>8.2100000000000009</v>
      </c>
      <c r="N1704">
        <v>30506</v>
      </c>
      <c r="O1704">
        <v>188118</v>
      </c>
      <c r="P1704" t="s">
        <v>3529</v>
      </c>
      <c r="Q1704" t="s">
        <v>27</v>
      </c>
      <c r="R1704" t="s">
        <v>28</v>
      </c>
      <c r="S1704" t="s">
        <v>68</v>
      </c>
      <c r="T1704">
        <v>4348.01</v>
      </c>
      <c r="U1704">
        <f t="shared" si="364"/>
        <v>298</v>
      </c>
      <c r="V1704">
        <f t="shared" si="365"/>
        <v>110</v>
      </c>
      <c r="W1704">
        <f t="shared" si="366"/>
        <v>91</v>
      </c>
      <c r="X1704">
        <f t="shared" si="367"/>
        <v>0.35149999999999998</v>
      </c>
      <c r="Y1704" s="1">
        <f t="shared" si="368"/>
        <v>15483085</v>
      </c>
      <c r="Z1704">
        <f t="shared" si="369"/>
        <v>51956.661073825504</v>
      </c>
      <c r="AA1704">
        <f t="shared" si="370"/>
        <v>99664</v>
      </c>
      <c r="AB1704">
        <f t="shared" si="371"/>
        <v>5091</v>
      </c>
      <c r="AC1704">
        <f t="shared" si="372"/>
        <v>417640.12999999983</v>
      </c>
      <c r="AD1704">
        <f t="shared" si="373"/>
        <v>1401.4769463087243</v>
      </c>
      <c r="AE1704">
        <f t="shared" si="374"/>
        <v>0.35149999999999998</v>
      </c>
      <c r="AF1704">
        <f t="shared" si="375"/>
        <v>60224917.699999951</v>
      </c>
      <c r="AG1704" t="str">
        <f t="shared" si="376"/>
        <v>Active</v>
      </c>
      <c r="AH1704">
        <f t="shared" si="377"/>
        <v>52176.12</v>
      </c>
    </row>
    <row r="1705" spans="1:34" x14ac:dyDescent="0.35">
      <c r="A1705" t="s">
        <v>4452</v>
      </c>
      <c r="B1705" t="s">
        <v>4453</v>
      </c>
      <c r="C1705">
        <v>33</v>
      </c>
      <c r="D1705" t="s">
        <v>22</v>
      </c>
      <c r="E1705" t="s">
        <v>39</v>
      </c>
      <c r="F1705" t="s">
        <v>24</v>
      </c>
      <c r="G1705">
        <v>197810</v>
      </c>
      <c r="H1705">
        <v>588</v>
      </c>
      <c r="I1705">
        <v>86427</v>
      </c>
      <c r="J1705">
        <v>10.42</v>
      </c>
      <c r="K1705">
        <v>36</v>
      </c>
      <c r="L1705" t="s">
        <v>40</v>
      </c>
      <c r="M1705">
        <v>7.35</v>
      </c>
      <c r="N1705">
        <v>65315</v>
      </c>
      <c r="O1705">
        <v>217627</v>
      </c>
      <c r="P1705" t="s">
        <v>4454</v>
      </c>
      <c r="Q1705" t="s">
        <v>61</v>
      </c>
      <c r="R1705" t="s">
        <v>28</v>
      </c>
      <c r="S1705" t="s">
        <v>29</v>
      </c>
      <c r="T1705">
        <v>2650.91</v>
      </c>
      <c r="U1705">
        <f t="shared" si="364"/>
        <v>297</v>
      </c>
      <c r="V1705">
        <f t="shared" si="365"/>
        <v>110</v>
      </c>
      <c r="W1705">
        <f t="shared" si="366"/>
        <v>91</v>
      </c>
      <c r="X1705">
        <f t="shared" si="367"/>
        <v>0.35149999999999998</v>
      </c>
      <c r="Y1705" s="1">
        <f t="shared" si="368"/>
        <v>15391556</v>
      </c>
      <c r="Z1705">
        <f t="shared" si="369"/>
        <v>51823.420875420874</v>
      </c>
      <c r="AA1705">
        <f t="shared" si="370"/>
        <v>99664</v>
      </c>
      <c r="AB1705">
        <f t="shared" si="371"/>
        <v>5091</v>
      </c>
      <c r="AC1705">
        <f t="shared" si="372"/>
        <v>413292.11999999988</v>
      </c>
      <c r="AD1705">
        <f t="shared" si="373"/>
        <v>1391.5559595959592</v>
      </c>
      <c r="AE1705">
        <f t="shared" si="374"/>
        <v>0.35149999999999998</v>
      </c>
      <c r="AF1705">
        <f t="shared" si="375"/>
        <v>59807277.569999948</v>
      </c>
      <c r="AG1705" t="str">
        <f t="shared" si="376"/>
        <v>Active</v>
      </c>
      <c r="AH1705">
        <f t="shared" si="377"/>
        <v>31810.92</v>
      </c>
    </row>
    <row r="1706" spans="1:34" x14ac:dyDescent="0.35">
      <c r="A1706" t="s">
        <v>4455</v>
      </c>
      <c r="B1706" t="s">
        <v>4456</v>
      </c>
      <c r="C1706">
        <v>65</v>
      </c>
      <c r="D1706" t="s">
        <v>22</v>
      </c>
      <c r="E1706" t="s">
        <v>39</v>
      </c>
      <c r="F1706" t="s">
        <v>46</v>
      </c>
      <c r="G1706">
        <v>79482</v>
      </c>
      <c r="H1706">
        <v>764</v>
      </c>
      <c r="I1706">
        <v>83381</v>
      </c>
      <c r="J1706">
        <v>13.85</v>
      </c>
      <c r="K1706">
        <v>360</v>
      </c>
      <c r="L1706" t="s">
        <v>86</v>
      </c>
      <c r="M1706">
        <v>42.31</v>
      </c>
      <c r="N1706">
        <v>40293</v>
      </c>
      <c r="O1706">
        <v>95073</v>
      </c>
      <c r="P1706" t="s">
        <v>2637</v>
      </c>
      <c r="Q1706" t="s">
        <v>42</v>
      </c>
      <c r="R1706" t="s">
        <v>48</v>
      </c>
      <c r="S1706" t="s">
        <v>68</v>
      </c>
      <c r="T1706">
        <v>263.69</v>
      </c>
      <c r="U1706">
        <f t="shared" si="364"/>
        <v>296</v>
      </c>
      <c r="V1706">
        <f t="shared" si="365"/>
        <v>110</v>
      </c>
      <c r="W1706">
        <f t="shared" si="366"/>
        <v>90</v>
      </c>
      <c r="X1706">
        <f t="shared" si="367"/>
        <v>0.35149999999999998</v>
      </c>
      <c r="Y1706" s="1">
        <f t="shared" si="368"/>
        <v>15305129</v>
      </c>
      <c r="Z1706">
        <f t="shared" si="369"/>
        <v>51706.516891891893</v>
      </c>
      <c r="AA1706">
        <f t="shared" si="370"/>
        <v>99664</v>
      </c>
      <c r="AB1706">
        <f t="shared" si="371"/>
        <v>5091</v>
      </c>
      <c r="AC1706">
        <f t="shared" si="372"/>
        <v>410641.20999999985</v>
      </c>
      <c r="AD1706">
        <f t="shared" si="373"/>
        <v>1387.3013851351345</v>
      </c>
      <c r="AE1706">
        <f t="shared" si="374"/>
        <v>0.35149999999999998</v>
      </c>
      <c r="AF1706">
        <f t="shared" si="375"/>
        <v>59393985.449999951</v>
      </c>
      <c r="AG1706" t="str">
        <f t="shared" si="376"/>
        <v>Active</v>
      </c>
      <c r="AH1706">
        <f t="shared" si="377"/>
        <v>3164.2799999999997</v>
      </c>
    </row>
    <row r="1707" spans="1:34" x14ac:dyDescent="0.35">
      <c r="A1707" t="s">
        <v>4457</v>
      </c>
      <c r="B1707" t="s">
        <v>4458</v>
      </c>
      <c r="C1707">
        <v>63</v>
      </c>
      <c r="D1707" t="s">
        <v>38</v>
      </c>
      <c r="E1707" t="s">
        <v>23</v>
      </c>
      <c r="F1707" t="s">
        <v>59</v>
      </c>
      <c r="G1707">
        <v>191418</v>
      </c>
      <c r="H1707">
        <v>368</v>
      </c>
      <c r="I1707">
        <v>86984</v>
      </c>
      <c r="J1707">
        <v>11.7</v>
      </c>
      <c r="K1707">
        <v>60</v>
      </c>
      <c r="L1707" t="s">
        <v>25</v>
      </c>
      <c r="M1707">
        <v>37.46</v>
      </c>
      <c r="N1707">
        <v>38472</v>
      </c>
      <c r="O1707">
        <v>238351</v>
      </c>
      <c r="P1707" t="s">
        <v>2642</v>
      </c>
      <c r="Q1707" t="s">
        <v>61</v>
      </c>
      <c r="R1707" t="s">
        <v>48</v>
      </c>
      <c r="S1707" t="s">
        <v>68</v>
      </c>
      <c r="T1707">
        <v>1619.35</v>
      </c>
      <c r="U1707">
        <f t="shared" si="364"/>
        <v>295</v>
      </c>
      <c r="V1707">
        <f t="shared" si="365"/>
        <v>109</v>
      </c>
      <c r="W1707">
        <f t="shared" si="366"/>
        <v>90</v>
      </c>
      <c r="X1707">
        <f t="shared" si="367"/>
        <v>0.35149999999999998</v>
      </c>
      <c r="Y1707" s="1">
        <f t="shared" si="368"/>
        <v>15221748</v>
      </c>
      <c r="Z1707">
        <f t="shared" si="369"/>
        <v>51599.145762711865</v>
      </c>
      <c r="AA1707">
        <f t="shared" si="370"/>
        <v>99664</v>
      </c>
      <c r="AB1707">
        <f t="shared" si="371"/>
        <v>5091</v>
      </c>
      <c r="AC1707">
        <f t="shared" si="372"/>
        <v>410377.51999999984</v>
      </c>
      <c r="AD1707">
        <f t="shared" si="373"/>
        <v>1391.1102372881351</v>
      </c>
      <c r="AE1707">
        <f t="shared" si="374"/>
        <v>0.35149999999999998</v>
      </c>
      <c r="AF1707">
        <f t="shared" si="375"/>
        <v>58983344.23999995</v>
      </c>
      <c r="AG1707" t="str">
        <f t="shared" si="376"/>
        <v>Active</v>
      </c>
      <c r="AH1707">
        <f t="shared" si="377"/>
        <v>19432.199999999997</v>
      </c>
    </row>
    <row r="1708" spans="1:34" x14ac:dyDescent="0.35">
      <c r="A1708" t="s">
        <v>4459</v>
      </c>
      <c r="B1708" t="s">
        <v>4460</v>
      </c>
      <c r="C1708">
        <v>57</v>
      </c>
      <c r="D1708" t="s">
        <v>38</v>
      </c>
      <c r="E1708" t="s">
        <v>39</v>
      </c>
      <c r="F1708" t="s">
        <v>24</v>
      </c>
      <c r="G1708">
        <v>172961</v>
      </c>
      <c r="H1708">
        <v>434</v>
      </c>
      <c r="I1708">
        <v>81559</v>
      </c>
      <c r="J1708">
        <v>16.32</v>
      </c>
      <c r="K1708">
        <v>360</v>
      </c>
      <c r="L1708" t="s">
        <v>33</v>
      </c>
      <c r="M1708">
        <v>51.74</v>
      </c>
      <c r="N1708">
        <v>72400</v>
      </c>
      <c r="O1708">
        <v>21018</v>
      </c>
      <c r="P1708" t="s">
        <v>4461</v>
      </c>
      <c r="Q1708" t="s">
        <v>61</v>
      </c>
      <c r="R1708" t="s">
        <v>48</v>
      </c>
      <c r="S1708" t="s">
        <v>43</v>
      </c>
      <c r="T1708">
        <v>263.52999999999997</v>
      </c>
      <c r="U1708">
        <f t="shared" si="364"/>
        <v>294</v>
      </c>
      <c r="V1708">
        <f t="shared" si="365"/>
        <v>109</v>
      </c>
      <c r="W1708">
        <f t="shared" si="366"/>
        <v>89</v>
      </c>
      <c r="X1708">
        <f t="shared" si="367"/>
        <v>0.35149999999999998</v>
      </c>
      <c r="Y1708" s="1">
        <f t="shared" si="368"/>
        <v>15134764</v>
      </c>
      <c r="Z1708">
        <f t="shared" si="369"/>
        <v>51478.789115646257</v>
      </c>
      <c r="AA1708">
        <f t="shared" si="370"/>
        <v>99664</v>
      </c>
      <c r="AB1708">
        <f t="shared" si="371"/>
        <v>5091</v>
      </c>
      <c r="AC1708">
        <f t="shared" si="372"/>
        <v>408758.16999999987</v>
      </c>
      <c r="AD1708">
        <f t="shared" si="373"/>
        <v>1390.3339115646254</v>
      </c>
      <c r="AE1708">
        <f t="shared" si="374"/>
        <v>0.35149999999999998</v>
      </c>
      <c r="AF1708">
        <f t="shared" si="375"/>
        <v>58572966.719999947</v>
      </c>
      <c r="AG1708" t="str">
        <f t="shared" si="376"/>
        <v>Active</v>
      </c>
      <c r="AH1708">
        <f t="shared" si="377"/>
        <v>3162.3599999999997</v>
      </c>
    </row>
    <row r="1709" spans="1:34" x14ac:dyDescent="0.35">
      <c r="A1709" t="s">
        <v>4462</v>
      </c>
      <c r="B1709" t="s">
        <v>4463</v>
      </c>
      <c r="C1709">
        <v>23</v>
      </c>
      <c r="D1709" t="s">
        <v>22</v>
      </c>
      <c r="E1709" t="s">
        <v>23</v>
      </c>
      <c r="F1709" t="s">
        <v>46</v>
      </c>
      <c r="G1709">
        <v>135813</v>
      </c>
      <c r="H1709">
        <v>345</v>
      </c>
      <c r="I1709">
        <v>81147</v>
      </c>
      <c r="J1709">
        <v>22.34</v>
      </c>
      <c r="K1709">
        <v>60</v>
      </c>
      <c r="L1709" t="s">
        <v>86</v>
      </c>
      <c r="M1709">
        <v>16.79</v>
      </c>
      <c r="N1709">
        <v>39058</v>
      </c>
      <c r="O1709">
        <v>179619</v>
      </c>
      <c r="P1709" t="s">
        <v>762</v>
      </c>
      <c r="Q1709" t="s">
        <v>27</v>
      </c>
      <c r="R1709" t="s">
        <v>28</v>
      </c>
      <c r="S1709" t="s">
        <v>68</v>
      </c>
      <c r="T1709">
        <v>1654.59</v>
      </c>
      <c r="U1709">
        <f t="shared" si="364"/>
        <v>293</v>
      </c>
      <c r="V1709">
        <f t="shared" si="365"/>
        <v>109</v>
      </c>
      <c r="W1709">
        <f t="shared" si="366"/>
        <v>88</v>
      </c>
      <c r="X1709">
        <f t="shared" si="367"/>
        <v>0.35149999999999998</v>
      </c>
      <c r="Y1709" s="1">
        <f t="shared" si="368"/>
        <v>15053205</v>
      </c>
      <c r="Z1709">
        <f t="shared" si="369"/>
        <v>51376.126279863478</v>
      </c>
      <c r="AA1709">
        <f t="shared" si="370"/>
        <v>99664</v>
      </c>
      <c r="AB1709">
        <f t="shared" si="371"/>
        <v>5091</v>
      </c>
      <c r="AC1709">
        <f t="shared" si="372"/>
        <v>408494.63999999984</v>
      </c>
      <c r="AD1709">
        <f t="shared" si="373"/>
        <v>1394.179658703071</v>
      </c>
      <c r="AE1709">
        <f t="shared" si="374"/>
        <v>0.35149999999999998</v>
      </c>
      <c r="AF1709">
        <f t="shared" si="375"/>
        <v>58164208.549999952</v>
      </c>
      <c r="AG1709" t="str">
        <f t="shared" si="376"/>
        <v>Active</v>
      </c>
      <c r="AH1709">
        <f t="shared" si="377"/>
        <v>19855.079999999998</v>
      </c>
    </row>
    <row r="1710" spans="1:34" x14ac:dyDescent="0.35">
      <c r="A1710" t="s">
        <v>4464</v>
      </c>
      <c r="B1710" t="s">
        <v>4465</v>
      </c>
      <c r="C1710">
        <v>28</v>
      </c>
      <c r="D1710" t="s">
        <v>22</v>
      </c>
      <c r="E1710" t="s">
        <v>39</v>
      </c>
      <c r="F1710" t="s">
        <v>24</v>
      </c>
      <c r="G1710">
        <v>129457</v>
      </c>
      <c r="H1710">
        <v>752</v>
      </c>
      <c r="I1710">
        <v>30556</v>
      </c>
      <c r="J1710">
        <v>6.41</v>
      </c>
      <c r="K1710">
        <v>24</v>
      </c>
      <c r="L1710" t="s">
        <v>86</v>
      </c>
      <c r="M1710">
        <v>7.05</v>
      </c>
      <c r="N1710">
        <v>58109</v>
      </c>
      <c r="O1710">
        <v>212228</v>
      </c>
      <c r="P1710" t="s">
        <v>4466</v>
      </c>
      <c r="Q1710" t="s">
        <v>61</v>
      </c>
      <c r="R1710" t="s">
        <v>48</v>
      </c>
      <c r="S1710" t="s">
        <v>49</v>
      </c>
      <c r="T1710">
        <v>1354.78</v>
      </c>
      <c r="U1710">
        <f t="shared" si="364"/>
        <v>292</v>
      </c>
      <c r="V1710">
        <f t="shared" si="365"/>
        <v>109</v>
      </c>
      <c r="W1710">
        <f t="shared" si="366"/>
        <v>88</v>
      </c>
      <c r="X1710">
        <f t="shared" si="367"/>
        <v>0.35149999999999998</v>
      </c>
      <c r="Y1710" s="1">
        <f t="shared" si="368"/>
        <v>14972058</v>
      </c>
      <c r="Z1710">
        <f t="shared" si="369"/>
        <v>51274.17123287671</v>
      </c>
      <c r="AA1710">
        <f t="shared" si="370"/>
        <v>99664</v>
      </c>
      <c r="AB1710">
        <f t="shared" si="371"/>
        <v>5091</v>
      </c>
      <c r="AC1710">
        <f t="shared" si="372"/>
        <v>406840.04999999987</v>
      </c>
      <c r="AD1710">
        <f t="shared" si="373"/>
        <v>1393.2878424657529</v>
      </c>
      <c r="AE1710">
        <f t="shared" si="374"/>
        <v>0.35149999999999998</v>
      </c>
      <c r="AF1710">
        <f t="shared" si="375"/>
        <v>57755713.909999959</v>
      </c>
      <c r="AG1710" t="str">
        <f t="shared" si="376"/>
        <v>Active</v>
      </c>
      <c r="AH1710">
        <f t="shared" si="377"/>
        <v>16257.36</v>
      </c>
    </row>
    <row r="1711" spans="1:34" x14ac:dyDescent="0.35">
      <c r="A1711" t="s">
        <v>4467</v>
      </c>
      <c r="B1711" t="s">
        <v>4468</v>
      </c>
      <c r="C1711">
        <v>52</v>
      </c>
      <c r="D1711" t="s">
        <v>38</v>
      </c>
      <c r="E1711" t="s">
        <v>39</v>
      </c>
      <c r="F1711" t="s">
        <v>24</v>
      </c>
      <c r="G1711">
        <v>197157</v>
      </c>
      <c r="H1711">
        <v>473</v>
      </c>
      <c r="I1711">
        <v>24375</v>
      </c>
      <c r="J1711">
        <v>15.67</v>
      </c>
      <c r="K1711">
        <v>48</v>
      </c>
      <c r="L1711" t="s">
        <v>25</v>
      </c>
      <c r="M1711">
        <v>7.77</v>
      </c>
      <c r="N1711">
        <v>41693</v>
      </c>
      <c r="O1711">
        <v>41555</v>
      </c>
      <c r="P1711" t="s">
        <v>4469</v>
      </c>
      <c r="Q1711" t="s">
        <v>61</v>
      </c>
      <c r="R1711" t="s">
        <v>48</v>
      </c>
      <c r="S1711" t="s">
        <v>35</v>
      </c>
      <c r="T1711">
        <v>587.39</v>
      </c>
      <c r="U1711">
        <f t="shared" si="364"/>
        <v>291</v>
      </c>
      <c r="V1711">
        <f t="shared" si="365"/>
        <v>109</v>
      </c>
      <c r="W1711">
        <f t="shared" si="366"/>
        <v>87</v>
      </c>
      <c r="X1711">
        <f t="shared" si="367"/>
        <v>0.35149999999999998</v>
      </c>
      <c r="Y1711" s="1">
        <f t="shared" si="368"/>
        <v>14941502</v>
      </c>
      <c r="Z1711">
        <f t="shared" si="369"/>
        <v>51345.367697594498</v>
      </c>
      <c r="AA1711">
        <f t="shared" si="370"/>
        <v>99664</v>
      </c>
      <c r="AB1711">
        <f t="shared" si="371"/>
        <v>5091</v>
      </c>
      <c r="AC1711">
        <f t="shared" si="372"/>
        <v>405485.26999999996</v>
      </c>
      <c r="AD1711">
        <f t="shared" si="373"/>
        <v>1393.4201718213058</v>
      </c>
      <c r="AE1711">
        <f t="shared" si="374"/>
        <v>0.35149999999999998</v>
      </c>
      <c r="AF1711">
        <f t="shared" si="375"/>
        <v>57348873.859999962</v>
      </c>
      <c r="AG1711" t="str">
        <f t="shared" si="376"/>
        <v>Active</v>
      </c>
      <c r="AH1711">
        <f t="shared" si="377"/>
        <v>7048.68</v>
      </c>
    </row>
    <row r="1712" spans="1:34" x14ac:dyDescent="0.35">
      <c r="A1712" t="s">
        <v>4470</v>
      </c>
      <c r="B1712" t="s">
        <v>4471</v>
      </c>
      <c r="C1712">
        <v>24</v>
      </c>
      <c r="D1712" t="s">
        <v>38</v>
      </c>
      <c r="E1712" t="s">
        <v>39</v>
      </c>
      <c r="F1712" t="s">
        <v>24</v>
      </c>
      <c r="G1712">
        <v>97354</v>
      </c>
      <c r="H1712">
        <v>372</v>
      </c>
      <c r="I1712">
        <v>61530</v>
      </c>
      <c r="J1712">
        <v>17.96</v>
      </c>
      <c r="K1712">
        <v>360</v>
      </c>
      <c r="L1712" t="s">
        <v>40</v>
      </c>
      <c r="M1712">
        <v>53.5</v>
      </c>
      <c r="N1712">
        <v>46161</v>
      </c>
      <c r="O1712">
        <v>209072</v>
      </c>
      <c r="P1712" t="s">
        <v>3381</v>
      </c>
      <c r="Q1712" t="s">
        <v>42</v>
      </c>
      <c r="R1712" t="s">
        <v>48</v>
      </c>
      <c r="S1712" t="s">
        <v>29</v>
      </c>
      <c r="T1712">
        <v>201.61</v>
      </c>
      <c r="U1712">
        <f t="shared" si="364"/>
        <v>290</v>
      </c>
      <c r="V1712">
        <f t="shared" si="365"/>
        <v>109</v>
      </c>
      <c r="W1712">
        <f t="shared" si="366"/>
        <v>86</v>
      </c>
      <c r="X1712">
        <f t="shared" si="367"/>
        <v>0.35149999999999998</v>
      </c>
      <c r="Y1712" s="1">
        <f t="shared" si="368"/>
        <v>14917127</v>
      </c>
      <c r="Z1712">
        <f t="shared" si="369"/>
        <v>51438.368965517242</v>
      </c>
      <c r="AA1712">
        <f t="shared" si="370"/>
        <v>99664</v>
      </c>
      <c r="AB1712">
        <f t="shared" si="371"/>
        <v>5091</v>
      </c>
      <c r="AC1712">
        <f t="shared" si="372"/>
        <v>404897.87999999995</v>
      </c>
      <c r="AD1712">
        <f t="shared" si="373"/>
        <v>1396.1995862068964</v>
      </c>
      <c r="AE1712">
        <f t="shared" si="374"/>
        <v>0.35149999999999998</v>
      </c>
      <c r="AF1712">
        <f t="shared" si="375"/>
        <v>56943388.589999966</v>
      </c>
      <c r="AG1712" t="str">
        <f t="shared" si="376"/>
        <v>Active</v>
      </c>
      <c r="AH1712">
        <f t="shared" si="377"/>
        <v>2419.3200000000002</v>
      </c>
    </row>
    <row r="1713" spans="1:34" x14ac:dyDescent="0.35">
      <c r="A1713" t="s">
        <v>4472</v>
      </c>
      <c r="B1713" t="s">
        <v>4473</v>
      </c>
      <c r="C1713">
        <v>29</v>
      </c>
      <c r="D1713" t="s">
        <v>38</v>
      </c>
      <c r="E1713" t="s">
        <v>23</v>
      </c>
      <c r="F1713" t="s">
        <v>46</v>
      </c>
      <c r="G1713">
        <v>130714</v>
      </c>
      <c r="H1713">
        <v>546</v>
      </c>
      <c r="I1713">
        <v>79696</v>
      </c>
      <c r="J1713">
        <v>4.0199999999999996</v>
      </c>
      <c r="K1713">
        <v>180</v>
      </c>
      <c r="L1713" t="s">
        <v>25</v>
      </c>
      <c r="M1713">
        <v>59.23</v>
      </c>
      <c r="N1713">
        <v>21772</v>
      </c>
      <c r="O1713">
        <v>115551</v>
      </c>
      <c r="P1713" t="s">
        <v>573</v>
      </c>
      <c r="Q1713" t="s">
        <v>27</v>
      </c>
      <c r="R1713" t="s">
        <v>28</v>
      </c>
      <c r="S1713" t="s">
        <v>43</v>
      </c>
      <c r="T1713">
        <v>460.55</v>
      </c>
      <c r="U1713">
        <f t="shared" si="364"/>
        <v>289</v>
      </c>
      <c r="V1713">
        <f t="shared" si="365"/>
        <v>108</v>
      </c>
      <c r="W1713">
        <f t="shared" si="366"/>
        <v>86</v>
      </c>
      <c r="X1713">
        <f t="shared" si="367"/>
        <v>0.35149999999999998</v>
      </c>
      <c r="Y1713" s="1">
        <f t="shared" si="368"/>
        <v>14855597</v>
      </c>
      <c r="Z1713">
        <f t="shared" si="369"/>
        <v>51403.449826989621</v>
      </c>
      <c r="AA1713">
        <f t="shared" si="370"/>
        <v>99664</v>
      </c>
      <c r="AB1713">
        <f t="shared" si="371"/>
        <v>5091</v>
      </c>
      <c r="AC1713">
        <f t="shared" si="372"/>
        <v>404696.2699999999</v>
      </c>
      <c r="AD1713">
        <f t="shared" si="373"/>
        <v>1400.3331141868509</v>
      </c>
      <c r="AE1713">
        <f t="shared" si="374"/>
        <v>0.35149999999999998</v>
      </c>
      <c r="AF1713">
        <f t="shared" si="375"/>
        <v>56538490.709999956</v>
      </c>
      <c r="AG1713" t="str">
        <f t="shared" si="376"/>
        <v>Active</v>
      </c>
      <c r="AH1713">
        <f t="shared" si="377"/>
        <v>5526.6</v>
      </c>
    </row>
    <row r="1714" spans="1:34" x14ac:dyDescent="0.35">
      <c r="A1714" t="s">
        <v>4474</v>
      </c>
      <c r="B1714" t="s">
        <v>4475</v>
      </c>
      <c r="C1714">
        <v>51</v>
      </c>
      <c r="D1714" t="s">
        <v>38</v>
      </c>
      <c r="E1714" t="s">
        <v>32</v>
      </c>
      <c r="F1714" t="s">
        <v>24</v>
      </c>
      <c r="G1714">
        <v>184368</v>
      </c>
      <c r="H1714">
        <v>725</v>
      </c>
      <c r="I1714">
        <v>78539</v>
      </c>
      <c r="J1714">
        <v>13.91</v>
      </c>
      <c r="K1714">
        <v>240</v>
      </c>
      <c r="L1714" t="s">
        <v>52</v>
      </c>
      <c r="M1714">
        <v>49.42</v>
      </c>
      <c r="N1714">
        <v>71483</v>
      </c>
      <c r="O1714">
        <v>105247</v>
      </c>
      <c r="P1714" t="s">
        <v>4476</v>
      </c>
      <c r="Q1714" t="s">
        <v>27</v>
      </c>
      <c r="R1714" t="s">
        <v>48</v>
      </c>
      <c r="S1714" t="s">
        <v>68</v>
      </c>
      <c r="T1714">
        <v>372.77</v>
      </c>
      <c r="U1714">
        <f t="shared" si="364"/>
        <v>288</v>
      </c>
      <c r="V1714">
        <f t="shared" si="365"/>
        <v>108</v>
      </c>
      <c r="W1714">
        <f t="shared" si="366"/>
        <v>86</v>
      </c>
      <c r="X1714">
        <f t="shared" si="367"/>
        <v>0.35149999999999998</v>
      </c>
      <c r="Y1714" s="1">
        <f t="shared" si="368"/>
        <v>14775901</v>
      </c>
      <c r="Z1714">
        <f t="shared" si="369"/>
        <v>51305.211805555555</v>
      </c>
      <c r="AA1714">
        <f t="shared" si="370"/>
        <v>99664</v>
      </c>
      <c r="AB1714">
        <f t="shared" si="371"/>
        <v>5091</v>
      </c>
      <c r="AC1714">
        <f t="shared" si="372"/>
        <v>404235.71999999991</v>
      </c>
      <c r="AD1714">
        <f t="shared" si="373"/>
        <v>1403.5962499999996</v>
      </c>
      <c r="AE1714">
        <f t="shared" si="374"/>
        <v>0.35149999999999998</v>
      </c>
      <c r="AF1714">
        <f t="shared" si="375"/>
        <v>56133794.439999968</v>
      </c>
      <c r="AG1714" t="str">
        <f t="shared" si="376"/>
        <v>Active</v>
      </c>
      <c r="AH1714">
        <f t="shared" si="377"/>
        <v>4473.24</v>
      </c>
    </row>
    <row r="1715" spans="1:34" x14ac:dyDescent="0.35">
      <c r="A1715" t="s">
        <v>4477</v>
      </c>
      <c r="B1715" t="s">
        <v>4478</v>
      </c>
      <c r="C1715">
        <v>64</v>
      </c>
      <c r="D1715" t="s">
        <v>22</v>
      </c>
      <c r="E1715" t="s">
        <v>23</v>
      </c>
      <c r="F1715" t="s">
        <v>46</v>
      </c>
      <c r="G1715">
        <v>48618</v>
      </c>
      <c r="H1715">
        <v>437</v>
      </c>
      <c r="I1715">
        <v>61298</v>
      </c>
      <c r="J1715">
        <v>19.32</v>
      </c>
      <c r="K1715">
        <v>24</v>
      </c>
      <c r="L1715" t="s">
        <v>40</v>
      </c>
      <c r="M1715">
        <v>33.369999999999997</v>
      </c>
      <c r="N1715">
        <v>67435</v>
      </c>
      <c r="O1715">
        <v>221835</v>
      </c>
      <c r="P1715" t="s">
        <v>3012</v>
      </c>
      <c r="Q1715" t="s">
        <v>42</v>
      </c>
      <c r="R1715" t="s">
        <v>48</v>
      </c>
      <c r="S1715" t="s">
        <v>49</v>
      </c>
      <c r="T1715">
        <v>3047.53</v>
      </c>
      <c r="U1715">
        <f t="shared" si="364"/>
        <v>287</v>
      </c>
      <c r="V1715">
        <f t="shared" si="365"/>
        <v>108</v>
      </c>
      <c r="W1715">
        <f t="shared" si="366"/>
        <v>86</v>
      </c>
      <c r="X1715">
        <f t="shared" si="367"/>
        <v>0.35149999999999998</v>
      </c>
      <c r="Y1715" s="1">
        <f t="shared" si="368"/>
        <v>14697362</v>
      </c>
      <c r="Z1715">
        <f t="shared" si="369"/>
        <v>51210.320557491286</v>
      </c>
      <c r="AA1715">
        <f t="shared" si="370"/>
        <v>99664</v>
      </c>
      <c r="AB1715">
        <f t="shared" si="371"/>
        <v>5091</v>
      </c>
      <c r="AC1715">
        <f t="shared" si="372"/>
        <v>403862.9499999999</v>
      </c>
      <c r="AD1715">
        <f t="shared" si="373"/>
        <v>1407.1879790940764</v>
      </c>
      <c r="AE1715">
        <f t="shared" si="374"/>
        <v>0.35149999999999998</v>
      </c>
      <c r="AF1715">
        <f t="shared" si="375"/>
        <v>55729558.719999969</v>
      </c>
      <c r="AG1715" t="str">
        <f t="shared" si="376"/>
        <v>Active</v>
      </c>
      <c r="AH1715">
        <f t="shared" si="377"/>
        <v>36570.36</v>
      </c>
    </row>
    <row r="1716" spans="1:34" x14ac:dyDescent="0.35">
      <c r="A1716" t="s">
        <v>4479</v>
      </c>
      <c r="B1716" t="s">
        <v>4480</v>
      </c>
      <c r="C1716">
        <v>50</v>
      </c>
      <c r="D1716" t="s">
        <v>22</v>
      </c>
      <c r="E1716" t="s">
        <v>32</v>
      </c>
      <c r="F1716" t="s">
        <v>24</v>
      </c>
      <c r="G1716">
        <v>98579</v>
      </c>
      <c r="H1716">
        <v>496</v>
      </c>
      <c r="I1716">
        <v>96308</v>
      </c>
      <c r="J1716">
        <v>15.86</v>
      </c>
      <c r="K1716">
        <v>48</v>
      </c>
      <c r="L1716" t="s">
        <v>40</v>
      </c>
      <c r="M1716">
        <v>57.94</v>
      </c>
      <c r="N1716">
        <v>5065</v>
      </c>
      <c r="O1716">
        <v>9585</v>
      </c>
      <c r="P1716" t="s">
        <v>215</v>
      </c>
      <c r="Q1716" t="s">
        <v>27</v>
      </c>
      <c r="R1716" t="s">
        <v>28</v>
      </c>
      <c r="S1716" t="s">
        <v>68</v>
      </c>
      <c r="T1716">
        <v>2324.63</v>
      </c>
      <c r="U1716">
        <f t="shared" si="364"/>
        <v>286</v>
      </c>
      <c r="V1716">
        <f t="shared" si="365"/>
        <v>107</v>
      </c>
      <c r="W1716">
        <f t="shared" si="366"/>
        <v>86</v>
      </c>
      <c r="X1716">
        <f t="shared" si="367"/>
        <v>0.35149999999999998</v>
      </c>
      <c r="Y1716" s="1">
        <f t="shared" si="368"/>
        <v>14636064</v>
      </c>
      <c r="Z1716">
        <f t="shared" si="369"/>
        <v>51175.04895104895</v>
      </c>
      <c r="AA1716">
        <f t="shared" si="370"/>
        <v>99664</v>
      </c>
      <c r="AB1716">
        <f t="shared" si="371"/>
        <v>5091</v>
      </c>
      <c r="AC1716">
        <f t="shared" si="372"/>
        <v>400815.41999999993</v>
      </c>
      <c r="AD1716">
        <f t="shared" si="373"/>
        <v>1401.4525174825171</v>
      </c>
      <c r="AE1716">
        <f t="shared" si="374"/>
        <v>0.35149999999999998</v>
      </c>
      <c r="AF1716">
        <f t="shared" si="375"/>
        <v>55325695.769999966</v>
      </c>
      <c r="AG1716" t="str">
        <f t="shared" si="376"/>
        <v>Active</v>
      </c>
      <c r="AH1716">
        <f t="shared" si="377"/>
        <v>27895.56</v>
      </c>
    </row>
    <row r="1717" spans="1:34" x14ac:dyDescent="0.35">
      <c r="A1717" t="s">
        <v>4481</v>
      </c>
      <c r="B1717" t="s">
        <v>4482</v>
      </c>
      <c r="C1717">
        <v>24</v>
      </c>
      <c r="D1717" t="s">
        <v>22</v>
      </c>
      <c r="E1717" t="s">
        <v>39</v>
      </c>
      <c r="F1717" t="s">
        <v>24</v>
      </c>
      <c r="G1717">
        <v>124882</v>
      </c>
      <c r="H1717">
        <v>795</v>
      </c>
      <c r="I1717">
        <v>9043</v>
      </c>
      <c r="J1717">
        <v>9.2899999999999991</v>
      </c>
      <c r="K1717">
        <v>48</v>
      </c>
      <c r="L1717" t="s">
        <v>33</v>
      </c>
      <c r="M1717">
        <v>51.84</v>
      </c>
      <c r="N1717">
        <v>70309</v>
      </c>
      <c r="O1717">
        <v>89495</v>
      </c>
      <c r="P1717" t="s">
        <v>349</v>
      </c>
      <c r="Q1717" t="s">
        <v>27</v>
      </c>
      <c r="R1717" t="s">
        <v>48</v>
      </c>
      <c r="S1717" t="s">
        <v>35</v>
      </c>
      <c r="T1717">
        <v>205.9</v>
      </c>
      <c r="U1717">
        <f t="shared" si="364"/>
        <v>285</v>
      </c>
      <c r="V1717">
        <f t="shared" si="365"/>
        <v>107</v>
      </c>
      <c r="W1717">
        <f t="shared" si="366"/>
        <v>86</v>
      </c>
      <c r="X1717">
        <f t="shared" si="367"/>
        <v>0.35149999999999998</v>
      </c>
      <c r="Y1717" s="1">
        <f t="shared" si="368"/>
        <v>14539756</v>
      </c>
      <c r="Z1717">
        <f t="shared" si="369"/>
        <v>51016.687719298243</v>
      </c>
      <c r="AA1717">
        <f t="shared" si="370"/>
        <v>99664</v>
      </c>
      <c r="AB1717">
        <f t="shared" si="371"/>
        <v>5091</v>
      </c>
      <c r="AC1717">
        <f t="shared" si="372"/>
        <v>398490.78999999986</v>
      </c>
      <c r="AD1717">
        <f t="shared" si="373"/>
        <v>1398.2132982456135</v>
      </c>
      <c r="AE1717">
        <f t="shared" si="374"/>
        <v>0.35149999999999998</v>
      </c>
      <c r="AF1717">
        <f t="shared" si="375"/>
        <v>54924880.349999964</v>
      </c>
      <c r="AG1717" t="str">
        <f t="shared" si="376"/>
        <v>Active</v>
      </c>
      <c r="AH1717">
        <f t="shared" si="377"/>
        <v>2470.8000000000002</v>
      </c>
    </row>
    <row r="1718" spans="1:34" x14ac:dyDescent="0.35">
      <c r="A1718" t="s">
        <v>4483</v>
      </c>
      <c r="B1718" t="s">
        <v>4484</v>
      </c>
      <c r="C1718">
        <v>64</v>
      </c>
      <c r="D1718" t="s">
        <v>38</v>
      </c>
      <c r="E1718" t="s">
        <v>32</v>
      </c>
      <c r="F1718" t="s">
        <v>24</v>
      </c>
      <c r="G1718">
        <v>152999</v>
      </c>
      <c r="H1718">
        <v>556</v>
      </c>
      <c r="I1718">
        <v>66220</v>
      </c>
      <c r="J1718">
        <v>10.07</v>
      </c>
      <c r="K1718">
        <v>120</v>
      </c>
      <c r="L1718" t="s">
        <v>25</v>
      </c>
      <c r="M1718">
        <v>50.29</v>
      </c>
      <c r="N1718">
        <v>45525</v>
      </c>
      <c r="O1718">
        <v>219024</v>
      </c>
      <c r="P1718" t="s">
        <v>2667</v>
      </c>
      <c r="Q1718" t="s">
        <v>61</v>
      </c>
      <c r="R1718" t="s">
        <v>28</v>
      </c>
      <c r="S1718" t="s">
        <v>43</v>
      </c>
      <c r="T1718">
        <v>607.4</v>
      </c>
      <c r="U1718">
        <f t="shared" si="364"/>
        <v>284</v>
      </c>
      <c r="V1718">
        <f t="shared" si="365"/>
        <v>107</v>
      </c>
      <c r="W1718">
        <f t="shared" si="366"/>
        <v>86</v>
      </c>
      <c r="X1718">
        <f t="shared" si="367"/>
        <v>0.35149999999999998</v>
      </c>
      <c r="Y1718" s="1">
        <f t="shared" si="368"/>
        <v>14530713</v>
      </c>
      <c r="Z1718">
        <f t="shared" si="369"/>
        <v>51164.482394366198</v>
      </c>
      <c r="AA1718">
        <f t="shared" si="370"/>
        <v>99664</v>
      </c>
      <c r="AB1718">
        <f t="shared" si="371"/>
        <v>5091</v>
      </c>
      <c r="AC1718">
        <f t="shared" si="372"/>
        <v>398284.88999999984</v>
      </c>
      <c r="AD1718">
        <f t="shared" si="373"/>
        <v>1402.4115845070417</v>
      </c>
      <c r="AE1718">
        <f t="shared" si="374"/>
        <v>0.35149999999999998</v>
      </c>
      <c r="AF1718">
        <f t="shared" si="375"/>
        <v>54526389.559999965</v>
      </c>
      <c r="AG1718" t="str">
        <f t="shared" si="376"/>
        <v>Active</v>
      </c>
      <c r="AH1718">
        <f t="shared" si="377"/>
        <v>7288.7999999999993</v>
      </c>
    </row>
    <row r="1719" spans="1:34" x14ac:dyDescent="0.35">
      <c r="A1719" t="s">
        <v>4485</v>
      </c>
      <c r="B1719" t="s">
        <v>4486</v>
      </c>
      <c r="C1719">
        <v>31</v>
      </c>
      <c r="D1719" t="s">
        <v>38</v>
      </c>
      <c r="E1719" t="s">
        <v>32</v>
      </c>
      <c r="F1719" t="s">
        <v>59</v>
      </c>
      <c r="G1719">
        <v>41119</v>
      </c>
      <c r="H1719">
        <v>589</v>
      </c>
      <c r="I1719">
        <v>34666</v>
      </c>
      <c r="J1719">
        <v>18.309999999999999</v>
      </c>
      <c r="K1719">
        <v>180</v>
      </c>
      <c r="L1719" t="s">
        <v>25</v>
      </c>
      <c r="M1719">
        <v>44.15</v>
      </c>
      <c r="N1719">
        <v>31511</v>
      </c>
      <c r="O1719">
        <v>152959</v>
      </c>
      <c r="P1719" t="s">
        <v>4466</v>
      </c>
      <c r="Q1719" t="s">
        <v>27</v>
      </c>
      <c r="R1719" t="s">
        <v>48</v>
      </c>
      <c r="S1719" t="s">
        <v>49</v>
      </c>
      <c r="T1719">
        <v>227.85</v>
      </c>
      <c r="U1719">
        <f t="shared" si="364"/>
        <v>283</v>
      </c>
      <c r="V1719">
        <f t="shared" si="365"/>
        <v>107</v>
      </c>
      <c r="W1719">
        <f t="shared" si="366"/>
        <v>85</v>
      </c>
      <c r="X1719">
        <f t="shared" si="367"/>
        <v>0.35149999999999998</v>
      </c>
      <c r="Y1719" s="1">
        <f t="shared" si="368"/>
        <v>14464493</v>
      </c>
      <c r="Z1719">
        <f t="shared" si="369"/>
        <v>51111.282685512364</v>
      </c>
      <c r="AA1719">
        <f t="shared" si="370"/>
        <v>99664</v>
      </c>
      <c r="AB1719">
        <f t="shared" si="371"/>
        <v>5091</v>
      </c>
      <c r="AC1719">
        <f t="shared" si="372"/>
        <v>397677.48999999987</v>
      </c>
      <c r="AD1719">
        <f t="shared" si="373"/>
        <v>1405.2208127208476</v>
      </c>
      <c r="AE1719">
        <f t="shared" si="374"/>
        <v>0.35149999999999998</v>
      </c>
      <c r="AF1719">
        <f t="shared" si="375"/>
        <v>54128104.669999965</v>
      </c>
      <c r="AG1719" t="str">
        <f t="shared" si="376"/>
        <v>Active</v>
      </c>
      <c r="AH1719">
        <f t="shared" si="377"/>
        <v>2734.2</v>
      </c>
    </row>
    <row r="1720" spans="1:34" x14ac:dyDescent="0.35">
      <c r="A1720" t="s">
        <v>4487</v>
      </c>
      <c r="B1720" t="s">
        <v>4488</v>
      </c>
      <c r="C1720">
        <v>59</v>
      </c>
      <c r="D1720" t="s">
        <v>38</v>
      </c>
      <c r="E1720" t="s">
        <v>39</v>
      </c>
      <c r="F1720" t="s">
        <v>59</v>
      </c>
      <c r="G1720">
        <v>74869</v>
      </c>
      <c r="H1720">
        <v>308</v>
      </c>
      <c r="I1720">
        <v>12184</v>
      </c>
      <c r="J1720">
        <v>6.15</v>
      </c>
      <c r="K1720">
        <v>240</v>
      </c>
      <c r="L1720" t="s">
        <v>33</v>
      </c>
      <c r="M1720">
        <v>28.72</v>
      </c>
      <c r="N1720">
        <v>22795</v>
      </c>
      <c r="O1720">
        <v>136954</v>
      </c>
      <c r="P1720" t="s">
        <v>1773</v>
      </c>
      <c r="Q1720" t="s">
        <v>27</v>
      </c>
      <c r="R1720" t="s">
        <v>48</v>
      </c>
      <c r="S1720" t="s">
        <v>35</v>
      </c>
      <c r="T1720">
        <v>53.89</v>
      </c>
      <c r="U1720">
        <f t="shared" si="364"/>
        <v>282</v>
      </c>
      <c r="V1720">
        <f t="shared" si="365"/>
        <v>107</v>
      </c>
      <c r="W1720">
        <f t="shared" si="366"/>
        <v>85</v>
      </c>
      <c r="X1720">
        <f t="shared" si="367"/>
        <v>0.35149999999999998</v>
      </c>
      <c r="Y1720" s="1">
        <f t="shared" si="368"/>
        <v>14429827</v>
      </c>
      <c r="Z1720">
        <f t="shared" si="369"/>
        <v>51169.599290780141</v>
      </c>
      <c r="AA1720">
        <f t="shared" si="370"/>
        <v>99664</v>
      </c>
      <c r="AB1720">
        <f t="shared" si="371"/>
        <v>5091</v>
      </c>
      <c r="AC1720">
        <f t="shared" si="372"/>
        <v>397449.63999999984</v>
      </c>
      <c r="AD1720">
        <f t="shared" si="373"/>
        <v>1409.3958865248221</v>
      </c>
      <c r="AE1720">
        <f t="shared" si="374"/>
        <v>0.35149999999999998</v>
      </c>
      <c r="AF1720">
        <f t="shared" si="375"/>
        <v>53730427.17999997</v>
      </c>
      <c r="AG1720" t="str">
        <f t="shared" si="376"/>
        <v>Active</v>
      </c>
      <c r="AH1720">
        <f t="shared" si="377"/>
        <v>646.68000000000006</v>
      </c>
    </row>
    <row r="1721" spans="1:34" x14ac:dyDescent="0.35">
      <c r="A1721" t="s">
        <v>4489</v>
      </c>
      <c r="B1721" t="s">
        <v>4490</v>
      </c>
      <c r="C1721">
        <v>62</v>
      </c>
      <c r="D1721" t="s">
        <v>38</v>
      </c>
      <c r="E1721" t="s">
        <v>23</v>
      </c>
      <c r="F1721" t="s">
        <v>46</v>
      </c>
      <c r="G1721">
        <v>85985</v>
      </c>
      <c r="H1721">
        <v>689</v>
      </c>
      <c r="I1721">
        <v>35506</v>
      </c>
      <c r="J1721">
        <v>15.21</v>
      </c>
      <c r="K1721">
        <v>36</v>
      </c>
      <c r="L1721" t="s">
        <v>52</v>
      </c>
      <c r="M1721">
        <v>59.05</v>
      </c>
      <c r="N1721">
        <v>2505</v>
      </c>
      <c r="O1721">
        <v>88623</v>
      </c>
      <c r="P1721" t="s">
        <v>1191</v>
      </c>
      <c r="Q1721" t="s">
        <v>27</v>
      </c>
      <c r="R1721" t="s">
        <v>48</v>
      </c>
      <c r="S1721" t="s">
        <v>49</v>
      </c>
      <c r="T1721">
        <v>1136.29</v>
      </c>
      <c r="U1721">
        <f t="shared" si="364"/>
        <v>281</v>
      </c>
      <c r="V1721">
        <f t="shared" si="365"/>
        <v>107</v>
      </c>
      <c r="W1721">
        <f t="shared" si="366"/>
        <v>85</v>
      </c>
      <c r="X1721">
        <f t="shared" si="367"/>
        <v>0.35149999999999998</v>
      </c>
      <c r="Y1721" s="1">
        <f t="shared" si="368"/>
        <v>14417643</v>
      </c>
      <c r="Z1721">
        <f t="shared" si="369"/>
        <v>51308.338078291818</v>
      </c>
      <c r="AA1721">
        <f t="shared" si="370"/>
        <v>99664</v>
      </c>
      <c r="AB1721">
        <f t="shared" si="371"/>
        <v>5091</v>
      </c>
      <c r="AC1721">
        <f t="shared" si="372"/>
        <v>397395.74999999988</v>
      </c>
      <c r="AD1721">
        <f t="shared" si="373"/>
        <v>1414.2197508896793</v>
      </c>
      <c r="AE1721">
        <f t="shared" si="374"/>
        <v>0.35149999999999998</v>
      </c>
      <c r="AF1721">
        <f t="shared" si="375"/>
        <v>53332977.539999969</v>
      </c>
      <c r="AG1721" t="str">
        <f t="shared" si="376"/>
        <v>Active</v>
      </c>
      <c r="AH1721">
        <f t="shared" si="377"/>
        <v>13635.48</v>
      </c>
    </row>
    <row r="1722" spans="1:34" x14ac:dyDescent="0.35">
      <c r="A1722" t="s">
        <v>4491</v>
      </c>
      <c r="B1722" t="s">
        <v>4492</v>
      </c>
      <c r="C1722">
        <v>35</v>
      </c>
      <c r="D1722" t="s">
        <v>38</v>
      </c>
      <c r="E1722" t="s">
        <v>32</v>
      </c>
      <c r="F1722" t="s">
        <v>46</v>
      </c>
      <c r="G1722">
        <v>36339</v>
      </c>
      <c r="H1722">
        <v>623</v>
      </c>
      <c r="I1722">
        <v>93375</v>
      </c>
      <c r="J1722">
        <v>4.67</v>
      </c>
      <c r="K1722">
        <v>360</v>
      </c>
      <c r="L1722" t="s">
        <v>86</v>
      </c>
      <c r="M1722">
        <v>14.31</v>
      </c>
      <c r="N1722">
        <v>34003</v>
      </c>
      <c r="O1722">
        <v>136932</v>
      </c>
      <c r="P1722" t="s">
        <v>678</v>
      </c>
      <c r="Q1722" t="s">
        <v>27</v>
      </c>
      <c r="R1722" t="s">
        <v>48</v>
      </c>
      <c r="S1722" t="s">
        <v>35</v>
      </c>
      <c r="T1722">
        <v>271.49</v>
      </c>
      <c r="U1722">
        <f t="shared" si="364"/>
        <v>280</v>
      </c>
      <c r="V1722">
        <f t="shared" si="365"/>
        <v>107</v>
      </c>
      <c r="W1722">
        <f t="shared" si="366"/>
        <v>85</v>
      </c>
      <c r="X1722">
        <f t="shared" si="367"/>
        <v>0.35149999999999998</v>
      </c>
      <c r="Y1722" s="1">
        <f t="shared" si="368"/>
        <v>14382137</v>
      </c>
      <c r="Z1722">
        <f t="shared" si="369"/>
        <v>51364.775000000001</v>
      </c>
      <c r="AA1722">
        <f t="shared" si="370"/>
        <v>99664</v>
      </c>
      <c r="AB1722">
        <f t="shared" si="371"/>
        <v>5091</v>
      </c>
      <c r="AC1722">
        <f t="shared" si="372"/>
        <v>396259.45999999985</v>
      </c>
      <c r="AD1722">
        <f t="shared" si="373"/>
        <v>1415.2123571428565</v>
      </c>
      <c r="AE1722">
        <f t="shared" si="374"/>
        <v>0.35149999999999998</v>
      </c>
      <c r="AF1722">
        <f t="shared" si="375"/>
        <v>52935581.789999969</v>
      </c>
      <c r="AG1722" t="str">
        <f t="shared" si="376"/>
        <v>Active</v>
      </c>
      <c r="AH1722">
        <f t="shared" si="377"/>
        <v>3257.88</v>
      </c>
    </row>
    <row r="1723" spans="1:34" x14ac:dyDescent="0.35">
      <c r="A1723" t="s">
        <v>4493</v>
      </c>
      <c r="B1723" t="s">
        <v>4494</v>
      </c>
      <c r="C1723">
        <v>26</v>
      </c>
      <c r="D1723" t="s">
        <v>38</v>
      </c>
      <c r="E1723" t="s">
        <v>32</v>
      </c>
      <c r="F1723" t="s">
        <v>46</v>
      </c>
      <c r="G1723">
        <v>97812</v>
      </c>
      <c r="H1723">
        <v>310</v>
      </c>
      <c r="I1723">
        <v>31402</v>
      </c>
      <c r="J1723">
        <v>12.59</v>
      </c>
      <c r="K1723">
        <v>180</v>
      </c>
      <c r="L1723" t="s">
        <v>86</v>
      </c>
      <c r="M1723">
        <v>53.3</v>
      </c>
      <c r="N1723">
        <v>28096</v>
      </c>
      <c r="O1723">
        <v>246211</v>
      </c>
      <c r="P1723" t="s">
        <v>60</v>
      </c>
      <c r="Q1723" t="s">
        <v>42</v>
      </c>
      <c r="R1723" t="s">
        <v>48</v>
      </c>
      <c r="S1723" t="s">
        <v>35</v>
      </c>
      <c r="T1723">
        <v>196.42</v>
      </c>
      <c r="U1723">
        <f t="shared" si="364"/>
        <v>279</v>
      </c>
      <c r="V1723">
        <f t="shared" si="365"/>
        <v>107</v>
      </c>
      <c r="W1723">
        <f t="shared" si="366"/>
        <v>85</v>
      </c>
      <c r="X1723">
        <f t="shared" si="367"/>
        <v>0.35149999999999998</v>
      </c>
      <c r="Y1723" s="1">
        <f t="shared" si="368"/>
        <v>14288762</v>
      </c>
      <c r="Z1723">
        <f t="shared" si="369"/>
        <v>51214.20071684588</v>
      </c>
      <c r="AA1723">
        <f t="shared" si="370"/>
        <v>99664</v>
      </c>
      <c r="AB1723">
        <f t="shared" si="371"/>
        <v>5091</v>
      </c>
      <c r="AC1723">
        <f t="shared" si="372"/>
        <v>395987.96999999991</v>
      </c>
      <c r="AD1723">
        <f t="shared" si="373"/>
        <v>1419.3117204301072</v>
      </c>
      <c r="AE1723">
        <f t="shared" si="374"/>
        <v>0.35149999999999998</v>
      </c>
      <c r="AF1723">
        <f t="shared" si="375"/>
        <v>52539322.329999968</v>
      </c>
      <c r="AG1723" t="str">
        <f t="shared" si="376"/>
        <v>Active</v>
      </c>
      <c r="AH1723">
        <f t="shared" si="377"/>
        <v>2357.04</v>
      </c>
    </row>
    <row r="1724" spans="1:34" x14ac:dyDescent="0.35">
      <c r="A1724" t="s">
        <v>4495</v>
      </c>
      <c r="B1724" t="s">
        <v>4496</v>
      </c>
      <c r="C1724">
        <v>49</v>
      </c>
      <c r="D1724" t="s">
        <v>22</v>
      </c>
      <c r="E1724" t="s">
        <v>39</v>
      </c>
      <c r="F1724" t="s">
        <v>24</v>
      </c>
      <c r="G1724">
        <v>65523</v>
      </c>
      <c r="H1724">
        <v>418</v>
      </c>
      <c r="I1724">
        <v>43990</v>
      </c>
      <c r="J1724">
        <v>8.92</v>
      </c>
      <c r="K1724">
        <v>48</v>
      </c>
      <c r="L1724" t="s">
        <v>33</v>
      </c>
      <c r="M1724">
        <v>32.340000000000003</v>
      </c>
      <c r="N1724">
        <v>13508</v>
      </c>
      <c r="O1724">
        <v>39512</v>
      </c>
      <c r="P1724" t="s">
        <v>4497</v>
      </c>
      <c r="Q1724" t="s">
        <v>42</v>
      </c>
      <c r="R1724" t="s">
        <v>28</v>
      </c>
      <c r="S1724" t="s">
        <v>29</v>
      </c>
      <c r="T1724">
        <v>998.21</v>
      </c>
      <c r="U1724">
        <f t="shared" si="364"/>
        <v>278</v>
      </c>
      <c r="V1724">
        <f t="shared" si="365"/>
        <v>106</v>
      </c>
      <c r="W1724">
        <f t="shared" si="366"/>
        <v>85</v>
      </c>
      <c r="X1724">
        <f t="shared" si="367"/>
        <v>0.35149999999999998</v>
      </c>
      <c r="Y1724" s="1">
        <f t="shared" si="368"/>
        <v>14257360</v>
      </c>
      <c r="Z1724">
        <f t="shared" si="369"/>
        <v>51285.467625899284</v>
      </c>
      <c r="AA1724">
        <f t="shared" si="370"/>
        <v>99664</v>
      </c>
      <c r="AB1724">
        <f t="shared" si="371"/>
        <v>5091</v>
      </c>
      <c r="AC1724">
        <f t="shared" si="372"/>
        <v>395791.54999999987</v>
      </c>
      <c r="AD1724">
        <f t="shared" si="373"/>
        <v>1423.7106115107908</v>
      </c>
      <c r="AE1724">
        <f t="shared" si="374"/>
        <v>0.35149999999999998</v>
      </c>
      <c r="AF1724">
        <f t="shared" si="375"/>
        <v>52143334.35999997</v>
      </c>
      <c r="AG1724" t="str">
        <f t="shared" si="376"/>
        <v>Active</v>
      </c>
      <c r="AH1724">
        <f t="shared" si="377"/>
        <v>11978.52</v>
      </c>
    </row>
    <row r="1725" spans="1:34" x14ac:dyDescent="0.35">
      <c r="A1725" t="s">
        <v>4498</v>
      </c>
      <c r="B1725" t="s">
        <v>4499</v>
      </c>
      <c r="C1725">
        <v>33</v>
      </c>
      <c r="D1725" t="s">
        <v>38</v>
      </c>
      <c r="E1725" t="s">
        <v>32</v>
      </c>
      <c r="F1725" t="s">
        <v>24</v>
      </c>
      <c r="G1725">
        <v>30909</v>
      </c>
      <c r="H1725">
        <v>496</v>
      </c>
      <c r="I1725">
        <v>72850</v>
      </c>
      <c r="J1725">
        <v>13.78</v>
      </c>
      <c r="K1725">
        <v>60</v>
      </c>
      <c r="L1725" t="s">
        <v>25</v>
      </c>
      <c r="M1725">
        <v>19.36</v>
      </c>
      <c r="N1725">
        <v>15417</v>
      </c>
      <c r="O1725">
        <v>188143</v>
      </c>
      <c r="P1725" t="s">
        <v>2073</v>
      </c>
      <c r="Q1725" t="s">
        <v>27</v>
      </c>
      <c r="R1725" t="s">
        <v>28</v>
      </c>
      <c r="S1725" t="s">
        <v>68</v>
      </c>
      <c r="T1725">
        <v>1381.48</v>
      </c>
      <c r="U1725">
        <f t="shared" si="364"/>
        <v>277</v>
      </c>
      <c r="V1725">
        <f t="shared" si="365"/>
        <v>105</v>
      </c>
      <c r="W1725">
        <f t="shared" si="366"/>
        <v>85</v>
      </c>
      <c r="X1725">
        <f t="shared" si="367"/>
        <v>0.35149999999999998</v>
      </c>
      <c r="Y1725" s="1">
        <f t="shared" si="368"/>
        <v>14213370</v>
      </c>
      <c r="Z1725">
        <f t="shared" si="369"/>
        <v>51311.805054151628</v>
      </c>
      <c r="AA1725">
        <f t="shared" si="370"/>
        <v>99664</v>
      </c>
      <c r="AB1725">
        <f t="shared" si="371"/>
        <v>5091</v>
      </c>
      <c r="AC1725">
        <f t="shared" si="372"/>
        <v>394793.33999999991</v>
      </c>
      <c r="AD1725">
        <f t="shared" si="373"/>
        <v>1425.2467148014437</v>
      </c>
      <c r="AE1725">
        <f t="shared" si="374"/>
        <v>0.35149999999999998</v>
      </c>
      <c r="AF1725">
        <f t="shared" si="375"/>
        <v>51747542.80999998</v>
      </c>
      <c r="AG1725" t="str">
        <f t="shared" si="376"/>
        <v>Active</v>
      </c>
      <c r="AH1725">
        <f t="shared" si="377"/>
        <v>16577.760000000002</v>
      </c>
    </row>
    <row r="1726" spans="1:34" x14ac:dyDescent="0.35">
      <c r="A1726" t="s">
        <v>4500</v>
      </c>
      <c r="B1726" t="s">
        <v>4501</v>
      </c>
      <c r="C1726">
        <v>33</v>
      </c>
      <c r="D1726" t="s">
        <v>22</v>
      </c>
      <c r="E1726" t="s">
        <v>32</v>
      </c>
      <c r="F1726" t="s">
        <v>24</v>
      </c>
      <c r="G1726">
        <v>159325</v>
      </c>
      <c r="H1726">
        <v>425</v>
      </c>
      <c r="I1726">
        <v>26771</v>
      </c>
      <c r="J1726">
        <v>7.46</v>
      </c>
      <c r="K1726">
        <v>180</v>
      </c>
      <c r="L1726" t="s">
        <v>33</v>
      </c>
      <c r="M1726">
        <v>17.329999999999998</v>
      </c>
      <c r="N1726">
        <v>50263</v>
      </c>
      <c r="O1726">
        <v>189853</v>
      </c>
      <c r="P1726" t="s">
        <v>4502</v>
      </c>
      <c r="Q1726" t="s">
        <v>27</v>
      </c>
      <c r="R1726" t="s">
        <v>48</v>
      </c>
      <c r="S1726" t="s">
        <v>49</v>
      </c>
      <c r="T1726">
        <v>159.82</v>
      </c>
      <c r="U1726">
        <f t="shared" si="364"/>
        <v>276</v>
      </c>
      <c r="V1726">
        <f t="shared" si="365"/>
        <v>105</v>
      </c>
      <c r="W1726">
        <f t="shared" si="366"/>
        <v>85</v>
      </c>
      <c r="X1726">
        <f t="shared" si="367"/>
        <v>0.35149999999999998</v>
      </c>
      <c r="Y1726" s="1">
        <f t="shared" si="368"/>
        <v>14140520</v>
      </c>
      <c r="Z1726">
        <f t="shared" si="369"/>
        <v>51233.768115942032</v>
      </c>
      <c r="AA1726">
        <f t="shared" si="370"/>
        <v>99664</v>
      </c>
      <c r="AB1726">
        <f t="shared" si="371"/>
        <v>5091</v>
      </c>
      <c r="AC1726">
        <f t="shared" si="372"/>
        <v>393411.85999999987</v>
      </c>
      <c r="AD1726">
        <f t="shared" si="373"/>
        <v>1425.4052898550719</v>
      </c>
      <c r="AE1726">
        <f t="shared" si="374"/>
        <v>0.35149999999999998</v>
      </c>
      <c r="AF1726">
        <f t="shared" si="375"/>
        <v>51352749.469999984</v>
      </c>
      <c r="AG1726" t="str">
        <f t="shared" si="376"/>
        <v>Active</v>
      </c>
      <c r="AH1726">
        <f t="shared" si="377"/>
        <v>1917.84</v>
      </c>
    </row>
    <row r="1727" spans="1:34" x14ac:dyDescent="0.35">
      <c r="A1727" t="s">
        <v>4503</v>
      </c>
      <c r="B1727" t="s">
        <v>4504</v>
      </c>
      <c r="C1727">
        <v>37</v>
      </c>
      <c r="D1727" t="s">
        <v>22</v>
      </c>
      <c r="E1727" t="s">
        <v>23</v>
      </c>
      <c r="F1727" t="s">
        <v>46</v>
      </c>
      <c r="G1727">
        <v>118191</v>
      </c>
      <c r="H1727">
        <v>374</v>
      </c>
      <c r="I1727">
        <v>22130</v>
      </c>
      <c r="J1727">
        <v>9.77</v>
      </c>
      <c r="K1727">
        <v>24</v>
      </c>
      <c r="L1727" t="s">
        <v>52</v>
      </c>
      <c r="M1727">
        <v>47.18</v>
      </c>
      <c r="N1727">
        <v>58981</v>
      </c>
      <c r="O1727">
        <v>138688</v>
      </c>
      <c r="P1727" t="s">
        <v>2564</v>
      </c>
      <c r="Q1727" t="s">
        <v>42</v>
      </c>
      <c r="R1727" t="s">
        <v>28</v>
      </c>
      <c r="S1727" t="s">
        <v>68</v>
      </c>
      <c r="T1727">
        <v>1012.17</v>
      </c>
      <c r="U1727">
        <f t="shared" si="364"/>
        <v>275</v>
      </c>
      <c r="V1727">
        <f t="shared" si="365"/>
        <v>105</v>
      </c>
      <c r="W1727">
        <f t="shared" si="366"/>
        <v>85</v>
      </c>
      <c r="X1727">
        <f t="shared" si="367"/>
        <v>0.35149999999999998</v>
      </c>
      <c r="Y1727" s="1">
        <f t="shared" si="368"/>
        <v>14113749</v>
      </c>
      <c r="Z1727">
        <f t="shared" si="369"/>
        <v>51322.723636363633</v>
      </c>
      <c r="AA1727">
        <f t="shared" si="370"/>
        <v>99664</v>
      </c>
      <c r="AB1727">
        <f t="shared" si="371"/>
        <v>5091</v>
      </c>
      <c r="AC1727">
        <f t="shared" si="372"/>
        <v>393252.03999999992</v>
      </c>
      <c r="AD1727">
        <f t="shared" si="373"/>
        <v>1430.0074181818179</v>
      </c>
      <c r="AE1727">
        <f t="shared" si="374"/>
        <v>0.35149999999999998</v>
      </c>
      <c r="AF1727">
        <f t="shared" si="375"/>
        <v>50959337.609999977</v>
      </c>
      <c r="AG1727" t="str">
        <f t="shared" si="376"/>
        <v>Active</v>
      </c>
      <c r="AH1727">
        <f t="shared" si="377"/>
        <v>12146.039999999999</v>
      </c>
    </row>
    <row r="1728" spans="1:34" x14ac:dyDescent="0.35">
      <c r="A1728" t="s">
        <v>4505</v>
      </c>
      <c r="B1728" t="s">
        <v>4506</v>
      </c>
      <c r="C1728">
        <v>35</v>
      </c>
      <c r="D1728" t="s">
        <v>22</v>
      </c>
      <c r="E1728" t="s">
        <v>23</v>
      </c>
      <c r="F1728" t="s">
        <v>46</v>
      </c>
      <c r="G1728">
        <v>22698</v>
      </c>
      <c r="H1728">
        <v>369</v>
      </c>
      <c r="I1728">
        <v>49878</v>
      </c>
      <c r="J1728">
        <v>15.65</v>
      </c>
      <c r="K1728">
        <v>24</v>
      </c>
      <c r="L1728" t="s">
        <v>40</v>
      </c>
      <c r="M1728">
        <v>11.92</v>
      </c>
      <c r="N1728">
        <v>62511</v>
      </c>
      <c r="O1728">
        <v>210773</v>
      </c>
      <c r="P1728" t="s">
        <v>4064</v>
      </c>
      <c r="Q1728" t="s">
        <v>61</v>
      </c>
      <c r="R1728" t="s">
        <v>28</v>
      </c>
      <c r="S1728" t="s">
        <v>68</v>
      </c>
      <c r="T1728">
        <v>2403.5</v>
      </c>
      <c r="U1728">
        <f t="shared" si="364"/>
        <v>274</v>
      </c>
      <c r="V1728">
        <f t="shared" si="365"/>
        <v>104</v>
      </c>
      <c r="W1728">
        <f t="shared" si="366"/>
        <v>85</v>
      </c>
      <c r="X1728">
        <f t="shared" si="367"/>
        <v>0.35149999999999998</v>
      </c>
      <c r="Y1728" s="1">
        <f t="shared" si="368"/>
        <v>14091619</v>
      </c>
      <c r="Z1728">
        <f t="shared" si="369"/>
        <v>51429.266423357665</v>
      </c>
      <c r="AA1728">
        <f t="shared" si="370"/>
        <v>99664</v>
      </c>
      <c r="AB1728">
        <f t="shared" si="371"/>
        <v>5091</v>
      </c>
      <c r="AC1728">
        <f t="shared" si="372"/>
        <v>392239.86999999988</v>
      </c>
      <c r="AD1728">
        <f t="shared" si="373"/>
        <v>1431.5323722627734</v>
      </c>
      <c r="AE1728">
        <f t="shared" si="374"/>
        <v>0.35149999999999998</v>
      </c>
      <c r="AF1728">
        <f t="shared" si="375"/>
        <v>50566085.569999978</v>
      </c>
      <c r="AG1728" t="str">
        <f t="shared" si="376"/>
        <v>Active</v>
      </c>
      <c r="AH1728">
        <f t="shared" si="377"/>
        <v>28842</v>
      </c>
    </row>
    <row r="1729" spans="1:34" x14ac:dyDescent="0.35">
      <c r="A1729" t="s">
        <v>4507</v>
      </c>
      <c r="B1729" t="s">
        <v>4508</v>
      </c>
      <c r="C1729">
        <v>33</v>
      </c>
      <c r="D1729" t="s">
        <v>38</v>
      </c>
      <c r="E1729" t="s">
        <v>39</v>
      </c>
      <c r="F1729" t="s">
        <v>24</v>
      </c>
      <c r="G1729">
        <v>187808</v>
      </c>
      <c r="H1729">
        <v>722</v>
      </c>
      <c r="I1729">
        <v>59127</v>
      </c>
      <c r="J1729">
        <v>17.579999999999998</v>
      </c>
      <c r="K1729">
        <v>120</v>
      </c>
      <c r="L1729" t="s">
        <v>25</v>
      </c>
      <c r="M1729">
        <v>25.82</v>
      </c>
      <c r="N1729">
        <v>52177</v>
      </c>
      <c r="O1729">
        <v>188555</v>
      </c>
      <c r="P1729" t="s">
        <v>2600</v>
      </c>
      <c r="Q1729" t="s">
        <v>42</v>
      </c>
      <c r="R1729" t="s">
        <v>48</v>
      </c>
      <c r="S1729" t="s">
        <v>68</v>
      </c>
      <c r="T1729">
        <v>579.35</v>
      </c>
      <c r="U1729">
        <f t="shared" si="364"/>
        <v>273</v>
      </c>
      <c r="V1729">
        <f t="shared" si="365"/>
        <v>104</v>
      </c>
      <c r="W1729">
        <f t="shared" si="366"/>
        <v>84</v>
      </c>
      <c r="X1729">
        <f t="shared" si="367"/>
        <v>0.35149999999999998</v>
      </c>
      <c r="Y1729" s="1">
        <f t="shared" si="368"/>
        <v>14041741</v>
      </c>
      <c r="Z1729">
        <f t="shared" si="369"/>
        <v>51434.948717948719</v>
      </c>
      <c r="AA1729">
        <f t="shared" si="370"/>
        <v>99664</v>
      </c>
      <c r="AB1729">
        <f t="shared" si="371"/>
        <v>5091</v>
      </c>
      <c r="AC1729">
        <f t="shared" si="372"/>
        <v>389836.36999999988</v>
      </c>
      <c r="AD1729">
        <f t="shared" si="373"/>
        <v>1427.9720512820509</v>
      </c>
      <c r="AE1729">
        <f t="shared" si="374"/>
        <v>0.35149999999999998</v>
      </c>
      <c r="AF1729">
        <f t="shared" si="375"/>
        <v>50173845.699999981</v>
      </c>
      <c r="AG1729" t="str">
        <f t="shared" si="376"/>
        <v>Active</v>
      </c>
      <c r="AH1729">
        <f t="shared" si="377"/>
        <v>6952.2000000000007</v>
      </c>
    </row>
    <row r="1730" spans="1:34" x14ac:dyDescent="0.35">
      <c r="A1730" t="s">
        <v>4509</v>
      </c>
      <c r="B1730" t="s">
        <v>4510</v>
      </c>
      <c r="C1730">
        <v>38</v>
      </c>
      <c r="D1730" t="s">
        <v>38</v>
      </c>
      <c r="E1730" t="s">
        <v>23</v>
      </c>
      <c r="F1730" t="s">
        <v>59</v>
      </c>
      <c r="G1730">
        <v>155097</v>
      </c>
      <c r="H1730">
        <v>455</v>
      </c>
      <c r="I1730">
        <v>94091</v>
      </c>
      <c r="J1730">
        <v>8.64</v>
      </c>
      <c r="K1730">
        <v>24</v>
      </c>
      <c r="L1730" t="s">
        <v>33</v>
      </c>
      <c r="M1730">
        <v>20.03</v>
      </c>
      <c r="N1730">
        <v>20883</v>
      </c>
      <c r="O1730">
        <v>1014</v>
      </c>
      <c r="P1730" t="s">
        <v>269</v>
      </c>
      <c r="Q1730" t="s">
        <v>61</v>
      </c>
      <c r="R1730" t="s">
        <v>28</v>
      </c>
      <c r="S1730" t="s">
        <v>43</v>
      </c>
      <c r="T1730">
        <v>4259.1899999999996</v>
      </c>
      <c r="U1730">
        <f t="shared" ref="U1730:U1793" si="378">COUNTA(A1730:A3729)</f>
        <v>272</v>
      </c>
      <c r="V1730">
        <f t="shared" ref="V1730:V1793" si="379">COUNTIF(Q1730:Q3729,"APPROVED")</f>
        <v>103</v>
      </c>
      <c r="W1730">
        <f t="shared" ref="W1730:W1793" si="380">COUNTIF(Q1730:Q3730,"Rejected")</f>
        <v>84</v>
      </c>
      <c r="X1730">
        <f t="shared" ref="X1730:X1793" si="381">703/2000</f>
        <v>0.35149999999999998</v>
      </c>
      <c r="Y1730" s="1">
        <f t="shared" ref="Y1730:Y1793" si="382">SUM(I1730:I3729)</f>
        <v>13982614</v>
      </c>
      <c r="Z1730">
        <f t="shared" ref="Z1730:Z1793" si="383">AVERAGE(I1730:I21729)</f>
        <v>51406.669117647056</v>
      </c>
      <c r="AA1730">
        <f t="shared" ref="AA1730:AA1793" si="384">MAX(I1730:I3729)</f>
        <v>99664</v>
      </c>
      <c r="AB1730">
        <f t="shared" ref="AB1730:AB1793" si="385">MIN(I1730:I3729)</f>
        <v>5091</v>
      </c>
      <c r="AC1730">
        <f t="shared" ref="AC1730:AC1793" si="386">SUM(T1730:T3729)</f>
        <v>389257.0199999999</v>
      </c>
      <c r="AD1730">
        <f t="shared" ref="AD1730:AD1793" si="387">AVERAGE(T1730:T3729)</f>
        <v>1431.0919852941172</v>
      </c>
      <c r="AE1730">
        <f t="shared" ref="AE1730:AE1793" si="388">703/2000</f>
        <v>0.35149999999999998</v>
      </c>
      <c r="AF1730">
        <f t="shared" ref="AF1730:AF1793" si="389">SUM(AC1730:AC3729)</f>
        <v>49784009.329999983</v>
      </c>
      <c r="AG1730" t="str">
        <f t="shared" ref="AG1730:AG1793" si="390">IF(AH1730=0,"Bad", IF(AH1729&lt;I1729, "Active", IF(AH1729=I1729, "Good", "Over Paid")))</f>
        <v>Active</v>
      </c>
      <c r="AH1730">
        <f t="shared" ref="AH1730:AH1793" si="391">T1730*12</f>
        <v>51110.28</v>
      </c>
    </row>
    <row r="1731" spans="1:34" x14ac:dyDescent="0.35">
      <c r="A1731" t="s">
        <v>4511</v>
      </c>
      <c r="B1731" t="s">
        <v>4512</v>
      </c>
      <c r="C1731">
        <v>24</v>
      </c>
      <c r="D1731" t="s">
        <v>38</v>
      </c>
      <c r="E1731" t="s">
        <v>23</v>
      </c>
      <c r="F1731" t="s">
        <v>24</v>
      </c>
      <c r="G1731">
        <v>93680</v>
      </c>
      <c r="H1731">
        <v>567</v>
      </c>
      <c r="I1731">
        <v>79206</v>
      </c>
      <c r="J1731">
        <v>7.11</v>
      </c>
      <c r="K1731">
        <v>180</v>
      </c>
      <c r="L1731" t="s">
        <v>25</v>
      </c>
      <c r="M1731">
        <v>9.84</v>
      </c>
      <c r="N1731">
        <v>16861</v>
      </c>
      <c r="O1731">
        <v>170778</v>
      </c>
      <c r="P1731" t="s">
        <v>4513</v>
      </c>
      <c r="Q1731" t="s">
        <v>61</v>
      </c>
      <c r="R1731" t="s">
        <v>28</v>
      </c>
      <c r="S1731" t="s">
        <v>68</v>
      </c>
      <c r="T1731">
        <v>471.32</v>
      </c>
      <c r="U1731">
        <f t="shared" si="378"/>
        <v>271</v>
      </c>
      <c r="V1731">
        <f t="shared" si="379"/>
        <v>103</v>
      </c>
      <c r="W1731">
        <f t="shared" si="380"/>
        <v>83</v>
      </c>
      <c r="X1731">
        <f t="shared" si="381"/>
        <v>0.35149999999999998</v>
      </c>
      <c r="Y1731" s="1">
        <f t="shared" si="382"/>
        <v>13888523</v>
      </c>
      <c r="Z1731">
        <f t="shared" si="383"/>
        <v>51249.162361623617</v>
      </c>
      <c r="AA1731">
        <f t="shared" si="384"/>
        <v>99664</v>
      </c>
      <c r="AB1731">
        <f t="shared" si="385"/>
        <v>5091</v>
      </c>
      <c r="AC1731">
        <f t="shared" si="386"/>
        <v>384997.82999999984</v>
      </c>
      <c r="AD1731">
        <f t="shared" si="387"/>
        <v>1420.656199261992</v>
      </c>
      <c r="AE1731">
        <f t="shared" si="388"/>
        <v>0.35149999999999998</v>
      </c>
      <c r="AF1731">
        <f t="shared" si="389"/>
        <v>49394752.30999998</v>
      </c>
      <c r="AG1731" t="str">
        <f t="shared" si="390"/>
        <v>Active</v>
      </c>
      <c r="AH1731">
        <f t="shared" si="391"/>
        <v>5655.84</v>
      </c>
    </row>
    <row r="1732" spans="1:34" x14ac:dyDescent="0.35">
      <c r="A1732" t="s">
        <v>4514</v>
      </c>
      <c r="B1732" t="s">
        <v>4515</v>
      </c>
      <c r="C1732">
        <v>63</v>
      </c>
      <c r="D1732" t="s">
        <v>22</v>
      </c>
      <c r="E1732" t="s">
        <v>32</v>
      </c>
      <c r="F1732" t="s">
        <v>59</v>
      </c>
      <c r="G1732">
        <v>22297</v>
      </c>
      <c r="H1732">
        <v>451</v>
      </c>
      <c r="I1732">
        <v>20794</v>
      </c>
      <c r="J1732">
        <v>9.43</v>
      </c>
      <c r="K1732">
        <v>12</v>
      </c>
      <c r="L1732" t="s">
        <v>33</v>
      </c>
      <c r="M1732">
        <v>18.36</v>
      </c>
      <c r="N1732">
        <v>70689</v>
      </c>
      <c r="O1732">
        <v>81854</v>
      </c>
      <c r="P1732" t="s">
        <v>3370</v>
      </c>
      <c r="Q1732" t="s">
        <v>27</v>
      </c>
      <c r="R1732" t="s">
        <v>28</v>
      </c>
      <c r="S1732" t="s">
        <v>49</v>
      </c>
      <c r="T1732">
        <v>1896.24</v>
      </c>
      <c r="U1732">
        <f t="shared" si="378"/>
        <v>270</v>
      </c>
      <c r="V1732">
        <f t="shared" si="379"/>
        <v>103</v>
      </c>
      <c r="W1732">
        <f t="shared" si="380"/>
        <v>82</v>
      </c>
      <c r="X1732">
        <f t="shared" si="381"/>
        <v>0.35149999999999998</v>
      </c>
      <c r="Y1732" s="1">
        <f t="shared" si="382"/>
        <v>13809317</v>
      </c>
      <c r="Z1732">
        <f t="shared" si="383"/>
        <v>51145.618518518517</v>
      </c>
      <c r="AA1732">
        <f t="shared" si="384"/>
        <v>99664</v>
      </c>
      <c r="AB1732">
        <f t="shared" si="385"/>
        <v>5091</v>
      </c>
      <c r="AC1732">
        <f t="shared" si="386"/>
        <v>384526.50999999989</v>
      </c>
      <c r="AD1732">
        <f t="shared" si="387"/>
        <v>1424.1722592592589</v>
      </c>
      <c r="AE1732">
        <f t="shared" si="388"/>
        <v>0.35149999999999998</v>
      </c>
      <c r="AF1732">
        <f t="shared" si="389"/>
        <v>49009754.479999982</v>
      </c>
      <c r="AG1732" t="str">
        <f t="shared" si="390"/>
        <v>Active</v>
      </c>
      <c r="AH1732">
        <f t="shared" si="391"/>
        <v>22754.880000000001</v>
      </c>
    </row>
    <row r="1733" spans="1:34" x14ac:dyDescent="0.35">
      <c r="A1733" t="s">
        <v>4516</v>
      </c>
      <c r="B1733" t="s">
        <v>4517</v>
      </c>
      <c r="C1733">
        <v>48</v>
      </c>
      <c r="D1733" t="s">
        <v>22</v>
      </c>
      <c r="E1733" t="s">
        <v>23</v>
      </c>
      <c r="F1733" t="s">
        <v>24</v>
      </c>
      <c r="G1733">
        <v>123704</v>
      </c>
      <c r="H1733">
        <v>522</v>
      </c>
      <c r="I1733">
        <v>50591</v>
      </c>
      <c r="J1733">
        <v>13.18</v>
      </c>
      <c r="K1733">
        <v>60</v>
      </c>
      <c r="L1733" t="s">
        <v>52</v>
      </c>
      <c r="M1733">
        <v>22.12</v>
      </c>
      <c r="N1733">
        <v>66634</v>
      </c>
      <c r="O1733">
        <v>157961</v>
      </c>
      <c r="P1733" t="s">
        <v>4518</v>
      </c>
      <c r="Q1733" t="s">
        <v>61</v>
      </c>
      <c r="R1733" t="s">
        <v>28</v>
      </c>
      <c r="S1733" t="s">
        <v>49</v>
      </c>
      <c r="T1733">
        <v>954.31</v>
      </c>
      <c r="U1733">
        <f t="shared" si="378"/>
        <v>269</v>
      </c>
      <c r="V1733">
        <f t="shared" si="379"/>
        <v>103</v>
      </c>
      <c r="W1733">
        <f t="shared" si="380"/>
        <v>82</v>
      </c>
      <c r="X1733">
        <f t="shared" si="381"/>
        <v>0.35149999999999998</v>
      </c>
      <c r="Y1733" s="1">
        <f t="shared" si="382"/>
        <v>13788523</v>
      </c>
      <c r="Z1733">
        <f t="shared" si="383"/>
        <v>51258.449814126398</v>
      </c>
      <c r="AA1733">
        <f t="shared" si="384"/>
        <v>99664</v>
      </c>
      <c r="AB1733">
        <f t="shared" si="385"/>
        <v>5091</v>
      </c>
      <c r="AC1733">
        <f t="shared" si="386"/>
        <v>382630.2699999999</v>
      </c>
      <c r="AD1733">
        <f t="shared" si="387"/>
        <v>1422.4173605947951</v>
      </c>
      <c r="AE1733">
        <f t="shared" si="388"/>
        <v>0.35149999999999998</v>
      </c>
      <c r="AF1733">
        <f t="shared" si="389"/>
        <v>48625227.969999976</v>
      </c>
      <c r="AG1733" t="str">
        <f t="shared" si="390"/>
        <v>Over Paid</v>
      </c>
      <c r="AH1733">
        <f t="shared" si="391"/>
        <v>11451.72</v>
      </c>
    </row>
    <row r="1734" spans="1:34" x14ac:dyDescent="0.35">
      <c r="A1734" t="s">
        <v>4519</v>
      </c>
      <c r="B1734" t="s">
        <v>4520</v>
      </c>
      <c r="C1734">
        <v>36</v>
      </c>
      <c r="D1734" t="s">
        <v>22</v>
      </c>
      <c r="E1734" t="s">
        <v>23</v>
      </c>
      <c r="F1734" t="s">
        <v>59</v>
      </c>
      <c r="G1734">
        <v>69563</v>
      </c>
      <c r="H1734">
        <v>338</v>
      </c>
      <c r="I1734">
        <v>49404</v>
      </c>
      <c r="J1734">
        <v>12.72</v>
      </c>
      <c r="K1734">
        <v>360</v>
      </c>
      <c r="L1734" t="s">
        <v>33</v>
      </c>
      <c r="M1734">
        <v>15.6</v>
      </c>
      <c r="N1734">
        <v>56603</v>
      </c>
      <c r="O1734">
        <v>182411</v>
      </c>
      <c r="P1734" t="s">
        <v>1003</v>
      </c>
      <c r="Q1734" t="s">
        <v>42</v>
      </c>
      <c r="R1734" t="s">
        <v>48</v>
      </c>
      <c r="S1734" t="s">
        <v>35</v>
      </c>
      <c r="T1734">
        <v>154.69</v>
      </c>
      <c r="U1734">
        <f t="shared" si="378"/>
        <v>268</v>
      </c>
      <c r="V1734">
        <f t="shared" si="379"/>
        <v>103</v>
      </c>
      <c r="W1734">
        <f t="shared" si="380"/>
        <v>81</v>
      </c>
      <c r="X1734">
        <f t="shared" si="381"/>
        <v>0.35149999999999998</v>
      </c>
      <c r="Y1734" s="1">
        <f t="shared" si="382"/>
        <v>13737932</v>
      </c>
      <c r="Z1734">
        <f t="shared" si="383"/>
        <v>51260.940298507463</v>
      </c>
      <c r="AA1734">
        <f t="shared" si="384"/>
        <v>99664</v>
      </c>
      <c r="AB1734">
        <f t="shared" si="385"/>
        <v>5091</v>
      </c>
      <c r="AC1734">
        <f t="shared" si="386"/>
        <v>381675.9599999999</v>
      </c>
      <c r="AD1734">
        <f t="shared" si="387"/>
        <v>1424.1640298507459</v>
      </c>
      <c r="AE1734">
        <f t="shared" si="388"/>
        <v>0.35149999999999998</v>
      </c>
      <c r="AF1734">
        <f t="shared" si="389"/>
        <v>48242597.699999981</v>
      </c>
      <c r="AG1734" t="str">
        <f t="shared" si="390"/>
        <v>Active</v>
      </c>
      <c r="AH1734">
        <f t="shared" si="391"/>
        <v>1856.28</v>
      </c>
    </row>
    <row r="1735" spans="1:34" x14ac:dyDescent="0.35">
      <c r="A1735" t="s">
        <v>4521</v>
      </c>
      <c r="B1735" t="s">
        <v>4522</v>
      </c>
      <c r="C1735">
        <v>64</v>
      </c>
      <c r="D1735" t="s">
        <v>38</v>
      </c>
      <c r="E1735" t="s">
        <v>32</v>
      </c>
      <c r="F1735" t="s">
        <v>59</v>
      </c>
      <c r="G1735">
        <v>50131</v>
      </c>
      <c r="H1735">
        <v>583</v>
      </c>
      <c r="I1735">
        <v>50908</v>
      </c>
      <c r="J1735">
        <v>8.14</v>
      </c>
      <c r="K1735">
        <v>240</v>
      </c>
      <c r="L1735" t="s">
        <v>33</v>
      </c>
      <c r="M1735">
        <v>26.96</v>
      </c>
      <c r="N1735">
        <v>53427</v>
      </c>
      <c r="O1735">
        <v>28409</v>
      </c>
      <c r="P1735" t="s">
        <v>4197</v>
      </c>
      <c r="Q1735" t="s">
        <v>42</v>
      </c>
      <c r="R1735" t="s">
        <v>28</v>
      </c>
      <c r="S1735" t="s">
        <v>68</v>
      </c>
      <c r="T1735">
        <v>229.38</v>
      </c>
      <c r="U1735">
        <f t="shared" si="378"/>
        <v>267</v>
      </c>
      <c r="V1735">
        <f t="shared" si="379"/>
        <v>102</v>
      </c>
      <c r="W1735">
        <f t="shared" si="380"/>
        <v>81</v>
      </c>
      <c r="X1735">
        <f t="shared" si="381"/>
        <v>0.35149999999999998</v>
      </c>
      <c r="Y1735" s="1">
        <f t="shared" si="382"/>
        <v>13688528</v>
      </c>
      <c r="Z1735">
        <f t="shared" si="383"/>
        <v>51267.895131086145</v>
      </c>
      <c r="AA1735">
        <f t="shared" si="384"/>
        <v>99664</v>
      </c>
      <c r="AB1735">
        <f t="shared" si="385"/>
        <v>5091</v>
      </c>
      <c r="AC1735">
        <f t="shared" si="386"/>
        <v>381521.2699999999</v>
      </c>
      <c r="AD1735">
        <f t="shared" si="387"/>
        <v>1428.9186142322094</v>
      </c>
      <c r="AE1735">
        <f t="shared" si="388"/>
        <v>0.35149999999999998</v>
      </c>
      <c r="AF1735">
        <f t="shared" si="389"/>
        <v>47860921.739999987</v>
      </c>
      <c r="AG1735" t="str">
        <f t="shared" si="390"/>
        <v>Active</v>
      </c>
      <c r="AH1735">
        <f t="shared" si="391"/>
        <v>2752.56</v>
      </c>
    </row>
    <row r="1736" spans="1:34" x14ac:dyDescent="0.35">
      <c r="A1736" t="s">
        <v>4523</v>
      </c>
      <c r="B1736" t="s">
        <v>4524</v>
      </c>
      <c r="C1736">
        <v>49</v>
      </c>
      <c r="D1736" t="s">
        <v>38</v>
      </c>
      <c r="E1736" t="s">
        <v>39</v>
      </c>
      <c r="F1736" t="s">
        <v>24</v>
      </c>
      <c r="G1736">
        <v>145109</v>
      </c>
      <c r="H1736">
        <v>441</v>
      </c>
      <c r="I1736">
        <v>95523</v>
      </c>
      <c r="J1736">
        <v>6.21</v>
      </c>
      <c r="K1736">
        <v>36</v>
      </c>
      <c r="L1736" t="s">
        <v>40</v>
      </c>
      <c r="M1736">
        <v>41.57</v>
      </c>
      <c r="N1736">
        <v>63906</v>
      </c>
      <c r="O1736">
        <v>56742</v>
      </c>
      <c r="P1736" t="s">
        <v>949</v>
      </c>
      <c r="Q1736" t="s">
        <v>27</v>
      </c>
      <c r="R1736" t="s">
        <v>28</v>
      </c>
      <c r="S1736" t="s">
        <v>43</v>
      </c>
      <c r="T1736">
        <v>2818.19</v>
      </c>
      <c r="U1736">
        <f t="shared" si="378"/>
        <v>266</v>
      </c>
      <c r="V1736">
        <f t="shared" si="379"/>
        <v>101</v>
      </c>
      <c r="W1736">
        <f t="shared" si="380"/>
        <v>81</v>
      </c>
      <c r="X1736">
        <f t="shared" si="381"/>
        <v>0.35149999999999998</v>
      </c>
      <c r="Y1736" s="1">
        <f t="shared" si="382"/>
        <v>13637620</v>
      </c>
      <c r="Z1736">
        <f t="shared" si="383"/>
        <v>51269.248120300748</v>
      </c>
      <c r="AA1736">
        <f t="shared" si="384"/>
        <v>99664</v>
      </c>
      <c r="AB1736">
        <f t="shared" si="385"/>
        <v>5091</v>
      </c>
      <c r="AC1736">
        <f t="shared" si="386"/>
        <v>381291.8899999999</v>
      </c>
      <c r="AD1736">
        <f t="shared" si="387"/>
        <v>1433.4281578947364</v>
      </c>
      <c r="AE1736">
        <f t="shared" si="388"/>
        <v>0.35149999999999998</v>
      </c>
      <c r="AF1736">
        <f t="shared" si="389"/>
        <v>47479400.469999999</v>
      </c>
      <c r="AG1736" t="str">
        <f t="shared" si="390"/>
        <v>Active</v>
      </c>
      <c r="AH1736">
        <f t="shared" si="391"/>
        <v>33818.28</v>
      </c>
    </row>
    <row r="1737" spans="1:34" x14ac:dyDescent="0.35">
      <c r="A1737" t="s">
        <v>4525</v>
      </c>
      <c r="B1737" t="s">
        <v>4526</v>
      </c>
      <c r="C1737">
        <v>31</v>
      </c>
      <c r="D1737" t="s">
        <v>38</v>
      </c>
      <c r="E1737" t="s">
        <v>39</v>
      </c>
      <c r="F1737" t="s">
        <v>59</v>
      </c>
      <c r="G1737">
        <v>159526</v>
      </c>
      <c r="H1737">
        <v>760</v>
      </c>
      <c r="I1737">
        <v>61043</v>
      </c>
      <c r="J1737">
        <v>16.61</v>
      </c>
      <c r="K1737">
        <v>12</v>
      </c>
      <c r="L1737" t="s">
        <v>52</v>
      </c>
      <c r="M1737">
        <v>35.24</v>
      </c>
      <c r="N1737">
        <v>1383</v>
      </c>
      <c r="O1737">
        <v>215540</v>
      </c>
      <c r="P1737" t="s">
        <v>1710</v>
      </c>
      <c r="Q1737" t="s">
        <v>27</v>
      </c>
      <c r="R1737" t="s">
        <v>28</v>
      </c>
      <c r="S1737" t="s">
        <v>49</v>
      </c>
      <c r="T1737">
        <v>5931.85</v>
      </c>
      <c r="U1737">
        <f t="shared" si="378"/>
        <v>265</v>
      </c>
      <c r="V1737">
        <f t="shared" si="379"/>
        <v>101</v>
      </c>
      <c r="W1737">
        <f t="shared" si="380"/>
        <v>81</v>
      </c>
      <c r="X1737">
        <f t="shared" si="381"/>
        <v>0.35149999999999998</v>
      </c>
      <c r="Y1737" s="1">
        <f t="shared" si="382"/>
        <v>13542097</v>
      </c>
      <c r="Z1737">
        <f t="shared" si="383"/>
        <v>51102.252830188678</v>
      </c>
      <c r="AA1737">
        <f t="shared" si="384"/>
        <v>99664</v>
      </c>
      <c r="AB1737">
        <f t="shared" si="385"/>
        <v>5091</v>
      </c>
      <c r="AC1737">
        <f t="shared" si="386"/>
        <v>378473.6999999999</v>
      </c>
      <c r="AD1737">
        <f t="shared" si="387"/>
        <v>1428.2026415094335</v>
      </c>
      <c r="AE1737">
        <f t="shared" si="388"/>
        <v>0.35149999999999998</v>
      </c>
      <c r="AF1737">
        <f t="shared" si="389"/>
        <v>47098108.579999991</v>
      </c>
      <c r="AG1737" t="str">
        <f t="shared" si="390"/>
        <v>Active</v>
      </c>
      <c r="AH1737">
        <f t="shared" si="391"/>
        <v>71182.200000000012</v>
      </c>
    </row>
    <row r="1738" spans="1:34" x14ac:dyDescent="0.35">
      <c r="A1738" t="s">
        <v>4527</v>
      </c>
      <c r="B1738" t="s">
        <v>4528</v>
      </c>
      <c r="C1738">
        <v>22</v>
      </c>
      <c r="D1738" t="s">
        <v>38</v>
      </c>
      <c r="E1738" t="s">
        <v>39</v>
      </c>
      <c r="F1738" t="s">
        <v>59</v>
      </c>
      <c r="G1738">
        <v>169223</v>
      </c>
      <c r="H1738">
        <v>505</v>
      </c>
      <c r="I1738">
        <v>49255</v>
      </c>
      <c r="J1738">
        <v>21.05</v>
      </c>
      <c r="K1738">
        <v>24</v>
      </c>
      <c r="L1738" t="s">
        <v>52</v>
      </c>
      <c r="M1738">
        <v>26.99</v>
      </c>
      <c r="N1738">
        <v>13554</v>
      </c>
      <c r="O1738">
        <v>161275</v>
      </c>
      <c r="P1738" t="s">
        <v>1253</v>
      </c>
      <c r="Q1738" t="s">
        <v>42</v>
      </c>
      <c r="R1738" t="s">
        <v>28</v>
      </c>
      <c r="S1738" t="s">
        <v>43</v>
      </c>
      <c r="T1738">
        <v>2484.3000000000002</v>
      </c>
      <c r="U1738">
        <f t="shared" si="378"/>
        <v>264</v>
      </c>
      <c r="V1738">
        <f t="shared" si="379"/>
        <v>101</v>
      </c>
      <c r="W1738">
        <f t="shared" si="380"/>
        <v>81</v>
      </c>
      <c r="X1738">
        <f t="shared" si="381"/>
        <v>0.35149999999999998</v>
      </c>
      <c r="Y1738" s="1">
        <f t="shared" si="382"/>
        <v>13481054</v>
      </c>
      <c r="Z1738">
        <f t="shared" si="383"/>
        <v>51064.598484848488</v>
      </c>
      <c r="AA1738">
        <f t="shared" si="384"/>
        <v>99664</v>
      </c>
      <c r="AB1738">
        <f t="shared" si="385"/>
        <v>5091</v>
      </c>
      <c r="AC1738">
        <f t="shared" si="386"/>
        <v>372541.85</v>
      </c>
      <c r="AD1738">
        <f t="shared" si="387"/>
        <v>1411.1433712121211</v>
      </c>
      <c r="AE1738">
        <f t="shared" si="388"/>
        <v>0.35149999999999998</v>
      </c>
      <c r="AF1738">
        <f t="shared" si="389"/>
        <v>46719634.880000003</v>
      </c>
      <c r="AG1738" t="str">
        <f t="shared" si="390"/>
        <v>Over Paid</v>
      </c>
      <c r="AH1738">
        <f t="shared" si="391"/>
        <v>29811.600000000002</v>
      </c>
    </row>
    <row r="1739" spans="1:34" x14ac:dyDescent="0.35">
      <c r="A1739" t="s">
        <v>4529</v>
      </c>
      <c r="B1739" t="s">
        <v>4530</v>
      </c>
      <c r="C1739">
        <v>54</v>
      </c>
      <c r="D1739" t="s">
        <v>22</v>
      </c>
      <c r="E1739" t="s">
        <v>23</v>
      </c>
      <c r="F1739" t="s">
        <v>46</v>
      </c>
      <c r="G1739">
        <v>141713</v>
      </c>
      <c r="H1739">
        <v>649</v>
      </c>
      <c r="I1739">
        <v>87411</v>
      </c>
      <c r="J1739">
        <v>13.11</v>
      </c>
      <c r="K1739">
        <v>24</v>
      </c>
      <c r="L1739" t="s">
        <v>25</v>
      </c>
      <c r="M1739">
        <v>51.12</v>
      </c>
      <c r="N1739">
        <v>36987</v>
      </c>
      <c r="O1739">
        <v>64875</v>
      </c>
      <c r="P1739" t="s">
        <v>800</v>
      </c>
      <c r="Q1739" t="s">
        <v>61</v>
      </c>
      <c r="R1739" t="s">
        <v>48</v>
      </c>
      <c r="S1739" t="s">
        <v>43</v>
      </c>
      <c r="T1739">
        <v>4119.6099999999997</v>
      </c>
      <c r="U1739">
        <f t="shared" si="378"/>
        <v>263</v>
      </c>
      <c r="V1739">
        <f t="shared" si="379"/>
        <v>100</v>
      </c>
      <c r="W1739">
        <f t="shared" si="380"/>
        <v>81</v>
      </c>
      <c r="X1739">
        <f t="shared" si="381"/>
        <v>0.35149999999999998</v>
      </c>
      <c r="Y1739" s="1">
        <f t="shared" si="382"/>
        <v>13431799</v>
      </c>
      <c r="Z1739">
        <f t="shared" si="383"/>
        <v>51071.47908745247</v>
      </c>
      <c r="AA1739">
        <f t="shared" si="384"/>
        <v>99664</v>
      </c>
      <c r="AB1739">
        <f t="shared" si="385"/>
        <v>5091</v>
      </c>
      <c r="AC1739">
        <f t="shared" si="386"/>
        <v>370057.55</v>
      </c>
      <c r="AD1739">
        <f t="shared" si="387"/>
        <v>1407.0629277566538</v>
      </c>
      <c r="AE1739">
        <f t="shared" si="388"/>
        <v>0.35149999999999998</v>
      </c>
      <c r="AF1739">
        <f t="shared" si="389"/>
        <v>46347093.029999994</v>
      </c>
      <c r="AG1739" t="str">
        <f t="shared" si="390"/>
        <v>Active</v>
      </c>
      <c r="AH1739">
        <f t="shared" si="391"/>
        <v>49435.319999999992</v>
      </c>
    </row>
    <row r="1740" spans="1:34" x14ac:dyDescent="0.35">
      <c r="A1740" t="s">
        <v>4531</v>
      </c>
      <c r="B1740" t="s">
        <v>4532</v>
      </c>
      <c r="C1740">
        <v>22</v>
      </c>
      <c r="D1740" t="s">
        <v>22</v>
      </c>
      <c r="E1740" t="s">
        <v>32</v>
      </c>
      <c r="F1740" t="s">
        <v>24</v>
      </c>
      <c r="G1740">
        <v>35543</v>
      </c>
      <c r="H1740">
        <v>404</v>
      </c>
      <c r="I1740">
        <v>43842</v>
      </c>
      <c r="J1740">
        <v>12.21</v>
      </c>
      <c r="K1740">
        <v>60</v>
      </c>
      <c r="L1740" t="s">
        <v>40</v>
      </c>
      <c r="M1740">
        <v>6.2</v>
      </c>
      <c r="N1740">
        <v>69886</v>
      </c>
      <c r="O1740">
        <v>158827</v>
      </c>
      <c r="P1740" t="s">
        <v>976</v>
      </c>
      <c r="Q1740" t="s">
        <v>61</v>
      </c>
      <c r="R1740" t="s">
        <v>28</v>
      </c>
      <c r="S1740" t="s">
        <v>35</v>
      </c>
      <c r="T1740">
        <v>819.92</v>
      </c>
      <c r="U1740">
        <f t="shared" si="378"/>
        <v>262</v>
      </c>
      <c r="V1740">
        <f t="shared" si="379"/>
        <v>100</v>
      </c>
      <c r="W1740">
        <f t="shared" si="380"/>
        <v>80</v>
      </c>
      <c r="X1740">
        <f t="shared" si="381"/>
        <v>0.35149999999999998</v>
      </c>
      <c r="Y1740" s="1">
        <f t="shared" si="382"/>
        <v>13344388</v>
      </c>
      <c r="Z1740">
        <f t="shared" si="383"/>
        <v>50932.778625954197</v>
      </c>
      <c r="AA1740">
        <f t="shared" si="384"/>
        <v>99664</v>
      </c>
      <c r="AB1740">
        <f t="shared" si="385"/>
        <v>5091</v>
      </c>
      <c r="AC1740">
        <f t="shared" si="386"/>
        <v>365937.93999999989</v>
      </c>
      <c r="AD1740">
        <f t="shared" si="387"/>
        <v>1396.7096946564882</v>
      </c>
      <c r="AE1740">
        <f t="shared" si="388"/>
        <v>0.35149999999999998</v>
      </c>
      <c r="AF1740">
        <f t="shared" si="389"/>
        <v>45977035.479999997</v>
      </c>
      <c r="AG1740" t="str">
        <f t="shared" si="390"/>
        <v>Active</v>
      </c>
      <c r="AH1740">
        <f t="shared" si="391"/>
        <v>9839.0399999999991</v>
      </c>
    </row>
    <row r="1741" spans="1:34" x14ac:dyDescent="0.35">
      <c r="A1741" t="s">
        <v>4533</v>
      </c>
      <c r="B1741" t="s">
        <v>4534</v>
      </c>
      <c r="C1741">
        <v>64</v>
      </c>
      <c r="D1741" t="s">
        <v>22</v>
      </c>
      <c r="E1741" t="s">
        <v>39</v>
      </c>
      <c r="F1741" t="s">
        <v>24</v>
      </c>
      <c r="G1741">
        <v>45902</v>
      </c>
      <c r="H1741">
        <v>373</v>
      </c>
      <c r="I1741">
        <v>5406</v>
      </c>
      <c r="J1741">
        <v>9.42</v>
      </c>
      <c r="K1741">
        <v>36</v>
      </c>
      <c r="L1741" t="s">
        <v>86</v>
      </c>
      <c r="M1741">
        <v>30.75</v>
      </c>
      <c r="N1741">
        <v>20474</v>
      </c>
      <c r="O1741">
        <v>69907</v>
      </c>
      <c r="P1741" t="s">
        <v>598</v>
      </c>
      <c r="Q1741" t="s">
        <v>27</v>
      </c>
      <c r="R1741" t="s">
        <v>48</v>
      </c>
      <c r="S1741" t="s">
        <v>29</v>
      </c>
      <c r="T1741">
        <v>164.31</v>
      </c>
      <c r="U1741">
        <f t="shared" si="378"/>
        <v>261</v>
      </c>
      <c r="V1741">
        <f t="shared" si="379"/>
        <v>100</v>
      </c>
      <c r="W1741">
        <f t="shared" si="380"/>
        <v>79</v>
      </c>
      <c r="X1741">
        <f t="shared" si="381"/>
        <v>0.35149999999999998</v>
      </c>
      <c r="Y1741" s="1">
        <f t="shared" si="382"/>
        <v>13300546</v>
      </c>
      <c r="Z1741">
        <f t="shared" si="383"/>
        <v>50959.946360153255</v>
      </c>
      <c r="AA1741">
        <f t="shared" si="384"/>
        <v>99664</v>
      </c>
      <c r="AB1741">
        <f t="shared" si="385"/>
        <v>5091</v>
      </c>
      <c r="AC1741">
        <f t="shared" si="386"/>
        <v>365118.0199999999</v>
      </c>
      <c r="AD1741">
        <f t="shared" si="387"/>
        <v>1398.9196168582371</v>
      </c>
      <c r="AE1741">
        <f t="shared" si="388"/>
        <v>0.35149999999999998</v>
      </c>
      <c r="AF1741">
        <f t="shared" si="389"/>
        <v>45611097.539999999</v>
      </c>
      <c r="AG1741" t="str">
        <f t="shared" si="390"/>
        <v>Active</v>
      </c>
      <c r="AH1741">
        <f t="shared" si="391"/>
        <v>1971.72</v>
      </c>
    </row>
    <row r="1742" spans="1:34" x14ac:dyDescent="0.35">
      <c r="A1742" t="s">
        <v>4535</v>
      </c>
      <c r="B1742" t="s">
        <v>4536</v>
      </c>
      <c r="C1742">
        <v>45</v>
      </c>
      <c r="D1742" t="s">
        <v>22</v>
      </c>
      <c r="E1742" t="s">
        <v>39</v>
      </c>
      <c r="F1742" t="s">
        <v>59</v>
      </c>
      <c r="G1742">
        <v>46005</v>
      </c>
      <c r="H1742">
        <v>592</v>
      </c>
      <c r="I1742">
        <v>58867</v>
      </c>
      <c r="J1742">
        <v>9.67</v>
      </c>
      <c r="K1742">
        <v>240</v>
      </c>
      <c r="L1742" t="s">
        <v>33</v>
      </c>
      <c r="M1742">
        <v>29.4</v>
      </c>
      <c r="N1742">
        <v>6468</v>
      </c>
      <c r="O1742">
        <v>165630</v>
      </c>
      <c r="P1742" t="s">
        <v>144</v>
      </c>
      <c r="Q1742" t="s">
        <v>27</v>
      </c>
      <c r="R1742" t="s">
        <v>48</v>
      </c>
      <c r="S1742" t="s">
        <v>68</v>
      </c>
      <c r="T1742">
        <v>269</v>
      </c>
      <c r="U1742">
        <f t="shared" si="378"/>
        <v>260</v>
      </c>
      <c r="V1742">
        <f t="shared" si="379"/>
        <v>100</v>
      </c>
      <c r="W1742">
        <f t="shared" si="380"/>
        <v>79</v>
      </c>
      <c r="X1742">
        <f t="shared" si="381"/>
        <v>0.35149999999999998</v>
      </c>
      <c r="Y1742" s="1">
        <f t="shared" si="382"/>
        <v>13295140</v>
      </c>
      <c r="Z1742">
        <f t="shared" si="383"/>
        <v>51135.153846153844</v>
      </c>
      <c r="AA1742">
        <f t="shared" si="384"/>
        <v>99664</v>
      </c>
      <c r="AB1742">
        <f t="shared" si="385"/>
        <v>5091</v>
      </c>
      <c r="AC1742">
        <f t="shared" si="386"/>
        <v>364953.7099999999</v>
      </c>
      <c r="AD1742">
        <f t="shared" si="387"/>
        <v>1403.668115384615</v>
      </c>
      <c r="AE1742">
        <f t="shared" si="388"/>
        <v>0.35149999999999998</v>
      </c>
      <c r="AF1742">
        <f t="shared" si="389"/>
        <v>45245979.520000011</v>
      </c>
      <c r="AG1742" t="str">
        <f t="shared" si="390"/>
        <v>Active</v>
      </c>
      <c r="AH1742">
        <f t="shared" si="391"/>
        <v>3228</v>
      </c>
    </row>
    <row r="1743" spans="1:34" x14ac:dyDescent="0.35">
      <c r="A1743" t="s">
        <v>4537</v>
      </c>
      <c r="B1743" t="s">
        <v>4538</v>
      </c>
      <c r="C1743">
        <v>44</v>
      </c>
      <c r="D1743" t="s">
        <v>38</v>
      </c>
      <c r="E1743" t="s">
        <v>39</v>
      </c>
      <c r="F1743" t="s">
        <v>59</v>
      </c>
      <c r="G1743">
        <v>117640</v>
      </c>
      <c r="H1743">
        <v>441</v>
      </c>
      <c r="I1743">
        <v>65850</v>
      </c>
      <c r="J1743">
        <v>16.489999999999998</v>
      </c>
      <c r="K1743">
        <v>60</v>
      </c>
      <c r="L1743" t="s">
        <v>25</v>
      </c>
      <c r="M1743">
        <v>38.299999999999997</v>
      </c>
      <c r="N1743">
        <v>64457</v>
      </c>
      <c r="O1743">
        <v>37951</v>
      </c>
      <c r="P1743" t="s">
        <v>1579</v>
      </c>
      <c r="Q1743" t="s">
        <v>27</v>
      </c>
      <c r="R1743" t="s">
        <v>28</v>
      </c>
      <c r="S1743" t="s">
        <v>29</v>
      </c>
      <c r="T1743">
        <v>1278.48</v>
      </c>
      <c r="U1743">
        <f t="shared" si="378"/>
        <v>259</v>
      </c>
      <c r="V1743">
        <f t="shared" si="379"/>
        <v>100</v>
      </c>
      <c r="W1743">
        <f t="shared" si="380"/>
        <v>79</v>
      </c>
      <c r="X1743">
        <f t="shared" si="381"/>
        <v>0.35149999999999998</v>
      </c>
      <c r="Y1743" s="1">
        <f t="shared" si="382"/>
        <v>13236273</v>
      </c>
      <c r="Z1743">
        <f t="shared" si="383"/>
        <v>51105.301158301161</v>
      </c>
      <c r="AA1743">
        <f t="shared" si="384"/>
        <v>99664</v>
      </c>
      <c r="AB1743">
        <f t="shared" si="385"/>
        <v>5091</v>
      </c>
      <c r="AC1743">
        <f t="shared" si="386"/>
        <v>364684.7099999999</v>
      </c>
      <c r="AD1743">
        <f t="shared" si="387"/>
        <v>1408.049073359073</v>
      </c>
      <c r="AE1743">
        <f t="shared" si="388"/>
        <v>0.35149999999999998</v>
      </c>
      <c r="AF1743">
        <f t="shared" si="389"/>
        <v>44881025.810000002</v>
      </c>
      <c r="AG1743" t="str">
        <f t="shared" si="390"/>
        <v>Active</v>
      </c>
      <c r="AH1743">
        <f t="shared" si="391"/>
        <v>15341.76</v>
      </c>
    </row>
    <row r="1744" spans="1:34" x14ac:dyDescent="0.35">
      <c r="A1744" t="s">
        <v>4539</v>
      </c>
      <c r="B1744" t="s">
        <v>4540</v>
      </c>
      <c r="C1744">
        <v>56</v>
      </c>
      <c r="D1744" t="s">
        <v>22</v>
      </c>
      <c r="E1744" t="s">
        <v>39</v>
      </c>
      <c r="F1744" t="s">
        <v>59</v>
      </c>
      <c r="G1744">
        <v>89379</v>
      </c>
      <c r="H1744">
        <v>757</v>
      </c>
      <c r="I1744">
        <v>35266</v>
      </c>
      <c r="J1744">
        <v>11.84</v>
      </c>
      <c r="K1744">
        <v>360</v>
      </c>
      <c r="L1744" t="s">
        <v>52</v>
      </c>
      <c r="M1744">
        <v>44.19</v>
      </c>
      <c r="N1744">
        <v>56752</v>
      </c>
      <c r="O1744">
        <v>221487</v>
      </c>
      <c r="P1744" t="s">
        <v>991</v>
      </c>
      <c r="Q1744" t="s">
        <v>61</v>
      </c>
      <c r="R1744" t="s">
        <v>28</v>
      </c>
      <c r="S1744" t="s">
        <v>68</v>
      </c>
      <c r="T1744">
        <v>109.56</v>
      </c>
      <c r="U1744">
        <f t="shared" si="378"/>
        <v>258</v>
      </c>
      <c r="V1744">
        <f t="shared" si="379"/>
        <v>100</v>
      </c>
      <c r="W1744">
        <f t="shared" si="380"/>
        <v>79</v>
      </c>
      <c r="X1744">
        <f t="shared" si="381"/>
        <v>0.35149999999999998</v>
      </c>
      <c r="Y1744" s="1">
        <f t="shared" si="382"/>
        <v>13170423</v>
      </c>
      <c r="Z1744">
        <f t="shared" si="383"/>
        <v>51048.151162790695</v>
      </c>
      <c r="AA1744">
        <f t="shared" si="384"/>
        <v>99664</v>
      </c>
      <c r="AB1744">
        <f t="shared" si="385"/>
        <v>5091</v>
      </c>
      <c r="AC1744">
        <f t="shared" si="386"/>
        <v>363406.22999999992</v>
      </c>
      <c r="AD1744">
        <f t="shared" si="387"/>
        <v>1408.5512790697671</v>
      </c>
      <c r="AE1744">
        <f t="shared" si="388"/>
        <v>0.35149999999999998</v>
      </c>
      <c r="AF1744">
        <f t="shared" si="389"/>
        <v>44516341.100000016</v>
      </c>
      <c r="AG1744" t="str">
        <f t="shared" si="390"/>
        <v>Active</v>
      </c>
      <c r="AH1744">
        <f t="shared" si="391"/>
        <v>1314.72</v>
      </c>
    </row>
    <row r="1745" spans="1:34" x14ac:dyDescent="0.35">
      <c r="A1745" t="s">
        <v>4541</v>
      </c>
      <c r="B1745" t="s">
        <v>4542</v>
      </c>
      <c r="C1745">
        <v>61</v>
      </c>
      <c r="D1745" t="s">
        <v>38</v>
      </c>
      <c r="E1745" t="s">
        <v>39</v>
      </c>
      <c r="F1745" t="s">
        <v>59</v>
      </c>
      <c r="G1745">
        <v>87975</v>
      </c>
      <c r="H1745">
        <v>599</v>
      </c>
      <c r="I1745">
        <v>55087</v>
      </c>
      <c r="J1745">
        <v>11.35</v>
      </c>
      <c r="K1745">
        <v>48</v>
      </c>
      <c r="L1745" t="s">
        <v>86</v>
      </c>
      <c r="M1745">
        <v>40.22</v>
      </c>
      <c r="N1745">
        <v>70314</v>
      </c>
      <c r="O1745">
        <v>117823</v>
      </c>
      <c r="P1745" t="s">
        <v>203</v>
      </c>
      <c r="Q1745" t="s">
        <v>27</v>
      </c>
      <c r="R1745" t="s">
        <v>28</v>
      </c>
      <c r="S1745" t="s">
        <v>35</v>
      </c>
      <c r="T1745">
        <v>1277.9000000000001</v>
      </c>
      <c r="U1745">
        <f t="shared" si="378"/>
        <v>257</v>
      </c>
      <c r="V1745">
        <f t="shared" si="379"/>
        <v>100</v>
      </c>
      <c r="W1745">
        <f t="shared" si="380"/>
        <v>78</v>
      </c>
      <c r="X1745">
        <f t="shared" si="381"/>
        <v>0.35149999999999998</v>
      </c>
      <c r="Y1745" s="1">
        <f t="shared" si="382"/>
        <v>13135157</v>
      </c>
      <c r="Z1745">
        <f t="shared" si="383"/>
        <v>51109.560311284047</v>
      </c>
      <c r="AA1745">
        <f t="shared" si="384"/>
        <v>99664</v>
      </c>
      <c r="AB1745">
        <f t="shared" si="385"/>
        <v>5091</v>
      </c>
      <c r="AC1745">
        <f t="shared" si="386"/>
        <v>363296.66999999993</v>
      </c>
      <c r="AD1745">
        <f t="shared" si="387"/>
        <v>1413.6057198443577</v>
      </c>
      <c r="AE1745">
        <f t="shared" si="388"/>
        <v>0.35149999999999998</v>
      </c>
      <c r="AF1745">
        <f t="shared" si="389"/>
        <v>44152934.87000002</v>
      </c>
      <c r="AG1745" t="str">
        <f t="shared" si="390"/>
        <v>Active</v>
      </c>
      <c r="AH1745">
        <f t="shared" si="391"/>
        <v>15334.800000000001</v>
      </c>
    </row>
    <row r="1746" spans="1:34" x14ac:dyDescent="0.35">
      <c r="A1746" t="s">
        <v>4543</v>
      </c>
      <c r="B1746" t="s">
        <v>4544</v>
      </c>
      <c r="C1746">
        <v>55</v>
      </c>
      <c r="D1746" t="s">
        <v>38</v>
      </c>
      <c r="E1746" t="s">
        <v>32</v>
      </c>
      <c r="F1746" t="s">
        <v>24</v>
      </c>
      <c r="G1746">
        <v>89154</v>
      </c>
      <c r="H1746">
        <v>435</v>
      </c>
      <c r="I1746">
        <v>85651</v>
      </c>
      <c r="J1746">
        <v>9.73</v>
      </c>
      <c r="K1746">
        <v>48</v>
      </c>
      <c r="L1746" t="s">
        <v>52</v>
      </c>
      <c r="M1746">
        <v>25.35</v>
      </c>
      <c r="N1746">
        <v>29313</v>
      </c>
      <c r="O1746">
        <v>194056</v>
      </c>
      <c r="P1746" t="s">
        <v>1126</v>
      </c>
      <c r="Q1746" t="s">
        <v>42</v>
      </c>
      <c r="R1746" t="s">
        <v>28</v>
      </c>
      <c r="S1746" t="s">
        <v>43</v>
      </c>
      <c r="T1746">
        <v>1958.02</v>
      </c>
      <c r="U1746">
        <f t="shared" si="378"/>
        <v>256</v>
      </c>
      <c r="V1746">
        <f t="shared" si="379"/>
        <v>100</v>
      </c>
      <c r="W1746">
        <f t="shared" si="380"/>
        <v>78</v>
      </c>
      <c r="X1746">
        <f t="shared" si="381"/>
        <v>0.35149999999999998</v>
      </c>
      <c r="Y1746" s="1">
        <f t="shared" si="382"/>
        <v>13080070</v>
      </c>
      <c r="Z1746">
        <f t="shared" si="383"/>
        <v>51094.0234375</v>
      </c>
      <c r="AA1746">
        <f t="shared" si="384"/>
        <v>99664</v>
      </c>
      <c r="AB1746">
        <f t="shared" si="385"/>
        <v>5091</v>
      </c>
      <c r="AC1746">
        <f t="shared" si="386"/>
        <v>362018.76999999996</v>
      </c>
      <c r="AD1746">
        <f t="shared" si="387"/>
        <v>1414.1358203124998</v>
      </c>
      <c r="AE1746">
        <f t="shared" si="388"/>
        <v>0.35149999999999998</v>
      </c>
      <c r="AF1746">
        <f t="shared" si="389"/>
        <v>43789638.200000018</v>
      </c>
      <c r="AG1746" t="str">
        <f t="shared" si="390"/>
        <v>Active</v>
      </c>
      <c r="AH1746">
        <f t="shared" si="391"/>
        <v>23496.239999999998</v>
      </c>
    </row>
    <row r="1747" spans="1:34" x14ac:dyDescent="0.35">
      <c r="A1747" t="s">
        <v>4545</v>
      </c>
      <c r="B1747" t="s">
        <v>4546</v>
      </c>
      <c r="C1747">
        <v>48</v>
      </c>
      <c r="D1747" t="s">
        <v>38</v>
      </c>
      <c r="E1747" t="s">
        <v>39</v>
      </c>
      <c r="F1747" t="s">
        <v>59</v>
      </c>
      <c r="G1747">
        <v>115159</v>
      </c>
      <c r="H1747">
        <v>328</v>
      </c>
      <c r="I1747">
        <v>15726</v>
      </c>
      <c r="J1747">
        <v>10.77</v>
      </c>
      <c r="K1747">
        <v>240</v>
      </c>
      <c r="L1747" t="s">
        <v>40</v>
      </c>
      <c r="M1747">
        <v>19.52</v>
      </c>
      <c r="N1747">
        <v>74127</v>
      </c>
      <c r="O1747">
        <v>215758</v>
      </c>
      <c r="P1747" t="s">
        <v>4388</v>
      </c>
      <c r="Q1747" t="s">
        <v>61</v>
      </c>
      <c r="R1747" t="s">
        <v>28</v>
      </c>
      <c r="S1747" t="s">
        <v>29</v>
      </c>
      <c r="T1747">
        <v>72.58</v>
      </c>
      <c r="U1747">
        <f t="shared" si="378"/>
        <v>255</v>
      </c>
      <c r="V1747">
        <f t="shared" si="379"/>
        <v>99</v>
      </c>
      <c r="W1747">
        <f t="shared" si="380"/>
        <v>78</v>
      </c>
      <c r="X1747">
        <f t="shared" si="381"/>
        <v>0.35149999999999998</v>
      </c>
      <c r="Y1747" s="1">
        <f t="shared" si="382"/>
        <v>12994419</v>
      </c>
      <c r="Z1747">
        <f t="shared" si="383"/>
        <v>50958.50588235294</v>
      </c>
      <c r="AA1747">
        <f t="shared" si="384"/>
        <v>99664</v>
      </c>
      <c r="AB1747">
        <f t="shared" si="385"/>
        <v>5091</v>
      </c>
      <c r="AC1747">
        <f t="shared" si="386"/>
        <v>360060.74999999994</v>
      </c>
      <c r="AD1747">
        <f t="shared" si="387"/>
        <v>1412.0029411764704</v>
      </c>
      <c r="AE1747">
        <f t="shared" si="388"/>
        <v>0.35149999999999998</v>
      </c>
      <c r="AF1747">
        <f t="shared" si="389"/>
        <v>43427619.43000003</v>
      </c>
      <c r="AG1747" t="str">
        <f t="shared" si="390"/>
        <v>Active</v>
      </c>
      <c r="AH1747">
        <f t="shared" si="391"/>
        <v>870.96</v>
      </c>
    </row>
    <row r="1748" spans="1:34" x14ac:dyDescent="0.35">
      <c r="A1748" t="s">
        <v>4547</v>
      </c>
      <c r="B1748" t="s">
        <v>4548</v>
      </c>
      <c r="C1748">
        <v>23</v>
      </c>
      <c r="D1748" t="s">
        <v>38</v>
      </c>
      <c r="E1748" t="s">
        <v>32</v>
      </c>
      <c r="F1748" t="s">
        <v>24</v>
      </c>
      <c r="G1748">
        <v>113687</v>
      </c>
      <c r="H1748">
        <v>786</v>
      </c>
      <c r="I1748">
        <v>29825</v>
      </c>
      <c r="J1748">
        <v>10.54</v>
      </c>
      <c r="K1748">
        <v>240</v>
      </c>
      <c r="L1748" t="s">
        <v>52</v>
      </c>
      <c r="M1748">
        <v>50.67</v>
      </c>
      <c r="N1748">
        <v>8072</v>
      </c>
      <c r="O1748">
        <v>184589</v>
      </c>
      <c r="P1748" t="s">
        <v>3364</v>
      </c>
      <c r="Q1748" t="s">
        <v>27</v>
      </c>
      <c r="R1748" t="s">
        <v>48</v>
      </c>
      <c r="S1748" t="s">
        <v>35</v>
      </c>
      <c r="T1748">
        <v>137.37</v>
      </c>
      <c r="U1748">
        <f t="shared" si="378"/>
        <v>254</v>
      </c>
      <c r="V1748">
        <f t="shared" si="379"/>
        <v>99</v>
      </c>
      <c r="W1748">
        <f t="shared" si="380"/>
        <v>77</v>
      </c>
      <c r="X1748">
        <f t="shared" si="381"/>
        <v>0.35149999999999998</v>
      </c>
      <c r="Y1748" s="1">
        <f t="shared" si="382"/>
        <v>12978693</v>
      </c>
      <c r="Z1748">
        <f t="shared" si="383"/>
        <v>51097.216535433072</v>
      </c>
      <c r="AA1748">
        <f t="shared" si="384"/>
        <v>99664</v>
      </c>
      <c r="AB1748">
        <f t="shared" si="385"/>
        <v>5091</v>
      </c>
      <c r="AC1748">
        <f t="shared" si="386"/>
        <v>359988.16999999993</v>
      </c>
      <c r="AD1748">
        <f t="shared" si="387"/>
        <v>1417.2762598425195</v>
      </c>
      <c r="AE1748">
        <f t="shared" si="388"/>
        <v>0.35149999999999998</v>
      </c>
      <c r="AF1748">
        <f t="shared" si="389"/>
        <v>43067558.68000003</v>
      </c>
      <c r="AG1748" t="str">
        <f t="shared" si="390"/>
        <v>Active</v>
      </c>
      <c r="AH1748">
        <f t="shared" si="391"/>
        <v>1648.44</v>
      </c>
    </row>
    <row r="1749" spans="1:34" x14ac:dyDescent="0.35">
      <c r="A1749" t="s">
        <v>4549</v>
      </c>
      <c r="B1749" t="s">
        <v>4550</v>
      </c>
      <c r="C1749">
        <v>30</v>
      </c>
      <c r="D1749" t="s">
        <v>38</v>
      </c>
      <c r="E1749" t="s">
        <v>32</v>
      </c>
      <c r="F1749" t="s">
        <v>24</v>
      </c>
      <c r="G1749">
        <v>165034</v>
      </c>
      <c r="H1749">
        <v>666</v>
      </c>
      <c r="I1749">
        <v>16066</v>
      </c>
      <c r="J1749">
        <v>9.94</v>
      </c>
      <c r="K1749">
        <v>180</v>
      </c>
      <c r="L1749" t="s">
        <v>25</v>
      </c>
      <c r="M1749">
        <v>50.41</v>
      </c>
      <c r="N1749">
        <v>12718</v>
      </c>
      <c r="O1749">
        <v>206543</v>
      </c>
      <c r="P1749" t="s">
        <v>4551</v>
      </c>
      <c r="Q1749" t="s">
        <v>61</v>
      </c>
      <c r="R1749" t="s">
        <v>48</v>
      </c>
      <c r="S1749" t="s">
        <v>49</v>
      </c>
      <c r="T1749">
        <v>98.13</v>
      </c>
      <c r="U1749">
        <f t="shared" si="378"/>
        <v>253</v>
      </c>
      <c r="V1749">
        <f t="shared" si="379"/>
        <v>99</v>
      </c>
      <c r="W1749">
        <f t="shared" si="380"/>
        <v>77</v>
      </c>
      <c r="X1749">
        <f t="shared" si="381"/>
        <v>0.35149999999999998</v>
      </c>
      <c r="Y1749" s="1">
        <f t="shared" si="382"/>
        <v>12948868</v>
      </c>
      <c r="Z1749">
        <f t="shared" si="383"/>
        <v>51181.296442687744</v>
      </c>
      <c r="AA1749">
        <f t="shared" si="384"/>
        <v>99664</v>
      </c>
      <c r="AB1749">
        <f t="shared" si="385"/>
        <v>5091</v>
      </c>
      <c r="AC1749">
        <f t="shared" si="386"/>
        <v>359850.79999999993</v>
      </c>
      <c r="AD1749">
        <f t="shared" si="387"/>
        <v>1422.3351778656124</v>
      </c>
      <c r="AE1749">
        <f t="shared" si="388"/>
        <v>0.35149999999999998</v>
      </c>
      <c r="AF1749">
        <f t="shared" si="389"/>
        <v>42707570.510000035</v>
      </c>
      <c r="AG1749" t="str">
        <f t="shared" si="390"/>
        <v>Active</v>
      </c>
      <c r="AH1749">
        <f t="shared" si="391"/>
        <v>1177.56</v>
      </c>
    </row>
    <row r="1750" spans="1:34" x14ac:dyDescent="0.35">
      <c r="A1750" t="s">
        <v>4552</v>
      </c>
      <c r="B1750" t="s">
        <v>4553</v>
      </c>
      <c r="C1750">
        <v>28</v>
      </c>
      <c r="D1750" t="s">
        <v>38</v>
      </c>
      <c r="E1750" t="s">
        <v>39</v>
      </c>
      <c r="F1750" t="s">
        <v>24</v>
      </c>
      <c r="G1750">
        <v>130491</v>
      </c>
      <c r="H1750">
        <v>346</v>
      </c>
      <c r="I1750">
        <v>49066</v>
      </c>
      <c r="J1750">
        <v>18.41</v>
      </c>
      <c r="K1750">
        <v>240</v>
      </c>
      <c r="L1750" t="s">
        <v>33</v>
      </c>
      <c r="M1750">
        <v>11.09</v>
      </c>
      <c r="N1750">
        <v>2264</v>
      </c>
      <c r="O1750">
        <v>122179</v>
      </c>
      <c r="P1750" t="s">
        <v>3391</v>
      </c>
      <c r="Q1750" t="s">
        <v>61</v>
      </c>
      <c r="R1750" t="s">
        <v>28</v>
      </c>
      <c r="S1750" t="s">
        <v>29</v>
      </c>
      <c r="T1750">
        <v>242.08</v>
      </c>
      <c r="U1750">
        <f t="shared" si="378"/>
        <v>252</v>
      </c>
      <c r="V1750">
        <f t="shared" si="379"/>
        <v>99</v>
      </c>
      <c r="W1750">
        <f t="shared" si="380"/>
        <v>76</v>
      </c>
      <c r="X1750">
        <f t="shared" si="381"/>
        <v>0.35149999999999998</v>
      </c>
      <c r="Y1750" s="1">
        <f t="shared" si="382"/>
        <v>12932802</v>
      </c>
      <c r="Z1750">
        <f t="shared" si="383"/>
        <v>51320.642857142855</v>
      </c>
      <c r="AA1750">
        <f t="shared" si="384"/>
        <v>99664</v>
      </c>
      <c r="AB1750">
        <f t="shared" si="385"/>
        <v>5091</v>
      </c>
      <c r="AC1750">
        <f t="shared" si="386"/>
        <v>359752.66999999993</v>
      </c>
      <c r="AD1750">
        <f t="shared" si="387"/>
        <v>1427.5899603174601</v>
      </c>
      <c r="AE1750">
        <f t="shared" si="388"/>
        <v>0.35149999999999998</v>
      </c>
      <c r="AF1750">
        <f t="shared" si="389"/>
        <v>42347719.710000031</v>
      </c>
      <c r="AG1750" t="str">
        <f t="shared" si="390"/>
        <v>Active</v>
      </c>
      <c r="AH1750">
        <f t="shared" si="391"/>
        <v>2904.96</v>
      </c>
    </row>
    <row r="1751" spans="1:34" x14ac:dyDescent="0.35">
      <c r="A1751" t="s">
        <v>4554</v>
      </c>
      <c r="B1751" t="s">
        <v>4555</v>
      </c>
      <c r="C1751">
        <v>45</v>
      </c>
      <c r="D1751" t="s">
        <v>22</v>
      </c>
      <c r="E1751" t="s">
        <v>39</v>
      </c>
      <c r="F1751" t="s">
        <v>46</v>
      </c>
      <c r="G1751">
        <v>146917</v>
      </c>
      <c r="H1751">
        <v>845</v>
      </c>
      <c r="I1751">
        <v>22350</v>
      </c>
      <c r="J1751">
        <v>20.56</v>
      </c>
      <c r="K1751">
        <v>24</v>
      </c>
      <c r="L1751" t="s">
        <v>52</v>
      </c>
      <c r="M1751">
        <v>53.1</v>
      </c>
      <c r="N1751">
        <v>31645</v>
      </c>
      <c r="O1751">
        <v>26695</v>
      </c>
      <c r="P1751" t="s">
        <v>1808</v>
      </c>
      <c r="Q1751" t="s">
        <v>42</v>
      </c>
      <c r="R1751" t="s">
        <v>48</v>
      </c>
      <c r="S1751" t="s">
        <v>49</v>
      </c>
      <c r="T1751">
        <v>1122.71</v>
      </c>
      <c r="U1751">
        <f t="shared" si="378"/>
        <v>251</v>
      </c>
      <c r="V1751">
        <f t="shared" si="379"/>
        <v>99</v>
      </c>
      <c r="W1751">
        <f t="shared" si="380"/>
        <v>75</v>
      </c>
      <c r="X1751">
        <f t="shared" si="381"/>
        <v>0.35149999999999998</v>
      </c>
      <c r="Y1751" s="1">
        <f t="shared" si="382"/>
        <v>12883736</v>
      </c>
      <c r="Z1751">
        <f t="shared" si="383"/>
        <v>51329.625498007968</v>
      </c>
      <c r="AA1751">
        <f t="shared" si="384"/>
        <v>99664</v>
      </c>
      <c r="AB1751">
        <f t="shared" si="385"/>
        <v>5091</v>
      </c>
      <c r="AC1751">
        <f t="shared" si="386"/>
        <v>359510.58999999991</v>
      </c>
      <c r="AD1751">
        <f t="shared" si="387"/>
        <v>1432.3131075697208</v>
      </c>
      <c r="AE1751">
        <f t="shared" si="388"/>
        <v>0.35149999999999998</v>
      </c>
      <c r="AF1751">
        <f t="shared" si="389"/>
        <v>41987967.040000036</v>
      </c>
      <c r="AG1751" t="str">
        <f t="shared" si="390"/>
        <v>Active</v>
      </c>
      <c r="AH1751">
        <f t="shared" si="391"/>
        <v>13472.52</v>
      </c>
    </row>
    <row r="1752" spans="1:34" x14ac:dyDescent="0.35">
      <c r="A1752" t="s">
        <v>4556</v>
      </c>
      <c r="B1752" t="s">
        <v>4557</v>
      </c>
      <c r="C1752">
        <v>45</v>
      </c>
      <c r="D1752" t="s">
        <v>22</v>
      </c>
      <c r="E1752" t="s">
        <v>23</v>
      </c>
      <c r="F1752" t="s">
        <v>46</v>
      </c>
      <c r="G1752">
        <v>54647</v>
      </c>
      <c r="H1752">
        <v>535</v>
      </c>
      <c r="I1752">
        <v>54033</v>
      </c>
      <c r="J1752">
        <v>23.95</v>
      </c>
      <c r="K1752">
        <v>12</v>
      </c>
      <c r="L1752" t="s">
        <v>40</v>
      </c>
      <c r="M1752">
        <v>42.59</v>
      </c>
      <c r="N1752">
        <v>1808</v>
      </c>
      <c r="O1752">
        <v>53853</v>
      </c>
      <c r="P1752" t="s">
        <v>4558</v>
      </c>
      <c r="Q1752" t="s">
        <v>61</v>
      </c>
      <c r="R1752" t="s">
        <v>48</v>
      </c>
      <c r="S1752" t="s">
        <v>49</v>
      </c>
      <c r="T1752">
        <v>5581.16</v>
      </c>
      <c r="U1752">
        <f t="shared" si="378"/>
        <v>250</v>
      </c>
      <c r="V1752">
        <f t="shared" si="379"/>
        <v>98</v>
      </c>
      <c r="W1752">
        <f t="shared" si="380"/>
        <v>75</v>
      </c>
      <c r="X1752">
        <f t="shared" si="381"/>
        <v>0.35149999999999998</v>
      </c>
      <c r="Y1752" s="1">
        <f t="shared" si="382"/>
        <v>12861386</v>
      </c>
      <c r="Z1752">
        <f t="shared" si="383"/>
        <v>51445.544000000002</v>
      </c>
      <c r="AA1752">
        <f t="shared" si="384"/>
        <v>99664</v>
      </c>
      <c r="AB1752">
        <f t="shared" si="385"/>
        <v>5091</v>
      </c>
      <c r="AC1752">
        <f t="shared" si="386"/>
        <v>358387.87999999989</v>
      </c>
      <c r="AD1752">
        <f t="shared" si="387"/>
        <v>1433.5515199999995</v>
      </c>
      <c r="AE1752">
        <f t="shared" si="388"/>
        <v>0.35149999999999998</v>
      </c>
      <c r="AF1752">
        <f t="shared" si="389"/>
        <v>41628456.45000004</v>
      </c>
      <c r="AG1752" t="str">
        <f t="shared" si="390"/>
        <v>Active</v>
      </c>
      <c r="AH1752">
        <f t="shared" si="391"/>
        <v>66973.919999999998</v>
      </c>
    </row>
    <row r="1753" spans="1:34" x14ac:dyDescent="0.35">
      <c r="A1753" t="s">
        <v>4559</v>
      </c>
      <c r="B1753" t="s">
        <v>4560</v>
      </c>
      <c r="C1753">
        <v>33</v>
      </c>
      <c r="D1753" t="s">
        <v>38</v>
      </c>
      <c r="E1753" t="s">
        <v>39</v>
      </c>
      <c r="F1753" t="s">
        <v>24</v>
      </c>
      <c r="G1753">
        <v>130959</v>
      </c>
      <c r="H1753">
        <v>316</v>
      </c>
      <c r="I1753">
        <v>38250</v>
      </c>
      <c r="J1753">
        <v>23.29</v>
      </c>
      <c r="K1753">
        <v>120</v>
      </c>
      <c r="L1753" t="s">
        <v>52</v>
      </c>
      <c r="M1753">
        <v>48.95</v>
      </c>
      <c r="N1753">
        <v>34913</v>
      </c>
      <c r="O1753">
        <v>249845</v>
      </c>
      <c r="P1753" t="s">
        <v>4561</v>
      </c>
      <c r="Q1753" t="s">
        <v>42</v>
      </c>
      <c r="R1753" t="s">
        <v>28</v>
      </c>
      <c r="S1753" t="s">
        <v>43</v>
      </c>
      <c r="T1753">
        <v>392.99</v>
      </c>
      <c r="U1753">
        <f t="shared" si="378"/>
        <v>249</v>
      </c>
      <c r="V1753">
        <f t="shared" si="379"/>
        <v>98</v>
      </c>
      <c r="W1753">
        <f t="shared" si="380"/>
        <v>74</v>
      </c>
      <c r="X1753">
        <f t="shared" si="381"/>
        <v>0.35149999999999998</v>
      </c>
      <c r="Y1753" s="1">
        <f t="shared" si="382"/>
        <v>12807353</v>
      </c>
      <c r="Z1753">
        <f t="shared" si="383"/>
        <v>51435.152610441764</v>
      </c>
      <c r="AA1753">
        <f t="shared" si="384"/>
        <v>99664</v>
      </c>
      <c r="AB1753">
        <f t="shared" si="385"/>
        <v>5091</v>
      </c>
      <c r="AC1753">
        <f t="shared" si="386"/>
        <v>352806.71999999991</v>
      </c>
      <c r="AD1753">
        <f t="shared" si="387"/>
        <v>1416.8944578313249</v>
      </c>
      <c r="AE1753">
        <f t="shared" si="388"/>
        <v>0.35149999999999998</v>
      </c>
      <c r="AF1753">
        <f t="shared" si="389"/>
        <v>41270068.57000003</v>
      </c>
      <c r="AG1753" t="str">
        <f t="shared" si="390"/>
        <v>Over Paid</v>
      </c>
      <c r="AH1753">
        <f t="shared" si="391"/>
        <v>4715.88</v>
      </c>
    </row>
    <row r="1754" spans="1:34" x14ac:dyDescent="0.35">
      <c r="A1754" t="s">
        <v>4562</v>
      </c>
      <c r="B1754" t="s">
        <v>4563</v>
      </c>
      <c r="C1754">
        <v>65</v>
      </c>
      <c r="D1754" t="s">
        <v>38</v>
      </c>
      <c r="E1754" t="s">
        <v>32</v>
      </c>
      <c r="F1754" t="s">
        <v>46</v>
      </c>
      <c r="G1754">
        <v>188237</v>
      </c>
      <c r="H1754">
        <v>402</v>
      </c>
      <c r="I1754">
        <v>63363</v>
      </c>
      <c r="J1754">
        <v>9.85</v>
      </c>
      <c r="K1754">
        <v>360</v>
      </c>
      <c r="L1754" t="s">
        <v>40</v>
      </c>
      <c r="M1754">
        <v>15</v>
      </c>
      <c r="N1754">
        <v>46017</v>
      </c>
      <c r="O1754">
        <v>52241</v>
      </c>
      <c r="P1754" t="s">
        <v>3370</v>
      </c>
      <c r="Q1754" t="s">
        <v>61</v>
      </c>
      <c r="R1754" t="s">
        <v>48</v>
      </c>
      <c r="S1754" t="s">
        <v>35</v>
      </c>
      <c r="T1754">
        <v>193.35</v>
      </c>
      <c r="U1754">
        <f t="shared" si="378"/>
        <v>248</v>
      </c>
      <c r="V1754">
        <f t="shared" si="379"/>
        <v>97</v>
      </c>
      <c r="W1754">
        <f t="shared" si="380"/>
        <v>74</v>
      </c>
      <c r="X1754">
        <f t="shared" si="381"/>
        <v>0.35149999999999998</v>
      </c>
      <c r="Y1754" s="1">
        <f t="shared" si="382"/>
        <v>12769103</v>
      </c>
      <c r="Z1754">
        <f t="shared" si="383"/>
        <v>51488.318548387098</v>
      </c>
      <c r="AA1754">
        <f t="shared" si="384"/>
        <v>99664</v>
      </c>
      <c r="AB1754">
        <f t="shared" si="385"/>
        <v>5091</v>
      </c>
      <c r="AC1754">
        <f t="shared" si="386"/>
        <v>352413.72999999986</v>
      </c>
      <c r="AD1754">
        <f t="shared" si="387"/>
        <v>1421.0231048387091</v>
      </c>
      <c r="AE1754">
        <f t="shared" si="388"/>
        <v>0.35149999999999998</v>
      </c>
      <c r="AF1754">
        <f t="shared" si="389"/>
        <v>40917261.850000039</v>
      </c>
      <c r="AG1754" t="str">
        <f t="shared" si="390"/>
        <v>Active</v>
      </c>
      <c r="AH1754">
        <f t="shared" si="391"/>
        <v>2320.1999999999998</v>
      </c>
    </row>
    <row r="1755" spans="1:34" x14ac:dyDescent="0.35">
      <c r="A1755" t="s">
        <v>4564</v>
      </c>
      <c r="B1755" t="s">
        <v>4565</v>
      </c>
      <c r="C1755">
        <v>37</v>
      </c>
      <c r="D1755" t="s">
        <v>22</v>
      </c>
      <c r="E1755" t="s">
        <v>23</v>
      </c>
      <c r="F1755" t="s">
        <v>59</v>
      </c>
      <c r="G1755">
        <v>101723</v>
      </c>
      <c r="H1755">
        <v>802</v>
      </c>
      <c r="I1755">
        <v>32882</v>
      </c>
      <c r="J1755">
        <v>11.84</v>
      </c>
      <c r="K1755">
        <v>24</v>
      </c>
      <c r="L1755" t="s">
        <v>52</v>
      </c>
      <c r="M1755">
        <v>28.59</v>
      </c>
      <c r="N1755">
        <v>76384</v>
      </c>
      <c r="O1755">
        <v>49407</v>
      </c>
      <c r="P1755" t="s">
        <v>2819</v>
      </c>
      <c r="Q1755" t="s">
        <v>61</v>
      </c>
      <c r="R1755" t="s">
        <v>48</v>
      </c>
      <c r="S1755" t="s">
        <v>49</v>
      </c>
      <c r="T1755">
        <v>1532.3</v>
      </c>
      <c r="U1755">
        <f t="shared" si="378"/>
        <v>247</v>
      </c>
      <c r="V1755">
        <f t="shared" si="379"/>
        <v>97</v>
      </c>
      <c r="W1755">
        <f t="shared" si="380"/>
        <v>73</v>
      </c>
      <c r="X1755">
        <f t="shared" si="381"/>
        <v>0.35149999999999998</v>
      </c>
      <c r="Y1755" s="1">
        <f t="shared" si="382"/>
        <v>12705740</v>
      </c>
      <c r="Z1755">
        <f t="shared" si="383"/>
        <v>51440.242914979754</v>
      </c>
      <c r="AA1755">
        <f t="shared" si="384"/>
        <v>99664</v>
      </c>
      <c r="AB1755">
        <f t="shared" si="385"/>
        <v>5091</v>
      </c>
      <c r="AC1755">
        <f t="shared" si="386"/>
        <v>352220.37999999989</v>
      </c>
      <c r="AD1755">
        <f t="shared" si="387"/>
        <v>1425.9934412955461</v>
      </c>
      <c r="AE1755">
        <f t="shared" si="388"/>
        <v>0.35149999999999998</v>
      </c>
      <c r="AF1755">
        <f t="shared" si="389"/>
        <v>40564848.120000035</v>
      </c>
      <c r="AG1755" t="str">
        <f t="shared" si="390"/>
        <v>Active</v>
      </c>
      <c r="AH1755">
        <f t="shared" si="391"/>
        <v>18387.599999999999</v>
      </c>
    </row>
    <row r="1756" spans="1:34" x14ac:dyDescent="0.35">
      <c r="A1756" t="s">
        <v>4566</v>
      </c>
      <c r="B1756" t="s">
        <v>4567</v>
      </c>
      <c r="C1756">
        <v>34</v>
      </c>
      <c r="D1756" t="s">
        <v>22</v>
      </c>
      <c r="E1756" t="s">
        <v>32</v>
      </c>
      <c r="F1756" t="s">
        <v>24</v>
      </c>
      <c r="G1756">
        <v>94207</v>
      </c>
      <c r="H1756">
        <v>811</v>
      </c>
      <c r="I1756">
        <v>32283</v>
      </c>
      <c r="J1756">
        <v>15.16</v>
      </c>
      <c r="K1756">
        <v>240</v>
      </c>
      <c r="L1756" t="s">
        <v>40</v>
      </c>
      <c r="M1756">
        <v>56.01</v>
      </c>
      <c r="N1756">
        <v>4690</v>
      </c>
      <c r="O1756">
        <v>166134</v>
      </c>
      <c r="P1756" t="s">
        <v>4568</v>
      </c>
      <c r="Q1756" t="s">
        <v>61</v>
      </c>
      <c r="R1756" t="s">
        <v>28</v>
      </c>
      <c r="S1756" t="s">
        <v>68</v>
      </c>
      <c r="T1756">
        <v>154.9</v>
      </c>
      <c r="U1756">
        <f t="shared" si="378"/>
        <v>246</v>
      </c>
      <c r="V1756">
        <f t="shared" si="379"/>
        <v>97</v>
      </c>
      <c r="W1756">
        <f t="shared" si="380"/>
        <v>72</v>
      </c>
      <c r="X1756">
        <f t="shared" si="381"/>
        <v>0.35149999999999998</v>
      </c>
      <c r="Y1756" s="1">
        <f t="shared" si="382"/>
        <v>12672858</v>
      </c>
      <c r="Z1756">
        <f t="shared" si="383"/>
        <v>51515.682926829271</v>
      </c>
      <c r="AA1756">
        <f t="shared" si="384"/>
        <v>99664</v>
      </c>
      <c r="AB1756">
        <f t="shared" si="385"/>
        <v>5091</v>
      </c>
      <c r="AC1756">
        <f t="shared" si="386"/>
        <v>350688.07999999996</v>
      </c>
      <c r="AD1756">
        <f t="shared" si="387"/>
        <v>1425.5613008130078</v>
      </c>
      <c r="AE1756">
        <f t="shared" si="388"/>
        <v>0.35149999999999998</v>
      </c>
      <c r="AF1756">
        <f t="shared" si="389"/>
        <v>40212627.740000047</v>
      </c>
      <c r="AG1756" t="str">
        <f t="shared" si="390"/>
        <v>Active</v>
      </c>
      <c r="AH1756">
        <f t="shared" si="391"/>
        <v>1858.8000000000002</v>
      </c>
    </row>
    <row r="1757" spans="1:34" x14ac:dyDescent="0.35">
      <c r="A1757" t="s">
        <v>4569</v>
      </c>
      <c r="B1757" t="s">
        <v>4570</v>
      </c>
      <c r="C1757">
        <v>64</v>
      </c>
      <c r="D1757" t="s">
        <v>38</v>
      </c>
      <c r="E1757" t="s">
        <v>39</v>
      </c>
      <c r="F1757" t="s">
        <v>46</v>
      </c>
      <c r="G1757">
        <v>61680</v>
      </c>
      <c r="H1757">
        <v>440</v>
      </c>
      <c r="I1757">
        <v>97449</v>
      </c>
      <c r="J1757">
        <v>14.13</v>
      </c>
      <c r="K1757">
        <v>60</v>
      </c>
      <c r="L1757" t="s">
        <v>33</v>
      </c>
      <c r="M1757">
        <v>21.82</v>
      </c>
      <c r="N1757">
        <v>24120</v>
      </c>
      <c r="O1757">
        <v>157200</v>
      </c>
      <c r="P1757" t="s">
        <v>1294</v>
      </c>
      <c r="Q1757" t="s">
        <v>61</v>
      </c>
      <c r="R1757" t="s">
        <v>28</v>
      </c>
      <c r="S1757" t="s">
        <v>43</v>
      </c>
      <c r="T1757">
        <v>1853.64</v>
      </c>
      <c r="U1757">
        <f t="shared" si="378"/>
        <v>245</v>
      </c>
      <c r="V1757">
        <f t="shared" si="379"/>
        <v>97</v>
      </c>
      <c r="W1757">
        <f t="shared" si="380"/>
        <v>71</v>
      </c>
      <c r="X1757">
        <f t="shared" si="381"/>
        <v>0.35149999999999998</v>
      </c>
      <c r="Y1757" s="1">
        <f t="shared" si="382"/>
        <v>12640575</v>
      </c>
      <c r="Z1757">
        <f t="shared" si="383"/>
        <v>51594.183673469386</v>
      </c>
      <c r="AA1757">
        <f t="shared" si="384"/>
        <v>99664</v>
      </c>
      <c r="AB1757">
        <f t="shared" si="385"/>
        <v>5091</v>
      </c>
      <c r="AC1757">
        <f t="shared" si="386"/>
        <v>350533.17999999993</v>
      </c>
      <c r="AD1757">
        <f t="shared" si="387"/>
        <v>1430.7476734693876</v>
      </c>
      <c r="AE1757">
        <f t="shared" si="388"/>
        <v>0.35149999999999998</v>
      </c>
      <c r="AF1757">
        <f t="shared" si="389"/>
        <v>39861939.660000034</v>
      </c>
      <c r="AG1757" t="str">
        <f t="shared" si="390"/>
        <v>Active</v>
      </c>
      <c r="AH1757">
        <f t="shared" si="391"/>
        <v>22243.68</v>
      </c>
    </row>
    <row r="1758" spans="1:34" x14ac:dyDescent="0.35">
      <c r="A1758" t="s">
        <v>4571</v>
      </c>
      <c r="B1758" t="s">
        <v>4572</v>
      </c>
      <c r="C1758">
        <v>50</v>
      </c>
      <c r="D1758" t="s">
        <v>38</v>
      </c>
      <c r="E1758" t="s">
        <v>39</v>
      </c>
      <c r="F1758" t="s">
        <v>46</v>
      </c>
      <c r="G1758">
        <v>147337</v>
      </c>
      <c r="H1758">
        <v>519</v>
      </c>
      <c r="I1758">
        <v>23127</v>
      </c>
      <c r="J1758">
        <v>6.62</v>
      </c>
      <c r="K1758">
        <v>120</v>
      </c>
      <c r="L1758" t="s">
        <v>40</v>
      </c>
      <c r="M1758">
        <v>32.71</v>
      </c>
      <c r="N1758">
        <v>58278</v>
      </c>
      <c r="O1758">
        <v>106135</v>
      </c>
      <c r="P1758" t="s">
        <v>248</v>
      </c>
      <c r="Q1758" t="s">
        <v>27</v>
      </c>
      <c r="R1758" t="s">
        <v>28</v>
      </c>
      <c r="S1758" t="s">
        <v>43</v>
      </c>
      <c r="T1758">
        <v>205.48</v>
      </c>
      <c r="U1758">
        <f t="shared" si="378"/>
        <v>244</v>
      </c>
      <c r="V1758">
        <f t="shared" si="379"/>
        <v>97</v>
      </c>
      <c r="W1758">
        <f t="shared" si="380"/>
        <v>70</v>
      </c>
      <c r="X1758">
        <f t="shared" si="381"/>
        <v>0.35149999999999998</v>
      </c>
      <c r="Y1758" s="1">
        <f t="shared" si="382"/>
        <v>12543126</v>
      </c>
      <c r="Z1758">
        <f t="shared" si="383"/>
        <v>51406.254098360652</v>
      </c>
      <c r="AA1758">
        <f t="shared" si="384"/>
        <v>99664</v>
      </c>
      <c r="AB1758">
        <f t="shared" si="385"/>
        <v>5091</v>
      </c>
      <c r="AC1758">
        <f t="shared" si="386"/>
        <v>348679.53999999992</v>
      </c>
      <c r="AD1758">
        <f t="shared" si="387"/>
        <v>1429.014508196721</v>
      </c>
      <c r="AE1758">
        <f t="shared" si="388"/>
        <v>0.35149999999999998</v>
      </c>
      <c r="AF1758">
        <f t="shared" si="389"/>
        <v>39511406.480000034</v>
      </c>
      <c r="AG1758" t="str">
        <f t="shared" si="390"/>
        <v>Active</v>
      </c>
      <c r="AH1758">
        <f t="shared" si="391"/>
        <v>2465.7599999999998</v>
      </c>
    </row>
    <row r="1759" spans="1:34" x14ac:dyDescent="0.35">
      <c r="A1759" t="s">
        <v>4573</v>
      </c>
      <c r="B1759" t="s">
        <v>4574</v>
      </c>
      <c r="C1759">
        <v>29</v>
      </c>
      <c r="D1759" t="s">
        <v>22</v>
      </c>
      <c r="E1759" t="s">
        <v>32</v>
      </c>
      <c r="F1759" t="s">
        <v>59</v>
      </c>
      <c r="G1759">
        <v>97831</v>
      </c>
      <c r="H1759">
        <v>356</v>
      </c>
      <c r="I1759">
        <v>46489</v>
      </c>
      <c r="J1759">
        <v>20.95</v>
      </c>
      <c r="K1759">
        <v>24</v>
      </c>
      <c r="L1759" t="s">
        <v>33</v>
      </c>
      <c r="M1759">
        <v>9.3000000000000007</v>
      </c>
      <c r="N1759">
        <v>20492</v>
      </c>
      <c r="O1759">
        <v>249590</v>
      </c>
      <c r="P1759" t="s">
        <v>2509</v>
      </c>
      <c r="Q1759" t="s">
        <v>42</v>
      </c>
      <c r="R1759" t="s">
        <v>28</v>
      </c>
      <c r="S1759" t="s">
        <v>29</v>
      </c>
      <c r="T1759">
        <v>2342.85</v>
      </c>
      <c r="U1759">
        <f t="shared" si="378"/>
        <v>243</v>
      </c>
      <c r="V1759">
        <f t="shared" si="379"/>
        <v>97</v>
      </c>
      <c r="W1759">
        <f t="shared" si="380"/>
        <v>70</v>
      </c>
      <c r="X1759">
        <f t="shared" si="381"/>
        <v>0.35149999999999998</v>
      </c>
      <c r="Y1759" s="1">
        <f t="shared" si="382"/>
        <v>12519999</v>
      </c>
      <c r="Z1759">
        <f t="shared" si="383"/>
        <v>51522.629629629628</v>
      </c>
      <c r="AA1759">
        <f t="shared" si="384"/>
        <v>99664</v>
      </c>
      <c r="AB1759">
        <f t="shared" si="385"/>
        <v>5091</v>
      </c>
      <c r="AC1759">
        <f t="shared" si="386"/>
        <v>348474.05999999994</v>
      </c>
      <c r="AD1759">
        <f t="shared" si="387"/>
        <v>1434.0496296296294</v>
      </c>
      <c r="AE1759">
        <f t="shared" si="388"/>
        <v>0.35149999999999998</v>
      </c>
      <c r="AF1759">
        <f t="shared" si="389"/>
        <v>39162726.940000027</v>
      </c>
      <c r="AG1759" t="str">
        <f t="shared" si="390"/>
        <v>Active</v>
      </c>
      <c r="AH1759">
        <f t="shared" si="391"/>
        <v>28114.199999999997</v>
      </c>
    </row>
    <row r="1760" spans="1:34" x14ac:dyDescent="0.35">
      <c r="A1760" t="s">
        <v>4575</v>
      </c>
      <c r="B1760" t="s">
        <v>4576</v>
      </c>
      <c r="C1760">
        <v>63</v>
      </c>
      <c r="D1760" t="s">
        <v>22</v>
      </c>
      <c r="E1760" t="s">
        <v>39</v>
      </c>
      <c r="F1760" t="s">
        <v>24</v>
      </c>
      <c r="G1760">
        <v>183456</v>
      </c>
      <c r="H1760">
        <v>759</v>
      </c>
      <c r="I1760">
        <v>99411</v>
      </c>
      <c r="J1760">
        <v>22.18</v>
      </c>
      <c r="K1760">
        <v>12</v>
      </c>
      <c r="L1760" t="s">
        <v>25</v>
      </c>
      <c r="M1760">
        <v>47.56</v>
      </c>
      <c r="N1760">
        <v>25856</v>
      </c>
      <c r="O1760">
        <v>75897</v>
      </c>
      <c r="P1760" t="s">
        <v>4577</v>
      </c>
      <c r="Q1760" t="s">
        <v>61</v>
      </c>
      <c r="R1760" t="s">
        <v>48</v>
      </c>
      <c r="S1760" t="s">
        <v>49</v>
      </c>
      <c r="T1760">
        <v>10121.700000000001</v>
      </c>
      <c r="U1760">
        <f t="shared" si="378"/>
        <v>242</v>
      </c>
      <c r="V1760">
        <f t="shared" si="379"/>
        <v>96</v>
      </c>
      <c r="W1760">
        <f t="shared" si="380"/>
        <v>70</v>
      </c>
      <c r="X1760">
        <f t="shared" si="381"/>
        <v>0.35149999999999998</v>
      </c>
      <c r="Y1760" s="1">
        <f t="shared" si="382"/>
        <v>12473510</v>
      </c>
      <c r="Z1760">
        <f t="shared" si="383"/>
        <v>51543.429752066113</v>
      </c>
      <c r="AA1760">
        <f t="shared" si="384"/>
        <v>99664</v>
      </c>
      <c r="AB1760">
        <f t="shared" si="385"/>
        <v>5091</v>
      </c>
      <c r="AC1760">
        <f t="shared" si="386"/>
        <v>346131.21</v>
      </c>
      <c r="AD1760">
        <f t="shared" si="387"/>
        <v>1430.2942561983473</v>
      </c>
      <c r="AE1760">
        <f t="shared" si="388"/>
        <v>0.35149999999999998</v>
      </c>
      <c r="AF1760">
        <f t="shared" si="389"/>
        <v>38814252.880000018</v>
      </c>
      <c r="AG1760" t="str">
        <f t="shared" si="390"/>
        <v>Active</v>
      </c>
      <c r="AH1760">
        <f t="shared" si="391"/>
        <v>121460.40000000001</v>
      </c>
    </row>
    <row r="1761" spans="1:34" x14ac:dyDescent="0.35">
      <c r="A1761" t="s">
        <v>4578</v>
      </c>
      <c r="B1761" t="s">
        <v>4579</v>
      </c>
      <c r="C1761">
        <v>56</v>
      </c>
      <c r="D1761" t="s">
        <v>38</v>
      </c>
      <c r="E1761" t="s">
        <v>39</v>
      </c>
      <c r="F1761" t="s">
        <v>46</v>
      </c>
      <c r="G1761">
        <v>98836</v>
      </c>
      <c r="H1761">
        <v>818</v>
      </c>
      <c r="I1761">
        <v>60447</v>
      </c>
      <c r="J1761">
        <v>15.76</v>
      </c>
      <c r="K1761">
        <v>36</v>
      </c>
      <c r="L1761" t="s">
        <v>86</v>
      </c>
      <c r="M1761">
        <v>40.17</v>
      </c>
      <c r="N1761">
        <v>17101</v>
      </c>
      <c r="O1761">
        <v>166994</v>
      </c>
      <c r="P1761" t="s">
        <v>3154</v>
      </c>
      <c r="Q1761" t="s">
        <v>27</v>
      </c>
      <c r="R1761" t="s">
        <v>48</v>
      </c>
      <c r="S1761" t="s">
        <v>68</v>
      </c>
      <c r="T1761">
        <v>1943.71</v>
      </c>
      <c r="U1761">
        <f t="shared" si="378"/>
        <v>241</v>
      </c>
      <c r="V1761">
        <f t="shared" si="379"/>
        <v>96</v>
      </c>
      <c r="W1761">
        <f t="shared" si="380"/>
        <v>69</v>
      </c>
      <c r="X1761">
        <f t="shared" si="381"/>
        <v>0.35149999999999998</v>
      </c>
      <c r="Y1761" s="1">
        <f t="shared" si="382"/>
        <v>12374099</v>
      </c>
      <c r="Z1761">
        <f t="shared" si="383"/>
        <v>51344.809128630703</v>
      </c>
      <c r="AA1761">
        <f t="shared" si="384"/>
        <v>99664</v>
      </c>
      <c r="AB1761">
        <f t="shared" si="385"/>
        <v>5091</v>
      </c>
      <c r="AC1761">
        <f t="shared" si="386"/>
        <v>336009.51000000007</v>
      </c>
      <c r="AD1761">
        <f t="shared" si="387"/>
        <v>1394.2303319502078</v>
      </c>
      <c r="AE1761">
        <f t="shared" si="388"/>
        <v>0.35149999999999998</v>
      </c>
      <c r="AF1761">
        <f t="shared" si="389"/>
        <v>38468121.670000024</v>
      </c>
      <c r="AG1761" t="str">
        <f t="shared" si="390"/>
        <v>Over Paid</v>
      </c>
      <c r="AH1761">
        <f t="shared" si="391"/>
        <v>23324.52</v>
      </c>
    </row>
    <row r="1762" spans="1:34" x14ac:dyDescent="0.35">
      <c r="A1762" t="s">
        <v>4580</v>
      </c>
      <c r="B1762" t="s">
        <v>4581</v>
      </c>
      <c r="C1762">
        <v>61</v>
      </c>
      <c r="D1762" t="s">
        <v>38</v>
      </c>
      <c r="E1762" t="s">
        <v>39</v>
      </c>
      <c r="F1762" t="s">
        <v>46</v>
      </c>
      <c r="G1762">
        <v>171033</v>
      </c>
      <c r="H1762">
        <v>383</v>
      </c>
      <c r="I1762">
        <v>98405</v>
      </c>
      <c r="J1762">
        <v>17.899999999999999</v>
      </c>
      <c r="K1762">
        <v>60</v>
      </c>
      <c r="L1762" t="s">
        <v>33</v>
      </c>
      <c r="M1762">
        <v>10.66</v>
      </c>
      <c r="N1762">
        <v>15583</v>
      </c>
      <c r="O1762">
        <v>73208</v>
      </c>
      <c r="P1762" t="s">
        <v>1395</v>
      </c>
      <c r="Q1762" t="s">
        <v>42</v>
      </c>
      <c r="R1762" t="s">
        <v>28</v>
      </c>
      <c r="S1762" t="s">
        <v>29</v>
      </c>
      <c r="T1762">
        <v>1933.66</v>
      </c>
      <c r="U1762">
        <f t="shared" si="378"/>
        <v>240</v>
      </c>
      <c r="V1762">
        <f t="shared" si="379"/>
        <v>96</v>
      </c>
      <c r="W1762">
        <f t="shared" si="380"/>
        <v>69</v>
      </c>
      <c r="X1762">
        <f t="shared" si="381"/>
        <v>0.35149999999999998</v>
      </c>
      <c r="Y1762" s="1">
        <f t="shared" si="382"/>
        <v>12313652</v>
      </c>
      <c r="Z1762">
        <f t="shared" si="383"/>
        <v>51306.883333333331</v>
      </c>
      <c r="AA1762">
        <f t="shared" si="384"/>
        <v>99664</v>
      </c>
      <c r="AB1762">
        <f t="shared" si="385"/>
        <v>5091</v>
      </c>
      <c r="AC1762">
        <f t="shared" si="386"/>
        <v>334065.80000000005</v>
      </c>
      <c r="AD1762">
        <f t="shared" si="387"/>
        <v>1391.9408333333336</v>
      </c>
      <c r="AE1762">
        <f t="shared" si="388"/>
        <v>0.35149999999999998</v>
      </c>
      <c r="AF1762">
        <f t="shared" si="389"/>
        <v>38132112.160000019</v>
      </c>
      <c r="AG1762" t="str">
        <f t="shared" si="390"/>
        <v>Active</v>
      </c>
      <c r="AH1762">
        <f t="shared" si="391"/>
        <v>23203.920000000002</v>
      </c>
    </row>
    <row r="1763" spans="1:34" x14ac:dyDescent="0.35">
      <c r="A1763" t="s">
        <v>4582</v>
      </c>
      <c r="B1763" t="s">
        <v>4583</v>
      </c>
      <c r="C1763">
        <v>51</v>
      </c>
      <c r="D1763" t="s">
        <v>22</v>
      </c>
      <c r="E1763" t="s">
        <v>32</v>
      </c>
      <c r="F1763" t="s">
        <v>24</v>
      </c>
      <c r="G1763">
        <v>155872</v>
      </c>
      <c r="H1763">
        <v>323</v>
      </c>
      <c r="I1763">
        <v>46367</v>
      </c>
      <c r="J1763">
        <v>5.25</v>
      </c>
      <c r="K1763">
        <v>24</v>
      </c>
      <c r="L1763" t="s">
        <v>25</v>
      </c>
      <c r="M1763">
        <v>39.380000000000003</v>
      </c>
      <c r="N1763">
        <v>44686</v>
      </c>
      <c r="O1763">
        <v>221238</v>
      </c>
      <c r="P1763" t="s">
        <v>895</v>
      </c>
      <c r="Q1763" t="s">
        <v>61</v>
      </c>
      <c r="R1763" t="s">
        <v>28</v>
      </c>
      <c r="S1763" t="s">
        <v>49</v>
      </c>
      <c r="T1763">
        <v>2033.39</v>
      </c>
      <c r="U1763">
        <f t="shared" si="378"/>
        <v>239</v>
      </c>
      <c r="V1763">
        <f t="shared" si="379"/>
        <v>95</v>
      </c>
      <c r="W1763">
        <f t="shared" si="380"/>
        <v>69</v>
      </c>
      <c r="X1763">
        <f t="shared" si="381"/>
        <v>0.35149999999999998</v>
      </c>
      <c r="Y1763" s="1">
        <f t="shared" si="382"/>
        <v>12215247</v>
      </c>
      <c r="Z1763">
        <f t="shared" si="383"/>
        <v>51109.820083682011</v>
      </c>
      <c r="AA1763">
        <f t="shared" si="384"/>
        <v>99664</v>
      </c>
      <c r="AB1763">
        <f t="shared" si="385"/>
        <v>5091</v>
      </c>
      <c r="AC1763">
        <f t="shared" si="386"/>
        <v>332132.14000000007</v>
      </c>
      <c r="AD1763">
        <f t="shared" si="387"/>
        <v>1389.6742259414229</v>
      </c>
      <c r="AE1763">
        <f t="shared" si="388"/>
        <v>0.35149999999999998</v>
      </c>
      <c r="AF1763">
        <f t="shared" si="389"/>
        <v>37798046.360000022</v>
      </c>
      <c r="AG1763" t="str">
        <f t="shared" si="390"/>
        <v>Active</v>
      </c>
      <c r="AH1763">
        <f t="shared" si="391"/>
        <v>24400.68</v>
      </c>
    </row>
    <row r="1764" spans="1:34" x14ac:dyDescent="0.35">
      <c r="A1764" t="s">
        <v>4584</v>
      </c>
      <c r="B1764" t="s">
        <v>4585</v>
      </c>
      <c r="C1764">
        <v>35</v>
      </c>
      <c r="D1764" t="s">
        <v>22</v>
      </c>
      <c r="E1764" t="s">
        <v>39</v>
      </c>
      <c r="F1764" t="s">
        <v>46</v>
      </c>
      <c r="G1764">
        <v>171070</v>
      </c>
      <c r="H1764">
        <v>694</v>
      </c>
      <c r="I1764">
        <v>95697</v>
      </c>
      <c r="J1764">
        <v>8.35</v>
      </c>
      <c r="K1764">
        <v>60</v>
      </c>
      <c r="L1764" t="s">
        <v>25</v>
      </c>
      <c r="M1764">
        <v>12.45</v>
      </c>
      <c r="N1764">
        <v>74637</v>
      </c>
      <c r="O1764">
        <v>37649</v>
      </c>
      <c r="P1764" t="s">
        <v>2819</v>
      </c>
      <c r="Q1764" t="s">
        <v>27</v>
      </c>
      <c r="R1764" t="s">
        <v>48</v>
      </c>
      <c r="S1764" t="s">
        <v>29</v>
      </c>
      <c r="T1764">
        <v>1728.13</v>
      </c>
      <c r="U1764">
        <f t="shared" si="378"/>
        <v>238</v>
      </c>
      <c r="V1764">
        <f t="shared" si="379"/>
        <v>95</v>
      </c>
      <c r="W1764">
        <f t="shared" si="380"/>
        <v>68</v>
      </c>
      <c r="X1764">
        <f t="shared" si="381"/>
        <v>0.35149999999999998</v>
      </c>
      <c r="Y1764" s="1">
        <f t="shared" si="382"/>
        <v>12168880</v>
      </c>
      <c r="Z1764">
        <f t="shared" si="383"/>
        <v>51129.747899159665</v>
      </c>
      <c r="AA1764">
        <f t="shared" si="384"/>
        <v>99664</v>
      </c>
      <c r="AB1764">
        <f t="shared" si="385"/>
        <v>5091</v>
      </c>
      <c r="AC1764">
        <f t="shared" si="386"/>
        <v>330098.75</v>
      </c>
      <c r="AD1764">
        <f t="shared" si="387"/>
        <v>1386.9695378151262</v>
      </c>
      <c r="AE1764">
        <f t="shared" si="388"/>
        <v>0.35149999999999998</v>
      </c>
      <c r="AF1764">
        <f t="shared" si="389"/>
        <v>37465914.220000014</v>
      </c>
      <c r="AG1764" t="str">
        <f t="shared" si="390"/>
        <v>Active</v>
      </c>
      <c r="AH1764">
        <f t="shared" si="391"/>
        <v>20737.560000000001</v>
      </c>
    </row>
    <row r="1765" spans="1:34" x14ac:dyDescent="0.35">
      <c r="A1765" t="s">
        <v>4586</v>
      </c>
      <c r="B1765" t="s">
        <v>4587</v>
      </c>
      <c r="C1765">
        <v>26</v>
      </c>
      <c r="D1765" t="s">
        <v>22</v>
      </c>
      <c r="E1765" t="s">
        <v>23</v>
      </c>
      <c r="F1765" t="s">
        <v>59</v>
      </c>
      <c r="G1765">
        <v>111561</v>
      </c>
      <c r="H1765">
        <v>802</v>
      </c>
      <c r="I1765">
        <v>53756</v>
      </c>
      <c r="J1765">
        <v>19.23</v>
      </c>
      <c r="K1765">
        <v>360</v>
      </c>
      <c r="L1765" t="s">
        <v>86</v>
      </c>
      <c r="M1765">
        <v>39.07</v>
      </c>
      <c r="N1765">
        <v>69172</v>
      </c>
      <c r="O1765">
        <v>158336</v>
      </c>
      <c r="P1765" t="s">
        <v>3679</v>
      </c>
      <c r="Q1765" t="s">
        <v>27</v>
      </c>
      <c r="R1765" t="s">
        <v>28</v>
      </c>
      <c r="S1765" t="s">
        <v>68</v>
      </c>
      <c r="T1765">
        <v>178.04</v>
      </c>
      <c r="U1765">
        <f t="shared" si="378"/>
        <v>237</v>
      </c>
      <c r="V1765">
        <f t="shared" si="379"/>
        <v>95</v>
      </c>
      <c r="W1765">
        <f t="shared" si="380"/>
        <v>68</v>
      </c>
      <c r="X1765">
        <f t="shared" si="381"/>
        <v>0.35149999999999998</v>
      </c>
      <c r="Y1765" s="1">
        <f t="shared" si="382"/>
        <v>12073183</v>
      </c>
      <c r="Z1765">
        <f t="shared" si="383"/>
        <v>50941.700421940928</v>
      </c>
      <c r="AA1765">
        <f t="shared" si="384"/>
        <v>99664</v>
      </c>
      <c r="AB1765">
        <f t="shared" si="385"/>
        <v>5091</v>
      </c>
      <c r="AC1765">
        <f t="shared" si="386"/>
        <v>328370.62000000005</v>
      </c>
      <c r="AD1765">
        <f t="shared" si="387"/>
        <v>1385.5300421940931</v>
      </c>
      <c r="AE1765">
        <f t="shared" si="388"/>
        <v>0.35149999999999998</v>
      </c>
      <c r="AF1765">
        <f t="shared" si="389"/>
        <v>37135815.470000014</v>
      </c>
      <c r="AG1765" t="str">
        <f t="shared" si="390"/>
        <v>Active</v>
      </c>
      <c r="AH1765">
        <f t="shared" si="391"/>
        <v>2136.48</v>
      </c>
    </row>
    <row r="1766" spans="1:34" x14ac:dyDescent="0.35">
      <c r="A1766" t="s">
        <v>4588</v>
      </c>
      <c r="B1766" t="s">
        <v>4589</v>
      </c>
      <c r="C1766">
        <v>43</v>
      </c>
      <c r="D1766" t="s">
        <v>22</v>
      </c>
      <c r="E1766" t="s">
        <v>32</v>
      </c>
      <c r="F1766" t="s">
        <v>46</v>
      </c>
      <c r="G1766">
        <v>51420</v>
      </c>
      <c r="H1766">
        <v>388</v>
      </c>
      <c r="I1766">
        <v>41044</v>
      </c>
      <c r="J1766">
        <v>21.78</v>
      </c>
      <c r="K1766">
        <v>240</v>
      </c>
      <c r="L1766" t="s">
        <v>86</v>
      </c>
      <c r="M1766">
        <v>39.24</v>
      </c>
      <c r="N1766">
        <v>72691</v>
      </c>
      <c r="O1766">
        <v>27588</v>
      </c>
      <c r="P1766" t="s">
        <v>3082</v>
      </c>
      <c r="Q1766" t="s">
        <v>27</v>
      </c>
      <c r="R1766" t="s">
        <v>48</v>
      </c>
      <c r="S1766" t="s">
        <v>35</v>
      </c>
      <c r="T1766">
        <v>208.26</v>
      </c>
      <c r="U1766">
        <f t="shared" si="378"/>
        <v>236</v>
      </c>
      <c r="V1766">
        <f t="shared" si="379"/>
        <v>95</v>
      </c>
      <c r="W1766">
        <f t="shared" si="380"/>
        <v>68</v>
      </c>
      <c r="X1766">
        <f t="shared" si="381"/>
        <v>0.35149999999999998</v>
      </c>
      <c r="Y1766" s="1">
        <f t="shared" si="382"/>
        <v>12019427</v>
      </c>
      <c r="Z1766">
        <f t="shared" si="383"/>
        <v>50929.77542372881</v>
      </c>
      <c r="AA1766">
        <f t="shared" si="384"/>
        <v>99664</v>
      </c>
      <c r="AB1766">
        <f t="shared" si="385"/>
        <v>5091</v>
      </c>
      <c r="AC1766">
        <f t="shared" si="386"/>
        <v>328192.58000000007</v>
      </c>
      <c r="AD1766">
        <f t="shared" si="387"/>
        <v>1390.6465254237291</v>
      </c>
      <c r="AE1766">
        <f t="shared" si="388"/>
        <v>0.35149999999999998</v>
      </c>
      <c r="AF1766">
        <f t="shared" si="389"/>
        <v>36807444.850000009</v>
      </c>
      <c r="AG1766" t="str">
        <f t="shared" si="390"/>
        <v>Active</v>
      </c>
      <c r="AH1766">
        <f t="shared" si="391"/>
        <v>2499.12</v>
      </c>
    </row>
    <row r="1767" spans="1:34" x14ac:dyDescent="0.35">
      <c r="A1767" t="s">
        <v>4590</v>
      </c>
      <c r="B1767" t="s">
        <v>4591</v>
      </c>
      <c r="C1767">
        <v>35</v>
      </c>
      <c r="D1767" t="s">
        <v>22</v>
      </c>
      <c r="E1767" t="s">
        <v>23</v>
      </c>
      <c r="F1767" t="s">
        <v>59</v>
      </c>
      <c r="G1767">
        <v>133610</v>
      </c>
      <c r="H1767">
        <v>652</v>
      </c>
      <c r="I1767">
        <v>11053</v>
      </c>
      <c r="J1767">
        <v>20.66</v>
      </c>
      <c r="K1767">
        <v>360</v>
      </c>
      <c r="L1767" t="s">
        <v>33</v>
      </c>
      <c r="M1767">
        <v>18.14</v>
      </c>
      <c r="N1767">
        <v>6072</v>
      </c>
      <c r="O1767">
        <v>74774</v>
      </c>
      <c r="P1767" t="s">
        <v>1676</v>
      </c>
      <c r="Q1767" t="s">
        <v>27</v>
      </c>
      <c r="R1767" t="s">
        <v>48</v>
      </c>
      <c r="S1767" t="s">
        <v>68</v>
      </c>
      <c r="T1767">
        <v>37.049999999999997</v>
      </c>
      <c r="U1767">
        <f t="shared" si="378"/>
        <v>235</v>
      </c>
      <c r="V1767">
        <f t="shared" si="379"/>
        <v>95</v>
      </c>
      <c r="W1767">
        <f t="shared" si="380"/>
        <v>68</v>
      </c>
      <c r="X1767">
        <f t="shared" si="381"/>
        <v>0.35149999999999998</v>
      </c>
      <c r="Y1767" s="1">
        <f t="shared" si="382"/>
        <v>11978383</v>
      </c>
      <c r="Z1767">
        <f t="shared" si="383"/>
        <v>50971.842553191491</v>
      </c>
      <c r="AA1767">
        <f t="shared" si="384"/>
        <v>99664</v>
      </c>
      <c r="AB1767">
        <f t="shared" si="385"/>
        <v>5091</v>
      </c>
      <c r="AC1767">
        <f t="shared" si="386"/>
        <v>327984.32000000007</v>
      </c>
      <c r="AD1767">
        <f t="shared" si="387"/>
        <v>1395.6779574468087</v>
      </c>
      <c r="AE1767">
        <f t="shared" si="388"/>
        <v>0.35149999999999998</v>
      </c>
      <c r="AF1767">
        <f t="shared" si="389"/>
        <v>36479252.270000011</v>
      </c>
      <c r="AG1767" t="str">
        <f t="shared" si="390"/>
        <v>Active</v>
      </c>
      <c r="AH1767">
        <f t="shared" si="391"/>
        <v>444.59999999999997</v>
      </c>
    </row>
    <row r="1768" spans="1:34" x14ac:dyDescent="0.35">
      <c r="A1768" t="s">
        <v>4592</v>
      </c>
      <c r="B1768" t="s">
        <v>4593</v>
      </c>
      <c r="C1768">
        <v>22</v>
      </c>
      <c r="D1768" t="s">
        <v>22</v>
      </c>
      <c r="E1768" t="s">
        <v>32</v>
      </c>
      <c r="F1768" t="s">
        <v>46</v>
      </c>
      <c r="G1768">
        <v>84023</v>
      </c>
      <c r="H1768">
        <v>520</v>
      </c>
      <c r="I1768">
        <v>98254</v>
      </c>
      <c r="J1768">
        <v>21.41</v>
      </c>
      <c r="K1768">
        <v>360</v>
      </c>
      <c r="L1768" t="s">
        <v>86</v>
      </c>
      <c r="M1768">
        <v>25.93</v>
      </c>
      <c r="N1768">
        <v>27872</v>
      </c>
      <c r="O1768">
        <v>75273</v>
      </c>
      <c r="P1768" t="s">
        <v>4594</v>
      </c>
      <c r="Q1768" t="s">
        <v>42</v>
      </c>
      <c r="R1768" t="s">
        <v>48</v>
      </c>
      <c r="S1768" t="s">
        <v>29</v>
      </c>
      <c r="T1768">
        <v>331.36</v>
      </c>
      <c r="U1768">
        <f t="shared" si="378"/>
        <v>234</v>
      </c>
      <c r="V1768">
        <f t="shared" si="379"/>
        <v>95</v>
      </c>
      <c r="W1768">
        <f t="shared" si="380"/>
        <v>68</v>
      </c>
      <c r="X1768">
        <f t="shared" si="381"/>
        <v>0.35149999999999998</v>
      </c>
      <c r="Y1768" s="1">
        <f t="shared" si="382"/>
        <v>11967330</v>
      </c>
      <c r="Z1768">
        <f t="shared" si="383"/>
        <v>51142.435897435898</v>
      </c>
      <c r="AA1768">
        <f t="shared" si="384"/>
        <v>99664</v>
      </c>
      <c r="AB1768">
        <f t="shared" si="385"/>
        <v>5091</v>
      </c>
      <c r="AC1768">
        <f t="shared" si="386"/>
        <v>327947.27000000008</v>
      </c>
      <c r="AD1768">
        <f t="shared" si="387"/>
        <v>1401.4840598290602</v>
      </c>
      <c r="AE1768">
        <f t="shared" si="388"/>
        <v>0.35149999999999998</v>
      </c>
      <c r="AF1768">
        <f t="shared" si="389"/>
        <v>36151267.95000001</v>
      </c>
      <c r="AG1768" t="str">
        <f t="shared" si="390"/>
        <v>Active</v>
      </c>
      <c r="AH1768">
        <f t="shared" si="391"/>
        <v>3976.32</v>
      </c>
    </row>
    <row r="1769" spans="1:34" x14ac:dyDescent="0.35">
      <c r="A1769" t="s">
        <v>4595</v>
      </c>
      <c r="B1769" t="s">
        <v>4596</v>
      </c>
      <c r="C1769">
        <v>55</v>
      </c>
      <c r="D1769" t="s">
        <v>22</v>
      </c>
      <c r="E1769" t="s">
        <v>39</v>
      </c>
      <c r="F1769" t="s">
        <v>24</v>
      </c>
      <c r="G1769">
        <v>52694</v>
      </c>
      <c r="H1769">
        <v>778</v>
      </c>
      <c r="I1769">
        <v>36598</v>
      </c>
      <c r="J1769">
        <v>19.05</v>
      </c>
      <c r="K1769">
        <v>60</v>
      </c>
      <c r="L1769" t="s">
        <v>86</v>
      </c>
      <c r="M1769">
        <v>49.31</v>
      </c>
      <c r="N1769">
        <v>76316</v>
      </c>
      <c r="O1769">
        <v>53680</v>
      </c>
      <c r="P1769" t="s">
        <v>3345</v>
      </c>
      <c r="Q1769" t="s">
        <v>42</v>
      </c>
      <c r="R1769" t="s">
        <v>48</v>
      </c>
      <c r="S1769" t="s">
        <v>49</v>
      </c>
      <c r="T1769">
        <v>726.17</v>
      </c>
      <c r="U1769">
        <f t="shared" si="378"/>
        <v>233</v>
      </c>
      <c r="V1769">
        <f t="shared" si="379"/>
        <v>94</v>
      </c>
      <c r="W1769">
        <f t="shared" si="380"/>
        <v>68</v>
      </c>
      <c r="X1769">
        <f t="shared" si="381"/>
        <v>0.35149999999999998</v>
      </c>
      <c r="Y1769" s="1">
        <f t="shared" si="382"/>
        <v>11869076</v>
      </c>
      <c r="Z1769">
        <f t="shared" si="383"/>
        <v>50940.240343347643</v>
      </c>
      <c r="AA1769">
        <f t="shared" si="384"/>
        <v>99664</v>
      </c>
      <c r="AB1769">
        <f t="shared" si="385"/>
        <v>5091</v>
      </c>
      <c r="AC1769">
        <f t="shared" si="386"/>
        <v>327615.91000000009</v>
      </c>
      <c r="AD1769">
        <f t="shared" si="387"/>
        <v>1406.0768669527902</v>
      </c>
      <c r="AE1769">
        <f t="shared" si="388"/>
        <v>0.35149999999999998</v>
      </c>
      <c r="AF1769">
        <f t="shared" si="389"/>
        <v>35823320.680000007</v>
      </c>
      <c r="AG1769" t="str">
        <f t="shared" si="390"/>
        <v>Active</v>
      </c>
      <c r="AH1769">
        <f t="shared" si="391"/>
        <v>8714.0399999999991</v>
      </c>
    </row>
    <row r="1770" spans="1:34" x14ac:dyDescent="0.35">
      <c r="A1770" t="s">
        <v>4597</v>
      </c>
      <c r="B1770" t="s">
        <v>4598</v>
      </c>
      <c r="C1770">
        <v>43</v>
      </c>
      <c r="D1770" t="s">
        <v>38</v>
      </c>
      <c r="E1770" t="s">
        <v>23</v>
      </c>
      <c r="F1770" t="s">
        <v>59</v>
      </c>
      <c r="G1770">
        <v>132654</v>
      </c>
      <c r="H1770">
        <v>590</v>
      </c>
      <c r="I1770">
        <v>96276</v>
      </c>
      <c r="J1770">
        <v>10.84</v>
      </c>
      <c r="K1770">
        <v>48</v>
      </c>
      <c r="L1770" t="s">
        <v>25</v>
      </c>
      <c r="M1770">
        <v>42.24</v>
      </c>
      <c r="N1770">
        <v>55400</v>
      </c>
      <c r="O1770">
        <v>201750</v>
      </c>
      <c r="P1770" t="s">
        <v>2642</v>
      </c>
      <c r="Q1770" t="s">
        <v>42</v>
      </c>
      <c r="R1770" t="s">
        <v>28</v>
      </c>
      <c r="S1770" t="s">
        <v>49</v>
      </c>
      <c r="T1770">
        <v>2223.17</v>
      </c>
      <c r="U1770">
        <f t="shared" si="378"/>
        <v>232</v>
      </c>
      <c r="V1770">
        <f t="shared" si="379"/>
        <v>93</v>
      </c>
      <c r="W1770">
        <f t="shared" si="380"/>
        <v>68</v>
      </c>
      <c r="X1770">
        <f t="shared" si="381"/>
        <v>0.35149999999999998</v>
      </c>
      <c r="Y1770" s="1">
        <f t="shared" si="382"/>
        <v>11832478</v>
      </c>
      <c r="Z1770">
        <f t="shared" si="383"/>
        <v>51002.060344827587</v>
      </c>
      <c r="AA1770">
        <f t="shared" si="384"/>
        <v>99664</v>
      </c>
      <c r="AB1770">
        <f t="shared" si="385"/>
        <v>5091</v>
      </c>
      <c r="AC1770">
        <f t="shared" si="386"/>
        <v>326889.74000000005</v>
      </c>
      <c r="AD1770">
        <f t="shared" si="387"/>
        <v>1409.0075000000002</v>
      </c>
      <c r="AE1770">
        <f t="shared" si="388"/>
        <v>0.35149999999999998</v>
      </c>
      <c r="AF1770">
        <f t="shared" si="389"/>
        <v>35495704.770000003</v>
      </c>
      <c r="AG1770" t="str">
        <f t="shared" si="390"/>
        <v>Active</v>
      </c>
      <c r="AH1770">
        <f t="shared" si="391"/>
        <v>26678.04</v>
      </c>
    </row>
    <row r="1771" spans="1:34" x14ac:dyDescent="0.35">
      <c r="A1771" t="s">
        <v>4599</v>
      </c>
      <c r="B1771" t="s">
        <v>4600</v>
      </c>
      <c r="C1771">
        <v>52</v>
      </c>
      <c r="D1771" t="s">
        <v>38</v>
      </c>
      <c r="E1771" t="s">
        <v>39</v>
      </c>
      <c r="F1771" t="s">
        <v>24</v>
      </c>
      <c r="G1771">
        <v>22868</v>
      </c>
      <c r="H1771">
        <v>674</v>
      </c>
      <c r="I1771">
        <v>86630</v>
      </c>
      <c r="J1771">
        <v>17.97</v>
      </c>
      <c r="K1771">
        <v>36</v>
      </c>
      <c r="L1771" t="s">
        <v>33</v>
      </c>
      <c r="M1771">
        <v>37.4</v>
      </c>
      <c r="N1771">
        <v>49791</v>
      </c>
      <c r="O1771">
        <v>3341</v>
      </c>
      <c r="P1771" t="s">
        <v>4601</v>
      </c>
      <c r="Q1771" t="s">
        <v>27</v>
      </c>
      <c r="R1771" t="s">
        <v>48</v>
      </c>
      <c r="S1771" t="s">
        <v>49</v>
      </c>
      <c r="T1771">
        <v>2838.82</v>
      </c>
      <c r="U1771">
        <f t="shared" si="378"/>
        <v>231</v>
      </c>
      <c r="V1771">
        <f t="shared" si="379"/>
        <v>92</v>
      </c>
      <c r="W1771">
        <f t="shared" si="380"/>
        <v>68</v>
      </c>
      <c r="X1771">
        <f t="shared" si="381"/>
        <v>0.35149999999999998</v>
      </c>
      <c r="Y1771" s="1">
        <f t="shared" si="382"/>
        <v>11736202</v>
      </c>
      <c r="Z1771">
        <f t="shared" si="383"/>
        <v>50806.069264069265</v>
      </c>
      <c r="AA1771">
        <f t="shared" si="384"/>
        <v>99664</v>
      </c>
      <c r="AB1771">
        <f t="shared" si="385"/>
        <v>5091</v>
      </c>
      <c r="AC1771">
        <f t="shared" si="386"/>
        <v>324666.57000000007</v>
      </c>
      <c r="AD1771">
        <f t="shared" si="387"/>
        <v>1405.4829870129872</v>
      </c>
      <c r="AE1771">
        <f t="shared" si="388"/>
        <v>0.35149999999999998</v>
      </c>
      <c r="AF1771">
        <f t="shared" si="389"/>
        <v>35168815.030000001</v>
      </c>
      <c r="AG1771" t="str">
        <f t="shared" si="390"/>
        <v>Active</v>
      </c>
      <c r="AH1771">
        <f t="shared" si="391"/>
        <v>34065.840000000004</v>
      </c>
    </row>
    <row r="1772" spans="1:34" x14ac:dyDescent="0.35">
      <c r="A1772" t="s">
        <v>4602</v>
      </c>
      <c r="B1772" t="s">
        <v>4603</v>
      </c>
      <c r="C1772">
        <v>27</v>
      </c>
      <c r="D1772" t="s">
        <v>22</v>
      </c>
      <c r="E1772" t="s">
        <v>39</v>
      </c>
      <c r="F1772" t="s">
        <v>24</v>
      </c>
      <c r="G1772">
        <v>121467</v>
      </c>
      <c r="H1772">
        <v>461</v>
      </c>
      <c r="I1772">
        <v>90631</v>
      </c>
      <c r="J1772">
        <v>6.35</v>
      </c>
      <c r="K1772">
        <v>120</v>
      </c>
      <c r="L1772" t="s">
        <v>33</v>
      </c>
      <c r="M1772">
        <v>50.55</v>
      </c>
      <c r="N1772">
        <v>72564</v>
      </c>
      <c r="O1772">
        <v>142447</v>
      </c>
      <c r="P1772" t="s">
        <v>209</v>
      </c>
      <c r="Q1772" t="s">
        <v>42</v>
      </c>
      <c r="R1772" t="s">
        <v>28</v>
      </c>
      <c r="S1772" t="s">
        <v>68</v>
      </c>
      <c r="T1772">
        <v>803.22</v>
      </c>
      <c r="U1772">
        <f t="shared" si="378"/>
        <v>230</v>
      </c>
      <c r="V1772">
        <f t="shared" si="379"/>
        <v>92</v>
      </c>
      <c r="W1772">
        <f t="shared" si="380"/>
        <v>68</v>
      </c>
      <c r="X1772">
        <f t="shared" si="381"/>
        <v>0.35149999999999998</v>
      </c>
      <c r="Y1772" s="1">
        <f t="shared" si="382"/>
        <v>11649572</v>
      </c>
      <c r="Z1772">
        <f t="shared" si="383"/>
        <v>50650.313043478258</v>
      </c>
      <c r="AA1772">
        <f t="shared" si="384"/>
        <v>99664</v>
      </c>
      <c r="AB1772">
        <f t="shared" si="385"/>
        <v>5091</v>
      </c>
      <c r="AC1772">
        <f t="shared" si="386"/>
        <v>321827.75000000006</v>
      </c>
      <c r="AD1772">
        <f t="shared" si="387"/>
        <v>1399.2510869565219</v>
      </c>
      <c r="AE1772">
        <f t="shared" si="388"/>
        <v>0.35149999999999998</v>
      </c>
      <c r="AF1772">
        <f t="shared" si="389"/>
        <v>34844148.460000001</v>
      </c>
      <c r="AG1772" t="str">
        <f t="shared" si="390"/>
        <v>Active</v>
      </c>
      <c r="AH1772">
        <f t="shared" si="391"/>
        <v>9638.64</v>
      </c>
    </row>
    <row r="1773" spans="1:34" x14ac:dyDescent="0.35">
      <c r="A1773" t="s">
        <v>4604</v>
      </c>
      <c r="B1773" t="s">
        <v>4605</v>
      </c>
      <c r="C1773">
        <v>42</v>
      </c>
      <c r="D1773" t="s">
        <v>38</v>
      </c>
      <c r="E1773" t="s">
        <v>23</v>
      </c>
      <c r="F1773" t="s">
        <v>46</v>
      </c>
      <c r="G1773">
        <v>156945</v>
      </c>
      <c r="H1773">
        <v>386</v>
      </c>
      <c r="I1773">
        <v>16123</v>
      </c>
      <c r="J1773">
        <v>16.600000000000001</v>
      </c>
      <c r="K1773">
        <v>240</v>
      </c>
      <c r="L1773" t="s">
        <v>86</v>
      </c>
      <c r="M1773">
        <v>9.09</v>
      </c>
      <c r="N1773">
        <v>59348</v>
      </c>
      <c r="O1773">
        <v>30893</v>
      </c>
      <c r="P1773" t="s">
        <v>4606</v>
      </c>
      <c r="Q1773" t="s">
        <v>27</v>
      </c>
      <c r="R1773" t="s">
        <v>48</v>
      </c>
      <c r="S1773" t="s">
        <v>49</v>
      </c>
      <c r="T1773">
        <v>78.33</v>
      </c>
      <c r="U1773">
        <f t="shared" si="378"/>
        <v>229</v>
      </c>
      <c r="V1773">
        <f t="shared" si="379"/>
        <v>91</v>
      </c>
      <c r="W1773">
        <f t="shared" si="380"/>
        <v>68</v>
      </c>
      <c r="X1773">
        <f t="shared" si="381"/>
        <v>0.35149999999999998</v>
      </c>
      <c r="Y1773" s="1">
        <f t="shared" si="382"/>
        <v>11558941</v>
      </c>
      <c r="Z1773">
        <f t="shared" si="383"/>
        <v>50475.724890829697</v>
      </c>
      <c r="AA1773">
        <f t="shared" si="384"/>
        <v>99664</v>
      </c>
      <c r="AB1773">
        <f t="shared" si="385"/>
        <v>5091</v>
      </c>
      <c r="AC1773">
        <f t="shared" si="386"/>
        <v>321024.53000000009</v>
      </c>
      <c r="AD1773">
        <f t="shared" si="387"/>
        <v>1401.8538427947601</v>
      </c>
      <c r="AE1773">
        <f t="shared" si="388"/>
        <v>0.35149999999999998</v>
      </c>
      <c r="AF1773">
        <f t="shared" si="389"/>
        <v>34522320.709999993</v>
      </c>
      <c r="AG1773" t="str">
        <f t="shared" si="390"/>
        <v>Active</v>
      </c>
      <c r="AH1773">
        <f t="shared" si="391"/>
        <v>939.96</v>
      </c>
    </row>
    <row r="1774" spans="1:34" x14ac:dyDescent="0.35">
      <c r="A1774" t="s">
        <v>4607</v>
      </c>
      <c r="B1774" t="s">
        <v>4608</v>
      </c>
      <c r="C1774">
        <v>46</v>
      </c>
      <c r="D1774" t="s">
        <v>22</v>
      </c>
      <c r="E1774" t="s">
        <v>32</v>
      </c>
      <c r="F1774" t="s">
        <v>59</v>
      </c>
      <c r="G1774">
        <v>183548</v>
      </c>
      <c r="H1774">
        <v>529</v>
      </c>
      <c r="I1774">
        <v>99193</v>
      </c>
      <c r="J1774">
        <v>19.89</v>
      </c>
      <c r="K1774">
        <v>60</v>
      </c>
      <c r="L1774" t="s">
        <v>25</v>
      </c>
      <c r="M1774">
        <v>34.79</v>
      </c>
      <c r="N1774">
        <v>60000</v>
      </c>
      <c r="O1774">
        <v>227194</v>
      </c>
      <c r="P1774" t="s">
        <v>1155</v>
      </c>
      <c r="Q1774" t="s">
        <v>42</v>
      </c>
      <c r="R1774" t="s">
        <v>48</v>
      </c>
      <c r="S1774" t="s">
        <v>68</v>
      </c>
      <c r="T1774">
        <v>1982.04</v>
      </c>
      <c r="U1774">
        <f t="shared" si="378"/>
        <v>228</v>
      </c>
      <c r="V1774">
        <f t="shared" si="379"/>
        <v>91</v>
      </c>
      <c r="W1774">
        <f t="shared" si="380"/>
        <v>68</v>
      </c>
      <c r="X1774">
        <f t="shared" si="381"/>
        <v>0.35149999999999998</v>
      </c>
      <c r="Y1774" s="1">
        <f t="shared" si="382"/>
        <v>11542818</v>
      </c>
      <c r="Z1774">
        <f t="shared" si="383"/>
        <v>50626.394736842107</v>
      </c>
      <c r="AA1774">
        <f t="shared" si="384"/>
        <v>99664</v>
      </c>
      <c r="AB1774">
        <f t="shared" si="385"/>
        <v>5091</v>
      </c>
      <c r="AC1774">
        <f t="shared" si="386"/>
        <v>320946.20000000007</v>
      </c>
      <c r="AD1774">
        <f t="shared" si="387"/>
        <v>1407.658771929825</v>
      </c>
      <c r="AE1774">
        <f t="shared" si="388"/>
        <v>0.35149999999999998</v>
      </c>
      <c r="AF1774">
        <f t="shared" si="389"/>
        <v>34201296.180000007</v>
      </c>
      <c r="AG1774" t="str">
        <f t="shared" si="390"/>
        <v>Active</v>
      </c>
      <c r="AH1774">
        <f t="shared" si="391"/>
        <v>23784.48</v>
      </c>
    </row>
    <row r="1775" spans="1:34" x14ac:dyDescent="0.35">
      <c r="A1775" t="s">
        <v>4609</v>
      </c>
      <c r="B1775" t="s">
        <v>4610</v>
      </c>
      <c r="C1775">
        <v>55</v>
      </c>
      <c r="D1775" t="s">
        <v>22</v>
      </c>
      <c r="E1775" t="s">
        <v>32</v>
      </c>
      <c r="F1775" t="s">
        <v>24</v>
      </c>
      <c r="G1775">
        <v>78720</v>
      </c>
      <c r="H1775">
        <v>816</v>
      </c>
      <c r="I1775">
        <v>19958</v>
      </c>
      <c r="J1775">
        <v>15.52</v>
      </c>
      <c r="K1775">
        <v>36</v>
      </c>
      <c r="L1775" t="s">
        <v>86</v>
      </c>
      <c r="M1775">
        <v>31.99</v>
      </c>
      <c r="N1775">
        <v>39872</v>
      </c>
      <c r="O1775">
        <v>144792</v>
      </c>
      <c r="P1775" t="s">
        <v>1329</v>
      </c>
      <c r="Q1775" t="s">
        <v>61</v>
      </c>
      <c r="R1775" t="s">
        <v>48</v>
      </c>
      <c r="S1775" t="s">
        <v>49</v>
      </c>
      <c r="T1775">
        <v>640.42999999999995</v>
      </c>
      <c r="U1775">
        <f t="shared" si="378"/>
        <v>227</v>
      </c>
      <c r="V1775">
        <f t="shared" si="379"/>
        <v>90</v>
      </c>
      <c r="W1775">
        <f t="shared" si="380"/>
        <v>68</v>
      </c>
      <c r="X1775">
        <f t="shared" si="381"/>
        <v>0.35149999999999998</v>
      </c>
      <c r="Y1775" s="1">
        <f t="shared" si="382"/>
        <v>11443625</v>
      </c>
      <c r="Z1775">
        <f t="shared" si="383"/>
        <v>50412.444933920706</v>
      </c>
      <c r="AA1775">
        <f t="shared" si="384"/>
        <v>99664</v>
      </c>
      <c r="AB1775">
        <f t="shared" si="385"/>
        <v>5091</v>
      </c>
      <c r="AC1775">
        <f t="shared" si="386"/>
        <v>318964.16000000009</v>
      </c>
      <c r="AD1775">
        <f t="shared" si="387"/>
        <v>1405.12845814978</v>
      </c>
      <c r="AE1775">
        <f t="shared" si="388"/>
        <v>0.35149999999999998</v>
      </c>
      <c r="AF1775">
        <f t="shared" si="389"/>
        <v>33880349.980000019</v>
      </c>
      <c r="AG1775" t="str">
        <f t="shared" si="390"/>
        <v>Active</v>
      </c>
      <c r="AH1775">
        <f t="shared" si="391"/>
        <v>7685.16</v>
      </c>
    </row>
    <row r="1776" spans="1:34" x14ac:dyDescent="0.35">
      <c r="A1776" t="s">
        <v>4611</v>
      </c>
      <c r="B1776" t="s">
        <v>4612</v>
      </c>
      <c r="C1776">
        <v>32</v>
      </c>
      <c r="D1776" t="s">
        <v>22</v>
      </c>
      <c r="E1776" t="s">
        <v>39</v>
      </c>
      <c r="F1776" t="s">
        <v>46</v>
      </c>
      <c r="G1776">
        <v>107107</v>
      </c>
      <c r="H1776">
        <v>747</v>
      </c>
      <c r="I1776">
        <v>54326</v>
      </c>
      <c r="J1776">
        <v>17.64</v>
      </c>
      <c r="K1776">
        <v>120</v>
      </c>
      <c r="L1776" t="s">
        <v>40</v>
      </c>
      <c r="M1776">
        <v>49.8</v>
      </c>
      <c r="N1776">
        <v>73319</v>
      </c>
      <c r="O1776">
        <v>4385</v>
      </c>
      <c r="P1776" t="s">
        <v>3111</v>
      </c>
      <c r="Q1776" t="s">
        <v>27</v>
      </c>
      <c r="R1776" t="s">
        <v>48</v>
      </c>
      <c r="S1776" t="s">
        <v>43</v>
      </c>
      <c r="T1776">
        <v>532.58000000000004</v>
      </c>
      <c r="U1776">
        <f t="shared" si="378"/>
        <v>226</v>
      </c>
      <c r="V1776">
        <f t="shared" si="379"/>
        <v>90</v>
      </c>
      <c r="W1776">
        <f t="shared" si="380"/>
        <v>67</v>
      </c>
      <c r="X1776">
        <f t="shared" si="381"/>
        <v>0.35149999999999998</v>
      </c>
      <c r="Y1776" s="1">
        <f t="shared" si="382"/>
        <v>11423667</v>
      </c>
      <c r="Z1776">
        <f t="shared" si="383"/>
        <v>50547.199115044248</v>
      </c>
      <c r="AA1776">
        <f t="shared" si="384"/>
        <v>99664</v>
      </c>
      <c r="AB1776">
        <f t="shared" si="385"/>
        <v>5091</v>
      </c>
      <c r="AC1776">
        <f t="shared" si="386"/>
        <v>318323.7300000001</v>
      </c>
      <c r="AD1776">
        <f t="shared" si="387"/>
        <v>1408.512079646018</v>
      </c>
      <c r="AE1776">
        <f t="shared" si="388"/>
        <v>0.35149999999999998</v>
      </c>
      <c r="AF1776">
        <f t="shared" si="389"/>
        <v>33561385.820000008</v>
      </c>
      <c r="AG1776" t="str">
        <f t="shared" si="390"/>
        <v>Active</v>
      </c>
      <c r="AH1776">
        <f t="shared" si="391"/>
        <v>6390.9600000000009</v>
      </c>
    </row>
    <row r="1777" spans="1:34" x14ac:dyDescent="0.35">
      <c r="A1777" t="s">
        <v>4613</v>
      </c>
      <c r="B1777" t="s">
        <v>4614</v>
      </c>
      <c r="C1777">
        <v>31</v>
      </c>
      <c r="D1777" t="s">
        <v>22</v>
      </c>
      <c r="E1777" t="s">
        <v>32</v>
      </c>
      <c r="F1777" t="s">
        <v>24</v>
      </c>
      <c r="G1777">
        <v>87489</v>
      </c>
      <c r="H1777">
        <v>723</v>
      </c>
      <c r="I1777">
        <v>99383</v>
      </c>
      <c r="J1777">
        <v>22.46</v>
      </c>
      <c r="K1777">
        <v>12</v>
      </c>
      <c r="L1777" t="s">
        <v>52</v>
      </c>
      <c r="M1777">
        <v>54.56</v>
      </c>
      <c r="N1777">
        <v>18718</v>
      </c>
      <c r="O1777">
        <v>173439</v>
      </c>
      <c r="P1777" t="s">
        <v>4615</v>
      </c>
      <c r="Q1777" t="s">
        <v>42</v>
      </c>
      <c r="R1777" t="s">
        <v>28</v>
      </c>
      <c r="S1777" t="s">
        <v>68</v>
      </c>
      <c r="T1777">
        <v>10142.040000000001</v>
      </c>
      <c r="U1777">
        <f t="shared" si="378"/>
        <v>225</v>
      </c>
      <c r="V1777">
        <f t="shared" si="379"/>
        <v>90</v>
      </c>
      <c r="W1777">
        <f t="shared" si="380"/>
        <v>67</v>
      </c>
      <c r="X1777">
        <f t="shared" si="381"/>
        <v>0.35149999999999998</v>
      </c>
      <c r="Y1777" s="1">
        <f t="shared" si="382"/>
        <v>11369341</v>
      </c>
      <c r="Z1777">
        <f t="shared" si="383"/>
        <v>50530.404444444444</v>
      </c>
      <c r="AA1777">
        <f t="shared" si="384"/>
        <v>99664</v>
      </c>
      <c r="AB1777">
        <f t="shared" si="385"/>
        <v>5091</v>
      </c>
      <c r="AC1777">
        <f t="shared" si="386"/>
        <v>317791.15000000008</v>
      </c>
      <c r="AD1777">
        <f t="shared" si="387"/>
        <v>1412.4051111111114</v>
      </c>
      <c r="AE1777">
        <f t="shared" si="388"/>
        <v>0.35149999999999998</v>
      </c>
      <c r="AF1777">
        <f t="shared" si="389"/>
        <v>33243062.090000007</v>
      </c>
      <c r="AG1777" t="str">
        <f t="shared" si="390"/>
        <v>Active</v>
      </c>
      <c r="AH1777">
        <f t="shared" si="391"/>
        <v>121704.48000000001</v>
      </c>
    </row>
    <row r="1778" spans="1:34" x14ac:dyDescent="0.35">
      <c r="A1778" t="s">
        <v>4616</v>
      </c>
      <c r="B1778" t="s">
        <v>4617</v>
      </c>
      <c r="C1778">
        <v>53</v>
      </c>
      <c r="D1778" t="s">
        <v>22</v>
      </c>
      <c r="E1778" t="s">
        <v>39</v>
      </c>
      <c r="F1778" t="s">
        <v>46</v>
      </c>
      <c r="G1778">
        <v>109263</v>
      </c>
      <c r="H1778">
        <v>712</v>
      </c>
      <c r="I1778">
        <v>71765</v>
      </c>
      <c r="J1778">
        <v>17.84</v>
      </c>
      <c r="K1778">
        <v>24</v>
      </c>
      <c r="L1778" t="s">
        <v>40</v>
      </c>
      <c r="M1778">
        <v>59.51</v>
      </c>
      <c r="N1778">
        <v>31498</v>
      </c>
      <c r="O1778">
        <v>82713</v>
      </c>
      <c r="P1778" t="s">
        <v>1403</v>
      </c>
      <c r="Q1778" t="s">
        <v>61</v>
      </c>
      <c r="R1778" t="s">
        <v>28</v>
      </c>
      <c r="S1778" t="s">
        <v>29</v>
      </c>
      <c r="T1778">
        <v>3523.66</v>
      </c>
      <c r="U1778">
        <f t="shared" si="378"/>
        <v>224</v>
      </c>
      <c r="V1778">
        <f t="shared" si="379"/>
        <v>89</v>
      </c>
      <c r="W1778">
        <f t="shared" si="380"/>
        <v>67</v>
      </c>
      <c r="X1778">
        <f t="shared" si="381"/>
        <v>0.35149999999999998</v>
      </c>
      <c r="Y1778" s="1">
        <f t="shared" si="382"/>
        <v>11269958</v>
      </c>
      <c r="Z1778">
        <f t="shared" si="383"/>
        <v>50312.3125</v>
      </c>
      <c r="AA1778">
        <f t="shared" si="384"/>
        <v>99664</v>
      </c>
      <c r="AB1778">
        <f t="shared" si="385"/>
        <v>5091</v>
      </c>
      <c r="AC1778">
        <f t="shared" si="386"/>
        <v>307649.11000000004</v>
      </c>
      <c r="AD1778">
        <f t="shared" si="387"/>
        <v>1373.4335267857145</v>
      </c>
      <c r="AE1778">
        <f t="shared" si="388"/>
        <v>0.35149999999999998</v>
      </c>
      <c r="AF1778">
        <f t="shared" si="389"/>
        <v>32925270.940000009</v>
      </c>
      <c r="AG1778" t="str">
        <f t="shared" si="390"/>
        <v>Over Paid</v>
      </c>
      <c r="AH1778">
        <f t="shared" si="391"/>
        <v>42283.92</v>
      </c>
    </row>
    <row r="1779" spans="1:34" x14ac:dyDescent="0.35">
      <c r="A1779" t="s">
        <v>4618</v>
      </c>
      <c r="B1779" t="s">
        <v>4619</v>
      </c>
      <c r="C1779">
        <v>33</v>
      </c>
      <c r="D1779" t="s">
        <v>22</v>
      </c>
      <c r="E1779" t="s">
        <v>23</v>
      </c>
      <c r="F1779" t="s">
        <v>59</v>
      </c>
      <c r="G1779">
        <v>47707</v>
      </c>
      <c r="H1779">
        <v>489</v>
      </c>
      <c r="I1779">
        <v>9083</v>
      </c>
      <c r="J1779">
        <v>23.67</v>
      </c>
      <c r="K1779">
        <v>60</v>
      </c>
      <c r="L1779" t="s">
        <v>33</v>
      </c>
      <c r="M1779">
        <v>19</v>
      </c>
      <c r="N1779">
        <v>49216</v>
      </c>
      <c r="O1779">
        <v>32140</v>
      </c>
      <c r="P1779" t="s">
        <v>1676</v>
      </c>
      <c r="Q1779" t="s">
        <v>27</v>
      </c>
      <c r="R1779" t="s">
        <v>48</v>
      </c>
      <c r="S1779" t="s">
        <v>49</v>
      </c>
      <c r="T1779">
        <v>187.22</v>
      </c>
      <c r="U1779">
        <f t="shared" si="378"/>
        <v>223</v>
      </c>
      <c r="V1779">
        <f t="shared" si="379"/>
        <v>89</v>
      </c>
      <c r="W1779">
        <f t="shared" si="380"/>
        <v>66</v>
      </c>
      <c r="X1779">
        <f t="shared" si="381"/>
        <v>0.35149999999999998</v>
      </c>
      <c r="Y1779" s="1">
        <f t="shared" si="382"/>
        <v>11198193</v>
      </c>
      <c r="Z1779">
        <f t="shared" si="383"/>
        <v>50216.112107623318</v>
      </c>
      <c r="AA1779">
        <f t="shared" si="384"/>
        <v>99664</v>
      </c>
      <c r="AB1779">
        <f t="shared" si="385"/>
        <v>5091</v>
      </c>
      <c r="AC1779">
        <f t="shared" si="386"/>
        <v>304125.44999999995</v>
      </c>
      <c r="AD1779">
        <f t="shared" si="387"/>
        <v>1363.7912556053809</v>
      </c>
      <c r="AE1779">
        <f t="shared" si="388"/>
        <v>0.35149999999999998</v>
      </c>
      <c r="AF1779">
        <f t="shared" si="389"/>
        <v>32617621.830000002</v>
      </c>
      <c r="AG1779" t="str">
        <f t="shared" si="390"/>
        <v>Active</v>
      </c>
      <c r="AH1779">
        <f t="shared" si="391"/>
        <v>2246.64</v>
      </c>
    </row>
    <row r="1780" spans="1:34" x14ac:dyDescent="0.35">
      <c r="A1780" t="s">
        <v>4620</v>
      </c>
      <c r="B1780" t="s">
        <v>4621</v>
      </c>
      <c r="C1780">
        <v>39</v>
      </c>
      <c r="D1780" t="s">
        <v>38</v>
      </c>
      <c r="E1780" t="s">
        <v>23</v>
      </c>
      <c r="F1780" t="s">
        <v>24</v>
      </c>
      <c r="G1780">
        <v>141302</v>
      </c>
      <c r="H1780">
        <v>394</v>
      </c>
      <c r="I1780">
        <v>9547</v>
      </c>
      <c r="J1780">
        <v>15.09</v>
      </c>
      <c r="K1780">
        <v>60</v>
      </c>
      <c r="L1780" t="s">
        <v>52</v>
      </c>
      <c r="M1780">
        <v>41.1</v>
      </c>
      <c r="N1780">
        <v>73070</v>
      </c>
      <c r="O1780">
        <v>218980</v>
      </c>
      <c r="P1780" t="s">
        <v>2100</v>
      </c>
      <c r="Q1780" t="s">
        <v>61</v>
      </c>
      <c r="R1780" t="s">
        <v>28</v>
      </c>
      <c r="S1780" t="s">
        <v>35</v>
      </c>
      <c r="T1780">
        <v>183.13</v>
      </c>
      <c r="U1780">
        <f t="shared" si="378"/>
        <v>222</v>
      </c>
      <c r="V1780">
        <f t="shared" si="379"/>
        <v>89</v>
      </c>
      <c r="W1780">
        <f t="shared" si="380"/>
        <v>66</v>
      </c>
      <c r="X1780">
        <f t="shared" si="381"/>
        <v>0.35149999999999998</v>
      </c>
      <c r="Y1780" s="1">
        <f t="shared" si="382"/>
        <v>11189110</v>
      </c>
      <c r="Z1780">
        <f t="shared" si="383"/>
        <v>50401.396396396398</v>
      </c>
      <c r="AA1780">
        <f t="shared" si="384"/>
        <v>99664</v>
      </c>
      <c r="AB1780">
        <f t="shared" si="385"/>
        <v>5091</v>
      </c>
      <c r="AC1780">
        <f t="shared" si="386"/>
        <v>303938.23</v>
      </c>
      <c r="AD1780">
        <f t="shared" si="387"/>
        <v>1369.091126126126</v>
      </c>
      <c r="AE1780">
        <f t="shared" si="388"/>
        <v>0.35149999999999998</v>
      </c>
      <c r="AF1780">
        <f t="shared" si="389"/>
        <v>32313496.380000006</v>
      </c>
      <c r="AG1780" t="str">
        <f t="shared" si="390"/>
        <v>Active</v>
      </c>
      <c r="AH1780">
        <f t="shared" si="391"/>
        <v>2197.56</v>
      </c>
    </row>
    <row r="1781" spans="1:34" x14ac:dyDescent="0.35">
      <c r="A1781" t="s">
        <v>4622</v>
      </c>
      <c r="B1781" t="s">
        <v>4623</v>
      </c>
      <c r="C1781">
        <v>52</v>
      </c>
      <c r="D1781" t="s">
        <v>22</v>
      </c>
      <c r="E1781" t="s">
        <v>23</v>
      </c>
      <c r="F1781" t="s">
        <v>46</v>
      </c>
      <c r="G1781">
        <v>31018</v>
      </c>
      <c r="H1781">
        <v>335</v>
      </c>
      <c r="I1781">
        <v>87029</v>
      </c>
      <c r="J1781">
        <v>12.19</v>
      </c>
      <c r="K1781">
        <v>48</v>
      </c>
      <c r="L1781" t="s">
        <v>40</v>
      </c>
      <c r="M1781">
        <v>54.94</v>
      </c>
      <c r="N1781">
        <v>7815</v>
      </c>
      <c r="O1781">
        <v>39526</v>
      </c>
      <c r="P1781" t="s">
        <v>4624</v>
      </c>
      <c r="Q1781" t="s">
        <v>61</v>
      </c>
      <c r="R1781" t="s">
        <v>48</v>
      </c>
      <c r="S1781" t="s">
        <v>49</v>
      </c>
      <c r="T1781">
        <v>2034.12</v>
      </c>
      <c r="U1781">
        <f t="shared" si="378"/>
        <v>221</v>
      </c>
      <c r="V1781">
        <f t="shared" si="379"/>
        <v>89</v>
      </c>
      <c r="W1781">
        <f t="shared" si="380"/>
        <v>65</v>
      </c>
      <c r="X1781">
        <f t="shared" si="381"/>
        <v>0.35149999999999998</v>
      </c>
      <c r="Y1781" s="1">
        <f t="shared" si="382"/>
        <v>11179563</v>
      </c>
      <c r="Z1781">
        <f t="shared" si="383"/>
        <v>50586.257918552037</v>
      </c>
      <c r="AA1781">
        <f t="shared" si="384"/>
        <v>99664</v>
      </c>
      <c r="AB1781">
        <f t="shared" si="385"/>
        <v>5091</v>
      </c>
      <c r="AC1781">
        <f t="shared" si="386"/>
        <v>303755.09999999998</v>
      </c>
      <c r="AD1781">
        <f t="shared" si="387"/>
        <v>1374.4574660633484</v>
      </c>
      <c r="AE1781">
        <f t="shared" si="388"/>
        <v>0.35149999999999998</v>
      </c>
      <c r="AF1781">
        <f t="shared" si="389"/>
        <v>32009558.150000002</v>
      </c>
      <c r="AG1781" t="str">
        <f t="shared" si="390"/>
        <v>Active</v>
      </c>
      <c r="AH1781">
        <f t="shared" si="391"/>
        <v>24409.439999999999</v>
      </c>
    </row>
    <row r="1782" spans="1:34" x14ac:dyDescent="0.35">
      <c r="A1782" t="s">
        <v>4625</v>
      </c>
      <c r="B1782" t="s">
        <v>4626</v>
      </c>
      <c r="C1782">
        <v>51</v>
      </c>
      <c r="D1782" t="s">
        <v>38</v>
      </c>
      <c r="E1782" t="s">
        <v>23</v>
      </c>
      <c r="F1782" t="s">
        <v>46</v>
      </c>
      <c r="G1782">
        <v>176742</v>
      </c>
      <c r="H1782">
        <v>476</v>
      </c>
      <c r="I1782">
        <v>43681</v>
      </c>
      <c r="J1782">
        <v>20.99</v>
      </c>
      <c r="K1782">
        <v>24</v>
      </c>
      <c r="L1782" t="s">
        <v>40</v>
      </c>
      <c r="M1782">
        <v>38.36</v>
      </c>
      <c r="N1782">
        <v>26543</v>
      </c>
      <c r="O1782">
        <v>144055</v>
      </c>
      <c r="P1782" t="s">
        <v>2637</v>
      </c>
      <c r="Q1782" t="s">
        <v>27</v>
      </c>
      <c r="R1782" t="s">
        <v>28</v>
      </c>
      <c r="S1782" t="s">
        <v>49</v>
      </c>
      <c r="T1782">
        <v>2202.0700000000002</v>
      </c>
      <c r="U1782">
        <f t="shared" si="378"/>
        <v>220</v>
      </c>
      <c r="V1782">
        <f t="shared" si="379"/>
        <v>89</v>
      </c>
      <c r="W1782">
        <f t="shared" si="380"/>
        <v>64</v>
      </c>
      <c r="X1782">
        <f t="shared" si="381"/>
        <v>0.35149999999999998</v>
      </c>
      <c r="Y1782" s="1">
        <f t="shared" si="382"/>
        <v>11092534</v>
      </c>
      <c r="Z1782">
        <f t="shared" si="383"/>
        <v>50420.609090909093</v>
      </c>
      <c r="AA1782">
        <f t="shared" si="384"/>
        <v>99664</v>
      </c>
      <c r="AB1782">
        <f t="shared" si="385"/>
        <v>5091</v>
      </c>
      <c r="AC1782">
        <f t="shared" si="386"/>
        <v>301720.98</v>
      </c>
      <c r="AD1782">
        <f t="shared" si="387"/>
        <v>1371.4589999999998</v>
      </c>
      <c r="AE1782">
        <f t="shared" si="388"/>
        <v>0.35149999999999998</v>
      </c>
      <c r="AF1782">
        <f t="shared" si="389"/>
        <v>31705803.050000001</v>
      </c>
      <c r="AG1782" t="str">
        <f t="shared" si="390"/>
        <v>Active</v>
      </c>
      <c r="AH1782">
        <f t="shared" si="391"/>
        <v>26424.840000000004</v>
      </c>
    </row>
    <row r="1783" spans="1:34" x14ac:dyDescent="0.35">
      <c r="A1783" t="s">
        <v>4627</v>
      </c>
      <c r="B1783" t="s">
        <v>4628</v>
      </c>
      <c r="C1783">
        <v>59</v>
      </c>
      <c r="D1783" t="s">
        <v>38</v>
      </c>
      <c r="E1783" t="s">
        <v>32</v>
      </c>
      <c r="F1783" t="s">
        <v>46</v>
      </c>
      <c r="G1783">
        <v>114860</v>
      </c>
      <c r="H1783">
        <v>733</v>
      </c>
      <c r="I1783">
        <v>54643</v>
      </c>
      <c r="J1783">
        <v>22.01</v>
      </c>
      <c r="K1783">
        <v>36</v>
      </c>
      <c r="L1783" t="s">
        <v>40</v>
      </c>
      <c r="M1783">
        <v>33.020000000000003</v>
      </c>
      <c r="N1783">
        <v>27828</v>
      </c>
      <c r="O1783">
        <v>214267</v>
      </c>
      <c r="P1783" t="s">
        <v>4629</v>
      </c>
      <c r="Q1783" t="s">
        <v>27</v>
      </c>
      <c r="R1783" t="s">
        <v>28</v>
      </c>
      <c r="S1783" t="s">
        <v>68</v>
      </c>
      <c r="T1783">
        <v>1851.94</v>
      </c>
      <c r="U1783">
        <f t="shared" si="378"/>
        <v>219</v>
      </c>
      <c r="V1783">
        <f t="shared" si="379"/>
        <v>89</v>
      </c>
      <c r="W1783">
        <f t="shared" si="380"/>
        <v>64</v>
      </c>
      <c r="X1783">
        <f t="shared" si="381"/>
        <v>0.35149999999999998</v>
      </c>
      <c r="Y1783" s="1">
        <f t="shared" si="382"/>
        <v>11048853</v>
      </c>
      <c r="Z1783">
        <f t="shared" si="383"/>
        <v>50451.383561643837</v>
      </c>
      <c r="AA1783">
        <f t="shared" si="384"/>
        <v>99664</v>
      </c>
      <c r="AB1783">
        <f t="shared" si="385"/>
        <v>5091</v>
      </c>
      <c r="AC1783">
        <f t="shared" si="386"/>
        <v>299518.90999999997</v>
      </c>
      <c r="AD1783">
        <f t="shared" si="387"/>
        <v>1367.6662557077625</v>
      </c>
      <c r="AE1783">
        <f t="shared" si="388"/>
        <v>0.35149999999999998</v>
      </c>
      <c r="AF1783">
        <f t="shared" si="389"/>
        <v>31404082.069999997</v>
      </c>
      <c r="AG1783" t="str">
        <f t="shared" si="390"/>
        <v>Active</v>
      </c>
      <c r="AH1783">
        <f t="shared" si="391"/>
        <v>22223.279999999999</v>
      </c>
    </row>
    <row r="1784" spans="1:34" x14ac:dyDescent="0.35">
      <c r="A1784" t="s">
        <v>4630</v>
      </c>
      <c r="B1784" t="s">
        <v>4631</v>
      </c>
      <c r="C1784">
        <v>37</v>
      </c>
      <c r="D1784" t="s">
        <v>22</v>
      </c>
      <c r="E1784" t="s">
        <v>32</v>
      </c>
      <c r="F1784" t="s">
        <v>24</v>
      </c>
      <c r="G1784">
        <v>100979</v>
      </c>
      <c r="H1784">
        <v>769</v>
      </c>
      <c r="I1784">
        <v>24899</v>
      </c>
      <c r="J1784">
        <v>14.01</v>
      </c>
      <c r="K1784">
        <v>180</v>
      </c>
      <c r="L1784" t="s">
        <v>86</v>
      </c>
      <c r="M1784">
        <v>33.549999999999997</v>
      </c>
      <c r="N1784">
        <v>44535</v>
      </c>
      <c r="O1784">
        <v>43493</v>
      </c>
      <c r="P1784" t="s">
        <v>946</v>
      </c>
      <c r="Q1784" t="s">
        <v>27</v>
      </c>
      <c r="R1784" t="s">
        <v>48</v>
      </c>
      <c r="S1784" t="s">
        <v>68</v>
      </c>
      <c r="T1784">
        <v>157.71</v>
      </c>
      <c r="U1784">
        <f t="shared" si="378"/>
        <v>218</v>
      </c>
      <c r="V1784">
        <f t="shared" si="379"/>
        <v>89</v>
      </c>
      <c r="W1784">
        <f t="shared" si="380"/>
        <v>64</v>
      </c>
      <c r="X1784">
        <f t="shared" si="381"/>
        <v>0.35149999999999998</v>
      </c>
      <c r="Y1784" s="1">
        <f t="shared" si="382"/>
        <v>10994210</v>
      </c>
      <c r="Z1784">
        <f t="shared" si="383"/>
        <v>50432.15596330275</v>
      </c>
      <c r="AA1784">
        <f t="shared" si="384"/>
        <v>99664</v>
      </c>
      <c r="AB1784">
        <f t="shared" si="385"/>
        <v>5091</v>
      </c>
      <c r="AC1784">
        <f t="shared" si="386"/>
        <v>297666.96999999997</v>
      </c>
      <c r="AD1784">
        <f t="shared" si="387"/>
        <v>1365.4448165137615</v>
      </c>
      <c r="AE1784">
        <f t="shared" si="388"/>
        <v>0.35149999999999998</v>
      </c>
      <c r="AF1784">
        <f t="shared" si="389"/>
        <v>31104563.16</v>
      </c>
      <c r="AG1784" t="str">
        <f t="shared" si="390"/>
        <v>Active</v>
      </c>
      <c r="AH1784">
        <f t="shared" si="391"/>
        <v>1892.52</v>
      </c>
    </row>
    <row r="1785" spans="1:34" x14ac:dyDescent="0.35">
      <c r="A1785" t="s">
        <v>4632</v>
      </c>
      <c r="B1785" t="s">
        <v>4633</v>
      </c>
      <c r="C1785">
        <v>45</v>
      </c>
      <c r="D1785" t="s">
        <v>38</v>
      </c>
      <c r="E1785" t="s">
        <v>23</v>
      </c>
      <c r="F1785" t="s">
        <v>24</v>
      </c>
      <c r="G1785">
        <v>103520</v>
      </c>
      <c r="H1785">
        <v>553</v>
      </c>
      <c r="I1785">
        <v>67244</v>
      </c>
      <c r="J1785">
        <v>10.18</v>
      </c>
      <c r="K1785">
        <v>36</v>
      </c>
      <c r="L1785" t="s">
        <v>86</v>
      </c>
      <c r="M1785">
        <v>58.63</v>
      </c>
      <c r="N1785">
        <v>51737</v>
      </c>
      <c r="O1785">
        <v>128361</v>
      </c>
      <c r="P1785" t="s">
        <v>4634</v>
      </c>
      <c r="Q1785" t="s">
        <v>27</v>
      </c>
      <c r="R1785" t="s">
        <v>28</v>
      </c>
      <c r="S1785" t="s">
        <v>43</v>
      </c>
      <c r="T1785">
        <v>2058.04</v>
      </c>
      <c r="U1785">
        <f t="shared" si="378"/>
        <v>217</v>
      </c>
      <c r="V1785">
        <f t="shared" si="379"/>
        <v>89</v>
      </c>
      <c r="W1785">
        <f t="shared" si="380"/>
        <v>64</v>
      </c>
      <c r="X1785">
        <f t="shared" si="381"/>
        <v>0.35149999999999998</v>
      </c>
      <c r="Y1785" s="1">
        <f t="shared" si="382"/>
        <v>10969311</v>
      </c>
      <c r="Z1785">
        <f t="shared" si="383"/>
        <v>50549.820276497696</v>
      </c>
      <c r="AA1785">
        <f t="shared" si="384"/>
        <v>99664</v>
      </c>
      <c r="AB1785">
        <f t="shared" si="385"/>
        <v>5091</v>
      </c>
      <c r="AC1785">
        <f t="shared" si="386"/>
        <v>297509.26</v>
      </c>
      <c r="AD1785">
        <f t="shared" si="387"/>
        <v>1371.0104147465438</v>
      </c>
      <c r="AE1785">
        <f t="shared" si="388"/>
        <v>0.35149999999999998</v>
      </c>
      <c r="AF1785">
        <f t="shared" si="389"/>
        <v>30806896.189999994</v>
      </c>
      <c r="AG1785" t="str">
        <f t="shared" si="390"/>
        <v>Active</v>
      </c>
      <c r="AH1785">
        <f t="shared" si="391"/>
        <v>24696.48</v>
      </c>
    </row>
    <row r="1786" spans="1:34" x14ac:dyDescent="0.35">
      <c r="A1786" t="s">
        <v>4635</v>
      </c>
      <c r="B1786" t="s">
        <v>4636</v>
      </c>
      <c r="C1786">
        <v>49</v>
      </c>
      <c r="D1786" t="s">
        <v>22</v>
      </c>
      <c r="E1786" t="s">
        <v>32</v>
      </c>
      <c r="F1786" t="s">
        <v>59</v>
      </c>
      <c r="G1786">
        <v>127819</v>
      </c>
      <c r="H1786">
        <v>583</v>
      </c>
      <c r="I1786">
        <v>99649</v>
      </c>
      <c r="J1786">
        <v>15.14</v>
      </c>
      <c r="K1786">
        <v>36</v>
      </c>
      <c r="L1786" t="s">
        <v>33</v>
      </c>
      <c r="M1786">
        <v>42.88</v>
      </c>
      <c r="N1786">
        <v>19902</v>
      </c>
      <c r="O1786">
        <v>58311</v>
      </c>
      <c r="P1786" t="s">
        <v>785</v>
      </c>
      <c r="Q1786" t="s">
        <v>27</v>
      </c>
      <c r="R1786" t="s">
        <v>28</v>
      </c>
      <c r="S1786" t="s">
        <v>43</v>
      </c>
      <c r="T1786">
        <v>3187.11</v>
      </c>
      <c r="U1786">
        <f t="shared" si="378"/>
        <v>216</v>
      </c>
      <c r="V1786">
        <f t="shared" si="379"/>
        <v>89</v>
      </c>
      <c r="W1786">
        <f t="shared" si="380"/>
        <v>64</v>
      </c>
      <c r="X1786">
        <f t="shared" si="381"/>
        <v>0.35149999999999998</v>
      </c>
      <c r="Y1786" s="1">
        <f t="shared" si="382"/>
        <v>10902067</v>
      </c>
      <c r="Z1786">
        <f t="shared" si="383"/>
        <v>50472.532407407409</v>
      </c>
      <c r="AA1786">
        <f t="shared" si="384"/>
        <v>99664</v>
      </c>
      <c r="AB1786">
        <f t="shared" si="385"/>
        <v>5091</v>
      </c>
      <c r="AC1786">
        <f t="shared" si="386"/>
        <v>295451.21999999997</v>
      </c>
      <c r="AD1786">
        <f t="shared" si="387"/>
        <v>1367.829722222222</v>
      </c>
      <c r="AE1786">
        <f t="shared" si="388"/>
        <v>0.35149999999999998</v>
      </c>
      <c r="AF1786">
        <f t="shared" si="389"/>
        <v>30509386.929999996</v>
      </c>
      <c r="AG1786" t="str">
        <f t="shared" si="390"/>
        <v>Active</v>
      </c>
      <c r="AH1786">
        <f t="shared" si="391"/>
        <v>38245.32</v>
      </c>
    </row>
    <row r="1787" spans="1:34" x14ac:dyDescent="0.35">
      <c r="A1787" t="s">
        <v>4637</v>
      </c>
      <c r="B1787" t="s">
        <v>4638</v>
      </c>
      <c r="C1787">
        <v>61</v>
      </c>
      <c r="D1787" t="s">
        <v>38</v>
      </c>
      <c r="E1787" t="s">
        <v>39</v>
      </c>
      <c r="F1787" t="s">
        <v>24</v>
      </c>
      <c r="G1787">
        <v>91052</v>
      </c>
      <c r="H1787">
        <v>498</v>
      </c>
      <c r="I1787">
        <v>16036</v>
      </c>
      <c r="J1787">
        <v>4.3099999999999996</v>
      </c>
      <c r="K1787">
        <v>180</v>
      </c>
      <c r="L1787" t="s">
        <v>33</v>
      </c>
      <c r="M1787">
        <v>59.41</v>
      </c>
      <c r="N1787">
        <v>17771</v>
      </c>
      <c r="O1787">
        <v>164603</v>
      </c>
      <c r="P1787" t="s">
        <v>4639</v>
      </c>
      <c r="Q1787" t="s">
        <v>42</v>
      </c>
      <c r="R1787" t="s">
        <v>48</v>
      </c>
      <c r="S1787" t="s">
        <v>29</v>
      </c>
      <c r="T1787">
        <v>92.93</v>
      </c>
      <c r="U1787">
        <f t="shared" si="378"/>
        <v>215</v>
      </c>
      <c r="V1787">
        <f t="shared" si="379"/>
        <v>89</v>
      </c>
      <c r="W1787">
        <f t="shared" si="380"/>
        <v>64</v>
      </c>
      <c r="X1787">
        <f t="shared" si="381"/>
        <v>0.35149999999999998</v>
      </c>
      <c r="Y1787" s="1">
        <f t="shared" si="382"/>
        <v>10802418</v>
      </c>
      <c r="Z1787">
        <f t="shared" si="383"/>
        <v>50243.804651162791</v>
      </c>
      <c r="AA1787">
        <f t="shared" si="384"/>
        <v>99664</v>
      </c>
      <c r="AB1787">
        <f t="shared" si="385"/>
        <v>5091</v>
      </c>
      <c r="AC1787">
        <f t="shared" si="386"/>
        <v>292264.11</v>
      </c>
      <c r="AD1787">
        <f t="shared" si="387"/>
        <v>1359.367953488372</v>
      </c>
      <c r="AE1787">
        <f t="shared" si="388"/>
        <v>0.35149999999999998</v>
      </c>
      <c r="AF1787">
        <f t="shared" si="389"/>
        <v>30213935.709999997</v>
      </c>
      <c r="AG1787" t="str">
        <f t="shared" si="390"/>
        <v>Active</v>
      </c>
      <c r="AH1787">
        <f t="shared" si="391"/>
        <v>1115.1600000000001</v>
      </c>
    </row>
    <row r="1788" spans="1:34" x14ac:dyDescent="0.35">
      <c r="A1788" t="s">
        <v>4640</v>
      </c>
      <c r="B1788" t="s">
        <v>4641</v>
      </c>
      <c r="C1788">
        <v>29</v>
      </c>
      <c r="D1788" t="s">
        <v>38</v>
      </c>
      <c r="E1788" t="s">
        <v>23</v>
      </c>
      <c r="F1788" t="s">
        <v>59</v>
      </c>
      <c r="G1788">
        <v>181347</v>
      </c>
      <c r="H1788">
        <v>579</v>
      </c>
      <c r="I1788">
        <v>67161</v>
      </c>
      <c r="J1788">
        <v>16.190000000000001</v>
      </c>
      <c r="K1788">
        <v>360</v>
      </c>
      <c r="L1788" t="s">
        <v>25</v>
      </c>
      <c r="M1788">
        <v>36.39</v>
      </c>
      <c r="N1788">
        <v>38192</v>
      </c>
      <c r="O1788">
        <v>52739</v>
      </c>
      <c r="P1788" t="s">
        <v>4642</v>
      </c>
      <c r="Q1788" t="s">
        <v>61</v>
      </c>
      <c r="R1788" t="s">
        <v>48</v>
      </c>
      <c r="S1788" t="s">
        <v>68</v>
      </c>
      <c r="T1788">
        <v>216.76</v>
      </c>
      <c r="U1788">
        <f t="shared" si="378"/>
        <v>214</v>
      </c>
      <c r="V1788">
        <f t="shared" si="379"/>
        <v>88</v>
      </c>
      <c r="W1788">
        <f t="shared" si="380"/>
        <v>64</v>
      </c>
      <c r="X1788">
        <f t="shared" si="381"/>
        <v>0.35149999999999998</v>
      </c>
      <c r="Y1788" s="1">
        <f t="shared" si="382"/>
        <v>10786382</v>
      </c>
      <c r="Z1788">
        <f t="shared" si="383"/>
        <v>50403.654205607476</v>
      </c>
      <c r="AA1788">
        <f t="shared" si="384"/>
        <v>99664</v>
      </c>
      <c r="AB1788">
        <f t="shared" si="385"/>
        <v>5091</v>
      </c>
      <c r="AC1788">
        <f t="shared" si="386"/>
        <v>292171.18</v>
      </c>
      <c r="AD1788">
        <f t="shared" si="387"/>
        <v>1365.2858878504674</v>
      </c>
      <c r="AE1788">
        <f t="shared" si="388"/>
        <v>0.35149999999999998</v>
      </c>
      <c r="AF1788">
        <f t="shared" si="389"/>
        <v>29921671.600000005</v>
      </c>
      <c r="AG1788" t="str">
        <f t="shared" si="390"/>
        <v>Active</v>
      </c>
      <c r="AH1788">
        <f t="shared" si="391"/>
        <v>2601.12</v>
      </c>
    </row>
    <row r="1789" spans="1:34" x14ac:dyDescent="0.35">
      <c r="A1789" t="s">
        <v>4643</v>
      </c>
      <c r="B1789" t="s">
        <v>4644</v>
      </c>
      <c r="C1789">
        <v>24</v>
      </c>
      <c r="D1789" t="s">
        <v>38</v>
      </c>
      <c r="E1789" t="s">
        <v>23</v>
      </c>
      <c r="F1789" t="s">
        <v>24</v>
      </c>
      <c r="G1789">
        <v>161730</v>
      </c>
      <c r="H1789">
        <v>625</v>
      </c>
      <c r="I1789">
        <v>53037</v>
      </c>
      <c r="J1789">
        <v>16.87</v>
      </c>
      <c r="K1789">
        <v>12</v>
      </c>
      <c r="L1789" t="s">
        <v>40</v>
      </c>
      <c r="M1789">
        <v>49.03</v>
      </c>
      <c r="N1789">
        <v>69796</v>
      </c>
      <c r="O1789">
        <v>66285</v>
      </c>
      <c r="P1789" t="s">
        <v>2371</v>
      </c>
      <c r="Q1789" t="s">
        <v>61</v>
      </c>
      <c r="R1789" t="s">
        <v>28</v>
      </c>
      <c r="S1789" t="s">
        <v>29</v>
      </c>
      <c r="T1789">
        <v>5165.3599999999997</v>
      </c>
      <c r="U1789">
        <f t="shared" si="378"/>
        <v>213</v>
      </c>
      <c r="V1789">
        <f t="shared" si="379"/>
        <v>88</v>
      </c>
      <c r="W1789">
        <f t="shared" si="380"/>
        <v>63</v>
      </c>
      <c r="X1789">
        <f t="shared" si="381"/>
        <v>0.35149999999999998</v>
      </c>
      <c r="Y1789" s="1">
        <f t="shared" si="382"/>
        <v>10719221</v>
      </c>
      <c r="Z1789">
        <f t="shared" si="383"/>
        <v>50324.981220657275</v>
      </c>
      <c r="AA1789">
        <f t="shared" si="384"/>
        <v>99664</v>
      </c>
      <c r="AB1789">
        <f t="shared" si="385"/>
        <v>5091</v>
      </c>
      <c r="AC1789">
        <f t="shared" si="386"/>
        <v>291954.42000000004</v>
      </c>
      <c r="AD1789">
        <f t="shared" si="387"/>
        <v>1370.6780281690142</v>
      </c>
      <c r="AE1789">
        <f t="shared" si="388"/>
        <v>0.35149999999999998</v>
      </c>
      <c r="AF1789">
        <f t="shared" si="389"/>
        <v>29629500.420000006</v>
      </c>
      <c r="AG1789" t="str">
        <f t="shared" si="390"/>
        <v>Active</v>
      </c>
      <c r="AH1789">
        <f t="shared" si="391"/>
        <v>61984.319999999992</v>
      </c>
    </row>
    <row r="1790" spans="1:34" x14ac:dyDescent="0.35">
      <c r="A1790" t="s">
        <v>4645</v>
      </c>
      <c r="B1790" t="s">
        <v>4646</v>
      </c>
      <c r="C1790">
        <v>44</v>
      </c>
      <c r="D1790" t="s">
        <v>22</v>
      </c>
      <c r="E1790" t="s">
        <v>23</v>
      </c>
      <c r="F1790" t="s">
        <v>59</v>
      </c>
      <c r="G1790">
        <v>169770</v>
      </c>
      <c r="H1790">
        <v>343</v>
      </c>
      <c r="I1790">
        <v>47399</v>
      </c>
      <c r="J1790">
        <v>10.039999999999999</v>
      </c>
      <c r="K1790">
        <v>60</v>
      </c>
      <c r="L1790" t="s">
        <v>40</v>
      </c>
      <c r="M1790">
        <v>57.69</v>
      </c>
      <c r="N1790">
        <v>33875</v>
      </c>
      <c r="O1790">
        <v>104235</v>
      </c>
      <c r="P1790" t="s">
        <v>4466</v>
      </c>
      <c r="Q1790" t="s">
        <v>42</v>
      </c>
      <c r="R1790" t="s">
        <v>28</v>
      </c>
      <c r="S1790" t="s">
        <v>29</v>
      </c>
      <c r="T1790">
        <v>869.3</v>
      </c>
      <c r="U1790">
        <f t="shared" si="378"/>
        <v>212</v>
      </c>
      <c r="V1790">
        <f t="shared" si="379"/>
        <v>88</v>
      </c>
      <c r="W1790">
        <f t="shared" si="380"/>
        <v>62</v>
      </c>
      <c r="X1790">
        <f t="shared" si="381"/>
        <v>0.35149999999999998</v>
      </c>
      <c r="Y1790" s="1">
        <f t="shared" si="382"/>
        <v>10666184</v>
      </c>
      <c r="Z1790">
        <f t="shared" si="383"/>
        <v>50312.188679245286</v>
      </c>
      <c r="AA1790">
        <f t="shared" si="384"/>
        <v>99664</v>
      </c>
      <c r="AB1790">
        <f t="shared" si="385"/>
        <v>5091</v>
      </c>
      <c r="AC1790">
        <f t="shared" si="386"/>
        <v>286789.06000000011</v>
      </c>
      <c r="AD1790">
        <f t="shared" si="387"/>
        <v>1352.7785849056609</v>
      </c>
      <c r="AE1790">
        <f t="shared" si="388"/>
        <v>0.35149999999999998</v>
      </c>
      <c r="AF1790">
        <f t="shared" si="389"/>
        <v>29337546.000000004</v>
      </c>
      <c r="AG1790" t="str">
        <f t="shared" si="390"/>
        <v>Over Paid</v>
      </c>
      <c r="AH1790">
        <f t="shared" si="391"/>
        <v>10431.599999999999</v>
      </c>
    </row>
    <row r="1791" spans="1:34" x14ac:dyDescent="0.35">
      <c r="A1791" t="s">
        <v>4647</v>
      </c>
      <c r="B1791" t="s">
        <v>4648</v>
      </c>
      <c r="C1791">
        <v>36</v>
      </c>
      <c r="D1791" t="s">
        <v>22</v>
      </c>
      <c r="E1791" t="s">
        <v>32</v>
      </c>
      <c r="F1791" t="s">
        <v>46</v>
      </c>
      <c r="G1791">
        <v>159225</v>
      </c>
      <c r="H1791">
        <v>783</v>
      </c>
      <c r="I1791">
        <v>28134</v>
      </c>
      <c r="J1791">
        <v>7.56</v>
      </c>
      <c r="K1791">
        <v>180</v>
      </c>
      <c r="L1791" t="s">
        <v>52</v>
      </c>
      <c r="M1791">
        <v>59.91</v>
      </c>
      <c r="N1791">
        <v>45718</v>
      </c>
      <c r="O1791">
        <v>241055</v>
      </c>
      <c r="P1791" t="s">
        <v>4649</v>
      </c>
      <c r="Q1791" t="s">
        <v>42</v>
      </c>
      <c r="R1791" t="s">
        <v>28</v>
      </c>
      <c r="S1791" t="s">
        <v>49</v>
      </c>
      <c r="T1791">
        <v>168.12</v>
      </c>
      <c r="U1791">
        <f t="shared" si="378"/>
        <v>211</v>
      </c>
      <c r="V1791">
        <f t="shared" si="379"/>
        <v>87</v>
      </c>
      <c r="W1791">
        <f t="shared" si="380"/>
        <v>62</v>
      </c>
      <c r="X1791">
        <f t="shared" si="381"/>
        <v>0.35149999999999998</v>
      </c>
      <c r="Y1791" s="1">
        <f t="shared" si="382"/>
        <v>10618785</v>
      </c>
      <c r="Z1791">
        <f t="shared" si="383"/>
        <v>50325.995260663505</v>
      </c>
      <c r="AA1791">
        <f t="shared" si="384"/>
        <v>99664</v>
      </c>
      <c r="AB1791">
        <f t="shared" si="385"/>
        <v>5091</v>
      </c>
      <c r="AC1791">
        <f t="shared" si="386"/>
        <v>285919.76000000007</v>
      </c>
      <c r="AD1791">
        <f t="shared" si="387"/>
        <v>1355.0699526066353</v>
      </c>
      <c r="AE1791">
        <f t="shared" si="388"/>
        <v>0.35149999999999998</v>
      </c>
      <c r="AF1791">
        <f t="shared" si="389"/>
        <v>29050756.940000001</v>
      </c>
      <c r="AG1791" t="str">
        <f t="shared" si="390"/>
        <v>Active</v>
      </c>
      <c r="AH1791">
        <f t="shared" si="391"/>
        <v>2017.44</v>
      </c>
    </row>
    <row r="1792" spans="1:34" x14ac:dyDescent="0.35">
      <c r="A1792" t="s">
        <v>4650</v>
      </c>
      <c r="B1792" t="s">
        <v>4651</v>
      </c>
      <c r="C1792">
        <v>35</v>
      </c>
      <c r="D1792" t="s">
        <v>38</v>
      </c>
      <c r="E1792" t="s">
        <v>39</v>
      </c>
      <c r="F1792" t="s">
        <v>24</v>
      </c>
      <c r="G1792">
        <v>111048</v>
      </c>
      <c r="H1792">
        <v>780</v>
      </c>
      <c r="I1792">
        <v>82464</v>
      </c>
      <c r="J1792">
        <v>22.98</v>
      </c>
      <c r="K1792">
        <v>12</v>
      </c>
      <c r="L1792" t="s">
        <v>52</v>
      </c>
      <c r="M1792">
        <v>54.01</v>
      </c>
      <c r="N1792">
        <v>38180</v>
      </c>
      <c r="O1792">
        <v>92515</v>
      </c>
      <c r="P1792" t="s">
        <v>544</v>
      </c>
      <c r="Q1792" t="s">
        <v>42</v>
      </c>
      <c r="R1792" t="s">
        <v>48</v>
      </c>
      <c r="S1792" t="s">
        <v>43</v>
      </c>
      <c r="T1792">
        <v>8451.19</v>
      </c>
      <c r="U1792">
        <f t="shared" si="378"/>
        <v>210</v>
      </c>
      <c r="V1792">
        <f t="shared" si="379"/>
        <v>86</v>
      </c>
      <c r="W1792">
        <f t="shared" si="380"/>
        <v>62</v>
      </c>
      <c r="X1792">
        <f t="shared" si="381"/>
        <v>0.35149999999999998</v>
      </c>
      <c r="Y1792" s="1">
        <f t="shared" si="382"/>
        <v>10590651</v>
      </c>
      <c r="Z1792">
        <f t="shared" si="383"/>
        <v>50431.671428571426</v>
      </c>
      <c r="AA1792">
        <f t="shared" si="384"/>
        <v>99664</v>
      </c>
      <c r="AB1792">
        <f t="shared" si="385"/>
        <v>5091</v>
      </c>
      <c r="AC1792">
        <f t="shared" si="386"/>
        <v>285751.64000000007</v>
      </c>
      <c r="AD1792">
        <f t="shared" si="387"/>
        <v>1360.7220952380956</v>
      </c>
      <c r="AE1792">
        <f t="shared" si="388"/>
        <v>0.35149999999999998</v>
      </c>
      <c r="AF1792">
        <f t="shared" si="389"/>
        <v>28764837.180000003</v>
      </c>
      <c r="AG1792" t="str">
        <f t="shared" si="390"/>
        <v>Active</v>
      </c>
      <c r="AH1792">
        <f t="shared" si="391"/>
        <v>101414.28</v>
      </c>
    </row>
    <row r="1793" spans="1:34" x14ac:dyDescent="0.35">
      <c r="A1793" t="s">
        <v>4652</v>
      </c>
      <c r="B1793" t="s">
        <v>4653</v>
      </c>
      <c r="C1793">
        <v>63</v>
      </c>
      <c r="D1793" t="s">
        <v>22</v>
      </c>
      <c r="E1793" t="s">
        <v>23</v>
      </c>
      <c r="F1793" t="s">
        <v>59</v>
      </c>
      <c r="G1793">
        <v>137823</v>
      </c>
      <c r="H1793">
        <v>582</v>
      </c>
      <c r="I1793">
        <v>71492</v>
      </c>
      <c r="J1793">
        <v>6.45</v>
      </c>
      <c r="K1793">
        <v>48</v>
      </c>
      <c r="L1793" t="s">
        <v>25</v>
      </c>
      <c r="M1793">
        <v>19.489999999999998</v>
      </c>
      <c r="N1793">
        <v>50327</v>
      </c>
      <c r="O1793">
        <v>35291</v>
      </c>
      <c r="P1793" t="s">
        <v>4654</v>
      </c>
      <c r="Q1793" t="s">
        <v>61</v>
      </c>
      <c r="R1793" t="s">
        <v>28</v>
      </c>
      <c r="S1793" t="s">
        <v>68</v>
      </c>
      <c r="T1793">
        <v>1585.48</v>
      </c>
      <c r="U1793">
        <f t="shared" si="378"/>
        <v>209</v>
      </c>
      <c r="V1793">
        <f t="shared" si="379"/>
        <v>85</v>
      </c>
      <c r="W1793">
        <f t="shared" si="380"/>
        <v>62</v>
      </c>
      <c r="X1793">
        <f t="shared" si="381"/>
        <v>0.35149999999999998</v>
      </c>
      <c r="Y1793" s="1">
        <f t="shared" si="382"/>
        <v>10508187</v>
      </c>
      <c r="Z1793">
        <f t="shared" si="383"/>
        <v>50278.406698564591</v>
      </c>
      <c r="AA1793">
        <f t="shared" si="384"/>
        <v>99664</v>
      </c>
      <c r="AB1793">
        <f t="shared" si="385"/>
        <v>5091</v>
      </c>
      <c r="AC1793">
        <f t="shared" si="386"/>
        <v>277300.45</v>
      </c>
      <c r="AD1793">
        <f t="shared" si="387"/>
        <v>1326.7964114832537</v>
      </c>
      <c r="AE1793">
        <f t="shared" si="388"/>
        <v>0.35149999999999998</v>
      </c>
      <c r="AF1793">
        <f t="shared" si="389"/>
        <v>28479085.540000003</v>
      </c>
      <c r="AG1793" t="str">
        <f t="shared" si="390"/>
        <v>Over Paid</v>
      </c>
      <c r="AH1793">
        <f t="shared" si="391"/>
        <v>19025.760000000002</v>
      </c>
    </row>
    <row r="1794" spans="1:34" x14ac:dyDescent="0.35">
      <c r="A1794" t="s">
        <v>4655</v>
      </c>
      <c r="B1794" t="s">
        <v>4656</v>
      </c>
      <c r="C1794">
        <v>46</v>
      </c>
      <c r="D1794" t="s">
        <v>38</v>
      </c>
      <c r="E1794" t="s">
        <v>32</v>
      </c>
      <c r="F1794" t="s">
        <v>46</v>
      </c>
      <c r="G1794">
        <v>131147</v>
      </c>
      <c r="H1794">
        <v>539</v>
      </c>
      <c r="I1794">
        <v>46339</v>
      </c>
      <c r="J1794">
        <v>22.27</v>
      </c>
      <c r="K1794">
        <v>120</v>
      </c>
      <c r="L1794" t="s">
        <v>86</v>
      </c>
      <c r="M1794">
        <v>7.42</v>
      </c>
      <c r="N1794">
        <v>62919</v>
      </c>
      <c r="O1794">
        <v>20166</v>
      </c>
      <c r="P1794" t="s">
        <v>3762</v>
      </c>
      <c r="Q1794" t="s">
        <v>61</v>
      </c>
      <c r="R1794" t="s">
        <v>48</v>
      </c>
      <c r="S1794" t="s">
        <v>43</v>
      </c>
      <c r="T1794">
        <v>472.16</v>
      </c>
      <c r="U1794">
        <f t="shared" ref="U1794:U1857" si="392">COUNTA(A1794:A3793)</f>
        <v>208</v>
      </c>
      <c r="V1794">
        <f t="shared" ref="V1794:V1857" si="393">COUNTIF(Q1794:Q3793,"APPROVED")</f>
        <v>85</v>
      </c>
      <c r="W1794">
        <f t="shared" ref="W1794:W1857" si="394">COUNTIF(Q1794:Q3794,"Rejected")</f>
        <v>61</v>
      </c>
      <c r="X1794">
        <f t="shared" ref="X1794:X1857" si="395">703/2000</f>
        <v>0.35149999999999998</v>
      </c>
      <c r="Y1794" s="1">
        <f t="shared" ref="Y1794:Y1857" si="396">SUM(I1794:I3793)</f>
        <v>10436695</v>
      </c>
      <c r="Z1794">
        <f t="shared" ref="Z1794:Z1857" si="397">AVERAGE(I1794:I21793)</f>
        <v>50176.418269230766</v>
      </c>
      <c r="AA1794">
        <f t="shared" ref="AA1794:AA1857" si="398">MAX(I1794:I3793)</f>
        <v>99664</v>
      </c>
      <c r="AB1794">
        <f t="shared" ref="AB1794:AB1857" si="399">MIN(I1794:I3793)</f>
        <v>5091</v>
      </c>
      <c r="AC1794">
        <f t="shared" ref="AC1794:AC1857" si="400">SUM(T1794:T3793)</f>
        <v>275714.97000000003</v>
      </c>
      <c r="AD1794">
        <f t="shared" ref="AD1794:AD1857" si="401">AVERAGE(T1794:T3793)</f>
        <v>1325.5527403846156</v>
      </c>
      <c r="AE1794">
        <f t="shared" ref="AE1794:AE1857" si="402">703/2000</f>
        <v>0.35149999999999998</v>
      </c>
      <c r="AF1794">
        <f t="shared" ref="AF1794:AF1857" si="403">SUM(AC1794:AC3793)</f>
        <v>28201785.09</v>
      </c>
      <c r="AG1794" t="str">
        <f t="shared" ref="AG1794:AG1857" si="404">IF(AH1794=0,"Bad", IF(AH1793&lt;I1793, "Active", IF(AH1793=I1793, "Good", "Over Paid")))</f>
        <v>Active</v>
      </c>
      <c r="AH1794">
        <f t="shared" ref="AH1794:AH1857" si="405">T1794*12</f>
        <v>5665.92</v>
      </c>
    </row>
    <row r="1795" spans="1:34" x14ac:dyDescent="0.35">
      <c r="A1795" t="s">
        <v>4657</v>
      </c>
      <c r="B1795" t="s">
        <v>4658</v>
      </c>
      <c r="C1795">
        <v>21</v>
      </c>
      <c r="D1795" t="s">
        <v>38</v>
      </c>
      <c r="E1795" t="s">
        <v>39</v>
      </c>
      <c r="F1795" t="s">
        <v>24</v>
      </c>
      <c r="G1795">
        <v>59740</v>
      </c>
      <c r="H1795">
        <v>518</v>
      </c>
      <c r="I1795">
        <v>44226</v>
      </c>
      <c r="J1795">
        <v>20.83</v>
      </c>
      <c r="K1795">
        <v>120</v>
      </c>
      <c r="L1795" t="s">
        <v>33</v>
      </c>
      <c r="M1795">
        <v>11.04</v>
      </c>
      <c r="N1795">
        <v>53113</v>
      </c>
      <c r="O1795">
        <v>102094</v>
      </c>
      <c r="P1795" t="s">
        <v>3215</v>
      </c>
      <c r="Q1795" t="s">
        <v>42</v>
      </c>
      <c r="R1795" t="s">
        <v>28</v>
      </c>
      <c r="S1795" t="s">
        <v>43</v>
      </c>
      <c r="T1795">
        <v>445.32</v>
      </c>
      <c r="U1795">
        <f t="shared" si="392"/>
        <v>207</v>
      </c>
      <c r="V1795">
        <f t="shared" si="393"/>
        <v>85</v>
      </c>
      <c r="W1795">
        <f t="shared" si="394"/>
        <v>60</v>
      </c>
      <c r="X1795">
        <f t="shared" si="395"/>
        <v>0.35149999999999998</v>
      </c>
      <c r="Y1795" s="1">
        <f t="shared" si="396"/>
        <v>10390356</v>
      </c>
      <c r="Z1795">
        <f t="shared" si="397"/>
        <v>50194.956521739128</v>
      </c>
      <c r="AA1795">
        <f t="shared" si="398"/>
        <v>99664</v>
      </c>
      <c r="AB1795">
        <f t="shared" si="399"/>
        <v>5091</v>
      </c>
      <c r="AC1795">
        <f t="shared" si="400"/>
        <v>275242.81000000006</v>
      </c>
      <c r="AD1795">
        <f t="shared" si="401"/>
        <v>1329.6754106280196</v>
      </c>
      <c r="AE1795">
        <f t="shared" si="402"/>
        <v>0.35149999999999998</v>
      </c>
      <c r="AF1795">
        <f t="shared" si="403"/>
        <v>27926070.120000001</v>
      </c>
      <c r="AG1795" t="str">
        <f t="shared" si="404"/>
        <v>Active</v>
      </c>
      <c r="AH1795">
        <f t="shared" si="405"/>
        <v>5343.84</v>
      </c>
    </row>
    <row r="1796" spans="1:34" x14ac:dyDescent="0.35">
      <c r="A1796" t="s">
        <v>4659</v>
      </c>
      <c r="B1796" t="s">
        <v>4660</v>
      </c>
      <c r="C1796">
        <v>26</v>
      </c>
      <c r="D1796" t="s">
        <v>38</v>
      </c>
      <c r="E1796" t="s">
        <v>23</v>
      </c>
      <c r="F1796" t="s">
        <v>46</v>
      </c>
      <c r="G1796">
        <v>85617</v>
      </c>
      <c r="H1796">
        <v>515</v>
      </c>
      <c r="I1796">
        <v>34165</v>
      </c>
      <c r="J1796">
        <v>13.86</v>
      </c>
      <c r="K1796">
        <v>60</v>
      </c>
      <c r="L1796" t="s">
        <v>25</v>
      </c>
      <c r="M1796">
        <v>54.78</v>
      </c>
      <c r="N1796">
        <v>37763</v>
      </c>
      <c r="O1796">
        <v>218503</v>
      </c>
      <c r="P1796" t="s">
        <v>1118</v>
      </c>
      <c r="Q1796" t="s">
        <v>42</v>
      </c>
      <c r="R1796" t="s">
        <v>48</v>
      </c>
      <c r="S1796" t="s">
        <v>68</v>
      </c>
      <c r="T1796">
        <v>648.34</v>
      </c>
      <c r="U1796">
        <f t="shared" si="392"/>
        <v>206</v>
      </c>
      <c r="V1796">
        <f t="shared" si="393"/>
        <v>84</v>
      </c>
      <c r="W1796">
        <f t="shared" si="394"/>
        <v>60</v>
      </c>
      <c r="X1796">
        <f t="shared" si="395"/>
        <v>0.35149999999999998</v>
      </c>
      <c r="Y1796" s="1">
        <f t="shared" si="396"/>
        <v>10346130</v>
      </c>
      <c r="Z1796">
        <f t="shared" si="397"/>
        <v>50223.932038834952</v>
      </c>
      <c r="AA1796">
        <f t="shared" si="398"/>
        <v>99664</v>
      </c>
      <c r="AB1796">
        <f t="shared" si="399"/>
        <v>5091</v>
      </c>
      <c r="AC1796">
        <f t="shared" si="400"/>
        <v>274797.49000000005</v>
      </c>
      <c r="AD1796">
        <f t="shared" si="401"/>
        <v>1333.9683980582527</v>
      </c>
      <c r="AE1796">
        <f t="shared" si="402"/>
        <v>0.35149999999999998</v>
      </c>
      <c r="AF1796">
        <f t="shared" si="403"/>
        <v>27650827.310000006</v>
      </c>
      <c r="AG1796" t="str">
        <f t="shared" si="404"/>
        <v>Active</v>
      </c>
      <c r="AH1796">
        <f t="shared" si="405"/>
        <v>7780.08</v>
      </c>
    </row>
    <row r="1797" spans="1:34" x14ac:dyDescent="0.35">
      <c r="A1797" t="s">
        <v>4661</v>
      </c>
      <c r="B1797" t="s">
        <v>4662</v>
      </c>
      <c r="C1797">
        <v>22</v>
      </c>
      <c r="D1797" t="s">
        <v>22</v>
      </c>
      <c r="E1797" t="s">
        <v>39</v>
      </c>
      <c r="F1797" t="s">
        <v>24</v>
      </c>
      <c r="G1797">
        <v>165491</v>
      </c>
      <c r="H1797">
        <v>677</v>
      </c>
      <c r="I1797">
        <v>17090</v>
      </c>
      <c r="J1797">
        <v>5.12</v>
      </c>
      <c r="K1797">
        <v>48</v>
      </c>
      <c r="L1797" t="s">
        <v>40</v>
      </c>
      <c r="M1797">
        <v>16.96</v>
      </c>
      <c r="N1797">
        <v>13596</v>
      </c>
      <c r="O1797">
        <v>244885</v>
      </c>
      <c r="P1797" t="s">
        <v>1398</v>
      </c>
      <c r="Q1797" t="s">
        <v>27</v>
      </c>
      <c r="R1797" t="s">
        <v>28</v>
      </c>
      <c r="S1797" t="s">
        <v>29</v>
      </c>
      <c r="T1797">
        <v>374.27</v>
      </c>
      <c r="U1797">
        <f t="shared" si="392"/>
        <v>205</v>
      </c>
      <c r="V1797">
        <f t="shared" si="393"/>
        <v>83</v>
      </c>
      <c r="W1797">
        <f t="shared" si="394"/>
        <v>60</v>
      </c>
      <c r="X1797">
        <f t="shared" si="395"/>
        <v>0.35149999999999998</v>
      </c>
      <c r="Y1797" s="1">
        <f t="shared" si="396"/>
        <v>10311965</v>
      </c>
      <c r="Z1797">
        <f t="shared" si="397"/>
        <v>50302.268292682929</v>
      </c>
      <c r="AA1797">
        <f t="shared" si="398"/>
        <v>99664</v>
      </c>
      <c r="AB1797">
        <f t="shared" si="399"/>
        <v>5091</v>
      </c>
      <c r="AC1797">
        <f t="shared" si="400"/>
        <v>274149.15000000002</v>
      </c>
      <c r="AD1797">
        <f t="shared" si="401"/>
        <v>1337.3129268292685</v>
      </c>
      <c r="AE1797">
        <f t="shared" si="402"/>
        <v>0.35149999999999998</v>
      </c>
      <c r="AF1797">
        <f t="shared" si="403"/>
        <v>27376029.820000004</v>
      </c>
      <c r="AG1797" t="str">
        <f t="shared" si="404"/>
        <v>Active</v>
      </c>
      <c r="AH1797">
        <f t="shared" si="405"/>
        <v>4491.24</v>
      </c>
    </row>
    <row r="1798" spans="1:34" x14ac:dyDescent="0.35">
      <c r="A1798" t="s">
        <v>4663</v>
      </c>
      <c r="B1798" t="s">
        <v>4664</v>
      </c>
      <c r="C1798">
        <v>51</v>
      </c>
      <c r="D1798" t="s">
        <v>22</v>
      </c>
      <c r="E1798" t="s">
        <v>23</v>
      </c>
      <c r="F1798" t="s">
        <v>59</v>
      </c>
      <c r="G1798">
        <v>65415</v>
      </c>
      <c r="H1798">
        <v>771</v>
      </c>
      <c r="I1798">
        <v>38528</v>
      </c>
      <c r="J1798">
        <v>22.51</v>
      </c>
      <c r="K1798">
        <v>60</v>
      </c>
      <c r="L1798" t="s">
        <v>40</v>
      </c>
      <c r="M1798">
        <v>33.31</v>
      </c>
      <c r="N1798">
        <v>69310</v>
      </c>
      <c r="O1798">
        <v>215052</v>
      </c>
      <c r="P1798" t="s">
        <v>4054</v>
      </c>
      <c r="Q1798" t="s">
        <v>61</v>
      </c>
      <c r="R1798" t="s">
        <v>28</v>
      </c>
      <c r="S1798" t="s">
        <v>35</v>
      </c>
      <c r="T1798">
        <v>786.68</v>
      </c>
      <c r="U1798">
        <f t="shared" si="392"/>
        <v>204</v>
      </c>
      <c r="V1798">
        <f t="shared" si="393"/>
        <v>83</v>
      </c>
      <c r="W1798">
        <f t="shared" si="394"/>
        <v>60</v>
      </c>
      <c r="X1798">
        <f t="shared" si="395"/>
        <v>0.35149999999999998</v>
      </c>
      <c r="Y1798" s="1">
        <f t="shared" si="396"/>
        <v>10294875</v>
      </c>
      <c r="Z1798">
        <f t="shared" si="397"/>
        <v>50465.073529411762</v>
      </c>
      <c r="AA1798">
        <f t="shared" si="398"/>
        <v>99664</v>
      </c>
      <c r="AB1798">
        <f t="shared" si="399"/>
        <v>5091</v>
      </c>
      <c r="AC1798">
        <f t="shared" si="400"/>
        <v>273774.88000000006</v>
      </c>
      <c r="AD1798">
        <f t="shared" si="401"/>
        <v>1342.0337254901963</v>
      </c>
      <c r="AE1798">
        <f t="shared" si="402"/>
        <v>0.35149999999999998</v>
      </c>
      <c r="AF1798">
        <f t="shared" si="403"/>
        <v>27101880.670000002</v>
      </c>
      <c r="AG1798" t="str">
        <f t="shared" si="404"/>
        <v>Active</v>
      </c>
      <c r="AH1798">
        <f t="shared" si="405"/>
        <v>9440.16</v>
      </c>
    </row>
    <row r="1799" spans="1:34" x14ac:dyDescent="0.35">
      <c r="A1799" t="s">
        <v>4665</v>
      </c>
      <c r="B1799" t="s">
        <v>4666</v>
      </c>
      <c r="C1799">
        <v>48</v>
      </c>
      <c r="D1799" t="s">
        <v>22</v>
      </c>
      <c r="E1799" t="s">
        <v>39</v>
      </c>
      <c r="F1799" t="s">
        <v>24</v>
      </c>
      <c r="G1799">
        <v>94266</v>
      </c>
      <c r="H1799">
        <v>333</v>
      </c>
      <c r="I1799">
        <v>67439</v>
      </c>
      <c r="J1799">
        <v>22.35</v>
      </c>
      <c r="K1799">
        <v>24</v>
      </c>
      <c r="L1799" t="s">
        <v>40</v>
      </c>
      <c r="M1799">
        <v>36.03</v>
      </c>
      <c r="N1799">
        <v>17085</v>
      </c>
      <c r="O1799">
        <v>212281</v>
      </c>
      <c r="P1799" t="s">
        <v>4667</v>
      </c>
      <c r="Q1799" t="s">
        <v>27</v>
      </c>
      <c r="R1799" t="s">
        <v>48</v>
      </c>
      <c r="S1799" t="s">
        <v>29</v>
      </c>
      <c r="T1799">
        <v>3437.98</v>
      </c>
      <c r="U1799">
        <f t="shared" si="392"/>
        <v>203</v>
      </c>
      <c r="V1799">
        <f t="shared" si="393"/>
        <v>83</v>
      </c>
      <c r="W1799">
        <f t="shared" si="394"/>
        <v>59</v>
      </c>
      <c r="X1799">
        <f t="shared" si="395"/>
        <v>0.35149999999999998</v>
      </c>
      <c r="Y1799" s="1">
        <f t="shared" si="396"/>
        <v>10256347</v>
      </c>
      <c r="Z1799">
        <f t="shared" si="397"/>
        <v>50523.876847290638</v>
      </c>
      <c r="AA1799">
        <f t="shared" si="398"/>
        <v>99664</v>
      </c>
      <c r="AB1799">
        <f t="shared" si="399"/>
        <v>5091</v>
      </c>
      <c r="AC1799">
        <f t="shared" si="400"/>
        <v>272988.20000000007</v>
      </c>
      <c r="AD1799">
        <f t="shared" si="401"/>
        <v>1344.7694581280791</v>
      </c>
      <c r="AE1799">
        <f t="shared" si="402"/>
        <v>0.35149999999999998</v>
      </c>
      <c r="AF1799">
        <f t="shared" si="403"/>
        <v>26828105.789999999</v>
      </c>
      <c r="AG1799" t="str">
        <f t="shared" si="404"/>
        <v>Active</v>
      </c>
      <c r="AH1799">
        <f t="shared" si="405"/>
        <v>41255.760000000002</v>
      </c>
    </row>
    <row r="1800" spans="1:34" x14ac:dyDescent="0.35">
      <c r="A1800" t="s">
        <v>4668</v>
      </c>
      <c r="B1800" t="s">
        <v>4669</v>
      </c>
      <c r="C1800">
        <v>45</v>
      </c>
      <c r="D1800" t="s">
        <v>38</v>
      </c>
      <c r="E1800" t="s">
        <v>23</v>
      </c>
      <c r="F1800" t="s">
        <v>46</v>
      </c>
      <c r="G1800">
        <v>49578</v>
      </c>
      <c r="H1800">
        <v>391</v>
      </c>
      <c r="I1800">
        <v>12035</v>
      </c>
      <c r="J1800">
        <v>16.850000000000001</v>
      </c>
      <c r="K1800">
        <v>12</v>
      </c>
      <c r="L1800" t="s">
        <v>40</v>
      </c>
      <c r="M1800">
        <v>33.659999999999997</v>
      </c>
      <c r="N1800">
        <v>25448</v>
      </c>
      <c r="O1800">
        <v>204861</v>
      </c>
      <c r="P1800" t="s">
        <v>370</v>
      </c>
      <c r="Q1800" t="s">
        <v>61</v>
      </c>
      <c r="R1800" t="s">
        <v>48</v>
      </c>
      <c r="S1800" t="s">
        <v>35</v>
      </c>
      <c r="T1800">
        <v>1171.9100000000001</v>
      </c>
      <c r="U1800">
        <f t="shared" si="392"/>
        <v>202</v>
      </c>
      <c r="V1800">
        <f t="shared" si="393"/>
        <v>83</v>
      </c>
      <c r="W1800">
        <f t="shared" si="394"/>
        <v>59</v>
      </c>
      <c r="X1800">
        <f t="shared" si="395"/>
        <v>0.35149999999999998</v>
      </c>
      <c r="Y1800" s="1">
        <f t="shared" si="396"/>
        <v>10188908</v>
      </c>
      <c r="Z1800">
        <f t="shared" si="397"/>
        <v>50440.138613861389</v>
      </c>
      <c r="AA1800">
        <f t="shared" si="398"/>
        <v>99664</v>
      </c>
      <c r="AB1800">
        <f t="shared" si="399"/>
        <v>5091</v>
      </c>
      <c r="AC1800">
        <f t="shared" si="400"/>
        <v>269550.22000000009</v>
      </c>
      <c r="AD1800">
        <f t="shared" si="401"/>
        <v>1334.4070297029707</v>
      </c>
      <c r="AE1800">
        <f t="shared" si="402"/>
        <v>0.35149999999999998</v>
      </c>
      <c r="AF1800">
        <f t="shared" si="403"/>
        <v>26555117.59</v>
      </c>
      <c r="AG1800" t="str">
        <f t="shared" si="404"/>
        <v>Active</v>
      </c>
      <c r="AH1800">
        <f t="shared" si="405"/>
        <v>14062.920000000002</v>
      </c>
    </row>
    <row r="1801" spans="1:34" x14ac:dyDescent="0.35">
      <c r="A1801" t="s">
        <v>4670</v>
      </c>
      <c r="B1801" t="s">
        <v>4671</v>
      </c>
      <c r="C1801">
        <v>41</v>
      </c>
      <c r="D1801" t="s">
        <v>38</v>
      </c>
      <c r="E1801" t="s">
        <v>23</v>
      </c>
      <c r="F1801" t="s">
        <v>59</v>
      </c>
      <c r="G1801">
        <v>28898</v>
      </c>
      <c r="H1801">
        <v>348</v>
      </c>
      <c r="I1801">
        <v>37434</v>
      </c>
      <c r="J1801">
        <v>7.77</v>
      </c>
      <c r="K1801">
        <v>60</v>
      </c>
      <c r="L1801" t="s">
        <v>86</v>
      </c>
      <c r="M1801">
        <v>57.05</v>
      </c>
      <c r="N1801">
        <v>59129</v>
      </c>
      <c r="O1801">
        <v>23936</v>
      </c>
      <c r="P1801" t="s">
        <v>513</v>
      </c>
      <c r="Q1801" t="s">
        <v>61</v>
      </c>
      <c r="R1801" t="s">
        <v>28</v>
      </c>
      <c r="S1801" t="s">
        <v>43</v>
      </c>
      <c r="T1801">
        <v>672.38</v>
      </c>
      <c r="U1801">
        <f t="shared" si="392"/>
        <v>201</v>
      </c>
      <c r="V1801">
        <f t="shared" si="393"/>
        <v>83</v>
      </c>
      <c r="W1801">
        <f t="shared" si="394"/>
        <v>58</v>
      </c>
      <c r="X1801">
        <f t="shared" si="395"/>
        <v>0.35149999999999998</v>
      </c>
      <c r="Y1801" s="1">
        <f t="shared" si="396"/>
        <v>10176873</v>
      </c>
      <c r="Z1801">
        <f t="shared" si="397"/>
        <v>50631.208955223883</v>
      </c>
      <c r="AA1801">
        <f t="shared" si="398"/>
        <v>99664</v>
      </c>
      <c r="AB1801">
        <f t="shared" si="399"/>
        <v>5091</v>
      </c>
      <c r="AC1801">
        <f t="shared" si="400"/>
        <v>268378.31000000011</v>
      </c>
      <c r="AD1801">
        <f t="shared" si="401"/>
        <v>1335.2154726368165</v>
      </c>
      <c r="AE1801">
        <f t="shared" si="402"/>
        <v>0.35149999999999998</v>
      </c>
      <c r="AF1801">
        <f t="shared" si="403"/>
        <v>26285567.369999997</v>
      </c>
      <c r="AG1801" t="str">
        <f t="shared" si="404"/>
        <v>Over Paid</v>
      </c>
      <c r="AH1801">
        <f t="shared" si="405"/>
        <v>8068.5599999999995</v>
      </c>
    </row>
    <row r="1802" spans="1:34" x14ac:dyDescent="0.35">
      <c r="A1802" t="s">
        <v>4672</v>
      </c>
      <c r="B1802" t="s">
        <v>4673</v>
      </c>
      <c r="C1802">
        <v>24</v>
      </c>
      <c r="D1802" t="s">
        <v>38</v>
      </c>
      <c r="E1802" t="s">
        <v>39</v>
      </c>
      <c r="F1802" t="s">
        <v>59</v>
      </c>
      <c r="G1802">
        <v>105980</v>
      </c>
      <c r="H1802">
        <v>600</v>
      </c>
      <c r="I1802">
        <v>78233</v>
      </c>
      <c r="J1802">
        <v>17.920000000000002</v>
      </c>
      <c r="K1802">
        <v>48</v>
      </c>
      <c r="L1802" t="s">
        <v>86</v>
      </c>
      <c r="M1802">
        <v>57.35</v>
      </c>
      <c r="N1802">
        <v>66397</v>
      </c>
      <c r="O1802">
        <v>245142</v>
      </c>
      <c r="P1802" t="s">
        <v>1068</v>
      </c>
      <c r="Q1802" t="s">
        <v>42</v>
      </c>
      <c r="R1802" t="s">
        <v>48</v>
      </c>
      <c r="S1802" t="s">
        <v>68</v>
      </c>
      <c r="T1802">
        <v>1921.92</v>
      </c>
      <c r="U1802">
        <f t="shared" si="392"/>
        <v>200</v>
      </c>
      <c r="V1802">
        <f t="shared" si="393"/>
        <v>83</v>
      </c>
      <c r="W1802">
        <f t="shared" si="394"/>
        <v>57</v>
      </c>
      <c r="X1802">
        <f t="shared" si="395"/>
        <v>0.35149999999999998</v>
      </c>
      <c r="Y1802" s="1">
        <f t="shared" si="396"/>
        <v>10139439</v>
      </c>
      <c r="Z1802">
        <f t="shared" si="397"/>
        <v>50697.195</v>
      </c>
      <c r="AA1802">
        <f t="shared" si="398"/>
        <v>99664</v>
      </c>
      <c r="AB1802">
        <f t="shared" si="399"/>
        <v>5091</v>
      </c>
      <c r="AC1802">
        <f t="shared" si="400"/>
        <v>267705.93000000017</v>
      </c>
      <c r="AD1802">
        <f t="shared" si="401"/>
        <v>1338.5296500000009</v>
      </c>
      <c r="AE1802">
        <f t="shared" si="402"/>
        <v>0.35149999999999998</v>
      </c>
      <c r="AF1802">
        <f t="shared" si="403"/>
        <v>26017189.059999999</v>
      </c>
      <c r="AG1802" t="str">
        <f t="shared" si="404"/>
        <v>Active</v>
      </c>
      <c r="AH1802">
        <f t="shared" si="405"/>
        <v>23063.040000000001</v>
      </c>
    </row>
    <row r="1803" spans="1:34" x14ac:dyDescent="0.35">
      <c r="A1803" t="s">
        <v>4674</v>
      </c>
      <c r="B1803" t="s">
        <v>4675</v>
      </c>
      <c r="C1803">
        <v>46</v>
      </c>
      <c r="D1803" t="s">
        <v>22</v>
      </c>
      <c r="E1803" t="s">
        <v>39</v>
      </c>
      <c r="F1803" t="s">
        <v>59</v>
      </c>
      <c r="G1803">
        <v>138586</v>
      </c>
      <c r="H1803">
        <v>570</v>
      </c>
      <c r="I1803">
        <v>33697</v>
      </c>
      <c r="J1803">
        <v>13.94</v>
      </c>
      <c r="K1803">
        <v>24</v>
      </c>
      <c r="L1803" t="s">
        <v>52</v>
      </c>
      <c r="M1803">
        <v>10.39</v>
      </c>
      <c r="N1803">
        <v>35954</v>
      </c>
      <c r="O1803">
        <v>119052</v>
      </c>
      <c r="P1803" t="s">
        <v>4676</v>
      </c>
      <c r="Q1803" t="s">
        <v>42</v>
      </c>
      <c r="R1803" t="s">
        <v>48</v>
      </c>
      <c r="S1803" t="s">
        <v>43</v>
      </c>
      <c r="T1803">
        <v>1599.77</v>
      </c>
      <c r="U1803">
        <f t="shared" si="392"/>
        <v>199</v>
      </c>
      <c r="V1803">
        <f t="shared" si="393"/>
        <v>82</v>
      </c>
      <c r="W1803">
        <f t="shared" si="394"/>
        <v>57</v>
      </c>
      <c r="X1803">
        <f t="shared" si="395"/>
        <v>0.35149999999999998</v>
      </c>
      <c r="Y1803" s="1">
        <f t="shared" si="396"/>
        <v>10061206</v>
      </c>
      <c r="Z1803">
        <f t="shared" si="397"/>
        <v>50558.824120603014</v>
      </c>
      <c r="AA1803">
        <f t="shared" si="398"/>
        <v>99664</v>
      </c>
      <c r="AB1803">
        <f t="shared" si="399"/>
        <v>5091</v>
      </c>
      <c r="AC1803">
        <f t="shared" si="400"/>
        <v>265784.01000000013</v>
      </c>
      <c r="AD1803">
        <f t="shared" si="401"/>
        <v>1335.5980402010057</v>
      </c>
      <c r="AE1803">
        <f t="shared" si="402"/>
        <v>0.35149999999999998</v>
      </c>
      <c r="AF1803">
        <f t="shared" si="403"/>
        <v>25749483.129999995</v>
      </c>
      <c r="AG1803" t="str">
        <f t="shared" si="404"/>
        <v>Active</v>
      </c>
      <c r="AH1803">
        <f t="shared" si="405"/>
        <v>19197.239999999998</v>
      </c>
    </row>
    <row r="1804" spans="1:34" x14ac:dyDescent="0.35">
      <c r="A1804" t="s">
        <v>4677</v>
      </c>
      <c r="B1804" t="s">
        <v>4678</v>
      </c>
      <c r="C1804">
        <v>58</v>
      </c>
      <c r="D1804" t="s">
        <v>22</v>
      </c>
      <c r="E1804" t="s">
        <v>32</v>
      </c>
      <c r="F1804" t="s">
        <v>46</v>
      </c>
      <c r="G1804">
        <v>48237</v>
      </c>
      <c r="H1804">
        <v>542</v>
      </c>
      <c r="I1804">
        <v>37635</v>
      </c>
      <c r="J1804">
        <v>18.87</v>
      </c>
      <c r="K1804">
        <v>60</v>
      </c>
      <c r="L1804" t="s">
        <v>25</v>
      </c>
      <c r="M1804">
        <v>55.52</v>
      </c>
      <c r="N1804">
        <v>2490</v>
      </c>
      <c r="O1804">
        <v>142464</v>
      </c>
      <c r="P1804" t="s">
        <v>4679</v>
      </c>
      <c r="Q1804" t="s">
        <v>27</v>
      </c>
      <c r="R1804" t="s">
        <v>28</v>
      </c>
      <c r="S1804" t="s">
        <v>35</v>
      </c>
      <c r="T1804">
        <v>745.61</v>
      </c>
      <c r="U1804">
        <f t="shared" si="392"/>
        <v>198</v>
      </c>
      <c r="V1804">
        <f t="shared" si="393"/>
        <v>81</v>
      </c>
      <c r="W1804">
        <f t="shared" si="394"/>
        <v>57</v>
      </c>
      <c r="X1804">
        <f t="shared" si="395"/>
        <v>0.35149999999999998</v>
      </c>
      <c r="Y1804" s="1">
        <f t="shared" si="396"/>
        <v>10027509</v>
      </c>
      <c r="Z1804">
        <f t="shared" si="397"/>
        <v>50643.984848484848</v>
      </c>
      <c r="AA1804">
        <f t="shared" si="398"/>
        <v>99664</v>
      </c>
      <c r="AB1804">
        <f t="shared" si="399"/>
        <v>5091</v>
      </c>
      <c r="AC1804">
        <f t="shared" si="400"/>
        <v>264184.24000000017</v>
      </c>
      <c r="AD1804">
        <f t="shared" si="401"/>
        <v>1334.2638383838391</v>
      </c>
      <c r="AE1804">
        <f t="shared" si="402"/>
        <v>0.35149999999999998</v>
      </c>
      <c r="AF1804">
        <f t="shared" si="403"/>
        <v>25483699.119999994</v>
      </c>
      <c r="AG1804" t="str">
        <f t="shared" si="404"/>
        <v>Active</v>
      </c>
      <c r="AH1804">
        <f t="shared" si="405"/>
        <v>8947.32</v>
      </c>
    </row>
    <row r="1805" spans="1:34" x14ac:dyDescent="0.35">
      <c r="A1805" t="s">
        <v>4680</v>
      </c>
      <c r="B1805" t="s">
        <v>4681</v>
      </c>
      <c r="C1805">
        <v>35</v>
      </c>
      <c r="D1805" t="s">
        <v>38</v>
      </c>
      <c r="E1805" t="s">
        <v>39</v>
      </c>
      <c r="F1805" t="s">
        <v>59</v>
      </c>
      <c r="G1805">
        <v>127323</v>
      </c>
      <c r="H1805">
        <v>578</v>
      </c>
      <c r="I1805">
        <v>74582</v>
      </c>
      <c r="J1805">
        <v>12.52</v>
      </c>
      <c r="K1805">
        <v>240</v>
      </c>
      <c r="L1805" t="s">
        <v>52</v>
      </c>
      <c r="M1805">
        <v>43.23</v>
      </c>
      <c r="N1805">
        <v>40919</v>
      </c>
      <c r="O1805">
        <v>180494</v>
      </c>
      <c r="P1805" t="s">
        <v>576</v>
      </c>
      <c r="Q1805" t="s">
        <v>42</v>
      </c>
      <c r="R1805" t="s">
        <v>28</v>
      </c>
      <c r="S1805" t="s">
        <v>35</v>
      </c>
      <c r="T1805">
        <v>349.67</v>
      </c>
      <c r="U1805">
        <f t="shared" si="392"/>
        <v>197</v>
      </c>
      <c r="V1805">
        <f t="shared" si="393"/>
        <v>81</v>
      </c>
      <c r="W1805">
        <f t="shared" si="394"/>
        <v>57</v>
      </c>
      <c r="X1805">
        <f t="shared" si="395"/>
        <v>0.35149999999999998</v>
      </c>
      <c r="Y1805" s="1">
        <f t="shared" si="396"/>
        <v>9989874</v>
      </c>
      <c r="Z1805">
        <f t="shared" si="397"/>
        <v>50710.020304568527</v>
      </c>
      <c r="AA1805">
        <f t="shared" si="398"/>
        <v>99664</v>
      </c>
      <c r="AB1805">
        <f t="shared" si="399"/>
        <v>5091</v>
      </c>
      <c r="AC1805">
        <f t="shared" si="400"/>
        <v>263438.63000000018</v>
      </c>
      <c r="AD1805">
        <f t="shared" si="401"/>
        <v>1337.2519289340112</v>
      </c>
      <c r="AE1805">
        <f t="shared" si="402"/>
        <v>0.35149999999999998</v>
      </c>
      <c r="AF1805">
        <f t="shared" si="403"/>
        <v>25219514.879999995</v>
      </c>
      <c r="AG1805" t="str">
        <f t="shared" si="404"/>
        <v>Active</v>
      </c>
      <c r="AH1805">
        <f t="shared" si="405"/>
        <v>4196.04</v>
      </c>
    </row>
    <row r="1806" spans="1:34" x14ac:dyDescent="0.35">
      <c r="A1806" t="s">
        <v>4682</v>
      </c>
      <c r="B1806" t="s">
        <v>4683</v>
      </c>
      <c r="C1806">
        <v>54</v>
      </c>
      <c r="D1806" t="s">
        <v>22</v>
      </c>
      <c r="E1806" t="s">
        <v>39</v>
      </c>
      <c r="F1806" t="s">
        <v>24</v>
      </c>
      <c r="G1806">
        <v>153668</v>
      </c>
      <c r="H1806">
        <v>472</v>
      </c>
      <c r="I1806">
        <v>80741</v>
      </c>
      <c r="J1806">
        <v>6.66</v>
      </c>
      <c r="K1806">
        <v>48</v>
      </c>
      <c r="L1806" t="s">
        <v>25</v>
      </c>
      <c r="M1806">
        <v>24.46</v>
      </c>
      <c r="N1806">
        <v>73305</v>
      </c>
      <c r="O1806">
        <v>135071</v>
      </c>
      <c r="P1806" t="s">
        <v>3335</v>
      </c>
      <c r="Q1806" t="s">
        <v>42</v>
      </c>
      <c r="R1806" t="s">
        <v>48</v>
      </c>
      <c r="S1806" t="s">
        <v>43</v>
      </c>
      <c r="T1806">
        <v>1794.13</v>
      </c>
      <c r="U1806">
        <f t="shared" si="392"/>
        <v>196</v>
      </c>
      <c r="V1806">
        <f t="shared" si="393"/>
        <v>80</v>
      </c>
      <c r="W1806">
        <f t="shared" si="394"/>
        <v>57</v>
      </c>
      <c r="X1806">
        <f t="shared" si="395"/>
        <v>0.35149999999999998</v>
      </c>
      <c r="Y1806" s="1">
        <f t="shared" si="396"/>
        <v>9915292</v>
      </c>
      <c r="Z1806">
        <f t="shared" si="397"/>
        <v>50588.224489795917</v>
      </c>
      <c r="AA1806">
        <f t="shared" si="398"/>
        <v>99664</v>
      </c>
      <c r="AB1806">
        <f t="shared" si="399"/>
        <v>5091</v>
      </c>
      <c r="AC1806">
        <f t="shared" si="400"/>
        <v>263088.96000000014</v>
      </c>
      <c r="AD1806">
        <f t="shared" si="401"/>
        <v>1342.2906122448987</v>
      </c>
      <c r="AE1806">
        <f t="shared" si="402"/>
        <v>0.35149999999999998</v>
      </c>
      <c r="AF1806">
        <f t="shared" si="403"/>
        <v>24956076.249999996</v>
      </c>
      <c r="AG1806" t="str">
        <f t="shared" si="404"/>
        <v>Active</v>
      </c>
      <c r="AH1806">
        <f t="shared" si="405"/>
        <v>21529.56</v>
      </c>
    </row>
    <row r="1807" spans="1:34" x14ac:dyDescent="0.35">
      <c r="A1807" t="s">
        <v>4684</v>
      </c>
      <c r="B1807" t="s">
        <v>4685</v>
      </c>
      <c r="C1807">
        <v>45</v>
      </c>
      <c r="D1807" t="s">
        <v>38</v>
      </c>
      <c r="E1807" t="s">
        <v>32</v>
      </c>
      <c r="F1807" t="s">
        <v>46</v>
      </c>
      <c r="G1807">
        <v>101931</v>
      </c>
      <c r="H1807">
        <v>354</v>
      </c>
      <c r="I1807">
        <v>28445</v>
      </c>
      <c r="J1807">
        <v>6.06</v>
      </c>
      <c r="K1807">
        <v>24</v>
      </c>
      <c r="L1807" t="s">
        <v>25</v>
      </c>
      <c r="M1807">
        <v>28.66</v>
      </c>
      <c r="N1807">
        <v>46873</v>
      </c>
      <c r="O1807">
        <v>81798</v>
      </c>
      <c r="P1807" t="s">
        <v>4686</v>
      </c>
      <c r="Q1807" t="s">
        <v>42</v>
      </c>
      <c r="R1807" t="s">
        <v>48</v>
      </c>
      <c r="S1807" t="s">
        <v>29</v>
      </c>
      <c r="T1807">
        <v>1257.03</v>
      </c>
      <c r="U1807">
        <f t="shared" si="392"/>
        <v>195</v>
      </c>
      <c r="V1807">
        <f t="shared" si="393"/>
        <v>79</v>
      </c>
      <c r="W1807">
        <f t="shared" si="394"/>
        <v>57</v>
      </c>
      <c r="X1807">
        <f t="shared" si="395"/>
        <v>0.35149999999999998</v>
      </c>
      <c r="Y1807" s="1">
        <f t="shared" si="396"/>
        <v>9834551</v>
      </c>
      <c r="Z1807">
        <f t="shared" si="397"/>
        <v>50433.59487179487</v>
      </c>
      <c r="AA1807">
        <f t="shared" si="398"/>
        <v>99664</v>
      </c>
      <c r="AB1807">
        <f t="shared" si="399"/>
        <v>5091</v>
      </c>
      <c r="AC1807">
        <f t="shared" si="400"/>
        <v>261294.83000000013</v>
      </c>
      <c r="AD1807">
        <f t="shared" si="401"/>
        <v>1339.9734871794878</v>
      </c>
      <c r="AE1807">
        <f t="shared" si="402"/>
        <v>0.35149999999999998</v>
      </c>
      <c r="AF1807">
        <f t="shared" si="403"/>
        <v>24692987.289999995</v>
      </c>
      <c r="AG1807" t="str">
        <f t="shared" si="404"/>
        <v>Active</v>
      </c>
      <c r="AH1807">
        <f t="shared" si="405"/>
        <v>15084.36</v>
      </c>
    </row>
    <row r="1808" spans="1:34" x14ac:dyDescent="0.35">
      <c r="A1808" t="s">
        <v>4687</v>
      </c>
      <c r="B1808" t="s">
        <v>4688</v>
      </c>
      <c r="C1808">
        <v>37</v>
      </c>
      <c r="D1808" t="s">
        <v>22</v>
      </c>
      <c r="E1808" t="s">
        <v>39</v>
      </c>
      <c r="F1808" t="s">
        <v>59</v>
      </c>
      <c r="G1808">
        <v>61632</v>
      </c>
      <c r="H1808">
        <v>442</v>
      </c>
      <c r="I1808">
        <v>29713</v>
      </c>
      <c r="J1808">
        <v>17.62</v>
      </c>
      <c r="K1808">
        <v>48</v>
      </c>
      <c r="L1808" t="s">
        <v>40</v>
      </c>
      <c r="M1808">
        <v>56.61</v>
      </c>
      <c r="N1808">
        <v>17078</v>
      </c>
      <c r="O1808">
        <v>220786</v>
      </c>
      <c r="P1808" t="s">
        <v>2792</v>
      </c>
      <c r="Q1808" t="s">
        <v>42</v>
      </c>
      <c r="R1808" t="s">
        <v>48</v>
      </c>
      <c r="S1808" t="s">
        <v>68</v>
      </c>
      <c r="T1808">
        <v>728.09</v>
      </c>
      <c r="U1808">
        <f t="shared" si="392"/>
        <v>194</v>
      </c>
      <c r="V1808">
        <f t="shared" si="393"/>
        <v>78</v>
      </c>
      <c r="W1808">
        <f t="shared" si="394"/>
        <v>57</v>
      </c>
      <c r="X1808">
        <f t="shared" si="395"/>
        <v>0.35149999999999998</v>
      </c>
      <c r="Y1808" s="1">
        <f t="shared" si="396"/>
        <v>9806106</v>
      </c>
      <c r="Z1808">
        <f t="shared" si="397"/>
        <v>50546.938144329899</v>
      </c>
      <c r="AA1808">
        <f t="shared" si="398"/>
        <v>99664</v>
      </c>
      <c r="AB1808">
        <f t="shared" si="399"/>
        <v>5091</v>
      </c>
      <c r="AC1808">
        <f t="shared" si="400"/>
        <v>260037.80000000013</v>
      </c>
      <c r="AD1808">
        <f t="shared" si="401"/>
        <v>1340.4010309278358</v>
      </c>
      <c r="AE1808">
        <f t="shared" si="402"/>
        <v>0.35149999999999998</v>
      </c>
      <c r="AF1808">
        <f t="shared" si="403"/>
        <v>24431692.459999997</v>
      </c>
      <c r="AG1808" t="str">
        <f t="shared" si="404"/>
        <v>Active</v>
      </c>
      <c r="AH1808">
        <f t="shared" si="405"/>
        <v>8737.08</v>
      </c>
    </row>
    <row r="1809" spans="1:34" x14ac:dyDescent="0.35">
      <c r="A1809" t="s">
        <v>4689</v>
      </c>
      <c r="B1809" t="s">
        <v>4690</v>
      </c>
      <c r="C1809">
        <v>50</v>
      </c>
      <c r="D1809" t="s">
        <v>38</v>
      </c>
      <c r="E1809" t="s">
        <v>39</v>
      </c>
      <c r="F1809" t="s">
        <v>46</v>
      </c>
      <c r="G1809">
        <v>155338</v>
      </c>
      <c r="H1809">
        <v>644</v>
      </c>
      <c r="I1809">
        <v>12140</v>
      </c>
      <c r="J1809">
        <v>14.27</v>
      </c>
      <c r="K1809">
        <v>12</v>
      </c>
      <c r="L1809" t="s">
        <v>86</v>
      </c>
      <c r="M1809">
        <v>30.94</v>
      </c>
      <c r="N1809">
        <v>10481</v>
      </c>
      <c r="O1809">
        <v>4661</v>
      </c>
      <c r="P1809" t="s">
        <v>1835</v>
      </c>
      <c r="Q1809" t="s">
        <v>27</v>
      </c>
      <c r="R1809" t="s">
        <v>28</v>
      </c>
      <c r="S1809" t="s">
        <v>29</v>
      </c>
      <c r="T1809">
        <v>1156.03</v>
      </c>
      <c r="U1809">
        <f t="shared" si="392"/>
        <v>193</v>
      </c>
      <c r="V1809">
        <f t="shared" si="393"/>
        <v>77</v>
      </c>
      <c r="W1809">
        <f t="shared" si="394"/>
        <v>57</v>
      </c>
      <c r="X1809">
        <f t="shared" si="395"/>
        <v>0.35149999999999998</v>
      </c>
      <c r="Y1809" s="1">
        <f t="shared" si="396"/>
        <v>9776393</v>
      </c>
      <c r="Z1809">
        <f t="shared" si="397"/>
        <v>50654.886010362694</v>
      </c>
      <c r="AA1809">
        <f t="shared" si="398"/>
        <v>99664</v>
      </c>
      <c r="AB1809">
        <f t="shared" si="399"/>
        <v>5091</v>
      </c>
      <c r="AC1809">
        <f t="shared" si="400"/>
        <v>259309.71000000014</v>
      </c>
      <c r="AD1809">
        <f t="shared" si="401"/>
        <v>1343.5736269430058</v>
      </c>
      <c r="AE1809">
        <f t="shared" si="402"/>
        <v>0.35149999999999998</v>
      </c>
      <c r="AF1809">
        <f t="shared" si="403"/>
        <v>24171654.659999996</v>
      </c>
      <c r="AG1809" t="str">
        <f t="shared" si="404"/>
        <v>Active</v>
      </c>
      <c r="AH1809">
        <f t="shared" si="405"/>
        <v>13872.36</v>
      </c>
    </row>
    <row r="1810" spans="1:34" x14ac:dyDescent="0.35">
      <c r="A1810" t="s">
        <v>4691</v>
      </c>
      <c r="B1810" t="s">
        <v>4692</v>
      </c>
      <c r="C1810">
        <v>50</v>
      </c>
      <c r="D1810" t="s">
        <v>22</v>
      </c>
      <c r="E1810" t="s">
        <v>39</v>
      </c>
      <c r="F1810" t="s">
        <v>46</v>
      </c>
      <c r="G1810">
        <v>183011</v>
      </c>
      <c r="H1810">
        <v>796</v>
      </c>
      <c r="I1810">
        <v>26579</v>
      </c>
      <c r="J1810">
        <v>22.58</v>
      </c>
      <c r="K1810">
        <v>12</v>
      </c>
      <c r="L1810" t="s">
        <v>40</v>
      </c>
      <c r="M1810">
        <v>57.91</v>
      </c>
      <c r="N1810">
        <v>43327</v>
      </c>
      <c r="O1810">
        <v>16580</v>
      </c>
      <c r="P1810" t="s">
        <v>2435</v>
      </c>
      <c r="Q1810" t="s">
        <v>42</v>
      </c>
      <c r="R1810" t="s">
        <v>28</v>
      </c>
      <c r="S1810" t="s">
        <v>68</v>
      </c>
      <c r="T1810">
        <v>2715.04</v>
      </c>
      <c r="U1810">
        <f t="shared" si="392"/>
        <v>192</v>
      </c>
      <c r="V1810">
        <f t="shared" si="393"/>
        <v>77</v>
      </c>
      <c r="W1810">
        <f t="shared" si="394"/>
        <v>57</v>
      </c>
      <c r="X1810">
        <f t="shared" si="395"/>
        <v>0.35149999999999998</v>
      </c>
      <c r="Y1810" s="1">
        <f t="shared" si="396"/>
        <v>9764253</v>
      </c>
      <c r="Z1810">
        <f t="shared" si="397"/>
        <v>50855.484375</v>
      </c>
      <c r="AA1810">
        <f t="shared" si="398"/>
        <v>99664</v>
      </c>
      <c r="AB1810">
        <f t="shared" si="399"/>
        <v>5091</v>
      </c>
      <c r="AC1810">
        <f t="shared" si="400"/>
        <v>258153.68000000011</v>
      </c>
      <c r="AD1810">
        <f t="shared" si="401"/>
        <v>1344.5504166666672</v>
      </c>
      <c r="AE1810">
        <f t="shared" si="402"/>
        <v>0.35149999999999998</v>
      </c>
      <c r="AF1810">
        <f t="shared" si="403"/>
        <v>23912344.949999996</v>
      </c>
      <c r="AG1810" t="str">
        <f t="shared" si="404"/>
        <v>Over Paid</v>
      </c>
      <c r="AH1810">
        <f t="shared" si="405"/>
        <v>32580.48</v>
      </c>
    </row>
    <row r="1811" spans="1:34" x14ac:dyDescent="0.35">
      <c r="A1811" t="s">
        <v>4693</v>
      </c>
      <c r="B1811" t="s">
        <v>4694</v>
      </c>
      <c r="C1811">
        <v>49</v>
      </c>
      <c r="D1811" t="s">
        <v>22</v>
      </c>
      <c r="E1811" t="s">
        <v>39</v>
      </c>
      <c r="F1811" t="s">
        <v>59</v>
      </c>
      <c r="G1811">
        <v>97541</v>
      </c>
      <c r="H1811">
        <v>608</v>
      </c>
      <c r="I1811">
        <v>66087</v>
      </c>
      <c r="J1811">
        <v>22</v>
      </c>
      <c r="K1811">
        <v>240</v>
      </c>
      <c r="L1811" t="s">
        <v>40</v>
      </c>
      <c r="M1811">
        <v>17.96</v>
      </c>
      <c r="N1811">
        <v>38508</v>
      </c>
      <c r="O1811">
        <v>178637</v>
      </c>
      <c r="P1811" t="s">
        <v>4695</v>
      </c>
      <c r="Q1811" t="s">
        <v>61</v>
      </c>
      <c r="R1811" t="s">
        <v>28</v>
      </c>
      <c r="S1811" t="s">
        <v>29</v>
      </c>
      <c r="T1811">
        <v>335.94</v>
      </c>
      <c r="U1811">
        <f t="shared" si="392"/>
        <v>191</v>
      </c>
      <c r="V1811">
        <f t="shared" si="393"/>
        <v>76</v>
      </c>
      <c r="W1811">
        <f t="shared" si="394"/>
        <v>57</v>
      </c>
      <c r="X1811">
        <f t="shared" si="395"/>
        <v>0.35149999999999998</v>
      </c>
      <c r="Y1811" s="1">
        <f t="shared" si="396"/>
        <v>9737674</v>
      </c>
      <c r="Z1811">
        <f t="shared" si="397"/>
        <v>50982.586387434552</v>
      </c>
      <c r="AA1811">
        <f t="shared" si="398"/>
        <v>99664</v>
      </c>
      <c r="AB1811">
        <f t="shared" si="399"/>
        <v>5091</v>
      </c>
      <c r="AC1811">
        <f t="shared" si="400"/>
        <v>255438.6400000001</v>
      </c>
      <c r="AD1811">
        <f t="shared" si="401"/>
        <v>1337.3750785340319</v>
      </c>
      <c r="AE1811">
        <f t="shared" si="402"/>
        <v>0.35149999999999998</v>
      </c>
      <c r="AF1811">
        <f t="shared" si="403"/>
        <v>23654191.269999992</v>
      </c>
      <c r="AG1811" t="str">
        <f t="shared" si="404"/>
        <v>Over Paid</v>
      </c>
      <c r="AH1811">
        <f t="shared" si="405"/>
        <v>4031.2799999999997</v>
      </c>
    </row>
    <row r="1812" spans="1:34" x14ac:dyDescent="0.35">
      <c r="A1812" t="s">
        <v>4696</v>
      </c>
      <c r="B1812" t="s">
        <v>4697</v>
      </c>
      <c r="C1812">
        <v>42</v>
      </c>
      <c r="D1812" t="s">
        <v>38</v>
      </c>
      <c r="E1812" t="s">
        <v>39</v>
      </c>
      <c r="F1812" t="s">
        <v>24</v>
      </c>
      <c r="G1812">
        <v>189124</v>
      </c>
      <c r="H1812">
        <v>340</v>
      </c>
      <c r="I1812">
        <v>39428</v>
      </c>
      <c r="J1812">
        <v>9.9</v>
      </c>
      <c r="K1812">
        <v>48</v>
      </c>
      <c r="L1812" t="s">
        <v>86</v>
      </c>
      <c r="M1812">
        <v>52.3</v>
      </c>
      <c r="N1812">
        <v>11009</v>
      </c>
      <c r="O1812">
        <v>185411</v>
      </c>
      <c r="P1812" t="s">
        <v>4698</v>
      </c>
      <c r="Q1812" t="s">
        <v>42</v>
      </c>
      <c r="R1812" t="s">
        <v>28</v>
      </c>
      <c r="S1812" t="s">
        <v>49</v>
      </c>
      <c r="T1812">
        <v>902.74</v>
      </c>
      <c r="U1812">
        <f t="shared" si="392"/>
        <v>190</v>
      </c>
      <c r="V1812">
        <f t="shared" si="393"/>
        <v>76</v>
      </c>
      <c r="W1812">
        <f t="shared" si="394"/>
        <v>56</v>
      </c>
      <c r="X1812">
        <f t="shared" si="395"/>
        <v>0.35149999999999998</v>
      </c>
      <c r="Y1812" s="1">
        <f t="shared" si="396"/>
        <v>9671587</v>
      </c>
      <c r="Z1812">
        <f t="shared" si="397"/>
        <v>50903.089473684209</v>
      </c>
      <c r="AA1812">
        <f t="shared" si="398"/>
        <v>99664</v>
      </c>
      <c r="AB1812">
        <f t="shared" si="399"/>
        <v>5091</v>
      </c>
      <c r="AC1812">
        <f t="shared" si="400"/>
        <v>255102.70000000013</v>
      </c>
      <c r="AD1812">
        <f t="shared" si="401"/>
        <v>1342.6457894736848</v>
      </c>
      <c r="AE1812">
        <f t="shared" si="402"/>
        <v>0.35149999999999998</v>
      </c>
      <c r="AF1812">
        <f t="shared" si="403"/>
        <v>23398752.629999999</v>
      </c>
      <c r="AG1812" t="str">
        <f t="shared" si="404"/>
        <v>Active</v>
      </c>
      <c r="AH1812">
        <f t="shared" si="405"/>
        <v>10832.880000000001</v>
      </c>
    </row>
    <row r="1813" spans="1:34" x14ac:dyDescent="0.35">
      <c r="A1813" t="s">
        <v>4699</v>
      </c>
      <c r="B1813" t="s">
        <v>4700</v>
      </c>
      <c r="C1813">
        <v>54</v>
      </c>
      <c r="D1813" t="s">
        <v>22</v>
      </c>
      <c r="E1813" t="s">
        <v>23</v>
      </c>
      <c r="F1813" t="s">
        <v>46</v>
      </c>
      <c r="G1813">
        <v>56031</v>
      </c>
      <c r="H1813">
        <v>740</v>
      </c>
      <c r="I1813">
        <v>21821</v>
      </c>
      <c r="J1813">
        <v>19.23</v>
      </c>
      <c r="K1813">
        <v>36</v>
      </c>
      <c r="L1813" t="s">
        <v>33</v>
      </c>
      <c r="M1813">
        <v>28.58</v>
      </c>
      <c r="N1813">
        <v>23540</v>
      </c>
      <c r="O1813">
        <v>133912</v>
      </c>
      <c r="P1813" t="s">
        <v>4701</v>
      </c>
      <c r="Q1813" t="s">
        <v>61</v>
      </c>
      <c r="R1813" t="s">
        <v>48</v>
      </c>
      <c r="S1813" t="s">
        <v>68</v>
      </c>
      <c r="T1813">
        <v>722.7</v>
      </c>
      <c r="U1813">
        <f t="shared" si="392"/>
        <v>189</v>
      </c>
      <c r="V1813">
        <f t="shared" si="393"/>
        <v>75</v>
      </c>
      <c r="W1813">
        <f t="shared" si="394"/>
        <v>56</v>
      </c>
      <c r="X1813">
        <f t="shared" si="395"/>
        <v>0.35149999999999998</v>
      </c>
      <c r="Y1813" s="1">
        <f t="shared" si="396"/>
        <v>9632159</v>
      </c>
      <c r="Z1813">
        <f t="shared" si="397"/>
        <v>50963.804232804236</v>
      </c>
      <c r="AA1813">
        <f t="shared" si="398"/>
        <v>99664</v>
      </c>
      <c r="AB1813">
        <f t="shared" si="399"/>
        <v>5091</v>
      </c>
      <c r="AC1813">
        <f t="shared" si="400"/>
        <v>254199.96000000014</v>
      </c>
      <c r="AD1813">
        <f t="shared" si="401"/>
        <v>1344.973333333334</v>
      </c>
      <c r="AE1813">
        <f t="shared" si="402"/>
        <v>0.35149999999999998</v>
      </c>
      <c r="AF1813">
        <f t="shared" si="403"/>
        <v>23143649.929999996</v>
      </c>
      <c r="AG1813" t="str">
        <f t="shared" si="404"/>
        <v>Active</v>
      </c>
      <c r="AH1813">
        <f t="shared" si="405"/>
        <v>8672.4000000000015</v>
      </c>
    </row>
    <row r="1814" spans="1:34" x14ac:dyDescent="0.35">
      <c r="A1814" t="s">
        <v>4702</v>
      </c>
      <c r="B1814" t="s">
        <v>4703</v>
      </c>
      <c r="C1814">
        <v>35</v>
      </c>
      <c r="D1814" t="s">
        <v>38</v>
      </c>
      <c r="E1814" t="s">
        <v>23</v>
      </c>
      <c r="F1814" t="s">
        <v>59</v>
      </c>
      <c r="G1814">
        <v>151391</v>
      </c>
      <c r="H1814">
        <v>398</v>
      </c>
      <c r="I1814">
        <v>70968</v>
      </c>
      <c r="J1814">
        <v>7.28</v>
      </c>
      <c r="K1814">
        <v>120</v>
      </c>
      <c r="L1814" t="s">
        <v>25</v>
      </c>
      <c r="M1814">
        <v>50</v>
      </c>
      <c r="N1814">
        <v>58449</v>
      </c>
      <c r="O1814">
        <v>217483</v>
      </c>
      <c r="P1814" t="s">
        <v>1126</v>
      </c>
      <c r="Q1814" t="s">
        <v>61</v>
      </c>
      <c r="R1814" t="s">
        <v>28</v>
      </c>
      <c r="S1814" t="s">
        <v>29</v>
      </c>
      <c r="T1814">
        <v>634.45000000000005</v>
      </c>
      <c r="U1814">
        <f t="shared" si="392"/>
        <v>188</v>
      </c>
      <c r="V1814">
        <f t="shared" si="393"/>
        <v>75</v>
      </c>
      <c r="W1814">
        <f t="shared" si="394"/>
        <v>55</v>
      </c>
      <c r="X1814">
        <f t="shared" si="395"/>
        <v>0.35149999999999998</v>
      </c>
      <c r="Y1814" s="1">
        <f t="shared" si="396"/>
        <v>9610338</v>
      </c>
      <c r="Z1814">
        <f t="shared" si="397"/>
        <v>51118.819148936171</v>
      </c>
      <c r="AA1814">
        <f t="shared" si="398"/>
        <v>99664</v>
      </c>
      <c r="AB1814">
        <f t="shared" si="399"/>
        <v>5091</v>
      </c>
      <c r="AC1814">
        <f t="shared" si="400"/>
        <v>253477.26000000015</v>
      </c>
      <c r="AD1814">
        <f t="shared" si="401"/>
        <v>1348.2832978723413</v>
      </c>
      <c r="AE1814">
        <f t="shared" si="402"/>
        <v>0.35149999999999998</v>
      </c>
      <c r="AF1814">
        <f t="shared" si="403"/>
        <v>22889449.969999995</v>
      </c>
      <c r="AG1814" t="str">
        <f t="shared" si="404"/>
        <v>Active</v>
      </c>
      <c r="AH1814">
        <f t="shared" si="405"/>
        <v>7613.4000000000005</v>
      </c>
    </row>
    <row r="1815" spans="1:34" x14ac:dyDescent="0.35">
      <c r="A1815" t="s">
        <v>4704</v>
      </c>
      <c r="B1815" t="s">
        <v>4705</v>
      </c>
      <c r="C1815">
        <v>46</v>
      </c>
      <c r="D1815" t="s">
        <v>22</v>
      </c>
      <c r="E1815" t="s">
        <v>23</v>
      </c>
      <c r="F1815" t="s">
        <v>46</v>
      </c>
      <c r="G1815">
        <v>52633</v>
      </c>
      <c r="H1815">
        <v>777</v>
      </c>
      <c r="I1815">
        <v>84133</v>
      </c>
      <c r="J1815">
        <v>10.53</v>
      </c>
      <c r="K1815">
        <v>36</v>
      </c>
      <c r="L1815" t="s">
        <v>86</v>
      </c>
      <c r="M1815">
        <v>18.940000000000001</v>
      </c>
      <c r="N1815">
        <v>41455</v>
      </c>
      <c r="O1815">
        <v>62752</v>
      </c>
      <c r="P1815" t="s">
        <v>1144</v>
      </c>
      <c r="Q1815" t="s">
        <v>42</v>
      </c>
      <c r="R1815" t="s">
        <v>28</v>
      </c>
      <c r="S1815" t="s">
        <v>49</v>
      </c>
      <c r="T1815">
        <v>2583.12</v>
      </c>
      <c r="U1815">
        <f t="shared" si="392"/>
        <v>187</v>
      </c>
      <c r="V1815">
        <f t="shared" si="393"/>
        <v>75</v>
      </c>
      <c r="W1815">
        <f t="shared" si="394"/>
        <v>54</v>
      </c>
      <c r="X1815">
        <f t="shared" si="395"/>
        <v>0.35149999999999998</v>
      </c>
      <c r="Y1815" s="1">
        <f t="shared" si="396"/>
        <v>9539370</v>
      </c>
      <c r="Z1815">
        <f t="shared" si="397"/>
        <v>51012.673796791445</v>
      </c>
      <c r="AA1815">
        <f t="shared" si="398"/>
        <v>99664</v>
      </c>
      <c r="AB1815">
        <f t="shared" si="399"/>
        <v>5091</v>
      </c>
      <c r="AC1815">
        <f t="shared" si="400"/>
        <v>252842.81000000014</v>
      </c>
      <c r="AD1815">
        <f t="shared" si="401"/>
        <v>1352.1005882352949</v>
      </c>
      <c r="AE1815">
        <f t="shared" si="402"/>
        <v>0.35149999999999998</v>
      </c>
      <c r="AF1815">
        <f t="shared" si="403"/>
        <v>22635972.709999993</v>
      </c>
      <c r="AG1815" t="str">
        <f t="shared" si="404"/>
        <v>Active</v>
      </c>
      <c r="AH1815">
        <f t="shared" si="405"/>
        <v>30997.439999999999</v>
      </c>
    </row>
    <row r="1816" spans="1:34" x14ac:dyDescent="0.35">
      <c r="A1816" t="s">
        <v>4706</v>
      </c>
      <c r="B1816" t="s">
        <v>4707</v>
      </c>
      <c r="C1816">
        <v>53</v>
      </c>
      <c r="D1816" t="s">
        <v>22</v>
      </c>
      <c r="E1816" t="s">
        <v>32</v>
      </c>
      <c r="F1816" t="s">
        <v>46</v>
      </c>
      <c r="G1816">
        <v>26066</v>
      </c>
      <c r="H1816">
        <v>324</v>
      </c>
      <c r="I1816">
        <v>20906</v>
      </c>
      <c r="J1816">
        <v>20.65</v>
      </c>
      <c r="K1816">
        <v>120</v>
      </c>
      <c r="L1816" t="s">
        <v>52</v>
      </c>
      <c r="M1816">
        <v>24.88</v>
      </c>
      <c r="N1816">
        <v>3236</v>
      </c>
      <c r="O1816">
        <v>198686</v>
      </c>
      <c r="P1816" t="s">
        <v>1964</v>
      </c>
      <c r="Q1816" t="s">
        <v>27</v>
      </c>
      <c r="R1816" t="s">
        <v>48</v>
      </c>
      <c r="S1816" t="s">
        <v>43</v>
      </c>
      <c r="T1816">
        <v>210.19</v>
      </c>
      <c r="U1816">
        <f t="shared" si="392"/>
        <v>186</v>
      </c>
      <c r="V1816">
        <f t="shared" si="393"/>
        <v>74</v>
      </c>
      <c r="W1816">
        <f t="shared" si="394"/>
        <v>54</v>
      </c>
      <c r="X1816">
        <f t="shared" si="395"/>
        <v>0.35149999999999998</v>
      </c>
      <c r="Y1816" s="1">
        <f t="shared" si="396"/>
        <v>9455237</v>
      </c>
      <c r="Z1816">
        <f t="shared" si="397"/>
        <v>50834.607526881722</v>
      </c>
      <c r="AA1816">
        <f t="shared" si="398"/>
        <v>99664</v>
      </c>
      <c r="AB1816">
        <f t="shared" si="399"/>
        <v>5091</v>
      </c>
      <c r="AC1816">
        <f t="shared" si="400"/>
        <v>250259.69000000012</v>
      </c>
      <c r="AD1816">
        <f t="shared" si="401"/>
        <v>1345.4822043010759</v>
      </c>
      <c r="AE1816">
        <f t="shared" si="402"/>
        <v>0.35149999999999998</v>
      </c>
      <c r="AF1816">
        <f t="shared" si="403"/>
        <v>22383129.899999995</v>
      </c>
      <c r="AG1816" t="str">
        <f t="shared" si="404"/>
        <v>Active</v>
      </c>
      <c r="AH1816">
        <f t="shared" si="405"/>
        <v>2522.2799999999997</v>
      </c>
    </row>
    <row r="1817" spans="1:34" x14ac:dyDescent="0.35">
      <c r="A1817" t="s">
        <v>4708</v>
      </c>
      <c r="B1817" t="s">
        <v>4709</v>
      </c>
      <c r="C1817">
        <v>63</v>
      </c>
      <c r="D1817" t="s">
        <v>38</v>
      </c>
      <c r="E1817" t="s">
        <v>32</v>
      </c>
      <c r="F1817" t="s">
        <v>59</v>
      </c>
      <c r="G1817">
        <v>120022</v>
      </c>
      <c r="H1817">
        <v>762</v>
      </c>
      <c r="I1817">
        <v>61118</v>
      </c>
      <c r="J1817">
        <v>7.81</v>
      </c>
      <c r="K1817">
        <v>24</v>
      </c>
      <c r="L1817" t="s">
        <v>52</v>
      </c>
      <c r="M1817">
        <v>33.17</v>
      </c>
      <c r="N1817">
        <v>61621</v>
      </c>
      <c r="O1817">
        <v>140206</v>
      </c>
      <c r="P1817" t="s">
        <v>3792</v>
      </c>
      <c r="Q1817" t="s">
        <v>42</v>
      </c>
      <c r="R1817" t="s">
        <v>48</v>
      </c>
      <c r="S1817" t="s">
        <v>68</v>
      </c>
      <c r="T1817">
        <v>2745.47</v>
      </c>
      <c r="U1817">
        <f t="shared" si="392"/>
        <v>185</v>
      </c>
      <c r="V1817">
        <f t="shared" si="393"/>
        <v>74</v>
      </c>
      <c r="W1817">
        <f t="shared" si="394"/>
        <v>54</v>
      </c>
      <c r="X1817">
        <f t="shared" si="395"/>
        <v>0.35149999999999998</v>
      </c>
      <c r="Y1817" s="1">
        <f t="shared" si="396"/>
        <v>9434331</v>
      </c>
      <c r="Z1817">
        <f t="shared" si="397"/>
        <v>50996.383783783785</v>
      </c>
      <c r="AA1817">
        <f t="shared" si="398"/>
        <v>99664</v>
      </c>
      <c r="AB1817">
        <f t="shared" si="399"/>
        <v>5091</v>
      </c>
      <c r="AC1817">
        <f t="shared" si="400"/>
        <v>250049.50000000012</v>
      </c>
      <c r="AD1817">
        <f t="shared" si="401"/>
        <v>1351.6189189189195</v>
      </c>
      <c r="AE1817">
        <f t="shared" si="402"/>
        <v>0.35149999999999998</v>
      </c>
      <c r="AF1817">
        <f t="shared" si="403"/>
        <v>22132870.209999993</v>
      </c>
      <c r="AG1817" t="str">
        <f t="shared" si="404"/>
        <v>Active</v>
      </c>
      <c r="AH1817">
        <f t="shared" si="405"/>
        <v>32945.64</v>
      </c>
    </row>
    <row r="1818" spans="1:34" x14ac:dyDescent="0.35">
      <c r="A1818" t="s">
        <v>4710</v>
      </c>
      <c r="B1818" t="s">
        <v>4711</v>
      </c>
      <c r="C1818">
        <v>47</v>
      </c>
      <c r="D1818" t="s">
        <v>38</v>
      </c>
      <c r="E1818" t="s">
        <v>32</v>
      </c>
      <c r="F1818" t="s">
        <v>46</v>
      </c>
      <c r="G1818">
        <v>186753</v>
      </c>
      <c r="H1818">
        <v>772</v>
      </c>
      <c r="I1818">
        <v>32332</v>
      </c>
      <c r="J1818">
        <v>19.55</v>
      </c>
      <c r="K1818">
        <v>240</v>
      </c>
      <c r="L1818" t="s">
        <v>33</v>
      </c>
      <c r="M1818">
        <v>19.59</v>
      </c>
      <c r="N1818">
        <v>76751</v>
      </c>
      <c r="O1818">
        <v>134062</v>
      </c>
      <c r="P1818" t="s">
        <v>275</v>
      </c>
      <c r="Q1818" t="s">
        <v>27</v>
      </c>
      <c r="R1818" t="s">
        <v>48</v>
      </c>
      <c r="S1818" t="s">
        <v>68</v>
      </c>
      <c r="T1818">
        <v>161.05000000000001</v>
      </c>
      <c r="U1818">
        <f t="shared" si="392"/>
        <v>184</v>
      </c>
      <c r="V1818">
        <f t="shared" si="393"/>
        <v>73</v>
      </c>
      <c r="W1818">
        <f t="shared" si="394"/>
        <v>54</v>
      </c>
      <c r="X1818">
        <f t="shared" si="395"/>
        <v>0.35149999999999998</v>
      </c>
      <c r="Y1818" s="1">
        <f t="shared" si="396"/>
        <v>9373213</v>
      </c>
      <c r="Z1818">
        <f t="shared" si="397"/>
        <v>50941.375</v>
      </c>
      <c r="AA1818">
        <f t="shared" si="398"/>
        <v>99664</v>
      </c>
      <c r="AB1818">
        <f t="shared" si="399"/>
        <v>5091</v>
      </c>
      <c r="AC1818">
        <f t="shared" si="400"/>
        <v>247304.03000000012</v>
      </c>
      <c r="AD1818">
        <f t="shared" si="401"/>
        <v>1344.0436413043485</v>
      </c>
      <c r="AE1818">
        <f t="shared" si="402"/>
        <v>0.35149999999999998</v>
      </c>
      <c r="AF1818">
        <f t="shared" si="403"/>
        <v>21882820.70999999</v>
      </c>
      <c r="AG1818" t="str">
        <f t="shared" si="404"/>
        <v>Active</v>
      </c>
      <c r="AH1818">
        <f t="shared" si="405"/>
        <v>1932.6000000000001</v>
      </c>
    </row>
    <row r="1819" spans="1:34" x14ac:dyDescent="0.35">
      <c r="A1819" t="s">
        <v>4712</v>
      </c>
      <c r="B1819" t="s">
        <v>4713</v>
      </c>
      <c r="C1819">
        <v>39</v>
      </c>
      <c r="D1819" t="s">
        <v>38</v>
      </c>
      <c r="E1819" t="s">
        <v>32</v>
      </c>
      <c r="F1819" t="s">
        <v>46</v>
      </c>
      <c r="G1819">
        <v>25696</v>
      </c>
      <c r="H1819">
        <v>535</v>
      </c>
      <c r="I1819">
        <v>32278</v>
      </c>
      <c r="J1819">
        <v>10.81</v>
      </c>
      <c r="K1819">
        <v>12</v>
      </c>
      <c r="L1819" t="s">
        <v>40</v>
      </c>
      <c r="M1819">
        <v>40.39</v>
      </c>
      <c r="N1819">
        <v>16112</v>
      </c>
      <c r="O1819">
        <v>92270</v>
      </c>
      <c r="P1819" t="s">
        <v>4561</v>
      </c>
      <c r="Q1819" t="s">
        <v>61</v>
      </c>
      <c r="R1819" t="s">
        <v>28</v>
      </c>
      <c r="S1819" t="s">
        <v>35</v>
      </c>
      <c r="T1819">
        <v>2980.6</v>
      </c>
      <c r="U1819">
        <f t="shared" si="392"/>
        <v>183</v>
      </c>
      <c r="V1819">
        <f t="shared" si="393"/>
        <v>73</v>
      </c>
      <c r="W1819">
        <f t="shared" si="394"/>
        <v>54</v>
      </c>
      <c r="X1819">
        <f t="shared" si="395"/>
        <v>0.35149999999999998</v>
      </c>
      <c r="Y1819" s="1">
        <f t="shared" si="396"/>
        <v>9340881</v>
      </c>
      <c r="Z1819">
        <f t="shared" si="397"/>
        <v>51043.065573770495</v>
      </c>
      <c r="AA1819">
        <f t="shared" si="398"/>
        <v>99664</v>
      </c>
      <c r="AB1819">
        <f t="shared" si="399"/>
        <v>5091</v>
      </c>
      <c r="AC1819">
        <f t="shared" si="400"/>
        <v>247142.98000000013</v>
      </c>
      <c r="AD1819">
        <f t="shared" si="401"/>
        <v>1350.5080874316948</v>
      </c>
      <c r="AE1819">
        <f t="shared" si="402"/>
        <v>0.35149999999999998</v>
      </c>
      <c r="AF1819">
        <f t="shared" si="403"/>
        <v>21635516.679999989</v>
      </c>
      <c r="AG1819" t="str">
        <f t="shared" si="404"/>
        <v>Active</v>
      </c>
      <c r="AH1819">
        <f t="shared" si="405"/>
        <v>35767.199999999997</v>
      </c>
    </row>
    <row r="1820" spans="1:34" x14ac:dyDescent="0.35">
      <c r="A1820" t="s">
        <v>4714</v>
      </c>
      <c r="B1820" t="s">
        <v>4715</v>
      </c>
      <c r="C1820">
        <v>39</v>
      </c>
      <c r="D1820" t="s">
        <v>22</v>
      </c>
      <c r="E1820" t="s">
        <v>39</v>
      </c>
      <c r="F1820" t="s">
        <v>24</v>
      </c>
      <c r="G1820">
        <v>65878</v>
      </c>
      <c r="H1820">
        <v>427</v>
      </c>
      <c r="I1820">
        <v>35685</v>
      </c>
      <c r="J1820">
        <v>7.13</v>
      </c>
      <c r="K1820">
        <v>48</v>
      </c>
      <c r="L1820" t="s">
        <v>40</v>
      </c>
      <c r="M1820">
        <v>7.81</v>
      </c>
      <c r="N1820">
        <v>25158</v>
      </c>
      <c r="O1820">
        <v>129100</v>
      </c>
      <c r="P1820" t="s">
        <v>4047</v>
      </c>
      <c r="Q1820" t="s">
        <v>42</v>
      </c>
      <c r="R1820" t="s">
        <v>48</v>
      </c>
      <c r="S1820" t="s">
        <v>43</v>
      </c>
      <c r="T1820">
        <v>796.44</v>
      </c>
      <c r="U1820">
        <f t="shared" si="392"/>
        <v>182</v>
      </c>
      <c r="V1820">
        <f t="shared" si="393"/>
        <v>73</v>
      </c>
      <c r="W1820">
        <f t="shared" si="394"/>
        <v>53</v>
      </c>
      <c r="X1820">
        <f t="shared" si="395"/>
        <v>0.35149999999999998</v>
      </c>
      <c r="Y1820" s="1">
        <f t="shared" si="396"/>
        <v>9308603</v>
      </c>
      <c r="Z1820">
        <f t="shared" si="397"/>
        <v>51146.170329670327</v>
      </c>
      <c r="AA1820">
        <f t="shared" si="398"/>
        <v>99664</v>
      </c>
      <c r="AB1820">
        <f t="shared" si="399"/>
        <v>5091</v>
      </c>
      <c r="AC1820">
        <f t="shared" si="400"/>
        <v>244162.38000000009</v>
      </c>
      <c r="AD1820">
        <f t="shared" si="401"/>
        <v>1341.5515384615389</v>
      </c>
      <c r="AE1820">
        <f t="shared" si="402"/>
        <v>0.35149999999999998</v>
      </c>
      <c r="AF1820">
        <f t="shared" si="403"/>
        <v>21388373.699999988</v>
      </c>
      <c r="AG1820" t="str">
        <f t="shared" si="404"/>
        <v>Over Paid</v>
      </c>
      <c r="AH1820">
        <f t="shared" si="405"/>
        <v>9557.2800000000007</v>
      </c>
    </row>
    <row r="1821" spans="1:34" x14ac:dyDescent="0.35">
      <c r="A1821" t="s">
        <v>4716</v>
      </c>
      <c r="B1821" t="s">
        <v>4717</v>
      </c>
      <c r="C1821">
        <v>59</v>
      </c>
      <c r="D1821" t="s">
        <v>22</v>
      </c>
      <c r="E1821" t="s">
        <v>39</v>
      </c>
      <c r="F1821" t="s">
        <v>46</v>
      </c>
      <c r="G1821">
        <v>120955</v>
      </c>
      <c r="H1821">
        <v>618</v>
      </c>
      <c r="I1821">
        <v>38037</v>
      </c>
      <c r="J1821">
        <v>4.92</v>
      </c>
      <c r="K1821">
        <v>12</v>
      </c>
      <c r="L1821" t="s">
        <v>52</v>
      </c>
      <c r="M1821">
        <v>29.91</v>
      </c>
      <c r="N1821">
        <v>67106</v>
      </c>
      <c r="O1821">
        <v>207301</v>
      </c>
      <c r="P1821" t="s">
        <v>1155</v>
      </c>
      <c r="Q1821" t="s">
        <v>61</v>
      </c>
      <c r="R1821" t="s">
        <v>28</v>
      </c>
      <c r="S1821" t="s">
        <v>49</v>
      </c>
      <c r="T1821">
        <v>3325.7</v>
      </c>
      <c r="U1821">
        <f t="shared" si="392"/>
        <v>181</v>
      </c>
      <c r="V1821">
        <f t="shared" si="393"/>
        <v>72</v>
      </c>
      <c r="W1821">
        <f t="shared" si="394"/>
        <v>53</v>
      </c>
      <c r="X1821">
        <f t="shared" si="395"/>
        <v>0.35149999999999998</v>
      </c>
      <c r="Y1821" s="1">
        <f t="shared" si="396"/>
        <v>9272918</v>
      </c>
      <c r="Z1821">
        <f t="shared" si="397"/>
        <v>51231.591160220996</v>
      </c>
      <c r="AA1821">
        <f t="shared" si="398"/>
        <v>99664</v>
      </c>
      <c r="AB1821">
        <f t="shared" si="399"/>
        <v>5091</v>
      </c>
      <c r="AC1821">
        <f t="shared" si="400"/>
        <v>243365.94000000009</v>
      </c>
      <c r="AD1821">
        <f t="shared" si="401"/>
        <v>1344.5632044198901</v>
      </c>
      <c r="AE1821">
        <f t="shared" si="402"/>
        <v>0.35149999999999998</v>
      </c>
      <c r="AF1821">
        <f t="shared" si="403"/>
        <v>21144211.319999989</v>
      </c>
      <c r="AG1821" t="str">
        <f t="shared" si="404"/>
        <v>Active</v>
      </c>
      <c r="AH1821">
        <f t="shared" si="405"/>
        <v>39908.399999999994</v>
      </c>
    </row>
    <row r="1822" spans="1:34" x14ac:dyDescent="0.35">
      <c r="A1822" t="s">
        <v>4718</v>
      </c>
      <c r="B1822" t="s">
        <v>4719</v>
      </c>
      <c r="C1822">
        <v>43</v>
      </c>
      <c r="D1822" t="s">
        <v>38</v>
      </c>
      <c r="E1822" t="s">
        <v>32</v>
      </c>
      <c r="F1822" t="s">
        <v>46</v>
      </c>
      <c r="G1822">
        <v>165761</v>
      </c>
      <c r="H1822">
        <v>614</v>
      </c>
      <c r="I1822">
        <v>21450</v>
      </c>
      <c r="J1822">
        <v>23.79</v>
      </c>
      <c r="K1822">
        <v>48</v>
      </c>
      <c r="L1822" t="s">
        <v>52</v>
      </c>
      <c r="M1822">
        <v>42.47</v>
      </c>
      <c r="N1822">
        <v>33104</v>
      </c>
      <c r="O1822">
        <v>159018</v>
      </c>
      <c r="P1822" t="s">
        <v>699</v>
      </c>
      <c r="Q1822" t="s">
        <v>42</v>
      </c>
      <c r="R1822" t="s">
        <v>48</v>
      </c>
      <c r="S1822" t="s">
        <v>49</v>
      </c>
      <c r="T1822">
        <v>553.19000000000005</v>
      </c>
      <c r="U1822">
        <f t="shared" si="392"/>
        <v>180</v>
      </c>
      <c r="V1822">
        <f t="shared" si="393"/>
        <v>72</v>
      </c>
      <c r="W1822">
        <f t="shared" si="394"/>
        <v>52</v>
      </c>
      <c r="X1822">
        <f t="shared" si="395"/>
        <v>0.35149999999999998</v>
      </c>
      <c r="Y1822" s="1">
        <f t="shared" si="396"/>
        <v>9234881</v>
      </c>
      <c r="Z1822">
        <f t="shared" si="397"/>
        <v>51304.894444444442</v>
      </c>
      <c r="AA1822">
        <f t="shared" si="398"/>
        <v>99664</v>
      </c>
      <c r="AB1822">
        <f t="shared" si="399"/>
        <v>5091</v>
      </c>
      <c r="AC1822">
        <f t="shared" si="400"/>
        <v>240040.24000000008</v>
      </c>
      <c r="AD1822">
        <f t="shared" si="401"/>
        <v>1333.5568888888893</v>
      </c>
      <c r="AE1822">
        <f t="shared" si="402"/>
        <v>0.35149999999999998</v>
      </c>
      <c r="AF1822">
        <f t="shared" si="403"/>
        <v>20900845.379999992</v>
      </c>
      <c r="AG1822" t="str">
        <f t="shared" si="404"/>
        <v>Over Paid</v>
      </c>
      <c r="AH1822">
        <f t="shared" si="405"/>
        <v>6638.2800000000007</v>
      </c>
    </row>
    <row r="1823" spans="1:34" x14ac:dyDescent="0.35">
      <c r="A1823" t="s">
        <v>4720</v>
      </c>
      <c r="B1823" t="s">
        <v>4721</v>
      </c>
      <c r="C1823">
        <v>46</v>
      </c>
      <c r="D1823" t="s">
        <v>22</v>
      </c>
      <c r="E1823" t="s">
        <v>23</v>
      </c>
      <c r="F1823" t="s">
        <v>46</v>
      </c>
      <c r="G1823">
        <v>99299</v>
      </c>
      <c r="H1823">
        <v>595</v>
      </c>
      <c r="I1823">
        <v>74788</v>
      </c>
      <c r="J1823">
        <v>16.149999999999999</v>
      </c>
      <c r="K1823">
        <v>180</v>
      </c>
      <c r="L1823" t="s">
        <v>25</v>
      </c>
      <c r="M1823">
        <v>18.579999999999998</v>
      </c>
      <c r="N1823">
        <v>20790</v>
      </c>
      <c r="O1823">
        <v>128952</v>
      </c>
      <c r="P1823" t="s">
        <v>529</v>
      </c>
      <c r="Q1823" t="s">
        <v>42</v>
      </c>
      <c r="R1823" t="s">
        <v>48</v>
      </c>
      <c r="S1823" t="s">
        <v>49</v>
      </c>
      <c r="T1823">
        <v>482.59</v>
      </c>
      <c r="U1823">
        <f t="shared" si="392"/>
        <v>179</v>
      </c>
      <c r="V1823">
        <f t="shared" si="393"/>
        <v>71</v>
      </c>
      <c r="W1823">
        <f t="shared" si="394"/>
        <v>52</v>
      </c>
      <c r="X1823">
        <f t="shared" si="395"/>
        <v>0.35149999999999998</v>
      </c>
      <c r="Y1823" s="1">
        <f t="shared" si="396"/>
        <v>9213431</v>
      </c>
      <c r="Z1823">
        <f t="shared" si="397"/>
        <v>51471.68156424581</v>
      </c>
      <c r="AA1823">
        <f t="shared" si="398"/>
        <v>99664</v>
      </c>
      <c r="AB1823">
        <f t="shared" si="399"/>
        <v>5091</v>
      </c>
      <c r="AC1823">
        <f t="shared" si="400"/>
        <v>239487.05000000008</v>
      </c>
      <c r="AD1823">
        <f t="shared" si="401"/>
        <v>1337.9164804469278</v>
      </c>
      <c r="AE1823">
        <f t="shared" si="402"/>
        <v>0.35149999999999998</v>
      </c>
      <c r="AF1823">
        <f t="shared" si="403"/>
        <v>20660805.139999997</v>
      </c>
      <c r="AG1823" t="str">
        <f t="shared" si="404"/>
        <v>Active</v>
      </c>
      <c r="AH1823">
        <f t="shared" si="405"/>
        <v>5791.08</v>
      </c>
    </row>
    <row r="1824" spans="1:34" x14ac:dyDescent="0.35">
      <c r="A1824" t="s">
        <v>4722</v>
      </c>
      <c r="B1824" t="s">
        <v>4723</v>
      </c>
      <c r="C1824">
        <v>40</v>
      </c>
      <c r="D1824" t="s">
        <v>22</v>
      </c>
      <c r="E1824" t="s">
        <v>39</v>
      </c>
      <c r="F1824" t="s">
        <v>59</v>
      </c>
      <c r="G1824">
        <v>64854</v>
      </c>
      <c r="H1824">
        <v>699</v>
      </c>
      <c r="I1824">
        <v>47778</v>
      </c>
      <c r="J1824">
        <v>14.76</v>
      </c>
      <c r="K1824">
        <v>360</v>
      </c>
      <c r="L1824" t="s">
        <v>86</v>
      </c>
      <c r="M1824">
        <v>30.24</v>
      </c>
      <c r="N1824">
        <v>66346</v>
      </c>
      <c r="O1824">
        <v>37660</v>
      </c>
      <c r="P1824" t="s">
        <v>3053</v>
      </c>
      <c r="Q1824" t="s">
        <v>61</v>
      </c>
      <c r="R1824" t="s">
        <v>28</v>
      </c>
      <c r="S1824" t="s">
        <v>49</v>
      </c>
      <c r="T1824">
        <v>152.31</v>
      </c>
      <c r="U1824">
        <f t="shared" si="392"/>
        <v>178</v>
      </c>
      <c r="V1824">
        <f t="shared" si="393"/>
        <v>70</v>
      </c>
      <c r="W1824">
        <f t="shared" si="394"/>
        <v>52</v>
      </c>
      <c r="X1824">
        <f t="shared" si="395"/>
        <v>0.35149999999999998</v>
      </c>
      <c r="Y1824" s="1">
        <f t="shared" si="396"/>
        <v>9138643</v>
      </c>
      <c r="Z1824">
        <f t="shared" si="397"/>
        <v>51340.691011235955</v>
      </c>
      <c r="AA1824">
        <f t="shared" si="398"/>
        <v>99664</v>
      </c>
      <c r="AB1824">
        <f t="shared" si="399"/>
        <v>5091</v>
      </c>
      <c r="AC1824">
        <f t="shared" si="400"/>
        <v>239004.46000000008</v>
      </c>
      <c r="AD1824">
        <f t="shared" si="401"/>
        <v>1342.7216853932589</v>
      </c>
      <c r="AE1824">
        <f t="shared" si="402"/>
        <v>0.35149999999999998</v>
      </c>
      <c r="AF1824">
        <f t="shared" si="403"/>
        <v>20421318.089999996</v>
      </c>
      <c r="AG1824" t="str">
        <f t="shared" si="404"/>
        <v>Active</v>
      </c>
      <c r="AH1824">
        <f t="shared" si="405"/>
        <v>1827.72</v>
      </c>
    </row>
    <row r="1825" spans="1:34" x14ac:dyDescent="0.35">
      <c r="A1825" t="s">
        <v>4724</v>
      </c>
      <c r="B1825" t="s">
        <v>4725</v>
      </c>
      <c r="C1825">
        <v>54</v>
      </c>
      <c r="D1825" t="s">
        <v>22</v>
      </c>
      <c r="E1825" t="s">
        <v>32</v>
      </c>
      <c r="F1825" t="s">
        <v>59</v>
      </c>
      <c r="G1825">
        <v>143752</v>
      </c>
      <c r="H1825">
        <v>661</v>
      </c>
      <c r="I1825">
        <v>5145</v>
      </c>
      <c r="J1825">
        <v>23.83</v>
      </c>
      <c r="K1825">
        <v>12</v>
      </c>
      <c r="L1825" t="s">
        <v>52</v>
      </c>
      <c r="M1825">
        <v>34.119999999999997</v>
      </c>
      <c r="N1825">
        <v>19366</v>
      </c>
      <c r="O1825">
        <v>187083</v>
      </c>
      <c r="P1825" t="s">
        <v>4726</v>
      </c>
      <c r="Q1825" t="s">
        <v>27</v>
      </c>
      <c r="R1825" t="s">
        <v>28</v>
      </c>
      <c r="S1825" t="s">
        <v>29</v>
      </c>
      <c r="T1825">
        <v>530.91999999999996</v>
      </c>
      <c r="U1825">
        <f t="shared" si="392"/>
        <v>177</v>
      </c>
      <c r="V1825">
        <f t="shared" si="393"/>
        <v>70</v>
      </c>
      <c r="W1825">
        <f t="shared" si="394"/>
        <v>51</v>
      </c>
      <c r="X1825">
        <f t="shared" si="395"/>
        <v>0.35149999999999998</v>
      </c>
      <c r="Y1825" s="1">
        <f t="shared" si="396"/>
        <v>9090865</v>
      </c>
      <c r="Z1825">
        <f t="shared" si="397"/>
        <v>51360.819209039546</v>
      </c>
      <c r="AA1825">
        <f t="shared" si="398"/>
        <v>99664</v>
      </c>
      <c r="AB1825">
        <f t="shared" si="399"/>
        <v>5091</v>
      </c>
      <c r="AC1825">
        <f t="shared" si="400"/>
        <v>238852.15000000008</v>
      </c>
      <c r="AD1825">
        <f t="shared" si="401"/>
        <v>1349.4471751412434</v>
      </c>
      <c r="AE1825">
        <f t="shared" si="402"/>
        <v>0.35149999999999998</v>
      </c>
      <c r="AF1825">
        <f t="shared" si="403"/>
        <v>20182313.629999999</v>
      </c>
      <c r="AG1825" t="str">
        <f t="shared" si="404"/>
        <v>Active</v>
      </c>
      <c r="AH1825">
        <f t="shared" si="405"/>
        <v>6371.0399999999991</v>
      </c>
    </row>
    <row r="1826" spans="1:34" x14ac:dyDescent="0.35">
      <c r="A1826" t="s">
        <v>4727</v>
      </c>
      <c r="B1826" t="s">
        <v>4728</v>
      </c>
      <c r="C1826">
        <v>30</v>
      </c>
      <c r="D1826" t="s">
        <v>38</v>
      </c>
      <c r="E1826" t="s">
        <v>32</v>
      </c>
      <c r="F1826" t="s">
        <v>59</v>
      </c>
      <c r="G1826">
        <v>161924</v>
      </c>
      <c r="H1826">
        <v>688</v>
      </c>
      <c r="I1826">
        <v>64371</v>
      </c>
      <c r="J1826">
        <v>9.42</v>
      </c>
      <c r="K1826">
        <v>240</v>
      </c>
      <c r="L1826" t="s">
        <v>25</v>
      </c>
      <c r="M1826">
        <v>36.78</v>
      </c>
      <c r="N1826">
        <v>62441</v>
      </c>
      <c r="O1826">
        <v>235134</v>
      </c>
      <c r="P1826" t="s">
        <v>3129</v>
      </c>
      <c r="Q1826" t="s">
        <v>42</v>
      </c>
      <c r="R1826" t="s">
        <v>48</v>
      </c>
      <c r="S1826" t="s">
        <v>35</v>
      </c>
      <c r="T1826">
        <v>293.48</v>
      </c>
      <c r="U1826">
        <f t="shared" si="392"/>
        <v>176</v>
      </c>
      <c r="V1826">
        <f t="shared" si="393"/>
        <v>70</v>
      </c>
      <c r="W1826">
        <f t="shared" si="394"/>
        <v>51</v>
      </c>
      <c r="X1826">
        <f t="shared" si="395"/>
        <v>0.35149999999999998</v>
      </c>
      <c r="Y1826" s="1">
        <f t="shared" si="396"/>
        <v>9085720</v>
      </c>
      <c r="Z1826">
        <f t="shared" si="397"/>
        <v>51623.409090909088</v>
      </c>
      <c r="AA1826">
        <f t="shared" si="398"/>
        <v>99664</v>
      </c>
      <c r="AB1826">
        <f t="shared" si="399"/>
        <v>5091</v>
      </c>
      <c r="AC1826">
        <f t="shared" si="400"/>
        <v>238321.23000000007</v>
      </c>
      <c r="AD1826">
        <f t="shared" si="401"/>
        <v>1354.0978977272732</v>
      </c>
      <c r="AE1826">
        <f t="shared" si="402"/>
        <v>0.35149999999999998</v>
      </c>
      <c r="AF1826">
        <f t="shared" si="403"/>
        <v>19943461.479999993</v>
      </c>
      <c r="AG1826" t="str">
        <f t="shared" si="404"/>
        <v>Over Paid</v>
      </c>
      <c r="AH1826">
        <f t="shared" si="405"/>
        <v>3521.76</v>
      </c>
    </row>
    <row r="1827" spans="1:34" x14ac:dyDescent="0.35">
      <c r="A1827" t="s">
        <v>4729</v>
      </c>
      <c r="B1827" t="s">
        <v>4730</v>
      </c>
      <c r="C1827">
        <v>60</v>
      </c>
      <c r="D1827" t="s">
        <v>22</v>
      </c>
      <c r="E1827" t="s">
        <v>39</v>
      </c>
      <c r="F1827" t="s">
        <v>59</v>
      </c>
      <c r="G1827">
        <v>125920</v>
      </c>
      <c r="H1827">
        <v>498</v>
      </c>
      <c r="I1827">
        <v>57133</v>
      </c>
      <c r="J1827">
        <v>15.92</v>
      </c>
      <c r="K1827">
        <v>240</v>
      </c>
      <c r="L1827" t="s">
        <v>33</v>
      </c>
      <c r="M1827">
        <v>36.6</v>
      </c>
      <c r="N1827">
        <v>837</v>
      </c>
      <c r="O1827">
        <v>102686</v>
      </c>
      <c r="P1827" t="s">
        <v>4731</v>
      </c>
      <c r="Q1827" t="s">
        <v>27</v>
      </c>
      <c r="R1827" t="s">
        <v>28</v>
      </c>
      <c r="S1827" t="s">
        <v>68</v>
      </c>
      <c r="T1827">
        <v>275.95</v>
      </c>
      <c r="U1827">
        <f t="shared" si="392"/>
        <v>175</v>
      </c>
      <c r="V1827">
        <f t="shared" si="393"/>
        <v>69</v>
      </c>
      <c r="W1827">
        <f t="shared" si="394"/>
        <v>51</v>
      </c>
      <c r="X1827">
        <f t="shared" si="395"/>
        <v>0.35149999999999998</v>
      </c>
      <c r="Y1827" s="1">
        <f t="shared" si="396"/>
        <v>9021349</v>
      </c>
      <c r="Z1827">
        <f t="shared" si="397"/>
        <v>51550.565714285716</v>
      </c>
      <c r="AA1827">
        <f t="shared" si="398"/>
        <v>99664</v>
      </c>
      <c r="AB1827">
        <f t="shared" si="399"/>
        <v>5091</v>
      </c>
      <c r="AC1827">
        <f t="shared" si="400"/>
        <v>238027.75000000009</v>
      </c>
      <c r="AD1827">
        <f t="shared" si="401"/>
        <v>1360.158571428572</v>
      </c>
      <c r="AE1827">
        <f t="shared" si="402"/>
        <v>0.35149999999999998</v>
      </c>
      <c r="AF1827">
        <f t="shared" si="403"/>
        <v>19705140.249999996</v>
      </c>
      <c r="AG1827" t="str">
        <f t="shared" si="404"/>
        <v>Active</v>
      </c>
      <c r="AH1827">
        <f t="shared" si="405"/>
        <v>3311.3999999999996</v>
      </c>
    </row>
    <row r="1828" spans="1:34" x14ac:dyDescent="0.35">
      <c r="A1828" t="s">
        <v>4732</v>
      </c>
      <c r="B1828" t="s">
        <v>4733</v>
      </c>
      <c r="C1828">
        <v>29</v>
      </c>
      <c r="D1828" t="s">
        <v>22</v>
      </c>
      <c r="E1828" t="s">
        <v>39</v>
      </c>
      <c r="F1828" t="s">
        <v>59</v>
      </c>
      <c r="G1828">
        <v>37385</v>
      </c>
      <c r="H1828">
        <v>744</v>
      </c>
      <c r="I1828">
        <v>16251</v>
      </c>
      <c r="J1828">
        <v>3.78</v>
      </c>
      <c r="K1828">
        <v>360</v>
      </c>
      <c r="L1828" t="s">
        <v>40</v>
      </c>
      <c r="M1828">
        <v>36.14</v>
      </c>
      <c r="N1828">
        <v>29013</v>
      </c>
      <c r="O1828">
        <v>1475</v>
      </c>
      <c r="P1828" t="s">
        <v>2889</v>
      </c>
      <c r="Q1828" t="s">
        <v>27</v>
      </c>
      <c r="R1828" t="s">
        <v>28</v>
      </c>
      <c r="S1828" t="s">
        <v>35</v>
      </c>
      <c r="T1828">
        <v>46.85</v>
      </c>
      <c r="U1828">
        <f t="shared" si="392"/>
        <v>174</v>
      </c>
      <c r="V1828">
        <f t="shared" si="393"/>
        <v>69</v>
      </c>
      <c r="W1828">
        <f t="shared" si="394"/>
        <v>51</v>
      </c>
      <c r="X1828">
        <f t="shared" si="395"/>
        <v>0.35149999999999998</v>
      </c>
      <c r="Y1828" s="1">
        <f t="shared" si="396"/>
        <v>8964216</v>
      </c>
      <c r="Z1828">
        <f t="shared" si="397"/>
        <v>51518.482758620688</v>
      </c>
      <c r="AA1828">
        <f t="shared" si="398"/>
        <v>99664</v>
      </c>
      <c r="AB1828">
        <f t="shared" si="399"/>
        <v>5091</v>
      </c>
      <c r="AC1828">
        <f t="shared" si="400"/>
        <v>237751.80000000008</v>
      </c>
      <c r="AD1828">
        <f t="shared" si="401"/>
        <v>1366.3896551724142</v>
      </c>
      <c r="AE1828">
        <f t="shared" si="402"/>
        <v>0.35149999999999998</v>
      </c>
      <c r="AF1828">
        <f t="shared" si="403"/>
        <v>19467112.499999993</v>
      </c>
      <c r="AG1828" t="str">
        <f t="shared" si="404"/>
        <v>Active</v>
      </c>
      <c r="AH1828">
        <f t="shared" si="405"/>
        <v>562.20000000000005</v>
      </c>
    </row>
    <row r="1829" spans="1:34" x14ac:dyDescent="0.35">
      <c r="A1829" t="s">
        <v>4734</v>
      </c>
      <c r="B1829" t="s">
        <v>4735</v>
      </c>
      <c r="C1829">
        <v>35</v>
      </c>
      <c r="D1829" t="s">
        <v>38</v>
      </c>
      <c r="E1829" t="s">
        <v>32</v>
      </c>
      <c r="F1829" t="s">
        <v>24</v>
      </c>
      <c r="G1829">
        <v>153452</v>
      </c>
      <c r="H1829">
        <v>776</v>
      </c>
      <c r="I1829">
        <v>87523</v>
      </c>
      <c r="J1829">
        <v>5.3</v>
      </c>
      <c r="K1829">
        <v>24</v>
      </c>
      <c r="L1829" t="s">
        <v>33</v>
      </c>
      <c r="M1829">
        <v>36.69</v>
      </c>
      <c r="N1829">
        <v>41504</v>
      </c>
      <c r="O1829">
        <v>104738</v>
      </c>
      <c r="P1829" t="s">
        <v>3370</v>
      </c>
      <c r="Q1829" t="s">
        <v>61</v>
      </c>
      <c r="R1829" t="s">
        <v>28</v>
      </c>
      <c r="S1829" t="s">
        <v>43</v>
      </c>
      <c r="T1829">
        <v>3840.07</v>
      </c>
      <c r="U1829">
        <f t="shared" si="392"/>
        <v>173</v>
      </c>
      <c r="V1829">
        <f t="shared" si="393"/>
        <v>69</v>
      </c>
      <c r="W1829">
        <f t="shared" si="394"/>
        <v>51</v>
      </c>
      <c r="X1829">
        <f t="shared" si="395"/>
        <v>0.35149999999999998</v>
      </c>
      <c r="Y1829" s="1">
        <f t="shared" si="396"/>
        <v>8947965</v>
      </c>
      <c r="Z1829">
        <f t="shared" si="397"/>
        <v>51722.34104046243</v>
      </c>
      <c r="AA1829">
        <f t="shared" si="398"/>
        <v>99664</v>
      </c>
      <c r="AB1829">
        <f t="shared" si="399"/>
        <v>5091</v>
      </c>
      <c r="AC1829">
        <f t="shared" si="400"/>
        <v>237704.95000000007</v>
      </c>
      <c r="AD1829">
        <f t="shared" si="401"/>
        <v>1374.0170520231218</v>
      </c>
      <c r="AE1829">
        <f t="shared" si="402"/>
        <v>0.35149999999999998</v>
      </c>
      <c r="AF1829">
        <f t="shared" si="403"/>
        <v>19229360.699999996</v>
      </c>
      <c r="AG1829" t="str">
        <f t="shared" si="404"/>
        <v>Active</v>
      </c>
      <c r="AH1829">
        <f t="shared" si="405"/>
        <v>46080.840000000004</v>
      </c>
    </row>
    <row r="1830" spans="1:34" x14ac:dyDescent="0.35">
      <c r="A1830" t="s">
        <v>4736</v>
      </c>
      <c r="B1830" t="s">
        <v>4737</v>
      </c>
      <c r="C1830">
        <v>52</v>
      </c>
      <c r="D1830" t="s">
        <v>38</v>
      </c>
      <c r="E1830" t="s">
        <v>23</v>
      </c>
      <c r="F1830" t="s">
        <v>59</v>
      </c>
      <c r="G1830">
        <v>20331</v>
      </c>
      <c r="H1830">
        <v>709</v>
      </c>
      <c r="I1830">
        <v>38961</v>
      </c>
      <c r="J1830">
        <v>15.57</v>
      </c>
      <c r="K1830">
        <v>360</v>
      </c>
      <c r="L1830" t="s">
        <v>52</v>
      </c>
      <c r="M1830">
        <v>5.32</v>
      </c>
      <c r="N1830">
        <v>49286</v>
      </c>
      <c r="O1830">
        <v>94336</v>
      </c>
      <c r="P1830" t="s">
        <v>607</v>
      </c>
      <c r="Q1830" t="s">
        <v>42</v>
      </c>
      <c r="R1830" t="s">
        <v>28</v>
      </c>
      <c r="S1830" t="s">
        <v>68</v>
      </c>
      <c r="T1830">
        <v>125.08</v>
      </c>
      <c r="U1830">
        <f t="shared" si="392"/>
        <v>172</v>
      </c>
      <c r="V1830">
        <f t="shared" si="393"/>
        <v>69</v>
      </c>
      <c r="W1830">
        <f t="shared" si="394"/>
        <v>50</v>
      </c>
      <c r="X1830">
        <f t="shared" si="395"/>
        <v>0.35149999999999998</v>
      </c>
      <c r="Y1830" s="1">
        <f t="shared" si="396"/>
        <v>8860442</v>
      </c>
      <c r="Z1830">
        <f t="shared" si="397"/>
        <v>51514.197674418603</v>
      </c>
      <c r="AA1830">
        <f t="shared" si="398"/>
        <v>99664</v>
      </c>
      <c r="AB1830">
        <f t="shared" si="399"/>
        <v>5091</v>
      </c>
      <c r="AC1830">
        <f t="shared" si="400"/>
        <v>233864.88000000009</v>
      </c>
      <c r="AD1830">
        <f t="shared" si="401"/>
        <v>1359.6795348837215</v>
      </c>
      <c r="AE1830">
        <f t="shared" si="402"/>
        <v>0.35149999999999998</v>
      </c>
      <c r="AF1830">
        <f t="shared" si="403"/>
        <v>18991655.749999993</v>
      </c>
      <c r="AG1830" t="str">
        <f t="shared" si="404"/>
        <v>Active</v>
      </c>
      <c r="AH1830">
        <f t="shared" si="405"/>
        <v>1500.96</v>
      </c>
    </row>
    <row r="1831" spans="1:34" x14ac:dyDescent="0.35">
      <c r="A1831" t="s">
        <v>4738</v>
      </c>
      <c r="B1831" t="s">
        <v>4739</v>
      </c>
      <c r="C1831">
        <v>49</v>
      </c>
      <c r="D1831" t="s">
        <v>38</v>
      </c>
      <c r="E1831" t="s">
        <v>23</v>
      </c>
      <c r="F1831" t="s">
        <v>24</v>
      </c>
      <c r="G1831">
        <v>164892</v>
      </c>
      <c r="H1831">
        <v>319</v>
      </c>
      <c r="I1831">
        <v>34942</v>
      </c>
      <c r="J1831">
        <v>21.32</v>
      </c>
      <c r="K1831">
        <v>360</v>
      </c>
      <c r="L1831" t="s">
        <v>33</v>
      </c>
      <c r="M1831">
        <v>14.83</v>
      </c>
      <c r="N1831">
        <v>57862</v>
      </c>
      <c r="O1831">
        <v>11955</v>
      </c>
      <c r="P1831" t="s">
        <v>2368</v>
      </c>
      <c r="Q1831" t="s">
        <v>42</v>
      </c>
      <c r="R1831" t="s">
        <v>28</v>
      </c>
      <c r="S1831" t="s">
        <v>68</v>
      </c>
      <c r="T1831">
        <v>117.75</v>
      </c>
      <c r="U1831">
        <f t="shared" si="392"/>
        <v>171</v>
      </c>
      <c r="V1831">
        <f t="shared" si="393"/>
        <v>68</v>
      </c>
      <c r="W1831">
        <f t="shared" si="394"/>
        <v>50</v>
      </c>
      <c r="X1831">
        <f t="shared" si="395"/>
        <v>0.35149999999999998</v>
      </c>
      <c r="Y1831" s="1">
        <f t="shared" si="396"/>
        <v>8821481</v>
      </c>
      <c r="Z1831">
        <f t="shared" si="397"/>
        <v>51587.608187134501</v>
      </c>
      <c r="AA1831">
        <f t="shared" si="398"/>
        <v>99664</v>
      </c>
      <c r="AB1831">
        <f t="shared" si="399"/>
        <v>5091</v>
      </c>
      <c r="AC1831">
        <f t="shared" si="400"/>
        <v>233739.80000000008</v>
      </c>
      <c r="AD1831">
        <f t="shared" si="401"/>
        <v>1366.8994152046789</v>
      </c>
      <c r="AE1831">
        <f t="shared" si="402"/>
        <v>0.35149999999999998</v>
      </c>
      <c r="AF1831">
        <f t="shared" si="403"/>
        <v>18757790.86999999</v>
      </c>
      <c r="AG1831" t="str">
        <f t="shared" si="404"/>
        <v>Active</v>
      </c>
      <c r="AH1831">
        <f t="shared" si="405"/>
        <v>1413</v>
      </c>
    </row>
    <row r="1832" spans="1:34" x14ac:dyDescent="0.35">
      <c r="A1832" t="s">
        <v>4740</v>
      </c>
      <c r="B1832" t="s">
        <v>4741</v>
      </c>
      <c r="C1832">
        <v>34</v>
      </c>
      <c r="D1832" t="s">
        <v>22</v>
      </c>
      <c r="E1832" t="s">
        <v>39</v>
      </c>
      <c r="F1832" t="s">
        <v>59</v>
      </c>
      <c r="G1832">
        <v>197399</v>
      </c>
      <c r="H1832">
        <v>727</v>
      </c>
      <c r="I1832">
        <v>98214</v>
      </c>
      <c r="J1832">
        <v>16.940000000000001</v>
      </c>
      <c r="K1832">
        <v>36</v>
      </c>
      <c r="L1832" t="s">
        <v>33</v>
      </c>
      <c r="M1832">
        <v>46.94</v>
      </c>
      <c r="N1832">
        <v>30618</v>
      </c>
      <c r="O1832">
        <v>59176</v>
      </c>
      <c r="P1832" t="s">
        <v>1176</v>
      </c>
      <c r="Q1832" t="s">
        <v>61</v>
      </c>
      <c r="R1832" t="s">
        <v>48</v>
      </c>
      <c r="S1832" t="s">
        <v>49</v>
      </c>
      <c r="T1832">
        <v>3190.32</v>
      </c>
      <c r="U1832">
        <f t="shared" si="392"/>
        <v>170</v>
      </c>
      <c r="V1832">
        <f t="shared" si="393"/>
        <v>67</v>
      </c>
      <c r="W1832">
        <f t="shared" si="394"/>
        <v>50</v>
      </c>
      <c r="X1832">
        <f t="shared" si="395"/>
        <v>0.35149999999999998</v>
      </c>
      <c r="Y1832" s="1">
        <f t="shared" si="396"/>
        <v>8786539</v>
      </c>
      <c r="Z1832">
        <f t="shared" si="397"/>
        <v>51685.523529411767</v>
      </c>
      <c r="AA1832">
        <f t="shared" si="398"/>
        <v>99664</v>
      </c>
      <c r="AB1832">
        <f t="shared" si="399"/>
        <v>5091</v>
      </c>
      <c r="AC1832">
        <f t="shared" si="400"/>
        <v>233622.05000000008</v>
      </c>
      <c r="AD1832">
        <f t="shared" si="401"/>
        <v>1374.2473529411768</v>
      </c>
      <c r="AE1832">
        <f t="shared" si="402"/>
        <v>0.35149999999999998</v>
      </c>
      <c r="AF1832">
        <f t="shared" si="403"/>
        <v>18524051.069999989</v>
      </c>
      <c r="AG1832" t="str">
        <f t="shared" si="404"/>
        <v>Active</v>
      </c>
      <c r="AH1832">
        <f t="shared" si="405"/>
        <v>38283.840000000004</v>
      </c>
    </row>
    <row r="1833" spans="1:34" x14ac:dyDescent="0.35">
      <c r="A1833" t="s">
        <v>4742</v>
      </c>
      <c r="B1833" t="s">
        <v>4743</v>
      </c>
      <c r="C1833">
        <v>56</v>
      </c>
      <c r="D1833" t="s">
        <v>38</v>
      </c>
      <c r="E1833" t="s">
        <v>23</v>
      </c>
      <c r="F1833" t="s">
        <v>46</v>
      </c>
      <c r="G1833">
        <v>162041</v>
      </c>
      <c r="H1833">
        <v>320</v>
      </c>
      <c r="I1833">
        <v>94772</v>
      </c>
      <c r="J1833">
        <v>10.7</v>
      </c>
      <c r="K1833">
        <v>48</v>
      </c>
      <c r="L1833" t="s">
        <v>25</v>
      </c>
      <c r="M1833">
        <v>48.62</v>
      </c>
      <c r="N1833">
        <v>37665</v>
      </c>
      <c r="O1833">
        <v>154687</v>
      </c>
      <c r="P1833" t="s">
        <v>2225</v>
      </c>
      <c r="Q1833" t="s">
        <v>42</v>
      </c>
      <c r="R1833" t="s">
        <v>48</v>
      </c>
      <c r="S1833" t="s">
        <v>68</v>
      </c>
      <c r="T1833">
        <v>2185.6799999999998</v>
      </c>
      <c r="U1833">
        <f t="shared" si="392"/>
        <v>169</v>
      </c>
      <c r="V1833">
        <f t="shared" si="393"/>
        <v>67</v>
      </c>
      <c r="W1833">
        <f t="shared" si="394"/>
        <v>49</v>
      </c>
      <c r="X1833">
        <f t="shared" si="395"/>
        <v>0.35149999999999998</v>
      </c>
      <c r="Y1833" s="1">
        <f t="shared" si="396"/>
        <v>8688325</v>
      </c>
      <c r="Z1833">
        <f t="shared" si="397"/>
        <v>51410.207100591717</v>
      </c>
      <c r="AA1833">
        <f t="shared" si="398"/>
        <v>99664</v>
      </c>
      <c r="AB1833">
        <f t="shared" si="399"/>
        <v>5091</v>
      </c>
      <c r="AC1833">
        <f t="shared" si="400"/>
        <v>230431.7300000001</v>
      </c>
      <c r="AD1833">
        <f t="shared" si="401"/>
        <v>1363.5013609467462</v>
      </c>
      <c r="AE1833">
        <f t="shared" si="402"/>
        <v>0.35149999999999998</v>
      </c>
      <c r="AF1833">
        <f t="shared" si="403"/>
        <v>18290429.019999992</v>
      </c>
      <c r="AG1833" t="str">
        <f t="shared" si="404"/>
        <v>Active</v>
      </c>
      <c r="AH1833">
        <f t="shared" si="405"/>
        <v>26228.159999999996</v>
      </c>
    </row>
    <row r="1834" spans="1:34" x14ac:dyDescent="0.35">
      <c r="A1834" t="s">
        <v>4744</v>
      </c>
      <c r="B1834" t="s">
        <v>4745</v>
      </c>
      <c r="C1834">
        <v>39</v>
      </c>
      <c r="D1834" t="s">
        <v>22</v>
      </c>
      <c r="E1834" t="s">
        <v>39</v>
      </c>
      <c r="F1834" t="s">
        <v>59</v>
      </c>
      <c r="G1834">
        <v>61044</v>
      </c>
      <c r="H1834">
        <v>753</v>
      </c>
      <c r="I1834">
        <v>52499</v>
      </c>
      <c r="J1834">
        <v>14.38</v>
      </c>
      <c r="K1834">
        <v>12</v>
      </c>
      <c r="L1834" t="s">
        <v>40</v>
      </c>
      <c r="M1834">
        <v>50.15</v>
      </c>
      <c r="N1834">
        <v>12303</v>
      </c>
      <c r="O1834">
        <v>51472</v>
      </c>
      <c r="P1834" t="s">
        <v>4746</v>
      </c>
      <c r="Q1834" t="s">
        <v>42</v>
      </c>
      <c r="R1834" t="s">
        <v>28</v>
      </c>
      <c r="S1834" t="s">
        <v>29</v>
      </c>
      <c r="T1834">
        <v>5004.03</v>
      </c>
      <c r="U1834">
        <f t="shared" si="392"/>
        <v>168</v>
      </c>
      <c r="V1834">
        <f t="shared" si="393"/>
        <v>66</v>
      </c>
      <c r="W1834">
        <f t="shared" si="394"/>
        <v>49</v>
      </c>
      <c r="X1834">
        <f t="shared" si="395"/>
        <v>0.35149999999999998</v>
      </c>
      <c r="Y1834" s="1">
        <f t="shared" si="396"/>
        <v>8593553</v>
      </c>
      <c r="Z1834">
        <f t="shared" si="397"/>
        <v>51152.101190476191</v>
      </c>
      <c r="AA1834">
        <f t="shared" si="398"/>
        <v>99664</v>
      </c>
      <c r="AB1834">
        <f t="shared" si="399"/>
        <v>5091</v>
      </c>
      <c r="AC1834">
        <f t="shared" si="400"/>
        <v>228246.05000000008</v>
      </c>
      <c r="AD1834">
        <f t="shared" si="401"/>
        <v>1358.607440476191</v>
      </c>
      <c r="AE1834">
        <f t="shared" si="402"/>
        <v>0.35149999999999998</v>
      </c>
      <c r="AF1834">
        <f t="shared" si="403"/>
        <v>18059997.289999995</v>
      </c>
      <c r="AG1834" t="str">
        <f t="shared" si="404"/>
        <v>Active</v>
      </c>
      <c r="AH1834">
        <f t="shared" si="405"/>
        <v>60048.36</v>
      </c>
    </row>
    <row r="1835" spans="1:34" x14ac:dyDescent="0.35">
      <c r="A1835" t="s">
        <v>4747</v>
      </c>
      <c r="B1835" t="s">
        <v>4748</v>
      </c>
      <c r="C1835">
        <v>58</v>
      </c>
      <c r="D1835" t="s">
        <v>38</v>
      </c>
      <c r="E1835" t="s">
        <v>23</v>
      </c>
      <c r="F1835" t="s">
        <v>24</v>
      </c>
      <c r="G1835">
        <v>83103</v>
      </c>
      <c r="H1835">
        <v>658</v>
      </c>
      <c r="I1835">
        <v>87936</v>
      </c>
      <c r="J1835">
        <v>12.85</v>
      </c>
      <c r="K1835">
        <v>180</v>
      </c>
      <c r="L1835" t="s">
        <v>86</v>
      </c>
      <c r="M1835">
        <v>43.51</v>
      </c>
      <c r="N1835">
        <v>55527</v>
      </c>
      <c r="O1835">
        <v>50941</v>
      </c>
      <c r="P1835" t="s">
        <v>4749</v>
      </c>
      <c r="Q1835" t="s">
        <v>42</v>
      </c>
      <c r="R1835" t="s">
        <v>28</v>
      </c>
      <c r="S1835" t="s">
        <v>49</v>
      </c>
      <c r="T1835">
        <v>551.30999999999995</v>
      </c>
      <c r="U1835">
        <f t="shared" si="392"/>
        <v>167</v>
      </c>
      <c r="V1835">
        <f t="shared" si="393"/>
        <v>65</v>
      </c>
      <c r="W1835">
        <f t="shared" si="394"/>
        <v>49</v>
      </c>
      <c r="X1835">
        <f t="shared" si="395"/>
        <v>0.35149999999999998</v>
      </c>
      <c r="Y1835" s="1">
        <f t="shared" si="396"/>
        <v>8541054</v>
      </c>
      <c r="Z1835">
        <f t="shared" si="397"/>
        <v>51144.035928143712</v>
      </c>
      <c r="AA1835">
        <f t="shared" si="398"/>
        <v>99664</v>
      </c>
      <c r="AB1835">
        <f t="shared" si="399"/>
        <v>5091</v>
      </c>
      <c r="AC1835">
        <f t="shared" si="400"/>
        <v>223242.02000000002</v>
      </c>
      <c r="AD1835">
        <f t="shared" si="401"/>
        <v>1336.7785628742515</v>
      </c>
      <c r="AE1835">
        <f t="shared" si="402"/>
        <v>0.35149999999999998</v>
      </c>
      <c r="AF1835">
        <f t="shared" si="403"/>
        <v>17831751.239999995</v>
      </c>
      <c r="AG1835" t="str">
        <f t="shared" si="404"/>
        <v>Over Paid</v>
      </c>
      <c r="AH1835">
        <f t="shared" si="405"/>
        <v>6615.7199999999993</v>
      </c>
    </row>
    <row r="1836" spans="1:34" x14ac:dyDescent="0.35">
      <c r="A1836" t="s">
        <v>4750</v>
      </c>
      <c r="B1836" t="s">
        <v>4751</v>
      </c>
      <c r="C1836">
        <v>22</v>
      </c>
      <c r="D1836" t="s">
        <v>38</v>
      </c>
      <c r="E1836" t="s">
        <v>32</v>
      </c>
      <c r="F1836" t="s">
        <v>59</v>
      </c>
      <c r="G1836">
        <v>67985</v>
      </c>
      <c r="H1836">
        <v>404</v>
      </c>
      <c r="I1836">
        <v>18951</v>
      </c>
      <c r="J1836">
        <v>7.42</v>
      </c>
      <c r="K1836">
        <v>48</v>
      </c>
      <c r="L1836" t="s">
        <v>52</v>
      </c>
      <c r="M1836">
        <v>28.92</v>
      </c>
      <c r="N1836">
        <v>8254</v>
      </c>
      <c r="O1836">
        <v>109698</v>
      </c>
      <c r="P1836" t="s">
        <v>1955</v>
      </c>
      <c r="Q1836" t="s">
        <v>42</v>
      </c>
      <c r="R1836" t="s">
        <v>48</v>
      </c>
      <c r="S1836" t="s">
        <v>43</v>
      </c>
      <c r="T1836">
        <v>424.11</v>
      </c>
      <c r="U1836">
        <f t="shared" si="392"/>
        <v>166</v>
      </c>
      <c r="V1836">
        <f t="shared" si="393"/>
        <v>64</v>
      </c>
      <c r="W1836">
        <f t="shared" si="394"/>
        <v>49</v>
      </c>
      <c r="X1836">
        <f t="shared" si="395"/>
        <v>0.35149999999999998</v>
      </c>
      <c r="Y1836" s="1">
        <f t="shared" si="396"/>
        <v>8453118</v>
      </c>
      <c r="Z1836">
        <f t="shared" si="397"/>
        <v>50922.397590361448</v>
      </c>
      <c r="AA1836">
        <f t="shared" si="398"/>
        <v>99664</v>
      </c>
      <c r="AB1836">
        <f t="shared" si="399"/>
        <v>5091</v>
      </c>
      <c r="AC1836">
        <f t="shared" si="400"/>
        <v>222690.71000000005</v>
      </c>
      <c r="AD1836">
        <f t="shared" si="401"/>
        <v>1341.5103012048196</v>
      </c>
      <c r="AE1836">
        <f t="shared" si="402"/>
        <v>0.35149999999999998</v>
      </c>
      <c r="AF1836">
        <f t="shared" si="403"/>
        <v>17608509.219999991</v>
      </c>
      <c r="AG1836" t="str">
        <f t="shared" si="404"/>
        <v>Active</v>
      </c>
      <c r="AH1836">
        <f t="shared" si="405"/>
        <v>5089.32</v>
      </c>
    </row>
    <row r="1837" spans="1:34" x14ac:dyDescent="0.35">
      <c r="A1837" t="s">
        <v>4752</v>
      </c>
      <c r="B1837" t="s">
        <v>4753</v>
      </c>
      <c r="C1837">
        <v>47</v>
      </c>
      <c r="D1837" t="s">
        <v>22</v>
      </c>
      <c r="E1837" t="s">
        <v>39</v>
      </c>
      <c r="F1837" t="s">
        <v>24</v>
      </c>
      <c r="G1837">
        <v>80776</v>
      </c>
      <c r="H1837">
        <v>517</v>
      </c>
      <c r="I1837">
        <v>35698</v>
      </c>
      <c r="J1837">
        <v>19.41</v>
      </c>
      <c r="K1837">
        <v>60</v>
      </c>
      <c r="L1837" t="s">
        <v>25</v>
      </c>
      <c r="M1837">
        <v>6.3</v>
      </c>
      <c r="N1837">
        <v>34637</v>
      </c>
      <c r="O1837">
        <v>48118</v>
      </c>
      <c r="P1837" t="s">
        <v>4754</v>
      </c>
      <c r="Q1837" t="s">
        <v>42</v>
      </c>
      <c r="R1837" t="s">
        <v>28</v>
      </c>
      <c r="S1837" t="s">
        <v>68</v>
      </c>
      <c r="T1837">
        <v>710.45</v>
      </c>
      <c r="U1837">
        <f t="shared" si="392"/>
        <v>165</v>
      </c>
      <c r="V1837">
        <f t="shared" si="393"/>
        <v>63</v>
      </c>
      <c r="W1837">
        <f t="shared" si="394"/>
        <v>49</v>
      </c>
      <c r="X1837">
        <f t="shared" si="395"/>
        <v>0.35149999999999998</v>
      </c>
      <c r="Y1837" s="1">
        <f t="shared" si="396"/>
        <v>8434167</v>
      </c>
      <c r="Z1837">
        <f t="shared" si="397"/>
        <v>51116.163636363635</v>
      </c>
      <c r="AA1837">
        <f t="shared" si="398"/>
        <v>99664</v>
      </c>
      <c r="AB1837">
        <f t="shared" si="399"/>
        <v>5091</v>
      </c>
      <c r="AC1837">
        <f t="shared" si="400"/>
        <v>222266.60000000003</v>
      </c>
      <c r="AD1837">
        <f t="shared" si="401"/>
        <v>1347.0703030303032</v>
      </c>
      <c r="AE1837">
        <f t="shared" si="402"/>
        <v>0.35149999999999998</v>
      </c>
      <c r="AF1837">
        <f t="shared" si="403"/>
        <v>17385818.509999987</v>
      </c>
      <c r="AG1837" t="str">
        <f t="shared" si="404"/>
        <v>Active</v>
      </c>
      <c r="AH1837">
        <f t="shared" si="405"/>
        <v>8525.4000000000015</v>
      </c>
    </row>
    <row r="1838" spans="1:34" x14ac:dyDescent="0.35">
      <c r="A1838" t="s">
        <v>4755</v>
      </c>
      <c r="B1838" t="s">
        <v>4756</v>
      </c>
      <c r="C1838">
        <v>49</v>
      </c>
      <c r="D1838" t="s">
        <v>22</v>
      </c>
      <c r="E1838" t="s">
        <v>32</v>
      </c>
      <c r="F1838" t="s">
        <v>24</v>
      </c>
      <c r="G1838">
        <v>94845</v>
      </c>
      <c r="H1838">
        <v>728</v>
      </c>
      <c r="I1838">
        <v>21335</v>
      </c>
      <c r="J1838">
        <v>7.81</v>
      </c>
      <c r="K1838">
        <v>24</v>
      </c>
      <c r="L1838" t="s">
        <v>40</v>
      </c>
      <c r="M1838">
        <v>57.61</v>
      </c>
      <c r="N1838">
        <v>2834</v>
      </c>
      <c r="O1838">
        <v>200477</v>
      </c>
      <c r="P1838" t="s">
        <v>391</v>
      </c>
      <c r="Q1838" t="s">
        <v>61</v>
      </c>
      <c r="R1838" t="s">
        <v>28</v>
      </c>
      <c r="S1838" t="s">
        <v>29</v>
      </c>
      <c r="T1838">
        <v>958.39</v>
      </c>
      <c r="U1838">
        <f t="shared" si="392"/>
        <v>164</v>
      </c>
      <c r="V1838">
        <f t="shared" si="393"/>
        <v>62</v>
      </c>
      <c r="W1838">
        <f t="shared" si="394"/>
        <v>49</v>
      </c>
      <c r="X1838">
        <f t="shared" si="395"/>
        <v>0.35149999999999998</v>
      </c>
      <c r="Y1838" s="1">
        <f t="shared" si="396"/>
        <v>8398469</v>
      </c>
      <c r="Z1838">
        <f t="shared" si="397"/>
        <v>51210.17682926829</v>
      </c>
      <c r="AA1838">
        <f t="shared" si="398"/>
        <v>99664</v>
      </c>
      <c r="AB1838">
        <f t="shared" si="399"/>
        <v>5091</v>
      </c>
      <c r="AC1838">
        <f t="shared" si="400"/>
        <v>221556.15000000005</v>
      </c>
      <c r="AD1838">
        <f t="shared" si="401"/>
        <v>1350.9521341463417</v>
      </c>
      <c r="AE1838">
        <f t="shared" si="402"/>
        <v>0.35149999999999998</v>
      </c>
      <c r="AF1838">
        <f t="shared" si="403"/>
        <v>17163551.909999989</v>
      </c>
      <c r="AG1838" t="str">
        <f t="shared" si="404"/>
        <v>Active</v>
      </c>
      <c r="AH1838">
        <f t="shared" si="405"/>
        <v>11500.68</v>
      </c>
    </row>
    <row r="1839" spans="1:34" x14ac:dyDescent="0.35">
      <c r="A1839" t="s">
        <v>4757</v>
      </c>
      <c r="B1839" t="s">
        <v>4758</v>
      </c>
      <c r="C1839">
        <v>38</v>
      </c>
      <c r="D1839" t="s">
        <v>38</v>
      </c>
      <c r="E1839" t="s">
        <v>32</v>
      </c>
      <c r="F1839" t="s">
        <v>59</v>
      </c>
      <c r="G1839">
        <v>96432</v>
      </c>
      <c r="H1839">
        <v>459</v>
      </c>
      <c r="I1839">
        <v>68051</v>
      </c>
      <c r="J1839">
        <v>14.24</v>
      </c>
      <c r="K1839">
        <v>180</v>
      </c>
      <c r="L1839" t="s">
        <v>40</v>
      </c>
      <c r="M1839">
        <v>41.04</v>
      </c>
      <c r="N1839">
        <v>33834</v>
      </c>
      <c r="O1839">
        <v>38711</v>
      </c>
      <c r="P1839" t="s">
        <v>4759</v>
      </c>
      <c r="Q1839" t="s">
        <v>42</v>
      </c>
      <c r="R1839" t="s">
        <v>28</v>
      </c>
      <c r="S1839" t="s">
        <v>68</v>
      </c>
      <c r="T1839">
        <v>431.9</v>
      </c>
      <c r="U1839">
        <f t="shared" si="392"/>
        <v>163</v>
      </c>
      <c r="V1839">
        <f t="shared" si="393"/>
        <v>62</v>
      </c>
      <c r="W1839">
        <f t="shared" si="394"/>
        <v>48</v>
      </c>
      <c r="X1839">
        <f t="shared" si="395"/>
        <v>0.35149999999999998</v>
      </c>
      <c r="Y1839" s="1">
        <f t="shared" si="396"/>
        <v>8377134</v>
      </c>
      <c r="Z1839">
        <f t="shared" si="397"/>
        <v>51393.460122699384</v>
      </c>
      <c r="AA1839">
        <f t="shared" si="398"/>
        <v>99664</v>
      </c>
      <c r="AB1839">
        <f t="shared" si="399"/>
        <v>5091</v>
      </c>
      <c r="AC1839">
        <f t="shared" si="400"/>
        <v>220597.76000000004</v>
      </c>
      <c r="AD1839">
        <f t="shared" si="401"/>
        <v>1353.3604907975462</v>
      </c>
      <c r="AE1839">
        <f t="shared" si="402"/>
        <v>0.35149999999999998</v>
      </c>
      <c r="AF1839">
        <f t="shared" si="403"/>
        <v>16941995.75999999</v>
      </c>
      <c r="AG1839" t="str">
        <f t="shared" si="404"/>
        <v>Active</v>
      </c>
      <c r="AH1839">
        <f t="shared" si="405"/>
        <v>5182.7999999999993</v>
      </c>
    </row>
    <row r="1840" spans="1:34" x14ac:dyDescent="0.35">
      <c r="A1840" t="s">
        <v>4760</v>
      </c>
      <c r="B1840" t="s">
        <v>4761</v>
      </c>
      <c r="C1840">
        <v>32</v>
      </c>
      <c r="D1840" t="s">
        <v>22</v>
      </c>
      <c r="E1840" t="s">
        <v>39</v>
      </c>
      <c r="F1840" t="s">
        <v>59</v>
      </c>
      <c r="G1840">
        <v>155852</v>
      </c>
      <c r="H1840">
        <v>592</v>
      </c>
      <c r="I1840">
        <v>36236</v>
      </c>
      <c r="J1840">
        <v>10.33</v>
      </c>
      <c r="K1840">
        <v>24</v>
      </c>
      <c r="L1840" t="s">
        <v>52</v>
      </c>
      <c r="M1840">
        <v>18.62</v>
      </c>
      <c r="N1840">
        <v>16890</v>
      </c>
      <c r="O1840">
        <v>146313</v>
      </c>
      <c r="P1840" t="s">
        <v>156</v>
      </c>
      <c r="Q1840" t="s">
        <v>42</v>
      </c>
      <c r="R1840" t="s">
        <v>48</v>
      </c>
      <c r="S1840" t="s">
        <v>49</v>
      </c>
      <c r="T1840">
        <v>1665.8</v>
      </c>
      <c r="U1840">
        <f t="shared" si="392"/>
        <v>162</v>
      </c>
      <c r="V1840">
        <f t="shared" si="393"/>
        <v>61</v>
      </c>
      <c r="W1840">
        <f t="shared" si="394"/>
        <v>48</v>
      </c>
      <c r="X1840">
        <f t="shared" si="395"/>
        <v>0.35149999999999998</v>
      </c>
      <c r="Y1840" s="1">
        <f t="shared" si="396"/>
        <v>8309083</v>
      </c>
      <c r="Z1840">
        <f t="shared" si="397"/>
        <v>51290.635802469136</v>
      </c>
      <c r="AA1840">
        <f t="shared" si="398"/>
        <v>99664</v>
      </c>
      <c r="AB1840">
        <f t="shared" si="399"/>
        <v>5091</v>
      </c>
      <c r="AC1840">
        <f t="shared" si="400"/>
        <v>220165.86000000004</v>
      </c>
      <c r="AD1840">
        <f t="shared" si="401"/>
        <v>1359.0485185185189</v>
      </c>
      <c r="AE1840">
        <f t="shared" si="402"/>
        <v>0.35149999999999998</v>
      </c>
      <c r="AF1840">
        <f t="shared" si="403"/>
        <v>16721397.999999994</v>
      </c>
      <c r="AG1840" t="str">
        <f t="shared" si="404"/>
        <v>Active</v>
      </c>
      <c r="AH1840">
        <f t="shared" si="405"/>
        <v>19989.599999999999</v>
      </c>
    </row>
    <row r="1841" spans="1:34" x14ac:dyDescent="0.35">
      <c r="A1841" t="s">
        <v>4762</v>
      </c>
      <c r="B1841" t="s">
        <v>4763</v>
      </c>
      <c r="C1841">
        <v>64</v>
      </c>
      <c r="D1841" t="s">
        <v>22</v>
      </c>
      <c r="E1841" t="s">
        <v>39</v>
      </c>
      <c r="F1841" t="s">
        <v>24</v>
      </c>
      <c r="G1841">
        <v>179227</v>
      </c>
      <c r="H1841">
        <v>319</v>
      </c>
      <c r="I1841">
        <v>71119</v>
      </c>
      <c r="J1841">
        <v>4.47</v>
      </c>
      <c r="K1841">
        <v>48</v>
      </c>
      <c r="L1841" t="s">
        <v>33</v>
      </c>
      <c r="M1841">
        <v>11.5</v>
      </c>
      <c r="N1841">
        <v>49089</v>
      </c>
      <c r="O1841">
        <v>17649</v>
      </c>
      <c r="P1841" t="s">
        <v>1948</v>
      </c>
      <c r="Q1841" t="s">
        <v>61</v>
      </c>
      <c r="R1841" t="s">
        <v>48</v>
      </c>
      <c r="S1841" t="s">
        <v>49</v>
      </c>
      <c r="T1841">
        <v>1547.88</v>
      </c>
      <c r="U1841">
        <f t="shared" si="392"/>
        <v>161</v>
      </c>
      <c r="V1841">
        <f t="shared" si="393"/>
        <v>60</v>
      </c>
      <c r="W1841">
        <f t="shared" si="394"/>
        <v>48</v>
      </c>
      <c r="X1841">
        <f t="shared" si="395"/>
        <v>0.35149999999999998</v>
      </c>
      <c r="Y1841" s="1">
        <f t="shared" si="396"/>
        <v>8272847</v>
      </c>
      <c r="Z1841">
        <f t="shared" si="397"/>
        <v>51384.142857142855</v>
      </c>
      <c r="AA1841">
        <f t="shared" si="398"/>
        <v>99664</v>
      </c>
      <c r="AB1841">
        <f t="shared" si="399"/>
        <v>5091</v>
      </c>
      <c r="AC1841">
        <f t="shared" si="400"/>
        <v>218500.06000000003</v>
      </c>
      <c r="AD1841">
        <f t="shared" si="401"/>
        <v>1357.1432298136647</v>
      </c>
      <c r="AE1841">
        <f t="shared" si="402"/>
        <v>0.35149999999999998</v>
      </c>
      <c r="AF1841">
        <f t="shared" si="403"/>
        <v>16501232.139999999</v>
      </c>
      <c r="AG1841" t="str">
        <f t="shared" si="404"/>
        <v>Active</v>
      </c>
      <c r="AH1841">
        <f t="shared" si="405"/>
        <v>18574.560000000001</v>
      </c>
    </row>
    <row r="1842" spans="1:34" x14ac:dyDescent="0.35">
      <c r="A1842" t="s">
        <v>4764</v>
      </c>
      <c r="B1842" t="s">
        <v>4765</v>
      </c>
      <c r="C1842">
        <v>48</v>
      </c>
      <c r="D1842" t="s">
        <v>38</v>
      </c>
      <c r="E1842" t="s">
        <v>23</v>
      </c>
      <c r="F1842" t="s">
        <v>46</v>
      </c>
      <c r="G1842">
        <v>161159</v>
      </c>
      <c r="H1842">
        <v>640</v>
      </c>
      <c r="I1842">
        <v>92228</v>
      </c>
      <c r="J1842">
        <v>23.75</v>
      </c>
      <c r="K1842">
        <v>24</v>
      </c>
      <c r="L1842" t="s">
        <v>86</v>
      </c>
      <c r="M1842">
        <v>42.44</v>
      </c>
      <c r="N1842">
        <v>24208</v>
      </c>
      <c r="O1842">
        <v>3056</v>
      </c>
      <c r="P1842" t="s">
        <v>1467</v>
      </c>
      <c r="Q1842" t="s">
        <v>61</v>
      </c>
      <c r="R1842" t="s">
        <v>48</v>
      </c>
      <c r="S1842" t="s">
        <v>29</v>
      </c>
      <c r="T1842">
        <v>4755.51</v>
      </c>
      <c r="U1842">
        <f t="shared" si="392"/>
        <v>160</v>
      </c>
      <c r="V1842">
        <f t="shared" si="393"/>
        <v>60</v>
      </c>
      <c r="W1842">
        <f t="shared" si="394"/>
        <v>47</v>
      </c>
      <c r="X1842">
        <f t="shared" si="395"/>
        <v>0.35149999999999998</v>
      </c>
      <c r="Y1842" s="1">
        <f t="shared" si="396"/>
        <v>8201728</v>
      </c>
      <c r="Z1842">
        <f t="shared" si="397"/>
        <v>51260.800000000003</v>
      </c>
      <c r="AA1842">
        <f t="shared" si="398"/>
        <v>99664</v>
      </c>
      <c r="AB1842">
        <f t="shared" si="399"/>
        <v>5091</v>
      </c>
      <c r="AC1842">
        <f t="shared" si="400"/>
        <v>216952.18000000002</v>
      </c>
      <c r="AD1842">
        <f t="shared" si="401"/>
        <v>1355.951125</v>
      </c>
      <c r="AE1842">
        <f t="shared" si="402"/>
        <v>0.35149999999999998</v>
      </c>
      <c r="AF1842">
        <f t="shared" si="403"/>
        <v>16282732.079999996</v>
      </c>
      <c r="AG1842" t="str">
        <f t="shared" si="404"/>
        <v>Active</v>
      </c>
      <c r="AH1842">
        <f t="shared" si="405"/>
        <v>57066.12</v>
      </c>
    </row>
    <row r="1843" spans="1:34" x14ac:dyDescent="0.35">
      <c r="A1843" t="s">
        <v>4766</v>
      </c>
      <c r="B1843" t="s">
        <v>4767</v>
      </c>
      <c r="C1843">
        <v>34</v>
      </c>
      <c r="D1843" t="s">
        <v>22</v>
      </c>
      <c r="E1843" t="s">
        <v>39</v>
      </c>
      <c r="F1843" t="s">
        <v>59</v>
      </c>
      <c r="G1843">
        <v>63916</v>
      </c>
      <c r="H1843">
        <v>615</v>
      </c>
      <c r="I1843">
        <v>48426</v>
      </c>
      <c r="J1843">
        <v>15.02</v>
      </c>
      <c r="K1843">
        <v>12</v>
      </c>
      <c r="L1843" t="s">
        <v>25</v>
      </c>
      <c r="M1843">
        <v>48.95</v>
      </c>
      <c r="N1843">
        <v>46782</v>
      </c>
      <c r="O1843">
        <v>12413</v>
      </c>
      <c r="P1843" t="s">
        <v>3483</v>
      </c>
      <c r="Q1843" t="s">
        <v>27</v>
      </c>
      <c r="R1843" t="s">
        <v>48</v>
      </c>
      <c r="S1843" t="s">
        <v>43</v>
      </c>
      <c r="T1843">
        <v>4641.63</v>
      </c>
      <c r="U1843">
        <f t="shared" si="392"/>
        <v>159</v>
      </c>
      <c r="V1843">
        <f t="shared" si="393"/>
        <v>60</v>
      </c>
      <c r="W1843">
        <f t="shared" si="394"/>
        <v>46</v>
      </c>
      <c r="X1843">
        <f t="shared" si="395"/>
        <v>0.35149999999999998</v>
      </c>
      <c r="Y1843" s="1">
        <f t="shared" si="396"/>
        <v>8109500</v>
      </c>
      <c r="Z1843">
        <f t="shared" si="397"/>
        <v>51003.14465408805</v>
      </c>
      <c r="AA1843">
        <f t="shared" si="398"/>
        <v>99664</v>
      </c>
      <c r="AB1843">
        <f t="shared" si="399"/>
        <v>5091</v>
      </c>
      <c r="AC1843">
        <f t="shared" si="400"/>
        <v>212196.67</v>
      </c>
      <c r="AD1843">
        <f t="shared" si="401"/>
        <v>1334.5702515723272</v>
      </c>
      <c r="AE1843">
        <f t="shared" si="402"/>
        <v>0.35149999999999998</v>
      </c>
      <c r="AF1843">
        <f t="shared" si="403"/>
        <v>16065779.899999997</v>
      </c>
      <c r="AG1843" t="str">
        <f t="shared" si="404"/>
        <v>Active</v>
      </c>
      <c r="AH1843">
        <f t="shared" si="405"/>
        <v>55699.56</v>
      </c>
    </row>
    <row r="1844" spans="1:34" x14ac:dyDescent="0.35">
      <c r="A1844" t="s">
        <v>4768</v>
      </c>
      <c r="B1844" t="s">
        <v>4769</v>
      </c>
      <c r="C1844">
        <v>40</v>
      </c>
      <c r="D1844" t="s">
        <v>38</v>
      </c>
      <c r="E1844" t="s">
        <v>39</v>
      </c>
      <c r="F1844" t="s">
        <v>59</v>
      </c>
      <c r="G1844">
        <v>85855</v>
      </c>
      <c r="H1844">
        <v>506</v>
      </c>
      <c r="I1844">
        <v>51613</v>
      </c>
      <c r="J1844">
        <v>8.81</v>
      </c>
      <c r="K1844">
        <v>60</v>
      </c>
      <c r="L1844" t="s">
        <v>86</v>
      </c>
      <c r="M1844">
        <v>14.12</v>
      </c>
      <c r="N1844">
        <v>26478</v>
      </c>
      <c r="O1844">
        <v>202887</v>
      </c>
      <c r="P1844" t="s">
        <v>1261</v>
      </c>
      <c r="Q1844" t="s">
        <v>27</v>
      </c>
      <c r="R1844" t="s">
        <v>48</v>
      </c>
      <c r="S1844" t="s">
        <v>29</v>
      </c>
      <c r="T1844">
        <v>936</v>
      </c>
      <c r="U1844">
        <f t="shared" si="392"/>
        <v>158</v>
      </c>
      <c r="V1844">
        <f t="shared" si="393"/>
        <v>60</v>
      </c>
      <c r="W1844">
        <f t="shared" si="394"/>
        <v>46</v>
      </c>
      <c r="X1844">
        <f t="shared" si="395"/>
        <v>0.35149999999999998</v>
      </c>
      <c r="Y1844" s="1">
        <f t="shared" si="396"/>
        <v>8061074</v>
      </c>
      <c r="Z1844">
        <f t="shared" si="397"/>
        <v>51019.455696202531</v>
      </c>
      <c r="AA1844">
        <f t="shared" si="398"/>
        <v>99664</v>
      </c>
      <c r="AB1844">
        <f t="shared" si="399"/>
        <v>5091</v>
      </c>
      <c r="AC1844">
        <f t="shared" si="400"/>
        <v>207555.04000000004</v>
      </c>
      <c r="AD1844">
        <f t="shared" si="401"/>
        <v>1313.6394936708864</v>
      </c>
      <c r="AE1844">
        <f t="shared" si="402"/>
        <v>0.35149999999999998</v>
      </c>
      <c r="AF1844">
        <f t="shared" si="403"/>
        <v>15853583.229999995</v>
      </c>
      <c r="AG1844" t="str">
        <f t="shared" si="404"/>
        <v>Over Paid</v>
      </c>
      <c r="AH1844">
        <f t="shared" si="405"/>
        <v>11232</v>
      </c>
    </row>
    <row r="1845" spans="1:34" x14ac:dyDescent="0.35">
      <c r="A1845" t="s">
        <v>4770</v>
      </c>
      <c r="B1845" t="s">
        <v>4771</v>
      </c>
      <c r="C1845">
        <v>24</v>
      </c>
      <c r="D1845" t="s">
        <v>22</v>
      </c>
      <c r="E1845" t="s">
        <v>32</v>
      </c>
      <c r="F1845" t="s">
        <v>46</v>
      </c>
      <c r="G1845">
        <v>95826</v>
      </c>
      <c r="H1845">
        <v>436</v>
      </c>
      <c r="I1845">
        <v>21975</v>
      </c>
      <c r="J1845">
        <v>21.27</v>
      </c>
      <c r="K1845">
        <v>12</v>
      </c>
      <c r="L1845" t="s">
        <v>52</v>
      </c>
      <c r="M1845">
        <v>39.14</v>
      </c>
      <c r="N1845">
        <v>33658</v>
      </c>
      <c r="O1845">
        <v>221675</v>
      </c>
      <c r="P1845" t="s">
        <v>4393</v>
      </c>
      <c r="Q1845" t="s">
        <v>61</v>
      </c>
      <c r="R1845" t="s">
        <v>48</v>
      </c>
      <c r="S1845" t="s">
        <v>35</v>
      </c>
      <c r="T1845">
        <v>2220.7600000000002</v>
      </c>
      <c r="U1845">
        <f t="shared" si="392"/>
        <v>157</v>
      </c>
      <c r="V1845">
        <f t="shared" si="393"/>
        <v>60</v>
      </c>
      <c r="W1845">
        <f t="shared" si="394"/>
        <v>46</v>
      </c>
      <c r="X1845">
        <f t="shared" si="395"/>
        <v>0.35149999999999998</v>
      </c>
      <c r="Y1845" s="1">
        <f t="shared" si="396"/>
        <v>8009461</v>
      </c>
      <c r="Z1845">
        <f t="shared" si="397"/>
        <v>51015.675159235667</v>
      </c>
      <c r="AA1845">
        <f t="shared" si="398"/>
        <v>99664</v>
      </c>
      <c r="AB1845">
        <f t="shared" si="399"/>
        <v>5091</v>
      </c>
      <c r="AC1845">
        <f t="shared" si="400"/>
        <v>206619.04000000004</v>
      </c>
      <c r="AD1845">
        <f t="shared" si="401"/>
        <v>1316.0448407643314</v>
      </c>
      <c r="AE1845">
        <f t="shared" si="402"/>
        <v>0.35149999999999998</v>
      </c>
      <c r="AF1845">
        <f t="shared" si="403"/>
        <v>15646028.189999996</v>
      </c>
      <c r="AG1845" t="str">
        <f t="shared" si="404"/>
        <v>Active</v>
      </c>
      <c r="AH1845">
        <f t="shared" si="405"/>
        <v>26649.120000000003</v>
      </c>
    </row>
    <row r="1846" spans="1:34" x14ac:dyDescent="0.35">
      <c r="A1846" t="s">
        <v>4772</v>
      </c>
      <c r="B1846" t="s">
        <v>4773</v>
      </c>
      <c r="C1846">
        <v>54</v>
      </c>
      <c r="D1846" t="s">
        <v>22</v>
      </c>
      <c r="E1846" t="s">
        <v>39</v>
      </c>
      <c r="F1846" t="s">
        <v>46</v>
      </c>
      <c r="G1846">
        <v>61721</v>
      </c>
      <c r="H1846">
        <v>623</v>
      </c>
      <c r="I1846">
        <v>14825</v>
      </c>
      <c r="J1846">
        <v>3.99</v>
      </c>
      <c r="K1846">
        <v>12</v>
      </c>
      <c r="L1846" t="s">
        <v>25</v>
      </c>
      <c r="M1846">
        <v>14.97</v>
      </c>
      <c r="N1846">
        <v>22827</v>
      </c>
      <c r="O1846">
        <v>145182</v>
      </c>
      <c r="P1846" t="s">
        <v>71</v>
      </c>
      <c r="Q1846" t="s">
        <v>27</v>
      </c>
      <c r="R1846" t="s">
        <v>48</v>
      </c>
      <c r="S1846" t="s">
        <v>29</v>
      </c>
      <c r="T1846">
        <v>1284.71</v>
      </c>
      <c r="U1846">
        <f t="shared" si="392"/>
        <v>156</v>
      </c>
      <c r="V1846">
        <f t="shared" si="393"/>
        <v>60</v>
      </c>
      <c r="W1846">
        <f t="shared" si="394"/>
        <v>45</v>
      </c>
      <c r="X1846">
        <f t="shared" si="395"/>
        <v>0.35149999999999998</v>
      </c>
      <c r="Y1846" s="1">
        <f t="shared" si="396"/>
        <v>7987486</v>
      </c>
      <c r="Z1846">
        <f t="shared" si="397"/>
        <v>51201.833333333336</v>
      </c>
      <c r="AA1846">
        <f t="shared" si="398"/>
        <v>99664</v>
      </c>
      <c r="AB1846">
        <f t="shared" si="399"/>
        <v>5091</v>
      </c>
      <c r="AC1846">
        <f t="shared" si="400"/>
        <v>204398.28000000006</v>
      </c>
      <c r="AD1846">
        <f t="shared" si="401"/>
        <v>1310.2453846153851</v>
      </c>
      <c r="AE1846">
        <f t="shared" si="402"/>
        <v>0.35149999999999998</v>
      </c>
      <c r="AF1846">
        <f t="shared" si="403"/>
        <v>15439409.149999997</v>
      </c>
      <c r="AG1846" t="str">
        <f t="shared" si="404"/>
        <v>Over Paid</v>
      </c>
      <c r="AH1846">
        <f t="shared" si="405"/>
        <v>15416.52</v>
      </c>
    </row>
    <row r="1847" spans="1:34" x14ac:dyDescent="0.35">
      <c r="A1847" t="s">
        <v>4774</v>
      </c>
      <c r="B1847" t="s">
        <v>4775</v>
      </c>
      <c r="C1847">
        <v>48</v>
      </c>
      <c r="D1847" t="s">
        <v>22</v>
      </c>
      <c r="E1847" t="s">
        <v>23</v>
      </c>
      <c r="F1847" t="s">
        <v>46</v>
      </c>
      <c r="G1847">
        <v>199692</v>
      </c>
      <c r="H1847">
        <v>327</v>
      </c>
      <c r="I1847">
        <v>33125</v>
      </c>
      <c r="J1847">
        <v>5.0599999999999996</v>
      </c>
      <c r="K1847">
        <v>12</v>
      </c>
      <c r="L1847" t="s">
        <v>52</v>
      </c>
      <c r="M1847">
        <v>42.04</v>
      </c>
      <c r="N1847">
        <v>14486</v>
      </c>
      <c r="O1847">
        <v>144778</v>
      </c>
      <c r="P1847" t="s">
        <v>2913</v>
      </c>
      <c r="Q1847" t="s">
        <v>27</v>
      </c>
      <c r="R1847" t="s">
        <v>28</v>
      </c>
      <c r="S1847" t="s">
        <v>35</v>
      </c>
      <c r="T1847">
        <v>2900.09</v>
      </c>
      <c r="U1847">
        <f t="shared" si="392"/>
        <v>155</v>
      </c>
      <c r="V1847">
        <f t="shared" si="393"/>
        <v>60</v>
      </c>
      <c r="W1847">
        <f t="shared" si="394"/>
        <v>45</v>
      </c>
      <c r="X1847">
        <f t="shared" si="395"/>
        <v>0.35149999999999998</v>
      </c>
      <c r="Y1847" s="1">
        <f t="shared" si="396"/>
        <v>7972661</v>
      </c>
      <c r="Z1847">
        <f t="shared" si="397"/>
        <v>51436.522580645164</v>
      </c>
      <c r="AA1847">
        <f t="shared" si="398"/>
        <v>99664</v>
      </c>
      <c r="AB1847">
        <f t="shared" si="399"/>
        <v>5091</v>
      </c>
      <c r="AC1847">
        <f t="shared" si="400"/>
        <v>203113.57000000007</v>
      </c>
      <c r="AD1847">
        <f t="shared" si="401"/>
        <v>1310.4101290322585</v>
      </c>
      <c r="AE1847">
        <f t="shared" si="402"/>
        <v>0.35149999999999998</v>
      </c>
      <c r="AF1847">
        <f t="shared" si="403"/>
        <v>15235010.869999999</v>
      </c>
      <c r="AG1847" t="str">
        <f t="shared" si="404"/>
        <v>Over Paid</v>
      </c>
      <c r="AH1847">
        <f t="shared" si="405"/>
        <v>34801.08</v>
      </c>
    </row>
    <row r="1848" spans="1:34" x14ac:dyDescent="0.35">
      <c r="A1848" t="s">
        <v>4776</v>
      </c>
      <c r="B1848" t="s">
        <v>4777</v>
      </c>
      <c r="C1848">
        <v>59</v>
      </c>
      <c r="D1848" t="s">
        <v>38</v>
      </c>
      <c r="E1848" t="s">
        <v>39</v>
      </c>
      <c r="F1848" t="s">
        <v>59</v>
      </c>
      <c r="G1848">
        <v>38931</v>
      </c>
      <c r="H1848">
        <v>637</v>
      </c>
      <c r="I1848">
        <v>98261</v>
      </c>
      <c r="J1848">
        <v>13.97</v>
      </c>
      <c r="K1848">
        <v>60</v>
      </c>
      <c r="L1848" t="s">
        <v>86</v>
      </c>
      <c r="M1848">
        <v>45.32</v>
      </c>
      <c r="N1848">
        <v>6466</v>
      </c>
      <c r="O1848">
        <v>11058</v>
      </c>
      <c r="P1848" t="s">
        <v>585</v>
      </c>
      <c r="Q1848" t="s">
        <v>27</v>
      </c>
      <c r="R1848" t="s">
        <v>28</v>
      </c>
      <c r="S1848" t="s">
        <v>68</v>
      </c>
      <c r="T1848">
        <v>1866.47</v>
      </c>
      <c r="U1848">
        <f t="shared" si="392"/>
        <v>154</v>
      </c>
      <c r="V1848">
        <f t="shared" si="393"/>
        <v>60</v>
      </c>
      <c r="W1848">
        <f t="shared" si="394"/>
        <v>45</v>
      </c>
      <c r="X1848">
        <f t="shared" si="395"/>
        <v>0.35149999999999998</v>
      </c>
      <c r="Y1848" s="1">
        <f t="shared" si="396"/>
        <v>7939536</v>
      </c>
      <c r="Z1848">
        <f t="shared" si="397"/>
        <v>51555.428571428572</v>
      </c>
      <c r="AA1848">
        <f t="shared" si="398"/>
        <v>99664</v>
      </c>
      <c r="AB1848">
        <f t="shared" si="399"/>
        <v>5091</v>
      </c>
      <c r="AC1848">
        <f t="shared" si="400"/>
        <v>200213.48000000007</v>
      </c>
      <c r="AD1848">
        <f t="shared" si="401"/>
        <v>1300.0875324675328</v>
      </c>
      <c r="AE1848">
        <f t="shared" si="402"/>
        <v>0.35149999999999998</v>
      </c>
      <c r="AF1848">
        <f t="shared" si="403"/>
        <v>15031897.299999999</v>
      </c>
      <c r="AG1848" t="str">
        <f t="shared" si="404"/>
        <v>Over Paid</v>
      </c>
      <c r="AH1848">
        <f t="shared" si="405"/>
        <v>22397.64</v>
      </c>
    </row>
    <row r="1849" spans="1:34" x14ac:dyDescent="0.35">
      <c r="A1849" t="s">
        <v>4778</v>
      </c>
      <c r="B1849" t="s">
        <v>4779</v>
      </c>
      <c r="C1849">
        <v>63</v>
      </c>
      <c r="D1849" t="s">
        <v>38</v>
      </c>
      <c r="E1849" t="s">
        <v>32</v>
      </c>
      <c r="F1849" t="s">
        <v>59</v>
      </c>
      <c r="G1849">
        <v>198011</v>
      </c>
      <c r="H1849">
        <v>301</v>
      </c>
      <c r="I1849">
        <v>69612</v>
      </c>
      <c r="J1849">
        <v>5.8</v>
      </c>
      <c r="K1849">
        <v>360</v>
      </c>
      <c r="L1849" t="s">
        <v>86</v>
      </c>
      <c r="M1849">
        <v>13.83</v>
      </c>
      <c r="N1849">
        <v>58374</v>
      </c>
      <c r="O1849">
        <v>55516</v>
      </c>
      <c r="P1849" t="s">
        <v>4367</v>
      </c>
      <c r="Q1849" t="s">
        <v>42</v>
      </c>
      <c r="R1849" t="s">
        <v>48</v>
      </c>
      <c r="S1849" t="s">
        <v>29</v>
      </c>
      <c r="T1849">
        <v>204.58</v>
      </c>
      <c r="U1849">
        <f t="shared" si="392"/>
        <v>153</v>
      </c>
      <c r="V1849">
        <f t="shared" si="393"/>
        <v>60</v>
      </c>
      <c r="W1849">
        <f t="shared" si="394"/>
        <v>45</v>
      </c>
      <c r="X1849">
        <f t="shared" si="395"/>
        <v>0.35149999999999998</v>
      </c>
      <c r="Y1849" s="1">
        <f t="shared" si="396"/>
        <v>7841275</v>
      </c>
      <c r="Z1849">
        <f t="shared" si="397"/>
        <v>51250.163398692814</v>
      </c>
      <c r="AA1849">
        <f t="shared" si="398"/>
        <v>99664</v>
      </c>
      <c r="AB1849">
        <f t="shared" si="399"/>
        <v>5091</v>
      </c>
      <c r="AC1849">
        <f t="shared" si="400"/>
        <v>198347.01000000007</v>
      </c>
      <c r="AD1849">
        <f t="shared" si="401"/>
        <v>1296.3856862745101</v>
      </c>
      <c r="AE1849">
        <f t="shared" si="402"/>
        <v>0.35149999999999998</v>
      </c>
      <c r="AF1849">
        <f t="shared" si="403"/>
        <v>14831683.819999998</v>
      </c>
      <c r="AG1849" t="str">
        <f t="shared" si="404"/>
        <v>Active</v>
      </c>
      <c r="AH1849">
        <f t="shared" si="405"/>
        <v>2454.96</v>
      </c>
    </row>
    <row r="1850" spans="1:34" x14ac:dyDescent="0.35">
      <c r="A1850" t="s">
        <v>4780</v>
      </c>
      <c r="B1850" t="s">
        <v>4781</v>
      </c>
      <c r="C1850">
        <v>52</v>
      </c>
      <c r="D1850" t="s">
        <v>22</v>
      </c>
      <c r="E1850" t="s">
        <v>32</v>
      </c>
      <c r="F1850" t="s">
        <v>59</v>
      </c>
      <c r="G1850">
        <v>52302</v>
      </c>
      <c r="H1850">
        <v>541</v>
      </c>
      <c r="I1850">
        <v>16514</v>
      </c>
      <c r="J1850">
        <v>11.85</v>
      </c>
      <c r="K1850">
        <v>360</v>
      </c>
      <c r="L1850" t="s">
        <v>40</v>
      </c>
      <c r="M1850">
        <v>8.23</v>
      </c>
      <c r="N1850">
        <v>55936</v>
      </c>
      <c r="O1850">
        <v>185556</v>
      </c>
      <c r="P1850" t="s">
        <v>4782</v>
      </c>
      <c r="Q1850" t="s">
        <v>42</v>
      </c>
      <c r="R1850" t="s">
        <v>28</v>
      </c>
      <c r="S1850" t="s">
        <v>49</v>
      </c>
      <c r="T1850">
        <v>51.31</v>
      </c>
      <c r="U1850">
        <f t="shared" si="392"/>
        <v>152</v>
      </c>
      <c r="V1850">
        <f t="shared" si="393"/>
        <v>59</v>
      </c>
      <c r="W1850">
        <f t="shared" si="394"/>
        <v>45</v>
      </c>
      <c r="X1850">
        <f t="shared" si="395"/>
        <v>0.35149999999999998</v>
      </c>
      <c r="Y1850" s="1">
        <f t="shared" si="396"/>
        <v>7771663</v>
      </c>
      <c r="Z1850">
        <f t="shared" si="397"/>
        <v>51129.36184210526</v>
      </c>
      <c r="AA1850">
        <f t="shared" si="398"/>
        <v>99664</v>
      </c>
      <c r="AB1850">
        <f t="shared" si="399"/>
        <v>5091</v>
      </c>
      <c r="AC1850">
        <f t="shared" si="400"/>
        <v>198142.43000000005</v>
      </c>
      <c r="AD1850">
        <f t="shared" si="401"/>
        <v>1303.5686184210529</v>
      </c>
      <c r="AE1850">
        <f t="shared" si="402"/>
        <v>0.35149999999999998</v>
      </c>
      <c r="AF1850">
        <f t="shared" si="403"/>
        <v>14633336.809999999</v>
      </c>
      <c r="AG1850" t="str">
        <f t="shared" si="404"/>
        <v>Active</v>
      </c>
      <c r="AH1850">
        <f t="shared" si="405"/>
        <v>615.72</v>
      </c>
    </row>
    <row r="1851" spans="1:34" x14ac:dyDescent="0.35">
      <c r="A1851" t="s">
        <v>4783</v>
      </c>
      <c r="B1851" t="s">
        <v>4784</v>
      </c>
      <c r="C1851">
        <v>46</v>
      </c>
      <c r="D1851" t="s">
        <v>22</v>
      </c>
      <c r="E1851" t="s">
        <v>23</v>
      </c>
      <c r="F1851" t="s">
        <v>24</v>
      </c>
      <c r="G1851">
        <v>22004</v>
      </c>
      <c r="H1851">
        <v>373</v>
      </c>
      <c r="I1851">
        <v>39062</v>
      </c>
      <c r="J1851">
        <v>16.47</v>
      </c>
      <c r="K1851">
        <v>48</v>
      </c>
      <c r="L1851" t="s">
        <v>86</v>
      </c>
      <c r="M1851">
        <v>59.2</v>
      </c>
      <c r="N1851">
        <v>3042</v>
      </c>
      <c r="O1851">
        <v>193345</v>
      </c>
      <c r="P1851" t="s">
        <v>2118</v>
      </c>
      <c r="Q1851" t="s">
        <v>61</v>
      </c>
      <c r="R1851" t="s">
        <v>28</v>
      </c>
      <c r="S1851" t="s">
        <v>68</v>
      </c>
      <c r="T1851">
        <v>947.82</v>
      </c>
      <c r="U1851">
        <f t="shared" si="392"/>
        <v>151</v>
      </c>
      <c r="V1851">
        <f t="shared" si="393"/>
        <v>58</v>
      </c>
      <c r="W1851">
        <f t="shared" si="394"/>
        <v>45</v>
      </c>
      <c r="X1851">
        <f t="shared" si="395"/>
        <v>0.35149999999999998</v>
      </c>
      <c r="Y1851" s="1">
        <f t="shared" si="396"/>
        <v>7755149</v>
      </c>
      <c r="Z1851">
        <f t="shared" si="397"/>
        <v>51358.602649006622</v>
      </c>
      <c r="AA1851">
        <f t="shared" si="398"/>
        <v>99664</v>
      </c>
      <c r="AB1851">
        <f t="shared" si="399"/>
        <v>5091</v>
      </c>
      <c r="AC1851">
        <f t="shared" si="400"/>
        <v>198091.12000000005</v>
      </c>
      <c r="AD1851">
        <f t="shared" si="401"/>
        <v>1311.861721854305</v>
      </c>
      <c r="AE1851">
        <f t="shared" si="402"/>
        <v>0.35149999999999998</v>
      </c>
      <c r="AF1851">
        <f t="shared" si="403"/>
        <v>14435194.379999997</v>
      </c>
      <c r="AG1851" t="str">
        <f t="shared" si="404"/>
        <v>Active</v>
      </c>
      <c r="AH1851">
        <f t="shared" si="405"/>
        <v>11373.84</v>
      </c>
    </row>
    <row r="1852" spans="1:34" x14ac:dyDescent="0.35">
      <c r="A1852" t="s">
        <v>4785</v>
      </c>
      <c r="B1852" t="s">
        <v>4786</v>
      </c>
      <c r="C1852">
        <v>29</v>
      </c>
      <c r="D1852" t="s">
        <v>38</v>
      </c>
      <c r="E1852" t="s">
        <v>32</v>
      </c>
      <c r="F1852" t="s">
        <v>59</v>
      </c>
      <c r="G1852">
        <v>86977</v>
      </c>
      <c r="H1852">
        <v>509</v>
      </c>
      <c r="I1852">
        <v>25350</v>
      </c>
      <c r="J1852">
        <v>14.01</v>
      </c>
      <c r="K1852">
        <v>48</v>
      </c>
      <c r="L1852" t="s">
        <v>86</v>
      </c>
      <c r="M1852">
        <v>14.79</v>
      </c>
      <c r="N1852">
        <v>17906</v>
      </c>
      <c r="O1852">
        <v>194016</v>
      </c>
      <c r="P1852" t="s">
        <v>4787</v>
      </c>
      <c r="Q1852" t="s">
        <v>42</v>
      </c>
      <c r="R1852" t="s">
        <v>28</v>
      </c>
      <c r="S1852" t="s">
        <v>43</v>
      </c>
      <c r="T1852">
        <v>602.12</v>
      </c>
      <c r="U1852">
        <f t="shared" si="392"/>
        <v>150</v>
      </c>
      <c r="V1852">
        <f t="shared" si="393"/>
        <v>58</v>
      </c>
      <c r="W1852">
        <f t="shared" si="394"/>
        <v>44</v>
      </c>
      <c r="X1852">
        <f t="shared" si="395"/>
        <v>0.35149999999999998</v>
      </c>
      <c r="Y1852" s="1">
        <f t="shared" si="396"/>
        <v>7716087</v>
      </c>
      <c r="Z1852">
        <f t="shared" si="397"/>
        <v>51440.58</v>
      </c>
      <c r="AA1852">
        <f t="shared" si="398"/>
        <v>99664</v>
      </c>
      <c r="AB1852">
        <f t="shared" si="399"/>
        <v>5091</v>
      </c>
      <c r="AC1852">
        <f t="shared" si="400"/>
        <v>197143.30000000005</v>
      </c>
      <c r="AD1852">
        <f t="shared" si="401"/>
        <v>1314.288666666667</v>
      </c>
      <c r="AE1852">
        <f t="shared" si="402"/>
        <v>0.35149999999999998</v>
      </c>
      <c r="AF1852">
        <f t="shared" si="403"/>
        <v>14237103.259999998</v>
      </c>
      <c r="AG1852" t="str">
        <f t="shared" si="404"/>
        <v>Active</v>
      </c>
      <c r="AH1852">
        <f t="shared" si="405"/>
        <v>7225.4400000000005</v>
      </c>
    </row>
    <row r="1853" spans="1:34" x14ac:dyDescent="0.35">
      <c r="A1853" t="s">
        <v>4788</v>
      </c>
      <c r="B1853" t="s">
        <v>4789</v>
      </c>
      <c r="C1853">
        <v>60</v>
      </c>
      <c r="D1853" t="s">
        <v>38</v>
      </c>
      <c r="E1853" t="s">
        <v>23</v>
      </c>
      <c r="F1853" t="s">
        <v>46</v>
      </c>
      <c r="G1853">
        <v>197271</v>
      </c>
      <c r="H1853">
        <v>756</v>
      </c>
      <c r="I1853">
        <v>90994</v>
      </c>
      <c r="J1853">
        <v>13.02</v>
      </c>
      <c r="K1853">
        <v>36</v>
      </c>
      <c r="L1853" t="s">
        <v>86</v>
      </c>
      <c r="M1853">
        <v>52.29</v>
      </c>
      <c r="N1853">
        <v>70640</v>
      </c>
      <c r="O1853">
        <v>68720</v>
      </c>
      <c r="P1853" t="s">
        <v>2979</v>
      </c>
      <c r="Q1853" t="s">
        <v>61</v>
      </c>
      <c r="R1853" t="s">
        <v>48</v>
      </c>
      <c r="S1853" t="s">
        <v>49</v>
      </c>
      <c r="T1853">
        <v>2856.71</v>
      </c>
      <c r="U1853">
        <f t="shared" si="392"/>
        <v>149</v>
      </c>
      <c r="V1853">
        <f t="shared" si="393"/>
        <v>57</v>
      </c>
      <c r="W1853">
        <f t="shared" si="394"/>
        <v>44</v>
      </c>
      <c r="X1853">
        <f t="shared" si="395"/>
        <v>0.35149999999999998</v>
      </c>
      <c r="Y1853" s="1">
        <f t="shared" si="396"/>
        <v>7690737</v>
      </c>
      <c r="Z1853">
        <f t="shared" si="397"/>
        <v>51615.68456375839</v>
      </c>
      <c r="AA1853">
        <f t="shared" si="398"/>
        <v>99664</v>
      </c>
      <c r="AB1853">
        <f t="shared" si="399"/>
        <v>5091</v>
      </c>
      <c r="AC1853">
        <f t="shared" si="400"/>
        <v>196541.18000000005</v>
      </c>
      <c r="AD1853">
        <f t="shared" si="401"/>
        <v>1319.0683221476513</v>
      </c>
      <c r="AE1853">
        <f t="shared" si="402"/>
        <v>0.35149999999999998</v>
      </c>
      <c r="AF1853">
        <f t="shared" si="403"/>
        <v>14039959.959999997</v>
      </c>
      <c r="AG1853" t="str">
        <f t="shared" si="404"/>
        <v>Active</v>
      </c>
      <c r="AH1853">
        <f t="shared" si="405"/>
        <v>34280.520000000004</v>
      </c>
    </row>
    <row r="1854" spans="1:34" x14ac:dyDescent="0.35">
      <c r="A1854" t="s">
        <v>4790</v>
      </c>
      <c r="B1854" t="s">
        <v>4791</v>
      </c>
      <c r="C1854">
        <v>32</v>
      </c>
      <c r="D1854" t="s">
        <v>38</v>
      </c>
      <c r="E1854" t="s">
        <v>32</v>
      </c>
      <c r="F1854" t="s">
        <v>46</v>
      </c>
      <c r="G1854">
        <v>48528</v>
      </c>
      <c r="H1854">
        <v>484</v>
      </c>
      <c r="I1854">
        <v>60100</v>
      </c>
      <c r="J1854">
        <v>3.95</v>
      </c>
      <c r="K1854">
        <v>12</v>
      </c>
      <c r="L1854" t="s">
        <v>40</v>
      </c>
      <c r="M1854">
        <v>42.66</v>
      </c>
      <c r="N1854">
        <v>19387</v>
      </c>
      <c r="O1854">
        <v>160266</v>
      </c>
      <c r="P1854" t="s">
        <v>4558</v>
      </c>
      <c r="Q1854" t="s">
        <v>42</v>
      </c>
      <c r="R1854" t="s">
        <v>28</v>
      </c>
      <c r="S1854" t="s">
        <v>43</v>
      </c>
      <c r="T1854">
        <v>5206.16</v>
      </c>
      <c r="U1854">
        <f t="shared" si="392"/>
        <v>148</v>
      </c>
      <c r="V1854">
        <f t="shared" si="393"/>
        <v>57</v>
      </c>
      <c r="W1854">
        <f t="shared" si="394"/>
        <v>43</v>
      </c>
      <c r="X1854">
        <f t="shared" si="395"/>
        <v>0.35149999999999998</v>
      </c>
      <c r="Y1854" s="1">
        <f t="shared" si="396"/>
        <v>7599743</v>
      </c>
      <c r="Z1854">
        <f t="shared" si="397"/>
        <v>51349.614864864867</v>
      </c>
      <c r="AA1854">
        <f t="shared" si="398"/>
        <v>99664</v>
      </c>
      <c r="AB1854">
        <f t="shared" si="399"/>
        <v>5091</v>
      </c>
      <c r="AC1854">
        <f t="shared" si="400"/>
        <v>193684.47000000006</v>
      </c>
      <c r="AD1854">
        <f t="shared" si="401"/>
        <v>1308.6788513513518</v>
      </c>
      <c r="AE1854">
        <f t="shared" si="402"/>
        <v>0.35149999999999998</v>
      </c>
      <c r="AF1854">
        <f t="shared" si="403"/>
        <v>13843418.779999999</v>
      </c>
      <c r="AG1854" t="str">
        <f t="shared" si="404"/>
        <v>Active</v>
      </c>
      <c r="AH1854">
        <f t="shared" si="405"/>
        <v>62473.919999999998</v>
      </c>
    </row>
    <row r="1855" spans="1:34" x14ac:dyDescent="0.35">
      <c r="A1855" t="s">
        <v>4792</v>
      </c>
      <c r="B1855" t="s">
        <v>4793</v>
      </c>
      <c r="C1855">
        <v>54</v>
      </c>
      <c r="D1855" t="s">
        <v>38</v>
      </c>
      <c r="E1855" t="s">
        <v>32</v>
      </c>
      <c r="F1855" t="s">
        <v>24</v>
      </c>
      <c r="G1855">
        <v>100710</v>
      </c>
      <c r="H1855">
        <v>632</v>
      </c>
      <c r="I1855">
        <v>59014</v>
      </c>
      <c r="J1855">
        <v>4.09</v>
      </c>
      <c r="K1855">
        <v>120</v>
      </c>
      <c r="L1855" t="s">
        <v>40</v>
      </c>
      <c r="M1855">
        <v>32.68</v>
      </c>
      <c r="N1855">
        <v>67375</v>
      </c>
      <c r="O1855">
        <v>2032</v>
      </c>
      <c r="P1855" t="s">
        <v>4794</v>
      </c>
      <c r="Q1855" t="s">
        <v>42</v>
      </c>
      <c r="R1855" t="s">
        <v>28</v>
      </c>
      <c r="S1855" t="s">
        <v>43</v>
      </c>
      <c r="T1855">
        <v>511.9</v>
      </c>
      <c r="U1855">
        <f t="shared" si="392"/>
        <v>147</v>
      </c>
      <c r="V1855">
        <f t="shared" si="393"/>
        <v>56</v>
      </c>
      <c r="W1855">
        <f t="shared" si="394"/>
        <v>43</v>
      </c>
      <c r="X1855">
        <f t="shared" si="395"/>
        <v>0.35149999999999998</v>
      </c>
      <c r="Y1855" s="1">
        <f t="shared" si="396"/>
        <v>7539643</v>
      </c>
      <c r="Z1855">
        <f t="shared" si="397"/>
        <v>51290.088435374149</v>
      </c>
      <c r="AA1855">
        <f t="shared" si="398"/>
        <v>99664</v>
      </c>
      <c r="AB1855">
        <f t="shared" si="399"/>
        <v>5091</v>
      </c>
      <c r="AC1855">
        <f t="shared" si="400"/>
        <v>188478.31000000006</v>
      </c>
      <c r="AD1855">
        <f t="shared" si="401"/>
        <v>1282.1653741496602</v>
      </c>
      <c r="AE1855">
        <f t="shared" si="402"/>
        <v>0.35149999999999998</v>
      </c>
      <c r="AF1855">
        <f t="shared" si="403"/>
        <v>13649734.309999999</v>
      </c>
      <c r="AG1855" t="str">
        <f t="shared" si="404"/>
        <v>Over Paid</v>
      </c>
      <c r="AH1855">
        <f t="shared" si="405"/>
        <v>6142.7999999999993</v>
      </c>
    </row>
    <row r="1856" spans="1:34" x14ac:dyDescent="0.35">
      <c r="A1856" t="s">
        <v>4795</v>
      </c>
      <c r="B1856" t="s">
        <v>4796</v>
      </c>
      <c r="C1856">
        <v>28</v>
      </c>
      <c r="D1856" t="s">
        <v>38</v>
      </c>
      <c r="E1856" t="s">
        <v>32</v>
      </c>
      <c r="F1856" t="s">
        <v>59</v>
      </c>
      <c r="G1856">
        <v>31462</v>
      </c>
      <c r="H1856">
        <v>318</v>
      </c>
      <c r="I1856">
        <v>83684</v>
      </c>
      <c r="J1856">
        <v>9.51</v>
      </c>
      <c r="K1856">
        <v>36</v>
      </c>
      <c r="L1856" t="s">
        <v>40</v>
      </c>
      <c r="M1856">
        <v>38.119999999999997</v>
      </c>
      <c r="N1856">
        <v>40197</v>
      </c>
      <c r="O1856">
        <v>240072</v>
      </c>
      <c r="P1856" t="s">
        <v>4797</v>
      </c>
      <c r="Q1856" t="s">
        <v>27</v>
      </c>
      <c r="R1856" t="s">
        <v>28</v>
      </c>
      <c r="S1856" t="s">
        <v>29</v>
      </c>
      <c r="T1856">
        <v>2545.62</v>
      </c>
      <c r="U1856">
        <f t="shared" si="392"/>
        <v>146</v>
      </c>
      <c r="V1856">
        <f t="shared" si="393"/>
        <v>55</v>
      </c>
      <c r="W1856">
        <f t="shared" si="394"/>
        <v>43</v>
      </c>
      <c r="X1856">
        <f t="shared" si="395"/>
        <v>0.35149999999999998</v>
      </c>
      <c r="Y1856" s="1">
        <f t="shared" si="396"/>
        <v>7480629</v>
      </c>
      <c r="Z1856">
        <f t="shared" si="397"/>
        <v>51237.184931506847</v>
      </c>
      <c r="AA1856">
        <f t="shared" si="398"/>
        <v>99664</v>
      </c>
      <c r="AB1856">
        <f t="shared" si="399"/>
        <v>5091</v>
      </c>
      <c r="AC1856">
        <f t="shared" si="400"/>
        <v>187966.41000000006</v>
      </c>
      <c r="AD1856">
        <f t="shared" si="401"/>
        <v>1287.441164383562</v>
      </c>
      <c r="AE1856">
        <f t="shared" si="402"/>
        <v>0.35149999999999998</v>
      </c>
      <c r="AF1856">
        <f t="shared" si="403"/>
        <v>13461255.999999998</v>
      </c>
      <c r="AG1856" t="str">
        <f t="shared" si="404"/>
        <v>Active</v>
      </c>
      <c r="AH1856">
        <f t="shared" si="405"/>
        <v>30547.439999999999</v>
      </c>
    </row>
    <row r="1857" spans="1:34" x14ac:dyDescent="0.35">
      <c r="A1857" t="s">
        <v>4798</v>
      </c>
      <c r="B1857" t="s">
        <v>4799</v>
      </c>
      <c r="C1857">
        <v>21</v>
      </c>
      <c r="D1857" t="s">
        <v>38</v>
      </c>
      <c r="E1857" t="s">
        <v>32</v>
      </c>
      <c r="F1857" t="s">
        <v>24</v>
      </c>
      <c r="G1857">
        <v>124609</v>
      </c>
      <c r="H1857">
        <v>714</v>
      </c>
      <c r="I1857">
        <v>61917</v>
      </c>
      <c r="J1857">
        <v>6.44</v>
      </c>
      <c r="K1857">
        <v>36</v>
      </c>
      <c r="L1857" t="s">
        <v>40</v>
      </c>
      <c r="M1857">
        <v>29.94</v>
      </c>
      <c r="N1857">
        <v>35749</v>
      </c>
      <c r="O1857">
        <v>149926</v>
      </c>
      <c r="P1857" t="s">
        <v>3318</v>
      </c>
      <c r="Q1857" t="s">
        <v>42</v>
      </c>
      <c r="R1857" t="s">
        <v>28</v>
      </c>
      <c r="S1857" t="s">
        <v>35</v>
      </c>
      <c r="T1857">
        <v>1830.68</v>
      </c>
      <c r="U1857">
        <f t="shared" si="392"/>
        <v>145</v>
      </c>
      <c r="V1857">
        <f t="shared" si="393"/>
        <v>55</v>
      </c>
      <c r="W1857">
        <f t="shared" si="394"/>
        <v>43</v>
      </c>
      <c r="X1857">
        <f t="shared" si="395"/>
        <v>0.35149999999999998</v>
      </c>
      <c r="Y1857" s="1">
        <f t="shared" si="396"/>
        <v>7396945</v>
      </c>
      <c r="Z1857">
        <f t="shared" si="397"/>
        <v>51013.413793103449</v>
      </c>
      <c r="AA1857">
        <f t="shared" si="398"/>
        <v>99664</v>
      </c>
      <c r="AB1857">
        <f t="shared" si="399"/>
        <v>5091</v>
      </c>
      <c r="AC1857">
        <f t="shared" si="400"/>
        <v>185420.79000000007</v>
      </c>
      <c r="AD1857">
        <f t="shared" si="401"/>
        <v>1278.7640689655177</v>
      </c>
      <c r="AE1857">
        <f t="shared" si="402"/>
        <v>0.35149999999999998</v>
      </c>
      <c r="AF1857">
        <f t="shared" si="403"/>
        <v>13273289.59</v>
      </c>
      <c r="AG1857" t="str">
        <f t="shared" si="404"/>
        <v>Active</v>
      </c>
      <c r="AH1857">
        <f t="shared" si="405"/>
        <v>21968.16</v>
      </c>
    </row>
    <row r="1858" spans="1:34" x14ac:dyDescent="0.35">
      <c r="A1858" t="s">
        <v>4800</v>
      </c>
      <c r="B1858" t="s">
        <v>4801</v>
      </c>
      <c r="C1858">
        <v>38</v>
      </c>
      <c r="D1858" t="s">
        <v>38</v>
      </c>
      <c r="E1858" t="s">
        <v>23</v>
      </c>
      <c r="F1858" t="s">
        <v>24</v>
      </c>
      <c r="G1858">
        <v>158456</v>
      </c>
      <c r="H1858">
        <v>526</v>
      </c>
      <c r="I1858">
        <v>42506</v>
      </c>
      <c r="J1858">
        <v>16.829999999999998</v>
      </c>
      <c r="K1858">
        <v>180</v>
      </c>
      <c r="L1858" t="s">
        <v>40</v>
      </c>
      <c r="M1858">
        <v>15.25</v>
      </c>
      <c r="N1858">
        <v>77549</v>
      </c>
      <c r="O1858">
        <v>58648</v>
      </c>
      <c r="P1858" t="s">
        <v>2057</v>
      </c>
      <c r="Q1858" t="s">
        <v>42</v>
      </c>
      <c r="R1858" t="s">
        <v>48</v>
      </c>
      <c r="S1858" t="s">
        <v>43</v>
      </c>
      <c r="T1858">
        <v>275.89</v>
      </c>
      <c r="U1858">
        <f t="shared" ref="U1858:U1921" si="406">COUNTA(A1858:A3857)</f>
        <v>144</v>
      </c>
      <c r="V1858">
        <f t="shared" ref="V1858:V1921" si="407">COUNTIF(Q1858:Q3857,"APPROVED")</f>
        <v>54</v>
      </c>
      <c r="W1858">
        <f t="shared" ref="W1858:W1921" si="408">COUNTIF(Q1858:Q3858,"Rejected")</f>
        <v>43</v>
      </c>
      <c r="X1858">
        <f t="shared" ref="X1858:X1921" si="409">703/2000</f>
        <v>0.35149999999999998</v>
      </c>
      <c r="Y1858" s="1">
        <f t="shared" ref="Y1858:Y1921" si="410">SUM(I1858:I3857)</f>
        <v>7335028</v>
      </c>
      <c r="Z1858">
        <f t="shared" ref="Z1858:Z1921" si="411">AVERAGE(I1858:I21857)</f>
        <v>50937.694444444445</v>
      </c>
      <c r="AA1858">
        <f t="shared" ref="AA1858:AA1921" si="412">MAX(I1858:I3857)</f>
        <v>99664</v>
      </c>
      <c r="AB1858">
        <f t="shared" ref="AB1858:AB1921" si="413">MIN(I1858:I3857)</f>
        <v>5091</v>
      </c>
      <c r="AC1858">
        <f t="shared" ref="AC1858:AC1921" si="414">SUM(T1858:T3857)</f>
        <v>183590.11000000007</v>
      </c>
      <c r="AD1858">
        <f t="shared" ref="AD1858:AD1921" si="415">AVERAGE(T1858:T3857)</f>
        <v>1274.9313194444449</v>
      </c>
      <c r="AE1858">
        <f t="shared" ref="AE1858:AE1921" si="416">703/2000</f>
        <v>0.35149999999999998</v>
      </c>
      <c r="AF1858">
        <f t="shared" ref="AF1858:AF1921" si="417">SUM(AC1858:AC3857)</f>
        <v>13087868.799999999</v>
      </c>
      <c r="AG1858" t="str">
        <f t="shared" ref="AG1858:AG1921" si="418">IF(AH1858=0,"Bad", IF(AH1857&lt;I1857, "Active", IF(AH1857=I1857, "Good", "Over Paid")))</f>
        <v>Active</v>
      </c>
      <c r="AH1858">
        <f t="shared" ref="AH1858:AH1921" si="419">T1858*12</f>
        <v>3310.68</v>
      </c>
    </row>
    <row r="1859" spans="1:34" x14ac:dyDescent="0.35">
      <c r="A1859" t="s">
        <v>4802</v>
      </c>
      <c r="B1859" t="s">
        <v>4803</v>
      </c>
      <c r="C1859">
        <v>47</v>
      </c>
      <c r="D1859" t="s">
        <v>22</v>
      </c>
      <c r="E1859" t="s">
        <v>23</v>
      </c>
      <c r="F1859" t="s">
        <v>24</v>
      </c>
      <c r="G1859">
        <v>143176</v>
      </c>
      <c r="H1859">
        <v>431</v>
      </c>
      <c r="I1859">
        <v>6755</v>
      </c>
      <c r="J1859">
        <v>4.62</v>
      </c>
      <c r="K1859">
        <v>120</v>
      </c>
      <c r="L1859" t="s">
        <v>33</v>
      </c>
      <c r="M1859">
        <v>40.15</v>
      </c>
      <c r="N1859">
        <v>15385</v>
      </c>
      <c r="O1859">
        <v>52216</v>
      </c>
      <c r="P1859" t="s">
        <v>3031</v>
      </c>
      <c r="Q1859" t="s">
        <v>42</v>
      </c>
      <c r="R1859" t="s">
        <v>48</v>
      </c>
      <c r="S1859" t="s">
        <v>29</v>
      </c>
      <c r="T1859">
        <v>58.89</v>
      </c>
      <c r="U1859">
        <f t="shared" si="406"/>
        <v>143</v>
      </c>
      <c r="V1859">
        <f t="shared" si="407"/>
        <v>53</v>
      </c>
      <c r="W1859">
        <f t="shared" si="408"/>
        <v>43</v>
      </c>
      <c r="X1859">
        <f t="shared" si="409"/>
        <v>0.35149999999999998</v>
      </c>
      <c r="Y1859" s="1">
        <f t="shared" si="410"/>
        <v>7292522</v>
      </c>
      <c r="Z1859">
        <f t="shared" si="411"/>
        <v>50996.657342657345</v>
      </c>
      <c r="AA1859">
        <f t="shared" si="412"/>
        <v>99664</v>
      </c>
      <c r="AB1859">
        <f t="shared" si="413"/>
        <v>5091</v>
      </c>
      <c r="AC1859">
        <f t="shared" si="414"/>
        <v>183314.22000000006</v>
      </c>
      <c r="AD1859">
        <f t="shared" si="415"/>
        <v>1281.9176223776228</v>
      </c>
      <c r="AE1859">
        <f t="shared" si="416"/>
        <v>0.35149999999999998</v>
      </c>
      <c r="AF1859">
        <f t="shared" si="417"/>
        <v>12904278.690000001</v>
      </c>
      <c r="AG1859" t="str">
        <f t="shared" si="418"/>
        <v>Active</v>
      </c>
      <c r="AH1859">
        <f t="shared" si="419"/>
        <v>706.68000000000006</v>
      </c>
    </row>
    <row r="1860" spans="1:34" x14ac:dyDescent="0.35">
      <c r="A1860" t="s">
        <v>4804</v>
      </c>
      <c r="B1860" t="s">
        <v>4805</v>
      </c>
      <c r="C1860">
        <v>62</v>
      </c>
      <c r="D1860" t="s">
        <v>38</v>
      </c>
      <c r="E1860" t="s">
        <v>32</v>
      </c>
      <c r="F1860" t="s">
        <v>46</v>
      </c>
      <c r="G1860">
        <v>191285</v>
      </c>
      <c r="H1860">
        <v>363</v>
      </c>
      <c r="I1860">
        <v>62026</v>
      </c>
      <c r="J1860">
        <v>14</v>
      </c>
      <c r="K1860">
        <v>360</v>
      </c>
      <c r="L1860" t="s">
        <v>25</v>
      </c>
      <c r="M1860">
        <v>26.26</v>
      </c>
      <c r="N1860">
        <v>17101</v>
      </c>
      <c r="O1860">
        <v>188845</v>
      </c>
      <c r="P1860" t="s">
        <v>623</v>
      </c>
      <c r="Q1860" t="s">
        <v>61</v>
      </c>
      <c r="R1860" t="s">
        <v>48</v>
      </c>
      <c r="S1860" t="s">
        <v>35</v>
      </c>
      <c r="T1860">
        <v>196.42</v>
      </c>
      <c r="U1860">
        <f t="shared" si="406"/>
        <v>142</v>
      </c>
      <c r="V1860">
        <f t="shared" si="407"/>
        <v>52</v>
      </c>
      <c r="W1860">
        <f t="shared" si="408"/>
        <v>43</v>
      </c>
      <c r="X1860">
        <f t="shared" si="409"/>
        <v>0.35149999999999998</v>
      </c>
      <c r="Y1860" s="1">
        <f t="shared" si="410"/>
        <v>7285767</v>
      </c>
      <c r="Z1860">
        <f t="shared" si="411"/>
        <v>51308.218309859156</v>
      </c>
      <c r="AA1860">
        <f t="shared" si="412"/>
        <v>99664</v>
      </c>
      <c r="AB1860">
        <f t="shared" si="413"/>
        <v>5091</v>
      </c>
      <c r="AC1860">
        <f t="shared" si="414"/>
        <v>183255.33000000007</v>
      </c>
      <c r="AD1860">
        <f t="shared" si="415"/>
        <v>1290.5304929577469</v>
      </c>
      <c r="AE1860">
        <f t="shared" si="416"/>
        <v>0.35149999999999998</v>
      </c>
      <c r="AF1860">
        <f t="shared" si="417"/>
        <v>12720964.470000001</v>
      </c>
      <c r="AG1860" t="str">
        <f t="shared" si="418"/>
        <v>Active</v>
      </c>
      <c r="AH1860">
        <f t="shared" si="419"/>
        <v>2357.04</v>
      </c>
    </row>
    <row r="1861" spans="1:34" x14ac:dyDescent="0.35">
      <c r="A1861" t="s">
        <v>4806</v>
      </c>
      <c r="B1861" t="s">
        <v>4807</v>
      </c>
      <c r="C1861">
        <v>31</v>
      </c>
      <c r="D1861" t="s">
        <v>22</v>
      </c>
      <c r="E1861" t="s">
        <v>32</v>
      </c>
      <c r="F1861" t="s">
        <v>59</v>
      </c>
      <c r="G1861">
        <v>151794</v>
      </c>
      <c r="H1861">
        <v>572</v>
      </c>
      <c r="I1861">
        <v>77836</v>
      </c>
      <c r="J1861">
        <v>11.62</v>
      </c>
      <c r="K1861">
        <v>360</v>
      </c>
      <c r="L1861" t="s">
        <v>40</v>
      </c>
      <c r="M1861">
        <v>23.28</v>
      </c>
      <c r="N1861">
        <v>39168</v>
      </c>
      <c r="O1861">
        <v>73320</v>
      </c>
      <c r="P1861" t="s">
        <v>266</v>
      </c>
      <c r="Q1861" t="s">
        <v>42</v>
      </c>
      <c r="R1861" t="s">
        <v>28</v>
      </c>
      <c r="S1861" t="s">
        <v>68</v>
      </c>
      <c r="T1861">
        <v>241.33</v>
      </c>
      <c r="U1861">
        <f t="shared" si="406"/>
        <v>141</v>
      </c>
      <c r="V1861">
        <f t="shared" si="407"/>
        <v>52</v>
      </c>
      <c r="W1861">
        <f t="shared" si="408"/>
        <v>42</v>
      </c>
      <c r="X1861">
        <f t="shared" si="409"/>
        <v>0.35149999999999998</v>
      </c>
      <c r="Y1861" s="1">
        <f t="shared" si="410"/>
        <v>7223741</v>
      </c>
      <c r="Z1861">
        <f t="shared" si="411"/>
        <v>51232.205673758865</v>
      </c>
      <c r="AA1861">
        <f t="shared" si="412"/>
        <v>99664</v>
      </c>
      <c r="AB1861">
        <f t="shared" si="413"/>
        <v>5091</v>
      </c>
      <c r="AC1861">
        <f t="shared" si="414"/>
        <v>183058.91000000009</v>
      </c>
      <c r="AD1861">
        <f t="shared" si="415"/>
        <v>1298.2901418439724</v>
      </c>
      <c r="AE1861">
        <f t="shared" si="416"/>
        <v>0.35149999999999998</v>
      </c>
      <c r="AF1861">
        <f t="shared" si="417"/>
        <v>12537709.140000002</v>
      </c>
      <c r="AG1861" t="str">
        <f t="shared" si="418"/>
        <v>Active</v>
      </c>
      <c r="AH1861">
        <f t="shared" si="419"/>
        <v>2895.96</v>
      </c>
    </row>
    <row r="1862" spans="1:34" x14ac:dyDescent="0.35">
      <c r="A1862" t="s">
        <v>4808</v>
      </c>
      <c r="B1862" t="s">
        <v>4809</v>
      </c>
      <c r="C1862">
        <v>36</v>
      </c>
      <c r="D1862" t="s">
        <v>22</v>
      </c>
      <c r="E1862" t="s">
        <v>32</v>
      </c>
      <c r="F1862" t="s">
        <v>24</v>
      </c>
      <c r="G1862">
        <v>146026</v>
      </c>
      <c r="H1862">
        <v>362</v>
      </c>
      <c r="I1862">
        <v>29573</v>
      </c>
      <c r="J1862">
        <v>16.82</v>
      </c>
      <c r="K1862">
        <v>180</v>
      </c>
      <c r="L1862" t="s">
        <v>86</v>
      </c>
      <c r="M1862">
        <v>11.62</v>
      </c>
      <c r="N1862">
        <v>2447</v>
      </c>
      <c r="O1862">
        <v>149345</v>
      </c>
      <c r="P1862" t="s">
        <v>4810</v>
      </c>
      <c r="Q1862" t="s">
        <v>27</v>
      </c>
      <c r="R1862" t="s">
        <v>28</v>
      </c>
      <c r="S1862" t="s">
        <v>49</v>
      </c>
      <c r="T1862">
        <v>191.93</v>
      </c>
      <c r="U1862">
        <f t="shared" si="406"/>
        <v>140</v>
      </c>
      <c r="V1862">
        <f t="shared" si="407"/>
        <v>51</v>
      </c>
      <c r="W1862">
        <f t="shared" si="408"/>
        <v>42</v>
      </c>
      <c r="X1862">
        <f t="shared" si="409"/>
        <v>0.35149999999999998</v>
      </c>
      <c r="Y1862" s="1">
        <f t="shared" si="410"/>
        <v>7145905</v>
      </c>
      <c r="Z1862">
        <f t="shared" si="411"/>
        <v>51042.178571428572</v>
      </c>
      <c r="AA1862">
        <f t="shared" si="412"/>
        <v>99664</v>
      </c>
      <c r="AB1862">
        <f t="shared" si="413"/>
        <v>5091</v>
      </c>
      <c r="AC1862">
        <f t="shared" si="414"/>
        <v>182817.58000000007</v>
      </c>
      <c r="AD1862">
        <f t="shared" si="415"/>
        <v>1305.8398571428577</v>
      </c>
      <c r="AE1862">
        <f t="shared" si="416"/>
        <v>0.35149999999999998</v>
      </c>
      <c r="AF1862">
        <f t="shared" si="417"/>
        <v>12354650.23</v>
      </c>
      <c r="AG1862" t="str">
        <f t="shared" si="418"/>
        <v>Active</v>
      </c>
      <c r="AH1862">
        <f t="shared" si="419"/>
        <v>2303.16</v>
      </c>
    </row>
    <row r="1863" spans="1:34" x14ac:dyDescent="0.35">
      <c r="A1863" t="s">
        <v>4811</v>
      </c>
      <c r="B1863" t="s">
        <v>4812</v>
      </c>
      <c r="C1863">
        <v>49</v>
      </c>
      <c r="D1863" t="s">
        <v>38</v>
      </c>
      <c r="E1863" t="s">
        <v>23</v>
      </c>
      <c r="F1863" t="s">
        <v>24</v>
      </c>
      <c r="G1863">
        <v>113123</v>
      </c>
      <c r="H1863">
        <v>545</v>
      </c>
      <c r="I1863">
        <v>93909</v>
      </c>
      <c r="J1863">
        <v>20.32</v>
      </c>
      <c r="K1863">
        <v>48</v>
      </c>
      <c r="L1863" t="s">
        <v>33</v>
      </c>
      <c r="M1863">
        <v>6</v>
      </c>
      <c r="N1863">
        <v>47136</v>
      </c>
      <c r="O1863">
        <v>1573</v>
      </c>
      <c r="P1863" t="s">
        <v>1849</v>
      </c>
      <c r="Q1863" t="s">
        <v>42</v>
      </c>
      <c r="R1863" t="s">
        <v>48</v>
      </c>
      <c r="S1863" t="s">
        <v>43</v>
      </c>
      <c r="T1863">
        <v>2353.9899999999998</v>
      </c>
      <c r="U1863">
        <f t="shared" si="406"/>
        <v>139</v>
      </c>
      <c r="V1863">
        <f t="shared" si="407"/>
        <v>51</v>
      </c>
      <c r="W1863">
        <f t="shared" si="408"/>
        <v>42</v>
      </c>
      <c r="X1863">
        <f t="shared" si="409"/>
        <v>0.35149999999999998</v>
      </c>
      <c r="Y1863" s="1">
        <f t="shared" si="410"/>
        <v>7116332</v>
      </c>
      <c r="Z1863">
        <f t="shared" si="411"/>
        <v>51196.633093525183</v>
      </c>
      <c r="AA1863">
        <f t="shared" si="412"/>
        <v>99664</v>
      </c>
      <c r="AB1863">
        <f t="shared" si="413"/>
        <v>5091</v>
      </c>
      <c r="AC1863">
        <f t="shared" si="414"/>
        <v>182625.65000000008</v>
      </c>
      <c r="AD1863">
        <f t="shared" si="415"/>
        <v>1313.8535971223027</v>
      </c>
      <c r="AE1863">
        <f t="shared" si="416"/>
        <v>0.35149999999999998</v>
      </c>
      <c r="AF1863">
        <f t="shared" si="417"/>
        <v>12171832.65</v>
      </c>
      <c r="AG1863" t="str">
        <f t="shared" si="418"/>
        <v>Active</v>
      </c>
      <c r="AH1863">
        <f t="shared" si="419"/>
        <v>28247.879999999997</v>
      </c>
    </row>
    <row r="1864" spans="1:34" x14ac:dyDescent="0.35">
      <c r="A1864" t="s">
        <v>4813</v>
      </c>
      <c r="B1864" t="s">
        <v>4814</v>
      </c>
      <c r="C1864">
        <v>24</v>
      </c>
      <c r="D1864" t="s">
        <v>38</v>
      </c>
      <c r="E1864" t="s">
        <v>23</v>
      </c>
      <c r="F1864" t="s">
        <v>46</v>
      </c>
      <c r="G1864">
        <v>129645</v>
      </c>
      <c r="H1864">
        <v>541</v>
      </c>
      <c r="I1864">
        <v>19576</v>
      </c>
      <c r="J1864">
        <v>11.96</v>
      </c>
      <c r="K1864">
        <v>48</v>
      </c>
      <c r="L1864" t="s">
        <v>25</v>
      </c>
      <c r="M1864">
        <v>36.950000000000003</v>
      </c>
      <c r="N1864">
        <v>43301</v>
      </c>
      <c r="O1864">
        <v>206690</v>
      </c>
      <c r="P1864" t="s">
        <v>1318</v>
      </c>
      <c r="Q1864" t="s">
        <v>27</v>
      </c>
      <c r="R1864" t="s">
        <v>48</v>
      </c>
      <c r="S1864" t="s">
        <v>43</v>
      </c>
      <c r="T1864">
        <v>456.61</v>
      </c>
      <c r="U1864">
        <f t="shared" si="406"/>
        <v>138</v>
      </c>
      <c r="V1864">
        <f t="shared" si="407"/>
        <v>50</v>
      </c>
      <c r="W1864">
        <f t="shared" si="408"/>
        <v>42</v>
      </c>
      <c r="X1864">
        <f t="shared" si="409"/>
        <v>0.35149999999999998</v>
      </c>
      <c r="Y1864" s="1">
        <f t="shared" si="410"/>
        <v>7022423</v>
      </c>
      <c r="Z1864">
        <f t="shared" si="411"/>
        <v>50887.1231884058</v>
      </c>
      <c r="AA1864">
        <f t="shared" si="412"/>
        <v>99664</v>
      </c>
      <c r="AB1864">
        <f t="shared" si="413"/>
        <v>5091</v>
      </c>
      <c r="AC1864">
        <f t="shared" si="414"/>
        <v>180271.66000000009</v>
      </c>
      <c r="AD1864">
        <f t="shared" si="415"/>
        <v>1306.3163768115949</v>
      </c>
      <c r="AE1864">
        <f t="shared" si="416"/>
        <v>0.35149999999999998</v>
      </c>
      <c r="AF1864">
        <f t="shared" si="417"/>
        <v>11989207</v>
      </c>
      <c r="AG1864" t="str">
        <f t="shared" si="418"/>
        <v>Active</v>
      </c>
      <c r="AH1864">
        <f t="shared" si="419"/>
        <v>5479.32</v>
      </c>
    </row>
    <row r="1865" spans="1:34" x14ac:dyDescent="0.35">
      <c r="A1865" t="s">
        <v>4815</v>
      </c>
      <c r="B1865" t="s">
        <v>4816</v>
      </c>
      <c r="C1865">
        <v>39</v>
      </c>
      <c r="D1865" t="s">
        <v>38</v>
      </c>
      <c r="E1865" t="s">
        <v>32</v>
      </c>
      <c r="F1865" t="s">
        <v>24</v>
      </c>
      <c r="G1865">
        <v>55637</v>
      </c>
      <c r="H1865">
        <v>756</v>
      </c>
      <c r="I1865">
        <v>62481</v>
      </c>
      <c r="J1865">
        <v>3.96</v>
      </c>
      <c r="K1865">
        <v>36</v>
      </c>
      <c r="L1865" t="s">
        <v>40</v>
      </c>
      <c r="M1865">
        <v>20.399999999999999</v>
      </c>
      <c r="N1865">
        <v>27995</v>
      </c>
      <c r="O1865">
        <v>28353</v>
      </c>
      <c r="P1865" t="s">
        <v>1676</v>
      </c>
      <c r="Q1865" t="s">
        <v>42</v>
      </c>
      <c r="R1865" t="s">
        <v>28</v>
      </c>
      <c r="S1865" t="s">
        <v>29</v>
      </c>
      <c r="T1865">
        <v>1804.31</v>
      </c>
      <c r="U1865">
        <f t="shared" si="406"/>
        <v>137</v>
      </c>
      <c r="V1865">
        <f t="shared" si="407"/>
        <v>50</v>
      </c>
      <c r="W1865">
        <f t="shared" si="408"/>
        <v>42</v>
      </c>
      <c r="X1865">
        <f t="shared" si="409"/>
        <v>0.35149999999999998</v>
      </c>
      <c r="Y1865" s="1">
        <f t="shared" si="410"/>
        <v>7002847</v>
      </c>
      <c r="Z1865">
        <f t="shared" si="411"/>
        <v>51115.671532846718</v>
      </c>
      <c r="AA1865">
        <f t="shared" si="412"/>
        <v>99664</v>
      </c>
      <c r="AB1865">
        <f t="shared" si="413"/>
        <v>5091</v>
      </c>
      <c r="AC1865">
        <f t="shared" si="414"/>
        <v>179815.0500000001</v>
      </c>
      <c r="AD1865">
        <f t="shared" si="415"/>
        <v>1312.518613138687</v>
      </c>
      <c r="AE1865">
        <f t="shared" si="416"/>
        <v>0.35149999999999998</v>
      </c>
      <c r="AF1865">
        <f t="shared" si="417"/>
        <v>11808935.34</v>
      </c>
      <c r="AG1865" t="str">
        <f t="shared" si="418"/>
        <v>Active</v>
      </c>
      <c r="AH1865">
        <f t="shared" si="419"/>
        <v>21651.72</v>
      </c>
    </row>
    <row r="1866" spans="1:34" x14ac:dyDescent="0.35">
      <c r="A1866" t="s">
        <v>4817</v>
      </c>
      <c r="B1866" t="s">
        <v>4818</v>
      </c>
      <c r="C1866">
        <v>53</v>
      </c>
      <c r="D1866" t="s">
        <v>22</v>
      </c>
      <c r="E1866" t="s">
        <v>32</v>
      </c>
      <c r="F1866" t="s">
        <v>59</v>
      </c>
      <c r="G1866">
        <v>142724</v>
      </c>
      <c r="H1866">
        <v>723</v>
      </c>
      <c r="I1866">
        <v>99664</v>
      </c>
      <c r="J1866">
        <v>14.44</v>
      </c>
      <c r="K1866">
        <v>360</v>
      </c>
      <c r="L1866" t="s">
        <v>33</v>
      </c>
      <c r="M1866">
        <v>16.55</v>
      </c>
      <c r="N1866">
        <v>32217</v>
      </c>
      <c r="O1866">
        <v>172621</v>
      </c>
      <c r="P1866" t="s">
        <v>4819</v>
      </c>
      <c r="Q1866" t="s">
        <v>27</v>
      </c>
      <c r="R1866" t="s">
        <v>28</v>
      </c>
      <c r="S1866" t="s">
        <v>43</v>
      </c>
      <c r="T1866">
        <v>316.82</v>
      </c>
      <c r="U1866">
        <f t="shared" si="406"/>
        <v>136</v>
      </c>
      <c r="V1866">
        <f t="shared" si="407"/>
        <v>49</v>
      </c>
      <c r="W1866">
        <f t="shared" si="408"/>
        <v>42</v>
      </c>
      <c r="X1866">
        <f t="shared" si="409"/>
        <v>0.35149999999999998</v>
      </c>
      <c r="Y1866" s="1">
        <f t="shared" si="410"/>
        <v>6940366</v>
      </c>
      <c r="Z1866">
        <f t="shared" si="411"/>
        <v>51032.102941176468</v>
      </c>
      <c r="AA1866">
        <f t="shared" si="412"/>
        <v>99664</v>
      </c>
      <c r="AB1866">
        <f t="shared" si="413"/>
        <v>5091</v>
      </c>
      <c r="AC1866">
        <f t="shared" si="414"/>
        <v>178010.74000000011</v>
      </c>
      <c r="AD1866">
        <f t="shared" si="415"/>
        <v>1308.9025000000008</v>
      </c>
      <c r="AE1866">
        <f t="shared" si="416"/>
        <v>0.35149999999999998</v>
      </c>
      <c r="AF1866">
        <f t="shared" si="417"/>
        <v>11629120.289999999</v>
      </c>
      <c r="AG1866" t="str">
        <f t="shared" si="418"/>
        <v>Active</v>
      </c>
      <c r="AH1866">
        <f t="shared" si="419"/>
        <v>3801.84</v>
      </c>
    </row>
    <row r="1867" spans="1:34" x14ac:dyDescent="0.35">
      <c r="A1867" t="s">
        <v>4820</v>
      </c>
      <c r="B1867" t="s">
        <v>4821</v>
      </c>
      <c r="C1867">
        <v>54</v>
      </c>
      <c r="D1867" t="s">
        <v>38</v>
      </c>
      <c r="E1867" t="s">
        <v>32</v>
      </c>
      <c r="F1867" t="s">
        <v>24</v>
      </c>
      <c r="G1867">
        <v>59649</v>
      </c>
      <c r="H1867">
        <v>422</v>
      </c>
      <c r="I1867">
        <v>11118</v>
      </c>
      <c r="J1867">
        <v>12.54</v>
      </c>
      <c r="K1867">
        <v>48</v>
      </c>
      <c r="L1867" t="s">
        <v>86</v>
      </c>
      <c r="M1867">
        <v>39.33</v>
      </c>
      <c r="N1867">
        <v>72709</v>
      </c>
      <c r="O1867">
        <v>69484</v>
      </c>
      <c r="P1867" t="s">
        <v>3581</v>
      </c>
      <c r="Q1867" t="s">
        <v>27</v>
      </c>
      <c r="R1867" t="s">
        <v>48</v>
      </c>
      <c r="S1867" t="s">
        <v>35</v>
      </c>
      <c r="T1867">
        <v>260.67</v>
      </c>
      <c r="U1867">
        <f t="shared" si="406"/>
        <v>135</v>
      </c>
      <c r="V1867">
        <f t="shared" si="407"/>
        <v>49</v>
      </c>
      <c r="W1867">
        <f t="shared" si="408"/>
        <v>42</v>
      </c>
      <c r="X1867">
        <f t="shared" si="409"/>
        <v>0.35149999999999998</v>
      </c>
      <c r="Y1867" s="1">
        <f t="shared" si="410"/>
        <v>6840702</v>
      </c>
      <c r="Z1867">
        <f t="shared" si="411"/>
        <v>50671.866666666669</v>
      </c>
      <c r="AA1867">
        <f t="shared" si="412"/>
        <v>98054</v>
      </c>
      <c r="AB1867">
        <f t="shared" si="413"/>
        <v>5091</v>
      </c>
      <c r="AC1867">
        <f t="shared" si="414"/>
        <v>177693.9200000001</v>
      </c>
      <c r="AD1867">
        <f t="shared" si="415"/>
        <v>1316.25125925926</v>
      </c>
      <c r="AE1867">
        <f t="shared" si="416"/>
        <v>0.35149999999999998</v>
      </c>
      <c r="AF1867">
        <f t="shared" si="417"/>
        <v>11451109.549999999</v>
      </c>
      <c r="AG1867" t="str">
        <f t="shared" si="418"/>
        <v>Active</v>
      </c>
      <c r="AH1867">
        <f t="shared" si="419"/>
        <v>3128.04</v>
      </c>
    </row>
    <row r="1868" spans="1:34" x14ac:dyDescent="0.35">
      <c r="A1868" t="s">
        <v>4822</v>
      </c>
      <c r="B1868" t="s">
        <v>4823</v>
      </c>
      <c r="C1868">
        <v>55</v>
      </c>
      <c r="D1868" t="s">
        <v>22</v>
      </c>
      <c r="E1868" t="s">
        <v>23</v>
      </c>
      <c r="F1868" t="s">
        <v>24</v>
      </c>
      <c r="G1868">
        <v>89598</v>
      </c>
      <c r="H1868">
        <v>541</v>
      </c>
      <c r="I1868">
        <v>22025</v>
      </c>
      <c r="J1868">
        <v>13.5</v>
      </c>
      <c r="K1868">
        <v>180</v>
      </c>
      <c r="L1868" t="s">
        <v>40</v>
      </c>
      <c r="M1868">
        <v>8.01</v>
      </c>
      <c r="N1868">
        <v>42525</v>
      </c>
      <c r="O1868">
        <v>196971</v>
      </c>
      <c r="P1868" t="s">
        <v>3759</v>
      </c>
      <c r="Q1868" t="s">
        <v>27</v>
      </c>
      <c r="R1868" t="s">
        <v>48</v>
      </c>
      <c r="S1868" t="s">
        <v>29</v>
      </c>
      <c r="T1868">
        <v>138.88</v>
      </c>
      <c r="U1868">
        <f t="shared" si="406"/>
        <v>134</v>
      </c>
      <c r="V1868">
        <f t="shared" si="407"/>
        <v>49</v>
      </c>
      <c r="W1868">
        <f t="shared" si="408"/>
        <v>42</v>
      </c>
      <c r="X1868">
        <f t="shared" si="409"/>
        <v>0.35149999999999998</v>
      </c>
      <c r="Y1868" s="1">
        <f t="shared" si="410"/>
        <v>6829584</v>
      </c>
      <c r="Z1868">
        <f t="shared" si="411"/>
        <v>50967.044776119401</v>
      </c>
      <c r="AA1868">
        <f t="shared" si="412"/>
        <v>98054</v>
      </c>
      <c r="AB1868">
        <f t="shared" si="413"/>
        <v>5091</v>
      </c>
      <c r="AC1868">
        <f t="shared" si="414"/>
        <v>177433.25000000009</v>
      </c>
      <c r="AD1868">
        <f t="shared" si="415"/>
        <v>1324.1287313432842</v>
      </c>
      <c r="AE1868">
        <f t="shared" si="416"/>
        <v>0.35149999999999998</v>
      </c>
      <c r="AF1868">
        <f t="shared" si="417"/>
        <v>11273415.629999999</v>
      </c>
      <c r="AG1868" t="str">
        <f t="shared" si="418"/>
        <v>Active</v>
      </c>
      <c r="AH1868">
        <f t="shared" si="419"/>
        <v>1666.56</v>
      </c>
    </row>
    <row r="1869" spans="1:34" x14ac:dyDescent="0.35">
      <c r="A1869" t="s">
        <v>4824</v>
      </c>
      <c r="B1869" t="s">
        <v>4825</v>
      </c>
      <c r="C1869">
        <v>53</v>
      </c>
      <c r="D1869" t="s">
        <v>22</v>
      </c>
      <c r="E1869" t="s">
        <v>23</v>
      </c>
      <c r="F1869" t="s">
        <v>59</v>
      </c>
      <c r="G1869">
        <v>149081</v>
      </c>
      <c r="H1869">
        <v>363</v>
      </c>
      <c r="I1869">
        <v>73942</v>
      </c>
      <c r="J1869">
        <v>14.57</v>
      </c>
      <c r="K1869">
        <v>24</v>
      </c>
      <c r="L1869" t="s">
        <v>25</v>
      </c>
      <c r="M1869">
        <v>48.69</v>
      </c>
      <c r="N1869">
        <v>17160</v>
      </c>
      <c r="O1869">
        <v>218168</v>
      </c>
      <c r="P1869" t="s">
        <v>4826</v>
      </c>
      <c r="Q1869" t="s">
        <v>42</v>
      </c>
      <c r="R1869" t="s">
        <v>28</v>
      </c>
      <c r="S1869" t="s">
        <v>29</v>
      </c>
      <c r="T1869">
        <v>3529.81</v>
      </c>
      <c r="U1869">
        <f t="shared" si="406"/>
        <v>133</v>
      </c>
      <c r="V1869">
        <f t="shared" si="407"/>
        <v>49</v>
      </c>
      <c r="W1869">
        <f t="shared" si="408"/>
        <v>42</v>
      </c>
      <c r="X1869">
        <f t="shared" si="409"/>
        <v>0.35149999999999998</v>
      </c>
      <c r="Y1869" s="1">
        <f t="shared" si="410"/>
        <v>6807559</v>
      </c>
      <c r="Z1869">
        <f t="shared" si="411"/>
        <v>51184.654135338344</v>
      </c>
      <c r="AA1869">
        <f t="shared" si="412"/>
        <v>98054</v>
      </c>
      <c r="AB1869">
        <f t="shared" si="413"/>
        <v>5091</v>
      </c>
      <c r="AC1869">
        <f t="shared" si="414"/>
        <v>177294.37000000008</v>
      </c>
      <c r="AD1869">
        <f t="shared" si="415"/>
        <v>1333.0403759398503</v>
      </c>
      <c r="AE1869">
        <f t="shared" si="416"/>
        <v>0.35149999999999998</v>
      </c>
      <c r="AF1869">
        <f t="shared" si="417"/>
        <v>11095982.380000001</v>
      </c>
      <c r="AG1869" t="str">
        <f t="shared" si="418"/>
        <v>Active</v>
      </c>
      <c r="AH1869">
        <f t="shared" si="419"/>
        <v>42357.72</v>
      </c>
    </row>
    <row r="1870" spans="1:34" x14ac:dyDescent="0.35">
      <c r="A1870" t="s">
        <v>4827</v>
      </c>
      <c r="B1870" t="s">
        <v>4828</v>
      </c>
      <c r="C1870">
        <v>50</v>
      </c>
      <c r="D1870" t="s">
        <v>38</v>
      </c>
      <c r="E1870" t="s">
        <v>23</v>
      </c>
      <c r="F1870" t="s">
        <v>59</v>
      </c>
      <c r="G1870">
        <v>92768</v>
      </c>
      <c r="H1870">
        <v>536</v>
      </c>
      <c r="I1870">
        <v>95182</v>
      </c>
      <c r="J1870">
        <v>9.49</v>
      </c>
      <c r="K1870">
        <v>240</v>
      </c>
      <c r="L1870" t="s">
        <v>86</v>
      </c>
      <c r="M1870">
        <v>55.94</v>
      </c>
      <c r="N1870">
        <v>25568</v>
      </c>
      <c r="O1870">
        <v>30123</v>
      </c>
      <c r="P1870" t="s">
        <v>1722</v>
      </c>
      <c r="Q1870" t="s">
        <v>27</v>
      </c>
      <c r="R1870" t="s">
        <v>48</v>
      </c>
      <c r="S1870" t="s">
        <v>68</v>
      </c>
      <c r="T1870">
        <v>434.23</v>
      </c>
      <c r="U1870">
        <f t="shared" si="406"/>
        <v>132</v>
      </c>
      <c r="V1870">
        <f t="shared" si="407"/>
        <v>48</v>
      </c>
      <c r="W1870">
        <f t="shared" si="408"/>
        <v>42</v>
      </c>
      <c r="X1870">
        <f t="shared" si="409"/>
        <v>0.35149999999999998</v>
      </c>
      <c r="Y1870" s="1">
        <f t="shared" si="410"/>
        <v>6733617</v>
      </c>
      <c r="Z1870">
        <f t="shared" si="411"/>
        <v>51012.25</v>
      </c>
      <c r="AA1870">
        <f t="shared" si="412"/>
        <v>98054</v>
      </c>
      <c r="AB1870">
        <f t="shared" si="413"/>
        <v>5091</v>
      </c>
      <c r="AC1870">
        <f t="shared" si="414"/>
        <v>173764.56000000006</v>
      </c>
      <c r="AD1870">
        <f t="shared" si="415"/>
        <v>1316.3981818181821</v>
      </c>
      <c r="AE1870">
        <f t="shared" si="416"/>
        <v>0.35149999999999998</v>
      </c>
      <c r="AF1870">
        <f t="shared" si="417"/>
        <v>10918688.01</v>
      </c>
      <c r="AG1870" t="str">
        <f t="shared" si="418"/>
        <v>Active</v>
      </c>
      <c r="AH1870">
        <f t="shared" si="419"/>
        <v>5210.76</v>
      </c>
    </row>
    <row r="1871" spans="1:34" x14ac:dyDescent="0.35">
      <c r="A1871" t="s">
        <v>4829</v>
      </c>
      <c r="B1871" t="s">
        <v>4830</v>
      </c>
      <c r="C1871">
        <v>43</v>
      </c>
      <c r="D1871" t="s">
        <v>22</v>
      </c>
      <c r="E1871" t="s">
        <v>32</v>
      </c>
      <c r="F1871" t="s">
        <v>46</v>
      </c>
      <c r="G1871">
        <v>160174</v>
      </c>
      <c r="H1871">
        <v>558</v>
      </c>
      <c r="I1871">
        <v>62030</v>
      </c>
      <c r="J1871">
        <v>5.45</v>
      </c>
      <c r="K1871">
        <v>24</v>
      </c>
      <c r="L1871" t="s">
        <v>86</v>
      </c>
      <c r="M1871">
        <v>5.8</v>
      </c>
      <c r="N1871">
        <v>28488</v>
      </c>
      <c r="O1871">
        <v>166013</v>
      </c>
      <c r="P1871" t="s">
        <v>4831</v>
      </c>
      <c r="Q1871" t="s">
        <v>27</v>
      </c>
      <c r="R1871" t="s">
        <v>48</v>
      </c>
      <c r="S1871" t="s">
        <v>35</v>
      </c>
      <c r="T1871">
        <v>2725.44</v>
      </c>
      <c r="U1871">
        <f t="shared" si="406"/>
        <v>131</v>
      </c>
      <c r="V1871">
        <f t="shared" si="407"/>
        <v>48</v>
      </c>
      <c r="W1871">
        <f t="shared" si="408"/>
        <v>42</v>
      </c>
      <c r="X1871">
        <f t="shared" si="409"/>
        <v>0.35149999999999998</v>
      </c>
      <c r="Y1871" s="1">
        <f t="shared" si="410"/>
        <v>6638435</v>
      </c>
      <c r="Z1871">
        <f t="shared" si="411"/>
        <v>50675.076335877864</v>
      </c>
      <c r="AA1871">
        <f t="shared" si="412"/>
        <v>98054</v>
      </c>
      <c r="AB1871">
        <f t="shared" si="413"/>
        <v>5091</v>
      </c>
      <c r="AC1871">
        <f t="shared" si="414"/>
        <v>173330.33000000007</v>
      </c>
      <c r="AD1871">
        <f t="shared" si="415"/>
        <v>1323.1322900763364</v>
      </c>
      <c r="AE1871">
        <f t="shared" si="416"/>
        <v>0.35149999999999998</v>
      </c>
      <c r="AF1871">
        <f t="shared" si="417"/>
        <v>10744923.449999997</v>
      </c>
      <c r="AG1871" t="str">
        <f t="shared" si="418"/>
        <v>Active</v>
      </c>
      <c r="AH1871">
        <f t="shared" si="419"/>
        <v>32705.279999999999</v>
      </c>
    </row>
    <row r="1872" spans="1:34" x14ac:dyDescent="0.35">
      <c r="A1872" t="s">
        <v>4832</v>
      </c>
      <c r="B1872" t="s">
        <v>4833</v>
      </c>
      <c r="C1872">
        <v>48</v>
      </c>
      <c r="D1872" t="s">
        <v>22</v>
      </c>
      <c r="E1872" t="s">
        <v>23</v>
      </c>
      <c r="F1872" t="s">
        <v>24</v>
      </c>
      <c r="G1872">
        <v>30049</v>
      </c>
      <c r="H1872">
        <v>740</v>
      </c>
      <c r="I1872">
        <v>47522</v>
      </c>
      <c r="J1872">
        <v>7.4</v>
      </c>
      <c r="K1872">
        <v>360</v>
      </c>
      <c r="L1872" t="s">
        <v>25</v>
      </c>
      <c r="M1872">
        <v>24.22</v>
      </c>
      <c r="N1872">
        <v>59841</v>
      </c>
      <c r="O1872">
        <v>92496</v>
      </c>
      <c r="P1872" t="s">
        <v>1955</v>
      </c>
      <c r="Q1872" t="s">
        <v>61</v>
      </c>
      <c r="R1872" t="s">
        <v>48</v>
      </c>
      <c r="S1872" t="s">
        <v>49</v>
      </c>
      <c r="T1872">
        <v>141.77000000000001</v>
      </c>
      <c r="U1872">
        <f t="shared" si="406"/>
        <v>130</v>
      </c>
      <c r="V1872">
        <f t="shared" si="407"/>
        <v>48</v>
      </c>
      <c r="W1872">
        <f t="shared" si="408"/>
        <v>42</v>
      </c>
      <c r="X1872">
        <f t="shared" si="409"/>
        <v>0.35149999999999998</v>
      </c>
      <c r="Y1872" s="1">
        <f t="shared" si="410"/>
        <v>6576405</v>
      </c>
      <c r="Z1872">
        <f t="shared" si="411"/>
        <v>50587.730769230766</v>
      </c>
      <c r="AA1872">
        <f t="shared" si="412"/>
        <v>98054</v>
      </c>
      <c r="AB1872">
        <f t="shared" si="413"/>
        <v>5091</v>
      </c>
      <c r="AC1872">
        <f t="shared" si="414"/>
        <v>170604.89000000004</v>
      </c>
      <c r="AD1872">
        <f t="shared" si="415"/>
        <v>1312.3453076923081</v>
      </c>
      <c r="AE1872">
        <f t="shared" si="416"/>
        <v>0.35149999999999998</v>
      </c>
      <c r="AF1872">
        <f t="shared" si="417"/>
        <v>10571593.119999999</v>
      </c>
      <c r="AG1872" t="str">
        <f t="shared" si="418"/>
        <v>Active</v>
      </c>
      <c r="AH1872">
        <f t="shared" si="419"/>
        <v>1701.2400000000002</v>
      </c>
    </row>
    <row r="1873" spans="1:34" x14ac:dyDescent="0.35">
      <c r="A1873" t="s">
        <v>4834</v>
      </c>
      <c r="B1873" t="s">
        <v>4835</v>
      </c>
      <c r="C1873">
        <v>44</v>
      </c>
      <c r="D1873" t="s">
        <v>22</v>
      </c>
      <c r="E1873" t="s">
        <v>39</v>
      </c>
      <c r="F1873" t="s">
        <v>59</v>
      </c>
      <c r="G1873">
        <v>190575</v>
      </c>
      <c r="H1873">
        <v>539</v>
      </c>
      <c r="I1873">
        <v>12533</v>
      </c>
      <c r="J1873">
        <v>6.65</v>
      </c>
      <c r="K1873">
        <v>120</v>
      </c>
      <c r="L1873" t="s">
        <v>33</v>
      </c>
      <c r="M1873">
        <v>44.44</v>
      </c>
      <c r="N1873">
        <v>13727</v>
      </c>
      <c r="O1873">
        <v>55640</v>
      </c>
      <c r="P1873" t="s">
        <v>2868</v>
      </c>
      <c r="Q1873" t="s">
        <v>42</v>
      </c>
      <c r="R1873" t="s">
        <v>48</v>
      </c>
      <c r="S1873" t="s">
        <v>43</v>
      </c>
      <c r="T1873">
        <v>111.39</v>
      </c>
      <c r="U1873">
        <f t="shared" si="406"/>
        <v>129</v>
      </c>
      <c r="V1873">
        <f t="shared" si="407"/>
        <v>48</v>
      </c>
      <c r="W1873">
        <f t="shared" si="408"/>
        <v>41</v>
      </c>
      <c r="X1873">
        <f t="shared" si="409"/>
        <v>0.35149999999999998</v>
      </c>
      <c r="Y1873" s="1">
        <f t="shared" si="410"/>
        <v>6528883</v>
      </c>
      <c r="Z1873">
        <f t="shared" si="411"/>
        <v>50611.496124031008</v>
      </c>
      <c r="AA1873">
        <f t="shared" si="412"/>
        <v>98054</v>
      </c>
      <c r="AB1873">
        <f t="shared" si="413"/>
        <v>5091</v>
      </c>
      <c r="AC1873">
        <f t="shared" si="414"/>
        <v>170463.12000000005</v>
      </c>
      <c r="AD1873">
        <f t="shared" si="415"/>
        <v>1321.4195348837213</v>
      </c>
      <c r="AE1873">
        <f t="shared" si="416"/>
        <v>0.35149999999999998</v>
      </c>
      <c r="AF1873">
        <f t="shared" si="417"/>
        <v>10400988.229999999</v>
      </c>
      <c r="AG1873" t="str">
        <f t="shared" si="418"/>
        <v>Active</v>
      </c>
      <c r="AH1873">
        <f t="shared" si="419"/>
        <v>1336.68</v>
      </c>
    </row>
    <row r="1874" spans="1:34" x14ac:dyDescent="0.35">
      <c r="A1874" t="s">
        <v>4836</v>
      </c>
      <c r="B1874" t="s">
        <v>4837</v>
      </c>
      <c r="C1874">
        <v>45</v>
      </c>
      <c r="D1874" t="s">
        <v>38</v>
      </c>
      <c r="E1874" t="s">
        <v>39</v>
      </c>
      <c r="F1874" t="s">
        <v>24</v>
      </c>
      <c r="G1874">
        <v>189723</v>
      </c>
      <c r="H1874">
        <v>394</v>
      </c>
      <c r="I1874">
        <v>6407</v>
      </c>
      <c r="J1874">
        <v>12.28</v>
      </c>
      <c r="K1874">
        <v>180</v>
      </c>
      <c r="L1874" t="s">
        <v>52</v>
      </c>
      <c r="M1874">
        <v>47.75</v>
      </c>
      <c r="N1874">
        <v>25968</v>
      </c>
      <c r="O1874">
        <v>139405</v>
      </c>
      <c r="P1874" t="s">
        <v>424</v>
      </c>
      <c r="Q1874" t="s">
        <v>27</v>
      </c>
      <c r="R1874" t="s">
        <v>28</v>
      </c>
      <c r="S1874" t="s">
        <v>68</v>
      </c>
      <c r="T1874">
        <v>39.97</v>
      </c>
      <c r="U1874">
        <f t="shared" si="406"/>
        <v>128</v>
      </c>
      <c r="V1874">
        <f t="shared" si="407"/>
        <v>47</v>
      </c>
      <c r="W1874">
        <f t="shared" si="408"/>
        <v>41</v>
      </c>
      <c r="X1874">
        <f t="shared" si="409"/>
        <v>0.35149999999999998</v>
      </c>
      <c r="Y1874" s="1">
        <f t="shared" si="410"/>
        <v>6516350</v>
      </c>
      <c r="Z1874">
        <f t="shared" si="411"/>
        <v>50908.984375</v>
      </c>
      <c r="AA1874">
        <f t="shared" si="412"/>
        <v>98054</v>
      </c>
      <c r="AB1874">
        <f t="shared" si="413"/>
        <v>5091</v>
      </c>
      <c r="AC1874">
        <f t="shared" si="414"/>
        <v>170351.73000000007</v>
      </c>
      <c r="AD1874">
        <f t="shared" si="415"/>
        <v>1330.8728906250005</v>
      </c>
      <c r="AE1874">
        <f t="shared" si="416"/>
        <v>0.35149999999999998</v>
      </c>
      <c r="AF1874">
        <f t="shared" si="417"/>
        <v>10230525.109999999</v>
      </c>
      <c r="AG1874" t="str">
        <f t="shared" si="418"/>
        <v>Active</v>
      </c>
      <c r="AH1874">
        <f t="shared" si="419"/>
        <v>479.64</v>
      </c>
    </row>
    <row r="1875" spans="1:34" x14ac:dyDescent="0.35">
      <c r="A1875" t="s">
        <v>4838</v>
      </c>
      <c r="B1875" t="s">
        <v>4839</v>
      </c>
      <c r="C1875">
        <v>51</v>
      </c>
      <c r="D1875" t="s">
        <v>22</v>
      </c>
      <c r="E1875" t="s">
        <v>23</v>
      </c>
      <c r="F1875" t="s">
        <v>46</v>
      </c>
      <c r="G1875">
        <v>107371</v>
      </c>
      <c r="H1875">
        <v>456</v>
      </c>
      <c r="I1875">
        <v>11516</v>
      </c>
      <c r="J1875">
        <v>14.74</v>
      </c>
      <c r="K1875">
        <v>360</v>
      </c>
      <c r="L1875" t="s">
        <v>86</v>
      </c>
      <c r="M1875">
        <v>6.22</v>
      </c>
      <c r="N1875">
        <v>58879</v>
      </c>
      <c r="O1875">
        <v>178504</v>
      </c>
      <c r="P1875" t="s">
        <v>2078</v>
      </c>
      <c r="Q1875" t="s">
        <v>42</v>
      </c>
      <c r="R1875" t="s">
        <v>28</v>
      </c>
      <c r="S1875" t="s">
        <v>43</v>
      </c>
      <c r="T1875">
        <v>36.700000000000003</v>
      </c>
      <c r="U1875">
        <f t="shared" si="406"/>
        <v>127</v>
      </c>
      <c r="V1875">
        <f t="shared" si="407"/>
        <v>47</v>
      </c>
      <c r="W1875">
        <f t="shared" si="408"/>
        <v>41</v>
      </c>
      <c r="X1875">
        <f t="shared" si="409"/>
        <v>0.35149999999999998</v>
      </c>
      <c r="Y1875" s="1">
        <f t="shared" si="410"/>
        <v>6509943</v>
      </c>
      <c r="Z1875">
        <f t="shared" si="411"/>
        <v>51259.393700787405</v>
      </c>
      <c r="AA1875">
        <f t="shared" si="412"/>
        <v>98054</v>
      </c>
      <c r="AB1875">
        <f t="shared" si="413"/>
        <v>5091</v>
      </c>
      <c r="AC1875">
        <f t="shared" si="414"/>
        <v>170311.76000000007</v>
      </c>
      <c r="AD1875">
        <f t="shared" si="415"/>
        <v>1341.0374803149612</v>
      </c>
      <c r="AE1875">
        <f t="shared" si="416"/>
        <v>0.35149999999999998</v>
      </c>
      <c r="AF1875">
        <f t="shared" si="417"/>
        <v>10060173.380000001</v>
      </c>
      <c r="AG1875" t="str">
        <f t="shared" si="418"/>
        <v>Active</v>
      </c>
      <c r="AH1875">
        <f t="shared" si="419"/>
        <v>440.40000000000003</v>
      </c>
    </row>
    <row r="1876" spans="1:34" x14ac:dyDescent="0.35">
      <c r="A1876" t="s">
        <v>4840</v>
      </c>
      <c r="B1876" t="s">
        <v>4841</v>
      </c>
      <c r="C1876">
        <v>37</v>
      </c>
      <c r="D1876" t="s">
        <v>38</v>
      </c>
      <c r="E1876" t="s">
        <v>23</v>
      </c>
      <c r="F1876" t="s">
        <v>59</v>
      </c>
      <c r="G1876">
        <v>123591</v>
      </c>
      <c r="H1876">
        <v>397</v>
      </c>
      <c r="I1876">
        <v>41061</v>
      </c>
      <c r="J1876">
        <v>6.99</v>
      </c>
      <c r="K1876">
        <v>180</v>
      </c>
      <c r="L1876" t="s">
        <v>86</v>
      </c>
      <c r="M1876">
        <v>12.03</v>
      </c>
      <c r="N1876">
        <v>1040</v>
      </c>
      <c r="O1876">
        <v>60824</v>
      </c>
      <c r="P1876" t="s">
        <v>74</v>
      </c>
      <c r="Q1876" t="s">
        <v>42</v>
      </c>
      <c r="R1876" t="s">
        <v>28</v>
      </c>
      <c r="S1876" t="s">
        <v>35</v>
      </c>
      <c r="T1876">
        <v>244.06</v>
      </c>
      <c r="U1876">
        <f t="shared" si="406"/>
        <v>126</v>
      </c>
      <c r="V1876">
        <f t="shared" si="407"/>
        <v>46</v>
      </c>
      <c r="W1876">
        <f t="shared" si="408"/>
        <v>41</v>
      </c>
      <c r="X1876">
        <f t="shared" si="409"/>
        <v>0.35149999999999998</v>
      </c>
      <c r="Y1876" s="1">
        <f t="shared" si="410"/>
        <v>6498427</v>
      </c>
      <c r="Z1876">
        <f t="shared" si="411"/>
        <v>51574.817460317463</v>
      </c>
      <c r="AA1876">
        <f t="shared" si="412"/>
        <v>98054</v>
      </c>
      <c r="AB1876">
        <f t="shared" si="413"/>
        <v>5091</v>
      </c>
      <c r="AC1876">
        <f t="shared" si="414"/>
        <v>170275.06000000006</v>
      </c>
      <c r="AD1876">
        <f t="shared" si="415"/>
        <v>1351.3893650793655</v>
      </c>
      <c r="AE1876">
        <f t="shared" si="416"/>
        <v>0.35149999999999998</v>
      </c>
      <c r="AF1876">
        <f t="shared" si="417"/>
        <v>9889861.620000001</v>
      </c>
      <c r="AG1876" t="str">
        <f t="shared" si="418"/>
        <v>Active</v>
      </c>
      <c r="AH1876">
        <f t="shared" si="419"/>
        <v>2928.7200000000003</v>
      </c>
    </row>
    <row r="1877" spans="1:34" x14ac:dyDescent="0.35">
      <c r="A1877" t="s">
        <v>4842</v>
      </c>
      <c r="B1877" t="s">
        <v>4843</v>
      </c>
      <c r="C1877">
        <v>57</v>
      </c>
      <c r="D1877" t="s">
        <v>38</v>
      </c>
      <c r="E1877" t="s">
        <v>39</v>
      </c>
      <c r="F1877" t="s">
        <v>59</v>
      </c>
      <c r="G1877">
        <v>123880</v>
      </c>
      <c r="H1877">
        <v>759</v>
      </c>
      <c r="I1877">
        <v>59939</v>
      </c>
      <c r="J1877">
        <v>6.06</v>
      </c>
      <c r="K1877">
        <v>120</v>
      </c>
      <c r="L1877" t="s">
        <v>86</v>
      </c>
      <c r="M1877">
        <v>6.38</v>
      </c>
      <c r="N1877">
        <v>46376</v>
      </c>
      <c r="O1877">
        <v>131975</v>
      </c>
      <c r="P1877" t="s">
        <v>2289</v>
      </c>
      <c r="Q1877" t="s">
        <v>61</v>
      </c>
      <c r="R1877" t="s">
        <v>48</v>
      </c>
      <c r="S1877" t="s">
        <v>35</v>
      </c>
      <c r="T1877">
        <v>529.76</v>
      </c>
      <c r="U1877">
        <f t="shared" si="406"/>
        <v>125</v>
      </c>
      <c r="V1877">
        <f t="shared" si="407"/>
        <v>45</v>
      </c>
      <c r="W1877">
        <f t="shared" si="408"/>
        <v>41</v>
      </c>
      <c r="X1877">
        <f t="shared" si="409"/>
        <v>0.35149999999999998</v>
      </c>
      <c r="Y1877" s="1">
        <f t="shared" si="410"/>
        <v>6457366</v>
      </c>
      <c r="Z1877">
        <f t="shared" si="411"/>
        <v>51658.928</v>
      </c>
      <c r="AA1877">
        <f t="shared" si="412"/>
        <v>98054</v>
      </c>
      <c r="AB1877">
        <f t="shared" si="413"/>
        <v>5091</v>
      </c>
      <c r="AC1877">
        <f t="shared" si="414"/>
        <v>170031.00000000006</v>
      </c>
      <c r="AD1877">
        <f t="shared" si="415"/>
        <v>1360.2480000000005</v>
      </c>
      <c r="AE1877">
        <f t="shared" si="416"/>
        <v>0.35149999999999998</v>
      </c>
      <c r="AF1877">
        <f t="shared" si="417"/>
        <v>9719586.5600000005</v>
      </c>
      <c r="AG1877" t="str">
        <f t="shared" si="418"/>
        <v>Active</v>
      </c>
      <c r="AH1877">
        <f t="shared" si="419"/>
        <v>6357.12</v>
      </c>
    </row>
    <row r="1878" spans="1:34" x14ac:dyDescent="0.35">
      <c r="A1878" t="s">
        <v>4844</v>
      </c>
      <c r="B1878" t="s">
        <v>4845</v>
      </c>
      <c r="C1878">
        <v>61</v>
      </c>
      <c r="D1878" t="s">
        <v>22</v>
      </c>
      <c r="E1878" t="s">
        <v>32</v>
      </c>
      <c r="F1878" t="s">
        <v>24</v>
      </c>
      <c r="G1878">
        <v>146993</v>
      </c>
      <c r="H1878">
        <v>797</v>
      </c>
      <c r="I1878">
        <v>14174</v>
      </c>
      <c r="J1878">
        <v>9.07</v>
      </c>
      <c r="K1878">
        <v>120</v>
      </c>
      <c r="L1878" t="s">
        <v>40</v>
      </c>
      <c r="M1878">
        <v>28.48</v>
      </c>
      <c r="N1878">
        <v>18183</v>
      </c>
      <c r="O1878">
        <v>89865</v>
      </c>
      <c r="P1878" t="s">
        <v>1161</v>
      </c>
      <c r="Q1878" t="s">
        <v>61</v>
      </c>
      <c r="R1878" t="s">
        <v>48</v>
      </c>
      <c r="S1878" t="s">
        <v>49</v>
      </c>
      <c r="T1878">
        <v>128.83000000000001</v>
      </c>
      <c r="U1878">
        <f t="shared" si="406"/>
        <v>124</v>
      </c>
      <c r="V1878">
        <f t="shared" si="407"/>
        <v>45</v>
      </c>
      <c r="W1878">
        <f t="shared" si="408"/>
        <v>40</v>
      </c>
      <c r="X1878">
        <f t="shared" si="409"/>
        <v>0.35149999999999998</v>
      </c>
      <c r="Y1878" s="1">
        <f t="shared" si="410"/>
        <v>6397427</v>
      </c>
      <c r="Z1878">
        <f t="shared" si="411"/>
        <v>51592.153225806454</v>
      </c>
      <c r="AA1878">
        <f t="shared" si="412"/>
        <v>98054</v>
      </c>
      <c r="AB1878">
        <f t="shared" si="413"/>
        <v>5091</v>
      </c>
      <c r="AC1878">
        <f t="shared" si="414"/>
        <v>169501.24000000008</v>
      </c>
      <c r="AD1878">
        <f t="shared" si="415"/>
        <v>1366.9454838709685</v>
      </c>
      <c r="AE1878">
        <f t="shared" si="416"/>
        <v>0.35149999999999998</v>
      </c>
      <c r="AF1878">
        <f t="shared" si="417"/>
        <v>9549555.5600000005</v>
      </c>
      <c r="AG1878" t="str">
        <f t="shared" si="418"/>
        <v>Active</v>
      </c>
      <c r="AH1878">
        <f t="shared" si="419"/>
        <v>1545.96</v>
      </c>
    </row>
    <row r="1879" spans="1:34" x14ac:dyDescent="0.35">
      <c r="A1879" t="s">
        <v>4846</v>
      </c>
      <c r="B1879" t="s">
        <v>4847</v>
      </c>
      <c r="C1879">
        <v>25</v>
      </c>
      <c r="D1879" t="s">
        <v>22</v>
      </c>
      <c r="E1879" t="s">
        <v>39</v>
      </c>
      <c r="F1879" t="s">
        <v>59</v>
      </c>
      <c r="G1879">
        <v>96209</v>
      </c>
      <c r="H1879">
        <v>312</v>
      </c>
      <c r="I1879">
        <v>93900</v>
      </c>
      <c r="J1879">
        <v>11.62</v>
      </c>
      <c r="K1879">
        <v>12</v>
      </c>
      <c r="L1879" t="s">
        <v>86</v>
      </c>
      <c r="M1879">
        <v>40.56</v>
      </c>
      <c r="N1879">
        <v>67858</v>
      </c>
      <c r="O1879">
        <v>71508</v>
      </c>
      <c r="P1879" t="s">
        <v>26</v>
      </c>
      <c r="Q1879" t="s">
        <v>61</v>
      </c>
      <c r="R1879" t="s">
        <v>28</v>
      </c>
      <c r="S1879" t="s">
        <v>49</v>
      </c>
      <c r="T1879">
        <v>8734.27</v>
      </c>
      <c r="U1879">
        <f t="shared" si="406"/>
        <v>123</v>
      </c>
      <c r="V1879">
        <f t="shared" si="407"/>
        <v>45</v>
      </c>
      <c r="W1879">
        <f t="shared" si="408"/>
        <v>39</v>
      </c>
      <c r="X1879">
        <f t="shared" si="409"/>
        <v>0.35149999999999998</v>
      </c>
      <c r="Y1879" s="1">
        <f t="shared" si="410"/>
        <v>6383253</v>
      </c>
      <c r="Z1879">
        <f t="shared" si="411"/>
        <v>51896.365853658535</v>
      </c>
      <c r="AA1879">
        <f t="shared" si="412"/>
        <v>98054</v>
      </c>
      <c r="AB1879">
        <f t="shared" si="413"/>
        <v>5091</v>
      </c>
      <c r="AC1879">
        <f t="shared" si="414"/>
        <v>169372.41000000006</v>
      </c>
      <c r="AD1879">
        <f t="shared" si="415"/>
        <v>1377.0114634146346</v>
      </c>
      <c r="AE1879">
        <f t="shared" si="416"/>
        <v>0.35149999999999998</v>
      </c>
      <c r="AF1879">
        <f t="shared" si="417"/>
        <v>9380054.3200000022</v>
      </c>
      <c r="AG1879" t="str">
        <f t="shared" si="418"/>
        <v>Active</v>
      </c>
      <c r="AH1879">
        <f t="shared" si="419"/>
        <v>104811.24</v>
      </c>
    </row>
    <row r="1880" spans="1:34" x14ac:dyDescent="0.35">
      <c r="A1880" t="s">
        <v>4848</v>
      </c>
      <c r="B1880" t="s">
        <v>4849</v>
      </c>
      <c r="C1880">
        <v>28</v>
      </c>
      <c r="D1880" t="s">
        <v>38</v>
      </c>
      <c r="E1880" t="s">
        <v>23</v>
      </c>
      <c r="F1880" t="s">
        <v>59</v>
      </c>
      <c r="G1880">
        <v>84117</v>
      </c>
      <c r="H1880">
        <v>440</v>
      </c>
      <c r="I1880">
        <v>91126</v>
      </c>
      <c r="J1880">
        <v>18.71</v>
      </c>
      <c r="K1880">
        <v>60</v>
      </c>
      <c r="L1880" t="s">
        <v>25</v>
      </c>
      <c r="M1880">
        <v>12.12</v>
      </c>
      <c r="N1880">
        <v>11511</v>
      </c>
      <c r="O1880">
        <v>231558</v>
      </c>
      <c r="P1880" t="s">
        <v>2506</v>
      </c>
      <c r="Q1880" t="s">
        <v>42</v>
      </c>
      <c r="R1880" t="s">
        <v>48</v>
      </c>
      <c r="S1880" t="s">
        <v>29</v>
      </c>
      <c r="T1880">
        <v>1802.93</v>
      </c>
      <c r="U1880">
        <f t="shared" si="406"/>
        <v>122</v>
      </c>
      <c r="V1880">
        <f t="shared" si="407"/>
        <v>45</v>
      </c>
      <c r="W1880">
        <f t="shared" si="408"/>
        <v>38</v>
      </c>
      <c r="X1880">
        <f t="shared" si="409"/>
        <v>0.35149999999999998</v>
      </c>
      <c r="Y1880" s="1">
        <f t="shared" si="410"/>
        <v>6289353</v>
      </c>
      <c r="Z1880">
        <f t="shared" si="411"/>
        <v>51552.073770491806</v>
      </c>
      <c r="AA1880">
        <f t="shared" si="412"/>
        <v>98054</v>
      </c>
      <c r="AB1880">
        <f t="shared" si="413"/>
        <v>5091</v>
      </c>
      <c r="AC1880">
        <f t="shared" si="414"/>
        <v>160638.14000000007</v>
      </c>
      <c r="AD1880">
        <f t="shared" si="415"/>
        <v>1316.7060655737712</v>
      </c>
      <c r="AE1880">
        <f t="shared" si="416"/>
        <v>0.35149999999999998</v>
      </c>
      <c r="AF1880">
        <f t="shared" si="417"/>
        <v>9210681.9100000039</v>
      </c>
      <c r="AG1880" t="str">
        <f t="shared" si="418"/>
        <v>Over Paid</v>
      </c>
      <c r="AH1880">
        <f t="shared" si="419"/>
        <v>21635.16</v>
      </c>
    </row>
    <row r="1881" spans="1:34" x14ac:dyDescent="0.35">
      <c r="A1881" t="s">
        <v>4850</v>
      </c>
      <c r="B1881" t="s">
        <v>4851</v>
      </c>
      <c r="C1881">
        <v>63</v>
      </c>
      <c r="D1881" t="s">
        <v>38</v>
      </c>
      <c r="E1881" t="s">
        <v>32</v>
      </c>
      <c r="F1881" t="s">
        <v>59</v>
      </c>
      <c r="G1881">
        <v>152065</v>
      </c>
      <c r="H1881">
        <v>509</v>
      </c>
      <c r="I1881">
        <v>73544</v>
      </c>
      <c r="J1881">
        <v>13.92</v>
      </c>
      <c r="K1881">
        <v>60</v>
      </c>
      <c r="L1881" t="s">
        <v>52</v>
      </c>
      <c r="M1881">
        <v>36.56</v>
      </c>
      <c r="N1881">
        <v>5438</v>
      </c>
      <c r="O1881">
        <v>136051</v>
      </c>
      <c r="P1881" t="s">
        <v>4852</v>
      </c>
      <c r="Q1881" t="s">
        <v>27</v>
      </c>
      <c r="R1881" t="s">
        <v>28</v>
      </c>
      <c r="S1881" t="s">
        <v>29</v>
      </c>
      <c r="T1881">
        <v>1396.36</v>
      </c>
      <c r="U1881">
        <f t="shared" si="406"/>
        <v>121</v>
      </c>
      <c r="V1881">
        <f t="shared" si="407"/>
        <v>44</v>
      </c>
      <c r="W1881">
        <f t="shared" si="408"/>
        <v>38</v>
      </c>
      <c r="X1881">
        <f t="shared" si="409"/>
        <v>0.35149999999999998</v>
      </c>
      <c r="Y1881" s="1">
        <f t="shared" si="410"/>
        <v>6198227</v>
      </c>
      <c r="Z1881">
        <f t="shared" si="411"/>
        <v>51225.016528925618</v>
      </c>
      <c r="AA1881">
        <f t="shared" si="412"/>
        <v>98054</v>
      </c>
      <c r="AB1881">
        <f t="shared" si="413"/>
        <v>5091</v>
      </c>
      <c r="AC1881">
        <f t="shared" si="414"/>
        <v>158835.21000000005</v>
      </c>
      <c r="AD1881">
        <f t="shared" si="415"/>
        <v>1312.6876859504137</v>
      </c>
      <c r="AE1881">
        <f t="shared" si="416"/>
        <v>0.35149999999999998</v>
      </c>
      <c r="AF1881">
        <f t="shared" si="417"/>
        <v>9050043.7700000051</v>
      </c>
      <c r="AG1881" t="str">
        <f t="shared" si="418"/>
        <v>Active</v>
      </c>
      <c r="AH1881">
        <f t="shared" si="419"/>
        <v>16756.32</v>
      </c>
    </row>
    <row r="1882" spans="1:34" x14ac:dyDescent="0.35">
      <c r="A1882" t="s">
        <v>4853</v>
      </c>
      <c r="B1882" t="s">
        <v>4854</v>
      </c>
      <c r="C1882">
        <v>23</v>
      </c>
      <c r="D1882" t="s">
        <v>38</v>
      </c>
      <c r="E1882" t="s">
        <v>23</v>
      </c>
      <c r="F1882" t="s">
        <v>24</v>
      </c>
      <c r="G1882">
        <v>114809</v>
      </c>
      <c r="H1882">
        <v>536</v>
      </c>
      <c r="I1882">
        <v>37749</v>
      </c>
      <c r="J1882">
        <v>10.9</v>
      </c>
      <c r="K1882">
        <v>12</v>
      </c>
      <c r="L1882" t="s">
        <v>25</v>
      </c>
      <c r="M1882">
        <v>30.24</v>
      </c>
      <c r="N1882">
        <v>67814</v>
      </c>
      <c r="O1882">
        <v>95761</v>
      </c>
      <c r="P1882" t="s">
        <v>93</v>
      </c>
      <c r="Q1882" t="s">
        <v>61</v>
      </c>
      <c r="R1882" t="s">
        <v>48</v>
      </c>
      <c r="S1882" t="s">
        <v>68</v>
      </c>
      <c r="T1882">
        <v>3488.64</v>
      </c>
      <c r="U1882">
        <f t="shared" si="406"/>
        <v>120</v>
      </c>
      <c r="V1882">
        <f t="shared" si="407"/>
        <v>44</v>
      </c>
      <c r="W1882">
        <f t="shared" si="408"/>
        <v>38</v>
      </c>
      <c r="X1882">
        <f t="shared" si="409"/>
        <v>0.35149999999999998</v>
      </c>
      <c r="Y1882" s="1">
        <f t="shared" si="410"/>
        <v>6124683</v>
      </c>
      <c r="Z1882">
        <f t="shared" si="411"/>
        <v>51039.025000000001</v>
      </c>
      <c r="AA1882">
        <f t="shared" si="412"/>
        <v>98054</v>
      </c>
      <c r="AB1882">
        <f t="shared" si="413"/>
        <v>5091</v>
      </c>
      <c r="AC1882">
        <f t="shared" si="414"/>
        <v>157438.85000000006</v>
      </c>
      <c r="AD1882">
        <f t="shared" si="415"/>
        <v>1311.9904166666672</v>
      </c>
      <c r="AE1882">
        <f t="shared" si="416"/>
        <v>0.35149999999999998</v>
      </c>
      <c r="AF1882">
        <f t="shared" si="417"/>
        <v>8891208.5600000024</v>
      </c>
      <c r="AG1882" t="str">
        <f t="shared" si="418"/>
        <v>Active</v>
      </c>
      <c r="AH1882">
        <f t="shared" si="419"/>
        <v>41863.68</v>
      </c>
    </row>
    <row r="1883" spans="1:34" x14ac:dyDescent="0.35">
      <c r="A1883" t="s">
        <v>4855</v>
      </c>
      <c r="B1883" t="s">
        <v>4856</v>
      </c>
      <c r="C1883">
        <v>52</v>
      </c>
      <c r="D1883" t="s">
        <v>22</v>
      </c>
      <c r="E1883" t="s">
        <v>39</v>
      </c>
      <c r="F1883" t="s">
        <v>24</v>
      </c>
      <c r="G1883">
        <v>160583</v>
      </c>
      <c r="H1883">
        <v>466</v>
      </c>
      <c r="I1883">
        <v>41060</v>
      </c>
      <c r="J1883">
        <v>8.65</v>
      </c>
      <c r="K1883">
        <v>24</v>
      </c>
      <c r="L1883" t="s">
        <v>86</v>
      </c>
      <c r="M1883">
        <v>30.69</v>
      </c>
      <c r="N1883">
        <v>40649</v>
      </c>
      <c r="O1883">
        <v>179912</v>
      </c>
      <c r="P1883" t="s">
        <v>4857</v>
      </c>
      <c r="Q1883" t="s">
        <v>61</v>
      </c>
      <c r="R1883" t="s">
        <v>28</v>
      </c>
      <c r="S1883" t="s">
        <v>43</v>
      </c>
      <c r="T1883">
        <v>1858.82</v>
      </c>
      <c r="U1883">
        <f t="shared" si="406"/>
        <v>119</v>
      </c>
      <c r="V1883">
        <f t="shared" si="407"/>
        <v>44</v>
      </c>
      <c r="W1883">
        <f t="shared" si="408"/>
        <v>37</v>
      </c>
      <c r="X1883">
        <f t="shared" si="409"/>
        <v>0.35149999999999998</v>
      </c>
      <c r="Y1883" s="1">
        <f t="shared" si="410"/>
        <v>6086934</v>
      </c>
      <c r="Z1883">
        <f t="shared" si="411"/>
        <v>51150.705882352944</v>
      </c>
      <c r="AA1883">
        <f t="shared" si="412"/>
        <v>98054</v>
      </c>
      <c r="AB1883">
        <f t="shared" si="413"/>
        <v>5091</v>
      </c>
      <c r="AC1883">
        <f t="shared" si="414"/>
        <v>153950.21000000008</v>
      </c>
      <c r="AD1883">
        <f t="shared" si="415"/>
        <v>1293.6992436974797</v>
      </c>
      <c r="AE1883">
        <f t="shared" si="416"/>
        <v>0.35149999999999998</v>
      </c>
      <c r="AF1883">
        <f t="shared" si="417"/>
        <v>8733769.7100000028</v>
      </c>
      <c r="AG1883" t="str">
        <f t="shared" si="418"/>
        <v>Over Paid</v>
      </c>
      <c r="AH1883">
        <f t="shared" si="419"/>
        <v>22305.84</v>
      </c>
    </row>
    <row r="1884" spans="1:34" x14ac:dyDescent="0.35">
      <c r="A1884" t="s">
        <v>4858</v>
      </c>
      <c r="B1884" t="s">
        <v>4859</v>
      </c>
      <c r="C1884">
        <v>65</v>
      </c>
      <c r="D1884" t="s">
        <v>22</v>
      </c>
      <c r="E1884" t="s">
        <v>39</v>
      </c>
      <c r="F1884" t="s">
        <v>46</v>
      </c>
      <c r="G1884">
        <v>81439</v>
      </c>
      <c r="H1884">
        <v>642</v>
      </c>
      <c r="I1884">
        <v>66910</v>
      </c>
      <c r="J1884">
        <v>20.260000000000002</v>
      </c>
      <c r="K1884">
        <v>60</v>
      </c>
      <c r="L1884" t="s">
        <v>52</v>
      </c>
      <c r="M1884">
        <v>40.299999999999997</v>
      </c>
      <c r="N1884">
        <v>67255</v>
      </c>
      <c r="O1884">
        <v>24439</v>
      </c>
      <c r="P1884" t="s">
        <v>4860</v>
      </c>
      <c r="Q1884" t="s">
        <v>27</v>
      </c>
      <c r="R1884" t="s">
        <v>48</v>
      </c>
      <c r="S1884" t="s">
        <v>35</v>
      </c>
      <c r="T1884">
        <v>1341.1</v>
      </c>
      <c r="U1884">
        <f t="shared" si="406"/>
        <v>118</v>
      </c>
      <c r="V1884">
        <f t="shared" si="407"/>
        <v>44</v>
      </c>
      <c r="W1884">
        <f t="shared" si="408"/>
        <v>36</v>
      </c>
      <c r="X1884">
        <f t="shared" si="409"/>
        <v>0.35149999999999998</v>
      </c>
      <c r="Y1884" s="1">
        <f t="shared" si="410"/>
        <v>6045874</v>
      </c>
      <c r="Z1884">
        <f t="shared" si="411"/>
        <v>51236.220338983054</v>
      </c>
      <c r="AA1884">
        <f t="shared" si="412"/>
        <v>98054</v>
      </c>
      <c r="AB1884">
        <f t="shared" si="413"/>
        <v>5091</v>
      </c>
      <c r="AC1884">
        <f t="shared" si="414"/>
        <v>152091.39000000007</v>
      </c>
      <c r="AD1884">
        <f t="shared" si="415"/>
        <v>1288.9100847457632</v>
      </c>
      <c r="AE1884">
        <f t="shared" si="416"/>
        <v>0.35149999999999998</v>
      </c>
      <c r="AF1884">
        <f t="shared" si="417"/>
        <v>8579819.5000000056</v>
      </c>
      <c r="AG1884" t="str">
        <f t="shared" si="418"/>
        <v>Active</v>
      </c>
      <c r="AH1884">
        <f t="shared" si="419"/>
        <v>16093.199999999999</v>
      </c>
    </row>
    <row r="1885" spans="1:34" x14ac:dyDescent="0.35">
      <c r="A1885" t="s">
        <v>4861</v>
      </c>
      <c r="B1885" t="s">
        <v>4862</v>
      </c>
      <c r="C1885">
        <v>25</v>
      </c>
      <c r="D1885" t="s">
        <v>22</v>
      </c>
      <c r="E1885" t="s">
        <v>39</v>
      </c>
      <c r="F1885" t="s">
        <v>24</v>
      </c>
      <c r="G1885">
        <v>29078</v>
      </c>
      <c r="H1885">
        <v>583</v>
      </c>
      <c r="I1885">
        <v>12546</v>
      </c>
      <c r="J1885">
        <v>8.25</v>
      </c>
      <c r="K1885">
        <v>180</v>
      </c>
      <c r="L1885" t="s">
        <v>25</v>
      </c>
      <c r="M1885">
        <v>22.87</v>
      </c>
      <c r="N1885">
        <v>26892</v>
      </c>
      <c r="O1885">
        <v>46595</v>
      </c>
      <c r="P1885" t="s">
        <v>1878</v>
      </c>
      <c r="Q1885" t="s">
        <v>61</v>
      </c>
      <c r="R1885" t="s">
        <v>48</v>
      </c>
      <c r="S1885" t="s">
        <v>43</v>
      </c>
      <c r="T1885">
        <v>75.45</v>
      </c>
      <c r="U1885">
        <f t="shared" si="406"/>
        <v>117</v>
      </c>
      <c r="V1885">
        <f t="shared" si="407"/>
        <v>44</v>
      </c>
      <c r="W1885">
        <f t="shared" si="408"/>
        <v>36</v>
      </c>
      <c r="X1885">
        <f t="shared" si="409"/>
        <v>0.35149999999999998</v>
      </c>
      <c r="Y1885" s="1">
        <f t="shared" si="410"/>
        <v>5978964</v>
      </c>
      <c r="Z1885">
        <f t="shared" si="411"/>
        <v>51102.256410256414</v>
      </c>
      <c r="AA1885">
        <f t="shared" si="412"/>
        <v>98054</v>
      </c>
      <c r="AB1885">
        <f t="shared" si="413"/>
        <v>5091</v>
      </c>
      <c r="AC1885">
        <f t="shared" si="414"/>
        <v>150750.29000000004</v>
      </c>
      <c r="AD1885">
        <f t="shared" si="415"/>
        <v>1288.4640170940174</v>
      </c>
      <c r="AE1885">
        <f t="shared" si="416"/>
        <v>0.35149999999999998</v>
      </c>
      <c r="AF1885">
        <f t="shared" si="417"/>
        <v>8427728.1100000013</v>
      </c>
      <c r="AG1885" t="str">
        <f t="shared" si="418"/>
        <v>Active</v>
      </c>
      <c r="AH1885">
        <f t="shared" si="419"/>
        <v>905.40000000000009</v>
      </c>
    </row>
    <row r="1886" spans="1:34" x14ac:dyDescent="0.35">
      <c r="A1886" t="s">
        <v>4863</v>
      </c>
      <c r="B1886" t="s">
        <v>4864</v>
      </c>
      <c r="C1886">
        <v>43</v>
      </c>
      <c r="D1886" t="s">
        <v>22</v>
      </c>
      <c r="E1886" t="s">
        <v>39</v>
      </c>
      <c r="F1886" t="s">
        <v>24</v>
      </c>
      <c r="G1886">
        <v>192839</v>
      </c>
      <c r="H1886">
        <v>741</v>
      </c>
      <c r="I1886">
        <v>86691</v>
      </c>
      <c r="J1886">
        <v>18.91</v>
      </c>
      <c r="K1886">
        <v>48</v>
      </c>
      <c r="L1886" t="s">
        <v>40</v>
      </c>
      <c r="M1886">
        <v>6.38</v>
      </c>
      <c r="N1886">
        <v>2439</v>
      </c>
      <c r="O1886">
        <v>139091</v>
      </c>
      <c r="P1886" t="s">
        <v>4865</v>
      </c>
      <c r="Q1886" t="s">
        <v>42</v>
      </c>
      <c r="R1886" t="s">
        <v>48</v>
      </c>
      <c r="S1886" t="s">
        <v>68</v>
      </c>
      <c r="T1886">
        <v>2147.59</v>
      </c>
      <c r="U1886">
        <f t="shared" si="406"/>
        <v>116</v>
      </c>
      <c r="V1886">
        <f t="shared" si="407"/>
        <v>44</v>
      </c>
      <c r="W1886">
        <f t="shared" si="408"/>
        <v>35</v>
      </c>
      <c r="X1886">
        <f t="shared" si="409"/>
        <v>0.35149999999999998</v>
      </c>
      <c r="Y1886" s="1">
        <f t="shared" si="410"/>
        <v>5966418</v>
      </c>
      <c r="Z1886">
        <f t="shared" si="411"/>
        <v>51434.637931034486</v>
      </c>
      <c r="AA1886">
        <f t="shared" si="412"/>
        <v>98054</v>
      </c>
      <c r="AB1886">
        <f t="shared" si="413"/>
        <v>5091</v>
      </c>
      <c r="AC1886">
        <f t="shared" si="414"/>
        <v>150674.84000000005</v>
      </c>
      <c r="AD1886">
        <f t="shared" si="415"/>
        <v>1298.9210344827591</v>
      </c>
      <c r="AE1886">
        <f t="shared" si="416"/>
        <v>0.35149999999999998</v>
      </c>
      <c r="AF1886">
        <f t="shared" si="417"/>
        <v>8276977.8200000022</v>
      </c>
      <c r="AG1886" t="str">
        <f t="shared" si="418"/>
        <v>Active</v>
      </c>
      <c r="AH1886">
        <f t="shared" si="419"/>
        <v>25771.08</v>
      </c>
    </row>
    <row r="1887" spans="1:34" x14ac:dyDescent="0.35">
      <c r="A1887" t="s">
        <v>4866</v>
      </c>
      <c r="B1887" t="s">
        <v>4867</v>
      </c>
      <c r="C1887">
        <v>23</v>
      </c>
      <c r="D1887" t="s">
        <v>38</v>
      </c>
      <c r="E1887" t="s">
        <v>23</v>
      </c>
      <c r="F1887" t="s">
        <v>46</v>
      </c>
      <c r="G1887">
        <v>150905</v>
      </c>
      <c r="H1887">
        <v>605</v>
      </c>
      <c r="I1887">
        <v>89830</v>
      </c>
      <c r="J1887">
        <v>5.69</v>
      </c>
      <c r="K1887">
        <v>24</v>
      </c>
      <c r="L1887" t="s">
        <v>33</v>
      </c>
      <c r="M1887">
        <v>47.08</v>
      </c>
      <c r="N1887">
        <v>32520</v>
      </c>
      <c r="O1887">
        <v>54195</v>
      </c>
      <c r="P1887" t="s">
        <v>2335</v>
      </c>
      <c r="Q1887" t="s">
        <v>27</v>
      </c>
      <c r="R1887" t="s">
        <v>28</v>
      </c>
      <c r="S1887" t="s">
        <v>43</v>
      </c>
      <c r="T1887">
        <v>3955.89</v>
      </c>
      <c r="U1887">
        <f t="shared" si="406"/>
        <v>115</v>
      </c>
      <c r="V1887">
        <f t="shared" si="407"/>
        <v>43</v>
      </c>
      <c r="W1887">
        <f t="shared" si="408"/>
        <v>35</v>
      </c>
      <c r="X1887">
        <f t="shared" si="409"/>
        <v>0.35149999999999998</v>
      </c>
      <c r="Y1887" s="1">
        <f t="shared" si="410"/>
        <v>5879727</v>
      </c>
      <c r="Z1887">
        <f t="shared" si="411"/>
        <v>51128.060869565219</v>
      </c>
      <c r="AA1887">
        <f t="shared" si="412"/>
        <v>98054</v>
      </c>
      <c r="AB1887">
        <f t="shared" si="413"/>
        <v>5091</v>
      </c>
      <c r="AC1887">
        <f t="shared" si="414"/>
        <v>148527.25000000003</v>
      </c>
      <c r="AD1887">
        <f t="shared" si="415"/>
        <v>1291.5413043478263</v>
      </c>
      <c r="AE1887">
        <f t="shared" si="416"/>
        <v>0.35149999999999998</v>
      </c>
      <c r="AF1887">
        <f t="shared" si="417"/>
        <v>8126302.9800000023</v>
      </c>
      <c r="AG1887" t="str">
        <f t="shared" si="418"/>
        <v>Active</v>
      </c>
      <c r="AH1887">
        <f t="shared" si="419"/>
        <v>47470.68</v>
      </c>
    </row>
    <row r="1888" spans="1:34" x14ac:dyDescent="0.35">
      <c r="A1888" t="s">
        <v>4868</v>
      </c>
      <c r="B1888" t="s">
        <v>4869</v>
      </c>
      <c r="C1888">
        <v>54</v>
      </c>
      <c r="D1888" t="s">
        <v>38</v>
      </c>
      <c r="E1888" t="s">
        <v>23</v>
      </c>
      <c r="F1888" t="s">
        <v>24</v>
      </c>
      <c r="G1888">
        <v>163670</v>
      </c>
      <c r="H1888">
        <v>608</v>
      </c>
      <c r="I1888">
        <v>48053</v>
      </c>
      <c r="J1888">
        <v>5.91</v>
      </c>
      <c r="K1888">
        <v>240</v>
      </c>
      <c r="L1888" t="s">
        <v>86</v>
      </c>
      <c r="M1888">
        <v>26.53</v>
      </c>
      <c r="N1888">
        <v>68941</v>
      </c>
      <c r="O1888">
        <v>191629</v>
      </c>
      <c r="P1888" t="s">
        <v>1843</v>
      </c>
      <c r="Q1888" t="s">
        <v>42</v>
      </c>
      <c r="R1888" t="s">
        <v>28</v>
      </c>
      <c r="S1888" t="s">
        <v>29</v>
      </c>
      <c r="T1888">
        <v>212.05</v>
      </c>
      <c r="U1888">
        <f t="shared" si="406"/>
        <v>114</v>
      </c>
      <c r="V1888">
        <f t="shared" si="407"/>
        <v>43</v>
      </c>
      <c r="W1888">
        <f t="shared" si="408"/>
        <v>35</v>
      </c>
      <c r="X1888">
        <f t="shared" si="409"/>
        <v>0.35149999999999998</v>
      </c>
      <c r="Y1888" s="1">
        <f t="shared" si="410"/>
        <v>5789897</v>
      </c>
      <c r="Z1888">
        <f t="shared" si="411"/>
        <v>50788.570175438595</v>
      </c>
      <c r="AA1888">
        <f t="shared" si="412"/>
        <v>98054</v>
      </c>
      <c r="AB1888">
        <f t="shared" si="413"/>
        <v>5091</v>
      </c>
      <c r="AC1888">
        <f t="shared" si="414"/>
        <v>144571.36000000002</v>
      </c>
      <c r="AD1888">
        <f t="shared" si="415"/>
        <v>1268.1698245614036</v>
      </c>
      <c r="AE1888">
        <f t="shared" si="416"/>
        <v>0.35149999999999998</v>
      </c>
      <c r="AF1888">
        <f t="shared" si="417"/>
        <v>7977775.7300000023</v>
      </c>
      <c r="AG1888" t="str">
        <f t="shared" si="418"/>
        <v>Active</v>
      </c>
      <c r="AH1888">
        <f t="shared" si="419"/>
        <v>2544.6000000000004</v>
      </c>
    </row>
    <row r="1889" spans="1:34" x14ac:dyDescent="0.35">
      <c r="A1889" t="s">
        <v>4870</v>
      </c>
      <c r="B1889" t="s">
        <v>4871</v>
      </c>
      <c r="C1889">
        <v>53</v>
      </c>
      <c r="D1889" t="s">
        <v>22</v>
      </c>
      <c r="E1889" t="s">
        <v>32</v>
      </c>
      <c r="F1889" t="s">
        <v>59</v>
      </c>
      <c r="G1889">
        <v>34002</v>
      </c>
      <c r="H1889">
        <v>711</v>
      </c>
      <c r="I1889">
        <v>32907</v>
      </c>
      <c r="J1889">
        <v>11.84</v>
      </c>
      <c r="K1889">
        <v>240</v>
      </c>
      <c r="L1889" t="s">
        <v>33</v>
      </c>
      <c r="M1889">
        <v>53.76</v>
      </c>
      <c r="N1889">
        <v>37873</v>
      </c>
      <c r="O1889">
        <v>31524</v>
      </c>
      <c r="P1889" t="s">
        <v>4872</v>
      </c>
      <c r="Q1889" t="s">
        <v>27</v>
      </c>
      <c r="R1889" t="s">
        <v>28</v>
      </c>
      <c r="S1889" t="s">
        <v>35</v>
      </c>
      <c r="T1889">
        <v>153.35</v>
      </c>
      <c r="U1889">
        <f t="shared" si="406"/>
        <v>113</v>
      </c>
      <c r="V1889">
        <f t="shared" si="407"/>
        <v>42</v>
      </c>
      <c r="W1889">
        <f t="shared" si="408"/>
        <v>35</v>
      </c>
      <c r="X1889">
        <f t="shared" si="409"/>
        <v>0.35149999999999998</v>
      </c>
      <c r="Y1889" s="1">
        <f t="shared" si="410"/>
        <v>5741844</v>
      </c>
      <c r="Z1889">
        <f t="shared" si="411"/>
        <v>50812.778761061949</v>
      </c>
      <c r="AA1889">
        <f t="shared" si="412"/>
        <v>98054</v>
      </c>
      <c r="AB1889">
        <f t="shared" si="413"/>
        <v>5091</v>
      </c>
      <c r="AC1889">
        <f t="shared" si="414"/>
        <v>144359.31</v>
      </c>
      <c r="AD1889">
        <f t="shared" si="415"/>
        <v>1277.5160176991151</v>
      </c>
      <c r="AE1889">
        <f t="shared" si="416"/>
        <v>0.35149999999999998</v>
      </c>
      <c r="AF1889">
        <f t="shared" si="417"/>
        <v>7833204.3700000029</v>
      </c>
      <c r="AG1889" t="str">
        <f t="shared" si="418"/>
        <v>Active</v>
      </c>
      <c r="AH1889">
        <f t="shared" si="419"/>
        <v>1840.1999999999998</v>
      </c>
    </row>
    <row r="1890" spans="1:34" x14ac:dyDescent="0.35">
      <c r="A1890" t="s">
        <v>4873</v>
      </c>
      <c r="B1890" t="s">
        <v>4874</v>
      </c>
      <c r="C1890">
        <v>59</v>
      </c>
      <c r="D1890" t="s">
        <v>22</v>
      </c>
      <c r="E1890" t="s">
        <v>23</v>
      </c>
      <c r="F1890" t="s">
        <v>46</v>
      </c>
      <c r="G1890">
        <v>80919</v>
      </c>
      <c r="H1890">
        <v>689</v>
      </c>
      <c r="I1890">
        <v>79093</v>
      </c>
      <c r="J1890">
        <v>8.6300000000000008</v>
      </c>
      <c r="K1890">
        <v>360</v>
      </c>
      <c r="L1890" t="s">
        <v>25</v>
      </c>
      <c r="M1890">
        <v>38.03</v>
      </c>
      <c r="N1890">
        <v>70812</v>
      </c>
      <c r="O1890">
        <v>243237</v>
      </c>
      <c r="P1890" t="s">
        <v>834</v>
      </c>
      <c r="Q1890" t="s">
        <v>27</v>
      </c>
      <c r="R1890" t="s">
        <v>48</v>
      </c>
      <c r="S1890" t="s">
        <v>35</v>
      </c>
      <c r="T1890">
        <v>238.66</v>
      </c>
      <c r="U1890">
        <f t="shared" si="406"/>
        <v>112</v>
      </c>
      <c r="V1890">
        <f t="shared" si="407"/>
        <v>42</v>
      </c>
      <c r="W1890">
        <f t="shared" si="408"/>
        <v>35</v>
      </c>
      <c r="X1890">
        <f t="shared" si="409"/>
        <v>0.35149999999999998</v>
      </c>
      <c r="Y1890" s="1">
        <f t="shared" si="410"/>
        <v>5708937</v>
      </c>
      <c r="Z1890">
        <f t="shared" si="411"/>
        <v>50972.651785714283</v>
      </c>
      <c r="AA1890">
        <f t="shared" si="412"/>
        <v>98054</v>
      </c>
      <c r="AB1890">
        <f t="shared" si="413"/>
        <v>5091</v>
      </c>
      <c r="AC1890">
        <f t="shared" si="414"/>
        <v>144205.96000000002</v>
      </c>
      <c r="AD1890">
        <f t="shared" si="415"/>
        <v>1287.5532142857144</v>
      </c>
      <c r="AE1890">
        <f t="shared" si="416"/>
        <v>0.35149999999999998</v>
      </c>
      <c r="AF1890">
        <f t="shared" si="417"/>
        <v>7688845.0600000033</v>
      </c>
      <c r="AG1890" t="str">
        <f t="shared" si="418"/>
        <v>Active</v>
      </c>
      <c r="AH1890">
        <f t="shared" si="419"/>
        <v>2863.92</v>
      </c>
    </row>
    <row r="1891" spans="1:34" x14ac:dyDescent="0.35">
      <c r="A1891" t="s">
        <v>4875</v>
      </c>
      <c r="B1891" t="s">
        <v>4876</v>
      </c>
      <c r="C1891">
        <v>29</v>
      </c>
      <c r="D1891" t="s">
        <v>22</v>
      </c>
      <c r="E1891" t="s">
        <v>39</v>
      </c>
      <c r="F1891" t="s">
        <v>24</v>
      </c>
      <c r="G1891">
        <v>85035</v>
      </c>
      <c r="H1891">
        <v>453</v>
      </c>
      <c r="I1891">
        <v>63159</v>
      </c>
      <c r="J1891">
        <v>22.82</v>
      </c>
      <c r="K1891">
        <v>120</v>
      </c>
      <c r="L1891" t="s">
        <v>86</v>
      </c>
      <c r="M1891">
        <v>46.2</v>
      </c>
      <c r="N1891">
        <v>21185</v>
      </c>
      <c r="O1891">
        <v>208015</v>
      </c>
      <c r="P1891" t="s">
        <v>4877</v>
      </c>
      <c r="Q1891" t="s">
        <v>27</v>
      </c>
      <c r="R1891" t="s">
        <v>28</v>
      </c>
      <c r="S1891" t="s">
        <v>35</v>
      </c>
      <c r="T1891">
        <v>646.42999999999995</v>
      </c>
      <c r="U1891">
        <f t="shared" si="406"/>
        <v>111</v>
      </c>
      <c r="V1891">
        <f t="shared" si="407"/>
        <v>42</v>
      </c>
      <c r="W1891">
        <f t="shared" si="408"/>
        <v>35</v>
      </c>
      <c r="X1891">
        <f t="shared" si="409"/>
        <v>0.35149999999999998</v>
      </c>
      <c r="Y1891" s="1">
        <f t="shared" si="410"/>
        <v>5629844</v>
      </c>
      <c r="Z1891">
        <f t="shared" si="411"/>
        <v>50719.315315315318</v>
      </c>
      <c r="AA1891">
        <f t="shared" si="412"/>
        <v>98054</v>
      </c>
      <c r="AB1891">
        <f t="shared" si="413"/>
        <v>5091</v>
      </c>
      <c r="AC1891">
        <f t="shared" si="414"/>
        <v>143967.30000000002</v>
      </c>
      <c r="AD1891">
        <f t="shared" si="415"/>
        <v>1297.0027027027029</v>
      </c>
      <c r="AE1891">
        <f t="shared" si="416"/>
        <v>0.35149999999999998</v>
      </c>
      <c r="AF1891">
        <f t="shared" si="417"/>
        <v>7544639.1000000034</v>
      </c>
      <c r="AG1891" t="str">
        <f t="shared" si="418"/>
        <v>Active</v>
      </c>
      <c r="AH1891">
        <f t="shared" si="419"/>
        <v>7757.16</v>
      </c>
    </row>
    <row r="1892" spans="1:34" x14ac:dyDescent="0.35">
      <c r="A1892" t="s">
        <v>4878</v>
      </c>
      <c r="B1892" t="s">
        <v>4879</v>
      </c>
      <c r="C1892">
        <v>55</v>
      </c>
      <c r="D1892" t="s">
        <v>38</v>
      </c>
      <c r="E1892" t="s">
        <v>39</v>
      </c>
      <c r="F1892" t="s">
        <v>24</v>
      </c>
      <c r="G1892">
        <v>43438</v>
      </c>
      <c r="H1892">
        <v>633</v>
      </c>
      <c r="I1892">
        <v>43968</v>
      </c>
      <c r="J1892">
        <v>10.14</v>
      </c>
      <c r="K1892">
        <v>24</v>
      </c>
      <c r="L1892" t="s">
        <v>52</v>
      </c>
      <c r="M1892">
        <v>18.43</v>
      </c>
      <c r="N1892">
        <v>50645</v>
      </c>
      <c r="O1892">
        <v>132920</v>
      </c>
      <c r="P1892" t="s">
        <v>4880</v>
      </c>
      <c r="Q1892" t="s">
        <v>42</v>
      </c>
      <c r="R1892" t="s">
        <v>28</v>
      </c>
      <c r="S1892" t="s">
        <v>35</v>
      </c>
      <c r="T1892">
        <v>2017.76</v>
      </c>
      <c r="U1892">
        <f t="shared" si="406"/>
        <v>110</v>
      </c>
      <c r="V1892">
        <f t="shared" si="407"/>
        <v>42</v>
      </c>
      <c r="W1892">
        <f t="shared" si="408"/>
        <v>35</v>
      </c>
      <c r="X1892">
        <f t="shared" si="409"/>
        <v>0.35149999999999998</v>
      </c>
      <c r="Y1892" s="1">
        <f t="shared" si="410"/>
        <v>5566685</v>
      </c>
      <c r="Z1892">
        <f t="shared" si="411"/>
        <v>50606.227272727272</v>
      </c>
      <c r="AA1892">
        <f t="shared" si="412"/>
        <v>98054</v>
      </c>
      <c r="AB1892">
        <f t="shared" si="413"/>
        <v>5091</v>
      </c>
      <c r="AC1892">
        <f t="shared" si="414"/>
        <v>143320.87</v>
      </c>
      <c r="AD1892">
        <f t="shared" si="415"/>
        <v>1302.9169999999999</v>
      </c>
      <c r="AE1892">
        <f t="shared" si="416"/>
        <v>0.35149999999999998</v>
      </c>
      <c r="AF1892">
        <f t="shared" si="417"/>
        <v>7400671.8000000035</v>
      </c>
      <c r="AG1892" t="str">
        <f t="shared" si="418"/>
        <v>Active</v>
      </c>
      <c r="AH1892">
        <f t="shared" si="419"/>
        <v>24213.119999999999</v>
      </c>
    </row>
    <row r="1893" spans="1:34" x14ac:dyDescent="0.35">
      <c r="A1893" t="s">
        <v>4881</v>
      </c>
      <c r="B1893" t="s">
        <v>4882</v>
      </c>
      <c r="C1893">
        <v>50</v>
      </c>
      <c r="D1893" t="s">
        <v>22</v>
      </c>
      <c r="E1893" t="s">
        <v>39</v>
      </c>
      <c r="F1893" t="s">
        <v>59</v>
      </c>
      <c r="G1893">
        <v>23710</v>
      </c>
      <c r="H1893">
        <v>329</v>
      </c>
      <c r="I1893">
        <v>56995</v>
      </c>
      <c r="J1893">
        <v>20.64</v>
      </c>
      <c r="K1893">
        <v>120</v>
      </c>
      <c r="L1893" t="s">
        <v>52</v>
      </c>
      <c r="M1893">
        <v>30.66</v>
      </c>
      <c r="N1893">
        <v>29626</v>
      </c>
      <c r="O1893">
        <v>28108</v>
      </c>
      <c r="P1893" t="s">
        <v>2347</v>
      </c>
      <c r="Q1893" t="s">
        <v>27</v>
      </c>
      <c r="R1893" t="s">
        <v>48</v>
      </c>
      <c r="S1893" t="s">
        <v>49</v>
      </c>
      <c r="T1893">
        <v>572.99</v>
      </c>
      <c r="U1893">
        <f t="shared" si="406"/>
        <v>109</v>
      </c>
      <c r="V1893">
        <f t="shared" si="407"/>
        <v>41</v>
      </c>
      <c r="W1893">
        <f t="shared" si="408"/>
        <v>35</v>
      </c>
      <c r="X1893">
        <f t="shared" si="409"/>
        <v>0.35149999999999998</v>
      </c>
      <c r="Y1893" s="1">
        <f t="shared" si="410"/>
        <v>5522717</v>
      </c>
      <c r="Z1893">
        <f t="shared" si="411"/>
        <v>50667.128440366971</v>
      </c>
      <c r="AA1893">
        <f t="shared" si="412"/>
        <v>98054</v>
      </c>
      <c r="AB1893">
        <f t="shared" si="413"/>
        <v>5091</v>
      </c>
      <c r="AC1893">
        <f t="shared" si="414"/>
        <v>141303.10999999999</v>
      </c>
      <c r="AD1893">
        <f t="shared" si="415"/>
        <v>1296.3588073394494</v>
      </c>
      <c r="AE1893">
        <f t="shared" si="416"/>
        <v>0.35149999999999998</v>
      </c>
      <c r="AF1893">
        <f t="shared" si="417"/>
        <v>7257350.9300000034</v>
      </c>
      <c r="AG1893" t="str">
        <f t="shared" si="418"/>
        <v>Active</v>
      </c>
      <c r="AH1893">
        <f t="shared" si="419"/>
        <v>6875.88</v>
      </c>
    </row>
    <row r="1894" spans="1:34" x14ac:dyDescent="0.35">
      <c r="A1894" t="s">
        <v>4883</v>
      </c>
      <c r="B1894" t="s">
        <v>4884</v>
      </c>
      <c r="C1894">
        <v>59</v>
      </c>
      <c r="D1894" t="s">
        <v>38</v>
      </c>
      <c r="E1894" t="s">
        <v>23</v>
      </c>
      <c r="F1894" t="s">
        <v>59</v>
      </c>
      <c r="G1894">
        <v>58711</v>
      </c>
      <c r="H1894">
        <v>472</v>
      </c>
      <c r="I1894">
        <v>25077</v>
      </c>
      <c r="J1894">
        <v>9.75</v>
      </c>
      <c r="K1894">
        <v>60</v>
      </c>
      <c r="L1894" t="s">
        <v>52</v>
      </c>
      <c r="M1894">
        <v>26.1</v>
      </c>
      <c r="N1894">
        <v>16301</v>
      </c>
      <c r="O1894">
        <v>152875</v>
      </c>
      <c r="P1894" t="s">
        <v>4885</v>
      </c>
      <c r="Q1894" t="s">
        <v>42</v>
      </c>
      <c r="R1894" t="s">
        <v>28</v>
      </c>
      <c r="S1894" t="s">
        <v>68</v>
      </c>
      <c r="T1894">
        <v>458.7</v>
      </c>
      <c r="U1894">
        <f t="shared" si="406"/>
        <v>108</v>
      </c>
      <c r="V1894">
        <f t="shared" si="407"/>
        <v>41</v>
      </c>
      <c r="W1894">
        <f t="shared" si="408"/>
        <v>35</v>
      </c>
      <c r="X1894">
        <f t="shared" si="409"/>
        <v>0.35149999999999998</v>
      </c>
      <c r="Y1894" s="1">
        <f t="shared" si="410"/>
        <v>5465722</v>
      </c>
      <c r="Z1894">
        <f t="shared" si="411"/>
        <v>50608.537037037036</v>
      </c>
      <c r="AA1894">
        <f t="shared" si="412"/>
        <v>98054</v>
      </c>
      <c r="AB1894">
        <f t="shared" si="413"/>
        <v>5091</v>
      </c>
      <c r="AC1894">
        <f t="shared" si="414"/>
        <v>140730.12</v>
      </c>
      <c r="AD1894">
        <f t="shared" si="415"/>
        <v>1303.0566666666666</v>
      </c>
      <c r="AE1894">
        <f t="shared" si="416"/>
        <v>0.35149999999999998</v>
      </c>
      <c r="AF1894">
        <f t="shared" si="417"/>
        <v>7116047.8200000031</v>
      </c>
      <c r="AG1894" t="str">
        <f t="shared" si="418"/>
        <v>Active</v>
      </c>
      <c r="AH1894">
        <f t="shared" si="419"/>
        <v>5504.4</v>
      </c>
    </row>
    <row r="1895" spans="1:34" x14ac:dyDescent="0.35">
      <c r="A1895" t="s">
        <v>4886</v>
      </c>
      <c r="B1895" t="s">
        <v>4887</v>
      </c>
      <c r="C1895">
        <v>33</v>
      </c>
      <c r="D1895" t="s">
        <v>38</v>
      </c>
      <c r="E1895" t="s">
        <v>39</v>
      </c>
      <c r="F1895" t="s">
        <v>24</v>
      </c>
      <c r="G1895">
        <v>73003</v>
      </c>
      <c r="H1895">
        <v>413</v>
      </c>
      <c r="I1895">
        <v>67035</v>
      </c>
      <c r="J1895">
        <v>4.2699999999999996</v>
      </c>
      <c r="K1895">
        <v>36</v>
      </c>
      <c r="L1895" t="s">
        <v>25</v>
      </c>
      <c r="M1895">
        <v>20.399999999999999</v>
      </c>
      <c r="N1895">
        <v>62299</v>
      </c>
      <c r="O1895">
        <v>121933</v>
      </c>
      <c r="P1895" t="s">
        <v>4888</v>
      </c>
      <c r="Q1895" t="s">
        <v>42</v>
      </c>
      <c r="R1895" t="s">
        <v>48</v>
      </c>
      <c r="S1895" t="s">
        <v>29</v>
      </c>
      <c r="T1895">
        <v>1941.59</v>
      </c>
      <c r="U1895">
        <f t="shared" si="406"/>
        <v>107</v>
      </c>
      <c r="V1895">
        <f t="shared" si="407"/>
        <v>40</v>
      </c>
      <c r="W1895">
        <f t="shared" si="408"/>
        <v>35</v>
      </c>
      <c r="X1895">
        <f t="shared" si="409"/>
        <v>0.35149999999999998</v>
      </c>
      <c r="Y1895" s="1">
        <f t="shared" si="410"/>
        <v>5440645</v>
      </c>
      <c r="Z1895">
        <f t="shared" si="411"/>
        <v>50847.149532710282</v>
      </c>
      <c r="AA1895">
        <f t="shared" si="412"/>
        <v>98054</v>
      </c>
      <c r="AB1895">
        <f t="shared" si="413"/>
        <v>5091</v>
      </c>
      <c r="AC1895">
        <f t="shared" si="414"/>
        <v>140271.41999999998</v>
      </c>
      <c r="AD1895">
        <f t="shared" si="415"/>
        <v>1310.9478504672895</v>
      </c>
      <c r="AE1895">
        <f t="shared" si="416"/>
        <v>0.35149999999999998</v>
      </c>
      <c r="AF1895">
        <f t="shared" si="417"/>
        <v>6975317.700000003</v>
      </c>
      <c r="AG1895" t="str">
        <f t="shared" si="418"/>
        <v>Active</v>
      </c>
      <c r="AH1895">
        <f t="shared" si="419"/>
        <v>23299.079999999998</v>
      </c>
    </row>
    <row r="1896" spans="1:34" x14ac:dyDescent="0.35">
      <c r="A1896" t="s">
        <v>4889</v>
      </c>
      <c r="B1896" t="s">
        <v>4890</v>
      </c>
      <c r="C1896">
        <v>29</v>
      </c>
      <c r="D1896" t="s">
        <v>38</v>
      </c>
      <c r="E1896" t="s">
        <v>39</v>
      </c>
      <c r="F1896" t="s">
        <v>46</v>
      </c>
      <c r="G1896">
        <v>141020</v>
      </c>
      <c r="H1896">
        <v>355</v>
      </c>
      <c r="I1896">
        <v>60044</v>
      </c>
      <c r="J1896">
        <v>18.100000000000001</v>
      </c>
      <c r="K1896">
        <v>240</v>
      </c>
      <c r="L1896" t="s">
        <v>40</v>
      </c>
      <c r="M1896">
        <v>35.619999999999997</v>
      </c>
      <c r="N1896">
        <v>25791</v>
      </c>
      <c r="O1896">
        <v>2324</v>
      </c>
      <c r="P1896" t="s">
        <v>1182</v>
      </c>
      <c r="Q1896" t="s">
        <v>27</v>
      </c>
      <c r="R1896" t="s">
        <v>28</v>
      </c>
      <c r="S1896" t="s">
        <v>49</v>
      </c>
      <c r="T1896">
        <v>295.47000000000003</v>
      </c>
      <c r="U1896">
        <f t="shared" si="406"/>
        <v>106</v>
      </c>
      <c r="V1896">
        <f t="shared" si="407"/>
        <v>39</v>
      </c>
      <c r="W1896">
        <f t="shared" si="408"/>
        <v>35</v>
      </c>
      <c r="X1896">
        <f t="shared" si="409"/>
        <v>0.35149999999999998</v>
      </c>
      <c r="Y1896" s="1">
        <f t="shared" si="410"/>
        <v>5373610</v>
      </c>
      <c r="Z1896">
        <f t="shared" si="411"/>
        <v>50694.433962264149</v>
      </c>
      <c r="AA1896">
        <f t="shared" si="412"/>
        <v>98054</v>
      </c>
      <c r="AB1896">
        <f t="shared" si="413"/>
        <v>5091</v>
      </c>
      <c r="AC1896">
        <f t="shared" si="414"/>
        <v>138329.82999999996</v>
      </c>
      <c r="AD1896">
        <f t="shared" si="415"/>
        <v>1304.9983962264148</v>
      </c>
      <c r="AE1896">
        <f t="shared" si="416"/>
        <v>0.35149999999999998</v>
      </c>
      <c r="AF1896">
        <f t="shared" si="417"/>
        <v>6835046.280000004</v>
      </c>
      <c r="AG1896" t="str">
        <f t="shared" si="418"/>
        <v>Active</v>
      </c>
      <c r="AH1896">
        <f t="shared" si="419"/>
        <v>3545.6400000000003</v>
      </c>
    </row>
    <row r="1897" spans="1:34" x14ac:dyDescent="0.35">
      <c r="A1897" t="s">
        <v>4891</v>
      </c>
      <c r="B1897" t="s">
        <v>4892</v>
      </c>
      <c r="C1897">
        <v>65</v>
      </c>
      <c r="D1897" t="s">
        <v>38</v>
      </c>
      <c r="E1897" t="s">
        <v>32</v>
      </c>
      <c r="F1897" t="s">
        <v>59</v>
      </c>
      <c r="G1897">
        <v>157234</v>
      </c>
      <c r="H1897">
        <v>501</v>
      </c>
      <c r="I1897">
        <v>85521</v>
      </c>
      <c r="J1897">
        <v>12.86</v>
      </c>
      <c r="K1897">
        <v>60</v>
      </c>
      <c r="L1897" t="s">
        <v>33</v>
      </c>
      <c r="M1897">
        <v>21.45</v>
      </c>
      <c r="N1897">
        <v>55298</v>
      </c>
      <c r="O1897">
        <v>2041</v>
      </c>
      <c r="P1897" t="s">
        <v>4893</v>
      </c>
      <c r="Q1897" t="s">
        <v>61</v>
      </c>
      <c r="R1897" t="s">
        <v>48</v>
      </c>
      <c r="S1897" t="s">
        <v>49</v>
      </c>
      <c r="T1897">
        <v>1608.65</v>
      </c>
      <c r="U1897">
        <f t="shared" si="406"/>
        <v>105</v>
      </c>
      <c r="V1897">
        <f t="shared" si="407"/>
        <v>39</v>
      </c>
      <c r="W1897">
        <f t="shared" si="408"/>
        <v>35</v>
      </c>
      <c r="X1897">
        <f t="shared" si="409"/>
        <v>0.35149999999999998</v>
      </c>
      <c r="Y1897" s="1">
        <f t="shared" si="410"/>
        <v>5313566</v>
      </c>
      <c r="Z1897">
        <f t="shared" si="411"/>
        <v>50605.390476190478</v>
      </c>
      <c r="AA1897">
        <f t="shared" si="412"/>
        <v>98054</v>
      </c>
      <c r="AB1897">
        <f t="shared" si="413"/>
        <v>5091</v>
      </c>
      <c r="AC1897">
        <f t="shared" si="414"/>
        <v>138034.35999999996</v>
      </c>
      <c r="AD1897">
        <f t="shared" si="415"/>
        <v>1314.612952380952</v>
      </c>
      <c r="AE1897">
        <f t="shared" si="416"/>
        <v>0.35149999999999998</v>
      </c>
      <c r="AF1897">
        <f t="shared" si="417"/>
        <v>6696716.450000003</v>
      </c>
      <c r="AG1897" t="str">
        <f t="shared" si="418"/>
        <v>Active</v>
      </c>
      <c r="AH1897">
        <f t="shared" si="419"/>
        <v>19303.800000000003</v>
      </c>
    </row>
    <row r="1898" spans="1:34" x14ac:dyDescent="0.35">
      <c r="A1898" t="s">
        <v>4894</v>
      </c>
      <c r="B1898" t="s">
        <v>4895</v>
      </c>
      <c r="C1898">
        <v>59</v>
      </c>
      <c r="D1898" t="s">
        <v>22</v>
      </c>
      <c r="E1898" t="s">
        <v>39</v>
      </c>
      <c r="F1898" t="s">
        <v>24</v>
      </c>
      <c r="G1898">
        <v>69521</v>
      </c>
      <c r="H1898">
        <v>787</v>
      </c>
      <c r="I1898">
        <v>93296</v>
      </c>
      <c r="J1898">
        <v>22.98</v>
      </c>
      <c r="K1898">
        <v>48</v>
      </c>
      <c r="L1898" t="s">
        <v>40</v>
      </c>
      <c r="M1898">
        <v>49.21</v>
      </c>
      <c r="N1898">
        <v>39508</v>
      </c>
      <c r="O1898">
        <v>247379</v>
      </c>
      <c r="P1898" t="s">
        <v>3286</v>
      </c>
      <c r="Q1898" t="s">
        <v>42</v>
      </c>
      <c r="R1898" t="s">
        <v>28</v>
      </c>
      <c r="S1898" t="s">
        <v>43</v>
      </c>
      <c r="T1898">
        <v>2390.3200000000002</v>
      </c>
      <c r="U1898">
        <f t="shared" si="406"/>
        <v>104</v>
      </c>
      <c r="V1898">
        <f t="shared" si="407"/>
        <v>39</v>
      </c>
      <c r="W1898">
        <f t="shared" si="408"/>
        <v>34</v>
      </c>
      <c r="X1898">
        <f t="shared" si="409"/>
        <v>0.35149999999999998</v>
      </c>
      <c r="Y1898" s="1">
        <f t="shared" si="410"/>
        <v>5228045</v>
      </c>
      <c r="Z1898">
        <f t="shared" si="411"/>
        <v>50269.663461538461</v>
      </c>
      <c r="AA1898">
        <f t="shared" si="412"/>
        <v>98054</v>
      </c>
      <c r="AB1898">
        <f t="shared" si="413"/>
        <v>5091</v>
      </c>
      <c r="AC1898">
        <f t="shared" si="414"/>
        <v>136425.70999999996</v>
      </c>
      <c r="AD1898">
        <f t="shared" si="415"/>
        <v>1311.7856730769226</v>
      </c>
      <c r="AE1898">
        <f t="shared" si="416"/>
        <v>0.35149999999999998</v>
      </c>
      <c r="AF1898">
        <f t="shared" si="417"/>
        <v>6558682.0900000036</v>
      </c>
      <c r="AG1898" t="str">
        <f t="shared" si="418"/>
        <v>Active</v>
      </c>
      <c r="AH1898">
        <f t="shared" si="419"/>
        <v>28683.840000000004</v>
      </c>
    </row>
    <row r="1899" spans="1:34" x14ac:dyDescent="0.35">
      <c r="A1899" t="s">
        <v>4896</v>
      </c>
      <c r="B1899" t="s">
        <v>4897</v>
      </c>
      <c r="C1899">
        <v>51</v>
      </c>
      <c r="D1899" t="s">
        <v>22</v>
      </c>
      <c r="E1899" t="s">
        <v>39</v>
      </c>
      <c r="F1899" t="s">
        <v>59</v>
      </c>
      <c r="G1899">
        <v>84843</v>
      </c>
      <c r="H1899">
        <v>815</v>
      </c>
      <c r="I1899">
        <v>87488</v>
      </c>
      <c r="J1899">
        <v>16.079999999999998</v>
      </c>
      <c r="K1899">
        <v>120</v>
      </c>
      <c r="L1899" t="s">
        <v>52</v>
      </c>
      <c r="M1899">
        <v>17.989999999999998</v>
      </c>
      <c r="N1899">
        <v>37684</v>
      </c>
      <c r="O1899">
        <v>86464</v>
      </c>
      <c r="P1899" t="s">
        <v>1520</v>
      </c>
      <c r="Q1899" t="s">
        <v>42</v>
      </c>
      <c r="R1899" t="s">
        <v>48</v>
      </c>
      <c r="S1899" t="s">
        <v>29</v>
      </c>
      <c r="T1899">
        <v>846.3</v>
      </c>
      <c r="U1899">
        <f t="shared" si="406"/>
        <v>103</v>
      </c>
      <c r="V1899">
        <f t="shared" si="407"/>
        <v>38</v>
      </c>
      <c r="W1899">
        <f t="shared" si="408"/>
        <v>34</v>
      </c>
      <c r="X1899">
        <f t="shared" si="409"/>
        <v>0.35149999999999998</v>
      </c>
      <c r="Y1899" s="1">
        <f t="shared" si="410"/>
        <v>5134749</v>
      </c>
      <c r="Z1899">
        <f t="shared" si="411"/>
        <v>49851.932038834952</v>
      </c>
      <c r="AA1899">
        <f t="shared" si="412"/>
        <v>98054</v>
      </c>
      <c r="AB1899">
        <f t="shared" si="413"/>
        <v>5091</v>
      </c>
      <c r="AC1899">
        <f t="shared" si="414"/>
        <v>134035.38999999998</v>
      </c>
      <c r="AD1899">
        <f t="shared" si="415"/>
        <v>1301.3144660194173</v>
      </c>
      <c r="AE1899">
        <f t="shared" si="416"/>
        <v>0.35149999999999998</v>
      </c>
      <c r="AF1899">
        <f t="shared" si="417"/>
        <v>6422256.3800000036</v>
      </c>
      <c r="AG1899" t="str">
        <f t="shared" si="418"/>
        <v>Active</v>
      </c>
      <c r="AH1899">
        <f t="shared" si="419"/>
        <v>10155.599999999999</v>
      </c>
    </row>
    <row r="1900" spans="1:34" x14ac:dyDescent="0.35">
      <c r="A1900" t="s">
        <v>4898</v>
      </c>
      <c r="B1900" t="s">
        <v>4899</v>
      </c>
      <c r="C1900">
        <v>45</v>
      </c>
      <c r="D1900" t="s">
        <v>22</v>
      </c>
      <c r="E1900" t="s">
        <v>32</v>
      </c>
      <c r="F1900" t="s">
        <v>24</v>
      </c>
      <c r="G1900">
        <v>183116</v>
      </c>
      <c r="H1900">
        <v>527</v>
      </c>
      <c r="I1900">
        <v>13557</v>
      </c>
      <c r="J1900">
        <v>15.47</v>
      </c>
      <c r="K1900">
        <v>48</v>
      </c>
      <c r="L1900" t="s">
        <v>52</v>
      </c>
      <c r="M1900">
        <v>49.15</v>
      </c>
      <c r="N1900">
        <v>29301</v>
      </c>
      <c r="O1900">
        <v>52932</v>
      </c>
      <c r="P1900" t="s">
        <v>443</v>
      </c>
      <c r="Q1900" t="s">
        <v>42</v>
      </c>
      <c r="R1900" t="s">
        <v>48</v>
      </c>
      <c r="S1900" t="s">
        <v>35</v>
      </c>
      <c r="T1900">
        <v>326.13</v>
      </c>
      <c r="U1900">
        <f t="shared" si="406"/>
        <v>102</v>
      </c>
      <c r="V1900">
        <f t="shared" si="407"/>
        <v>37</v>
      </c>
      <c r="W1900">
        <f t="shared" si="408"/>
        <v>34</v>
      </c>
      <c r="X1900">
        <f t="shared" si="409"/>
        <v>0.35149999999999998</v>
      </c>
      <c r="Y1900" s="1">
        <f t="shared" si="410"/>
        <v>5047261</v>
      </c>
      <c r="Z1900">
        <f t="shared" si="411"/>
        <v>49482.950980392154</v>
      </c>
      <c r="AA1900">
        <f t="shared" si="412"/>
        <v>98054</v>
      </c>
      <c r="AB1900">
        <f t="shared" si="413"/>
        <v>5091</v>
      </c>
      <c r="AC1900">
        <f t="shared" si="414"/>
        <v>133189.08999999997</v>
      </c>
      <c r="AD1900">
        <f t="shared" si="415"/>
        <v>1305.7753921568624</v>
      </c>
      <c r="AE1900">
        <f t="shared" si="416"/>
        <v>0.35149999999999998</v>
      </c>
      <c r="AF1900">
        <f t="shared" si="417"/>
        <v>6288220.9900000039</v>
      </c>
      <c r="AG1900" t="str">
        <f t="shared" si="418"/>
        <v>Active</v>
      </c>
      <c r="AH1900">
        <f t="shared" si="419"/>
        <v>3913.56</v>
      </c>
    </row>
    <row r="1901" spans="1:34" x14ac:dyDescent="0.35">
      <c r="A1901" t="s">
        <v>4900</v>
      </c>
      <c r="B1901" t="s">
        <v>4901</v>
      </c>
      <c r="C1901">
        <v>41</v>
      </c>
      <c r="D1901" t="s">
        <v>22</v>
      </c>
      <c r="E1901" t="s">
        <v>23</v>
      </c>
      <c r="F1901" t="s">
        <v>24</v>
      </c>
      <c r="G1901">
        <v>187556</v>
      </c>
      <c r="H1901">
        <v>629</v>
      </c>
      <c r="I1901">
        <v>87423</v>
      </c>
      <c r="J1901">
        <v>11.85</v>
      </c>
      <c r="K1901">
        <v>36</v>
      </c>
      <c r="L1901" t="s">
        <v>33</v>
      </c>
      <c r="M1901">
        <v>54.73</v>
      </c>
      <c r="N1901">
        <v>64962</v>
      </c>
      <c r="O1901">
        <v>8001</v>
      </c>
      <c r="P1901" t="s">
        <v>4902</v>
      </c>
      <c r="Q1901" t="s">
        <v>27</v>
      </c>
      <c r="R1901" t="s">
        <v>28</v>
      </c>
      <c r="S1901" t="s">
        <v>35</v>
      </c>
      <c r="T1901">
        <v>2716.18</v>
      </c>
      <c r="U1901">
        <f t="shared" si="406"/>
        <v>101</v>
      </c>
      <c r="V1901">
        <f t="shared" si="407"/>
        <v>36</v>
      </c>
      <c r="W1901">
        <f t="shared" si="408"/>
        <v>34</v>
      </c>
      <c r="X1901">
        <f t="shared" si="409"/>
        <v>0.35149999999999998</v>
      </c>
      <c r="Y1901" s="1">
        <f t="shared" si="410"/>
        <v>5033704</v>
      </c>
      <c r="Z1901">
        <f t="shared" si="411"/>
        <v>49838.653465346535</v>
      </c>
      <c r="AA1901">
        <f t="shared" si="412"/>
        <v>98054</v>
      </c>
      <c r="AB1901">
        <f t="shared" si="413"/>
        <v>5091</v>
      </c>
      <c r="AC1901">
        <f t="shared" si="414"/>
        <v>132862.96</v>
      </c>
      <c r="AD1901">
        <f t="shared" si="415"/>
        <v>1315.4748514851485</v>
      </c>
      <c r="AE1901">
        <f t="shared" si="416"/>
        <v>0.35149999999999998</v>
      </c>
      <c r="AF1901">
        <f t="shared" si="417"/>
        <v>6155031.9000000032</v>
      </c>
      <c r="AG1901" t="str">
        <f t="shared" si="418"/>
        <v>Active</v>
      </c>
      <c r="AH1901">
        <f t="shared" si="419"/>
        <v>32594.159999999996</v>
      </c>
    </row>
    <row r="1902" spans="1:34" x14ac:dyDescent="0.35">
      <c r="A1902" t="s">
        <v>4903</v>
      </c>
      <c r="B1902" t="s">
        <v>4904</v>
      </c>
      <c r="C1902">
        <v>46</v>
      </c>
      <c r="D1902" t="s">
        <v>22</v>
      </c>
      <c r="E1902" t="s">
        <v>23</v>
      </c>
      <c r="F1902" t="s">
        <v>24</v>
      </c>
      <c r="G1902">
        <v>30812</v>
      </c>
      <c r="H1902">
        <v>587</v>
      </c>
      <c r="I1902">
        <v>75698</v>
      </c>
      <c r="J1902">
        <v>13.16</v>
      </c>
      <c r="K1902">
        <v>360</v>
      </c>
      <c r="L1902" t="s">
        <v>52</v>
      </c>
      <c r="M1902">
        <v>58.53</v>
      </c>
      <c r="N1902">
        <v>67095</v>
      </c>
      <c r="O1902">
        <v>100578</v>
      </c>
      <c r="P1902" t="s">
        <v>2472</v>
      </c>
      <c r="Q1902" t="s">
        <v>61</v>
      </c>
      <c r="R1902" t="s">
        <v>28</v>
      </c>
      <c r="S1902" t="s">
        <v>29</v>
      </c>
      <c r="T1902">
        <v>237.94</v>
      </c>
      <c r="U1902">
        <f t="shared" si="406"/>
        <v>100</v>
      </c>
      <c r="V1902">
        <f t="shared" si="407"/>
        <v>36</v>
      </c>
      <c r="W1902">
        <f t="shared" si="408"/>
        <v>34</v>
      </c>
      <c r="X1902">
        <f t="shared" si="409"/>
        <v>0.35149999999999998</v>
      </c>
      <c r="Y1902" s="1">
        <f t="shared" si="410"/>
        <v>4946281</v>
      </c>
      <c r="Z1902">
        <f t="shared" si="411"/>
        <v>49462.81</v>
      </c>
      <c r="AA1902">
        <f t="shared" si="412"/>
        <v>98054</v>
      </c>
      <c r="AB1902">
        <f t="shared" si="413"/>
        <v>5091</v>
      </c>
      <c r="AC1902">
        <f t="shared" si="414"/>
        <v>130146.78000000001</v>
      </c>
      <c r="AD1902">
        <f t="shared" si="415"/>
        <v>1301.4678000000001</v>
      </c>
      <c r="AE1902">
        <f t="shared" si="416"/>
        <v>0.35149999999999998</v>
      </c>
      <c r="AF1902">
        <f t="shared" si="417"/>
        <v>6022168.9400000032</v>
      </c>
      <c r="AG1902" t="str">
        <f t="shared" si="418"/>
        <v>Active</v>
      </c>
      <c r="AH1902">
        <f t="shared" si="419"/>
        <v>2855.2799999999997</v>
      </c>
    </row>
    <row r="1903" spans="1:34" x14ac:dyDescent="0.35">
      <c r="A1903" t="s">
        <v>4905</v>
      </c>
      <c r="B1903" t="s">
        <v>4906</v>
      </c>
      <c r="C1903">
        <v>29</v>
      </c>
      <c r="D1903" t="s">
        <v>22</v>
      </c>
      <c r="E1903" t="s">
        <v>32</v>
      </c>
      <c r="F1903" t="s">
        <v>59</v>
      </c>
      <c r="G1903">
        <v>189257</v>
      </c>
      <c r="H1903">
        <v>470</v>
      </c>
      <c r="I1903">
        <v>92897</v>
      </c>
      <c r="J1903">
        <v>15.57</v>
      </c>
      <c r="K1903">
        <v>12</v>
      </c>
      <c r="L1903" t="s">
        <v>25</v>
      </c>
      <c r="M1903">
        <v>48.02</v>
      </c>
      <c r="N1903">
        <v>41336</v>
      </c>
      <c r="O1903">
        <v>85575</v>
      </c>
      <c r="P1903" t="s">
        <v>334</v>
      </c>
      <c r="Q1903" t="s">
        <v>61</v>
      </c>
      <c r="R1903" t="s">
        <v>48</v>
      </c>
      <c r="S1903" t="s">
        <v>29</v>
      </c>
      <c r="T1903">
        <v>8946.76</v>
      </c>
      <c r="U1903">
        <f t="shared" si="406"/>
        <v>99</v>
      </c>
      <c r="V1903">
        <f t="shared" si="407"/>
        <v>36</v>
      </c>
      <c r="W1903">
        <f t="shared" si="408"/>
        <v>33</v>
      </c>
      <c r="X1903">
        <f t="shared" si="409"/>
        <v>0.35149999999999998</v>
      </c>
      <c r="Y1903" s="1">
        <f t="shared" si="410"/>
        <v>4870583</v>
      </c>
      <c r="Z1903">
        <f t="shared" si="411"/>
        <v>49197.808080808078</v>
      </c>
      <c r="AA1903">
        <f t="shared" si="412"/>
        <v>98054</v>
      </c>
      <c r="AB1903">
        <f t="shared" si="413"/>
        <v>5091</v>
      </c>
      <c r="AC1903">
        <f t="shared" si="414"/>
        <v>129908.84000000001</v>
      </c>
      <c r="AD1903">
        <f t="shared" si="415"/>
        <v>1312.2105050505052</v>
      </c>
      <c r="AE1903">
        <f t="shared" si="416"/>
        <v>0.35149999999999998</v>
      </c>
      <c r="AF1903">
        <f t="shared" si="417"/>
        <v>5892022.1600000029</v>
      </c>
      <c r="AG1903" t="str">
        <f t="shared" si="418"/>
        <v>Active</v>
      </c>
      <c r="AH1903">
        <f t="shared" si="419"/>
        <v>107361.12</v>
      </c>
    </row>
    <row r="1904" spans="1:34" x14ac:dyDescent="0.35">
      <c r="A1904" t="s">
        <v>4907</v>
      </c>
      <c r="B1904" t="s">
        <v>4908</v>
      </c>
      <c r="C1904">
        <v>57</v>
      </c>
      <c r="D1904" t="s">
        <v>38</v>
      </c>
      <c r="E1904" t="s">
        <v>32</v>
      </c>
      <c r="F1904" t="s">
        <v>59</v>
      </c>
      <c r="G1904">
        <v>198610</v>
      </c>
      <c r="H1904">
        <v>729</v>
      </c>
      <c r="I1904">
        <v>18112</v>
      </c>
      <c r="J1904">
        <v>17.5</v>
      </c>
      <c r="K1904">
        <v>180</v>
      </c>
      <c r="L1904" t="s">
        <v>40</v>
      </c>
      <c r="M1904">
        <v>39.659999999999997</v>
      </c>
      <c r="N1904">
        <v>24516</v>
      </c>
      <c r="O1904">
        <v>11697</v>
      </c>
      <c r="P1904" t="s">
        <v>823</v>
      </c>
      <c r="Q1904" t="s">
        <v>42</v>
      </c>
      <c r="R1904" t="s">
        <v>48</v>
      </c>
      <c r="S1904" t="s">
        <v>68</v>
      </c>
      <c r="T1904">
        <v>118.23</v>
      </c>
      <c r="U1904">
        <f t="shared" si="406"/>
        <v>98</v>
      </c>
      <c r="V1904">
        <f t="shared" si="407"/>
        <v>36</v>
      </c>
      <c r="W1904">
        <f t="shared" si="408"/>
        <v>32</v>
      </c>
      <c r="X1904">
        <f t="shared" si="409"/>
        <v>0.35149999999999998</v>
      </c>
      <c r="Y1904" s="1">
        <f t="shared" si="410"/>
        <v>4777686</v>
      </c>
      <c r="Z1904">
        <f t="shared" si="411"/>
        <v>48751.897959183676</v>
      </c>
      <c r="AA1904">
        <f t="shared" si="412"/>
        <v>98054</v>
      </c>
      <c r="AB1904">
        <f t="shared" si="413"/>
        <v>5091</v>
      </c>
      <c r="AC1904">
        <f t="shared" si="414"/>
        <v>120962.07999999999</v>
      </c>
      <c r="AD1904">
        <f t="shared" si="415"/>
        <v>1234.3069387755102</v>
      </c>
      <c r="AE1904">
        <f t="shared" si="416"/>
        <v>0.35149999999999998</v>
      </c>
      <c r="AF1904">
        <f t="shared" si="417"/>
        <v>5762113.3200000022</v>
      </c>
      <c r="AG1904" t="str">
        <f t="shared" si="418"/>
        <v>Over Paid</v>
      </c>
      <c r="AH1904">
        <f t="shared" si="419"/>
        <v>1418.76</v>
      </c>
    </row>
    <row r="1905" spans="1:34" x14ac:dyDescent="0.35">
      <c r="A1905" t="s">
        <v>4909</v>
      </c>
      <c r="B1905" t="s">
        <v>4910</v>
      </c>
      <c r="C1905">
        <v>36</v>
      </c>
      <c r="D1905" t="s">
        <v>38</v>
      </c>
      <c r="E1905" t="s">
        <v>32</v>
      </c>
      <c r="F1905" t="s">
        <v>46</v>
      </c>
      <c r="G1905">
        <v>141774</v>
      </c>
      <c r="H1905">
        <v>724</v>
      </c>
      <c r="I1905">
        <v>80166</v>
      </c>
      <c r="J1905">
        <v>6.1</v>
      </c>
      <c r="K1905">
        <v>12</v>
      </c>
      <c r="L1905" t="s">
        <v>40</v>
      </c>
      <c r="M1905">
        <v>30.37</v>
      </c>
      <c r="N1905">
        <v>55543</v>
      </c>
      <c r="O1905">
        <v>140138</v>
      </c>
      <c r="P1905" t="s">
        <v>869</v>
      </c>
      <c r="Q1905" t="s">
        <v>27</v>
      </c>
      <c r="R1905" t="s">
        <v>28</v>
      </c>
      <c r="S1905" t="s">
        <v>29</v>
      </c>
      <c r="T1905">
        <v>7088.01</v>
      </c>
      <c r="U1905">
        <f t="shared" si="406"/>
        <v>97</v>
      </c>
      <c r="V1905">
        <f t="shared" si="407"/>
        <v>35</v>
      </c>
      <c r="W1905">
        <f t="shared" si="408"/>
        <v>32</v>
      </c>
      <c r="X1905">
        <f t="shared" si="409"/>
        <v>0.35149999999999998</v>
      </c>
      <c r="Y1905" s="1">
        <f t="shared" si="410"/>
        <v>4759574</v>
      </c>
      <c r="Z1905">
        <f t="shared" si="411"/>
        <v>49067.773195876289</v>
      </c>
      <c r="AA1905">
        <f t="shared" si="412"/>
        <v>98054</v>
      </c>
      <c r="AB1905">
        <f t="shared" si="413"/>
        <v>5091</v>
      </c>
      <c r="AC1905">
        <f t="shared" si="414"/>
        <v>120843.84999999999</v>
      </c>
      <c r="AD1905">
        <f t="shared" si="415"/>
        <v>1245.8128865979381</v>
      </c>
      <c r="AE1905">
        <f t="shared" si="416"/>
        <v>0.35149999999999998</v>
      </c>
      <c r="AF1905">
        <f t="shared" si="417"/>
        <v>5641151.2400000021</v>
      </c>
      <c r="AG1905" t="str">
        <f t="shared" si="418"/>
        <v>Active</v>
      </c>
      <c r="AH1905">
        <f t="shared" si="419"/>
        <v>85056.12</v>
      </c>
    </row>
    <row r="1906" spans="1:34" x14ac:dyDescent="0.35">
      <c r="A1906" t="s">
        <v>4911</v>
      </c>
      <c r="B1906" t="s">
        <v>4912</v>
      </c>
      <c r="C1906">
        <v>21</v>
      </c>
      <c r="D1906" t="s">
        <v>22</v>
      </c>
      <c r="E1906" t="s">
        <v>39</v>
      </c>
      <c r="F1906" t="s">
        <v>46</v>
      </c>
      <c r="G1906">
        <v>144597</v>
      </c>
      <c r="H1906">
        <v>320</v>
      </c>
      <c r="I1906">
        <v>86499</v>
      </c>
      <c r="J1906">
        <v>20.96</v>
      </c>
      <c r="K1906">
        <v>360</v>
      </c>
      <c r="L1906" t="s">
        <v>33</v>
      </c>
      <c r="M1906">
        <v>27.14</v>
      </c>
      <c r="N1906">
        <v>66022</v>
      </c>
      <c r="O1906">
        <v>119877</v>
      </c>
      <c r="P1906" t="s">
        <v>3967</v>
      </c>
      <c r="Q1906" t="s">
        <v>42</v>
      </c>
      <c r="R1906" t="s">
        <v>48</v>
      </c>
      <c r="S1906" t="s">
        <v>43</v>
      </c>
      <c r="T1906">
        <v>290.64</v>
      </c>
      <c r="U1906">
        <f t="shared" si="406"/>
        <v>96</v>
      </c>
      <c r="V1906">
        <f t="shared" si="407"/>
        <v>35</v>
      </c>
      <c r="W1906">
        <f t="shared" si="408"/>
        <v>32</v>
      </c>
      <c r="X1906">
        <f t="shared" si="409"/>
        <v>0.35149999999999998</v>
      </c>
      <c r="Y1906" s="1">
        <f t="shared" si="410"/>
        <v>4679408</v>
      </c>
      <c r="Z1906">
        <f t="shared" si="411"/>
        <v>48743.833333333336</v>
      </c>
      <c r="AA1906">
        <f t="shared" si="412"/>
        <v>98054</v>
      </c>
      <c r="AB1906">
        <f t="shared" si="413"/>
        <v>5091</v>
      </c>
      <c r="AC1906">
        <f t="shared" si="414"/>
        <v>113755.83999999998</v>
      </c>
      <c r="AD1906">
        <f t="shared" si="415"/>
        <v>1184.9566666666665</v>
      </c>
      <c r="AE1906">
        <f t="shared" si="416"/>
        <v>0.35149999999999998</v>
      </c>
      <c r="AF1906">
        <f t="shared" si="417"/>
        <v>5520307.3900000015</v>
      </c>
      <c r="AG1906" t="str">
        <f t="shared" si="418"/>
        <v>Over Paid</v>
      </c>
      <c r="AH1906">
        <f t="shared" si="419"/>
        <v>3487.68</v>
      </c>
    </row>
    <row r="1907" spans="1:34" x14ac:dyDescent="0.35">
      <c r="A1907" t="s">
        <v>4913</v>
      </c>
      <c r="B1907" t="s">
        <v>4914</v>
      </c>
      <c r="C1907">
        <v>38</v>
      </c>
      <c r="D1907" t="s">
        <v>38</v>
      </c>
      <c r="E1907" t="s">
        <v>23</v>
      </c>
      <c r="F1907" t="s">
        <v>24</v>
      </c>
      <c r="G1907">
        <v>71569</v>
      </c>
      <c r="H1907">
        <v>664</v>
      </c>
      <c r="I1907">
        <v>48376</v>
      </c>
      <c r="J1907">
        <v>4.8899999999999997</v>
      </c>
      <c r="K1907">
        <v>120</v>
      </c>
      <c r="L1907" t="s">
        <v>52</v>
      </c>
      <c r="M1907">
        <v>43.04</v>
      </c>
      <c r="N1907">
        <v>76848</v>
      </c>
      <c r="O1907">
        <v>66285</v>
      </c>
      <c r="P1907" t="s">
        <v>1215</v>
      </c>
      <c r="Q1907" t="s">
        <v>61</v>
      </c>
      <c r="R1907" t="s">
        <v>28</v>
      </c>
      <c r="S1907" t="s">
        <v>43</v>
      </c>
      <c r="T1907">
        <v>422.85</v>
      </c>
      <c r="U1907">
        <f t="shared" si="406"/>
        <v>95</v>
      </c>
      <c r="V1907">
        <f t="shared" si="407"/>
        <v>34</v>
      </c>
      <c r="W1907">
        <f t="shared" si="408"/>
        <v>32</v>
      </c>
      <c r="X1907">
        <f t="shared" si="409"/>
        <v>0.35149999999999998</v>
      </c>
      <c r="Y1907" s="1">
        <f t="shared" si="410"/>
        <v>4592909</v>
      </c>
      <c r="Z1907">
        <f t="shared" si="411"/>
        <v>48346.410526315791</v>
      </c>
      <c r="AA1907">
        <f t="shared" si="412"/>
        <v>98054</v>
      </c>
      <c r="AB1907">
        <f t="shared" si="413"/>
        <v>5091</v>
      </c>
      <c r="AC1907">
        <f t="shared" si="414"/>
        <v>113465.19999999998</v>
      </c>
      <c r="AD1907">
        <f t="shared" si="415"/>
        <v>1194.3705263157892</v>
      </c>
      <c r="AE1907">
        <f t="shared" si="416"/>
        <v>0.35149999999999998</v>
      </c>
      <c r="AF1907">
        <f t="shared" si="417"/>
        <v>5406551.5500000017</v>
      </c>
      <c r="AG1907" t="str">
        <f t="shared" si="418"/>
        <v>Active</v>
      </c>
      <c r="AH1907">
        <f t="shared" si="419"/>
        <v>5074.2000000000007</v>
      </c>
    </row>
    <row r="1908" spans="1:34" x14ac:dyDescent="0.35">
      <c r="A1908" t="s">
        <v>4915</v>
      </c>
      <c r="B1908" t="s">
        <v>4916</v>
      </c>
      <c r="C1908">
        <v>62</v>
      </c>
      <c r="D1908" t="s">
        <v>22</v>
      </c>
      <c r="E1908" t="s">
        <v>32</v>
      </c>
      <c r="F1908" t="s">
        <v>59</v>
      </c>
      <c r="G1908">
        <v>133277</v>
      </c>
      <c r="H1908">
        <v>487</v>
      </c>
      <c r="I1908">
        <v>14370</v>
      </c>
      <c r="J1908">
        <v>13.66</v>
      </c>
      <c r="K1908">
        <v>36</v>
      </c>
      <c r="L1908" t="s">
        <v>25</v>
      </c>
      <c r="M1908">
        <v>57.87</v>
      </c>
      <c r="N1908">
        <v>77332</v>
      </c>
      <c r="O1908">
        <v>212300</v>
      </c>
      <c r="P1908" t="s">
        <v>4754</v>
      </c>
      <c r="Q1908" t="s">
        <v>27</v>
      </c>
      <c r="R1908" t="s">
        <v>48</v>
      </c>
      <c r="S1908" t="s">
        <v>43</v>
      </c>
      <c r="T1908">
        <v>453.69</v>
      </c>
      <c r="U1908">
        <f t="shared" si="406"/>
        <v>94</v>
      </c>
      <c r="V1908">
        <f t="shared" si="407"/>
        <v>34</v>
      </c>
      <c r="W1908">
        <f t="shared" si="408"/>
        <v>31</v>
      </c>
      <c r="X1908">
        <f t="shared" si="409"/>
        <v>0.35149999999999998</v>
      </c>
      <c r="Y1908" s="1">
        <f t="shared" si="410"/>
        <v>4544533</v>
      </c>
      <c r="Z1908">
        <f t="shared" si="411"/>
        <v>48346.095744680853</v>
      </c>
      <c r="AA1908">
        <f t="shared" si="412"/>
        <v>98054</v>
      </c>
      <c r="AB1908">
        <f t="shared" si="413"/>
        <v>5091</v>
      </c>
      <c r="AC1908">
        <f t="shared" si="414"/>
        <v>113042.34999999999</v>
      </c>
      <c r="AD1908">
        <f t="shared" si="415"/>
        <v>1202.5781914893616</v>
      </c>
      <c r="AE1908">
        <f t="shared" si="416"/>
        <v>0.35149999999999998</v>
      </c>
      <c r="AF1908">
        <f t="shared" si="417"/>
        <v>5293086.3500000015</v>
      </c>
      <c r="AG1908" t="str">
        <f t="shared" si="418"/>
        <v>Active</v>
      </c>
      <c r="AH1908">
        <f t="shared" si="419"/>
        <v>5444.28</v>
      </c>
    </row>
    <row r="1909" spans="1:34" x14ac:dyDescent="0.35">
      <c r="A1909" t="s">
        <v>4917</v>
      </c>
      <c r="B1909" t="s">
        <v>4918</v>
      </c>
      <c r="C1909">
        <v>42</v>
      </c>
      <c r="D1909" t="s">
        <v>22</v>
      </c>
      <c r="E1909" t="s">
        <v>23</v>
      </c>
      <c r="F1909" t="s">
        <v>24</v>
      </c>
      <c r="G1909">
        <v>171841</v>
      </c>
      <c r="H1909">
        <v>809</v>
      </c>
      <c r="I1909">
        <v>16935</v>
      </c>
      <c r="J1909">
        <v>23.49</v>
      </c>
      <c r="K1909">
        <v>24</v>
      </c>
      <c r="L1909" t="s">
        <v>40</v>
      </c>
      <c r="M1909">
        <v>49.01</v>
      </c>
      <c r="N1909">
        <v>5899</v>
      </c>
      <c r="O1909">
        <v>87648</v>
      </c>
      <c r="P1909" t="s">
        <v>266</v>
      </c>
      <c r="Q1909" t="s">
        <v>27</v>
      </c>
      <c r="R1909" t="s">
        <v>48</v>
      </c>
      <c r="S1909" t="s">
        <v>29</v>
      </c>
      <c r="T1909">
        <v>871.38</v>
      </c>
      <c r="U1909">
        <f t="shared" si="406"/>
        <v>93</v>
      </c>
      <c r="V1909">
        <f t="shared" si="407"/>
        <v>34</v>
      </c>
      <c r="W1909">
        <f t="shared" si="408"/>
        <v>31</v>
      </c>
      <c r="X1909">
        <f t="shared" si="409"/>
        <v>0.35149999999999998</v>
      </c>
      <c r="Y1909" s="1">
        <f t="shared" si="410"/>
        <v>4530163</v>
      </c>
      <c r="Z1909">
        <f t="shared" si="411"/>
        <v>48711.430107526881</v>
      </c>
      <c r="AA1909">
        <f t="shared" si="412"/>
        <v>98054</v>
      </c>
      <c r="AB1909">
        <f t="shared" si="413"/>
        <v>5091</v>
      </c>
      <c r="AC1909">
        <f t="shared" si="414"/>
        <v>112588.65999999999</v>
      </c>
      <c r="AD1909">
        <f t="shared" si="415"/>
        <v>1210.6307526881719</v>
      </c>
      <c r="AE1909">
        <f t="shared" si="416"/>
        <v>0.35149999999999998</v>
      </c>
      <c r="AF1909">
        <f t="shared" si="417"/>
        <v>5180044.0000000019</v>
      </c>
      <c r="AG1909" t="str">
        <f t="shared" si="418"/>
        <v>Active</v>
      </c>
      <c r="AH1909">
        <f t="shared" si="419"/>
        <v>10456.56</v>
      </c>
    </row>
    <row r="1910" spans="1:34" x14ac:dyDescent="0.35">
      <c r="A1910" t="s">
        <v>4919</v>
      </c>
      <c r="B1910" t="s">
        <v>4920</v>
      </c>
      <c r="C1910">
        <v>26</v>
      </c>
      <c r="D1910" t="s">
        <v>22</v>
      </c>
      <c r="E1910" t="s">
        <v>32</v>
      </c>
      <c r="F1910" t="s">
        <v>59</v>
      </c>
      <c r="G1910">
        <v>192601</v>
      </c>
      <c r="H1910">
        <v>362</v>
      </c>
      <c r="I1910">
        <v>16344</v>
      </c>
      <c r="J1910">
        <v>23.43</v>
      </c>
      <c r="K1910">
        <v>60</v>
      </c>
      <c r="L1910" t="s">
        <v>40</v>
      </c>
      <c r="M1910">
        <v>5.98</v>
      </c>
      <c r="N1910">
        <v>17461</v>
      </c>
      <c r="O1910">
        <v>6087</v>
      </c>
      <c r="P1910" t="s">
        <v>4921</v>
      </c>
      <c r="Q1910" t="s">
        <v>42</v>
      </c>
      <c r="R1910" t="s">
        <v>28</v>
      </c>
      <c r="S1910" t="s">
        <v>49</v>
      </c>
      <c r="T1910">
        <v>336.22</v>
      </c>
      <c r="U1910">
        <f t="shared" si="406"/>
        <v>92</v>
      </c>
      <c r="V1910">
        <f t="shared" si="407"/>
        <v>34</v>
      </c>
      <c r="W1910">
        <f t="shared" si="408"/>
        <v>31</v>
      </c>
      <c r="X1910">
        <f t="shared" si="409"/>
        <v>0.35149999999999998</v>
      </c>
      <c r="Y1910" s="1">
        <f t="shared" si="410"/>
        <v>4513228</v>
      </c>
      <c r="Z1910">
        <f t="shared" si="411"/>
        <v>49056.82608695652</v>
      </c>
      <c r="AA1910">
        <f t="shared" si="412"/>
        <v>98054</v>
      </c>
      <c r="AB1910">
        <f t="shared" si="413"/>
        <v>5091</v>
      </c>
      <c r="AC1910">
        <f t="shared" si="414"/>
        <v>111717.27999999998</v>
      </c>
      <c r="AD1910">
        <f t="shared" si="415"/>
        <v>1214.3182608695649</v>
      </c>
      <c r="AE1910">
        <f t="shared" si="416"/>
        <v>0.35149999999999998</v>
      </c>
      <c r="AF1910">
        <f t="shared" si="417"/>
        <v>5067455.3400000017</v>
      </c>
      <c r="AG1910" t="str">
        <f t="shared" si="418"/>
        <v>Active</v>
      </c>
      <c r="AH1910">
        <f t="shared" si="419"/>
        <v>4034.6400000000003</v>
      </c>
    </row>
    <row r="1911" spans="1:34" x14ac:dyDescent="0.35">
      <c r="A1911" t="s">
        <v>4922</v>
      </c>
      <c r="B1911" t="s">
        <v>4923</v>
      </c>
      <c r="C1911">
        <v>61</v>
      </c>
      <c r="D1911" t="s">
        <v>22</v>
      </c>
      <c r="E1911" t="s">
        <v>39</v>
      </c>
      <c r="F1911" t="s">
        <v>46</v>
      </c>
      <c r="G1911">
        <v>61784</v>
      </c>
      <c r="H1911">
        <v>768</v>
      </c>
      <c r="I1911">
        <v>57128</v>
      </c>
      <c r="J1911">
        <v>17.760000000000002</v>
      </c>
      <c r="K1911">
        <v>36</v>
      </c>
      <c r="L1911" t="s">
        <v>86</v>
      </c>
      <c r="M1911">
        <v>55.67</v>
      </c>
      <c r="N1911">
        <v>34186</v>
      </c>
      <c r="O1911">
        <v>127809</v>
      </c>
      <c r="P1911" t="s">
        <v>2549</v>
      </c>
      <c r="Q1911" t="s">
        <v>27</v>
      </c>
      <c r="R1911" t="s">
        <v>48</v>
      </c>
      <c r="S1911" t="s">
        <v>43</v>
      </c>
      <c r="T1911">
        <v>1868.72</v>
      </c>
      <c r="U1911">
        <f t="shared" si="406"/>
        <v>91</v>
      </c>
      <c r="V1911">
        <f t="shared" si="407"/>
        <v>33</v>
      </c>
      <c r="W1911">
        <f t="shared" si="408"/>
        <v>31</v>
      </c>
      <c r="X1911">
        <f t="shared" si="409"/>
        <v>0.35149999999999998</v>
      </c>
      <c r="Y1911" s="1">
        <f t="shared" si="410"/>
        <v>4496884</v>
      </c>
      <c r="Z1911">
        <f t="shared" si="411"/>
        <v>49416.307692307695</v>
      </c>
      <c r="AA1911">
        <f t="shared" si="412"/>
        <v>98054</v>
      </c>
      <c r="AB1911">
        <f t="shared" si="413"/>
        <v>5091</v>
      </c>
      <c r="AC1911">
        <f t="shared" si="414"/>
        <v>111381.05999999998</v>
      </c>
      <c r="AD1911">
        <f t="shared" si="415"/>
        <v>1223.9676923076922</v>
      </c>
      <c r="AE1911">
        <f t="shared" si="416"/>
        <v>0.35149999999999998</v>
      </c>
      <c r="AF1911">
        <f t="shared" si="417"/>
        <v>4955738.0600000024</v>
      </c>
      <c r="AG1911" t="str">
        <f t="shared" si="418"/>
        <v>Active</v>
      </c>
      <c r="AH1911">
        <f t="shared" si="419"/>
        <v>22424.639999999999</v>
      </c>
    </row>
    <row r="1912" spans="1:34" x14ac:dyDescent="0.35">
      <c r="A1912" t="s">
        <v>4924</v>
      </c>
      <c r="B1912" t="s">
        <v>4925</v>
      </c>
      <c r="C1912">
        <v>49</v>
      </c>
      <c r="D1912" t="s">
        <v>38</v>
      </c>
      <c r="E1912" t="s">
        <v>39</v>
      </c>
      <c r="F1912" t="s">
        <v>59</v>
      </c>
      <c r="G1912">
        <v>133807</v>
      </c>
      <c r="H1912">
        <v>313</v>
      </c>
      <c r="I1912">
        <v>9539</v>
      </c>
      <c r="J1912">
        <v>17.64</v>
      </c>
      <c r="K1912">
        <v>12</v>
      </c>
      <c r="L1912" t="s">
        <v>52</v>
      </c>
      <c r="M1912">
        <v>9.61</v>
      </c>
      <c r="N1912">
        <v>29222</v>
      </c>
      <c r="O1912">
        <v>112314</v>
      </c>
      <c r="P1912" t="s">
        <v>4926</v>
      </c>
      <c r="Q1912" t="s">
        <v>27</v>
      </c>
      <c r="R1912" t="s">
        <v>48</v>
      </c>
      <c r="S1912" t="s">
        <v>43</v>
      </c>
      <c r="T1912">
        <v>935.14</v>
      </c>
      <c r="U1912">
        <f t="shared" si="406"/>
        <v>90</v>
      </c>
      <c r="V1912">
        <f t="shared" si="407"/>
        <v>33</v>
      </c>
      <c r="W1912">
        <f t="shared" si="408"/>
        <v>31</v>
      </c>
      <c r="X1912">
        <f t="shared" si="409"/>
        <v>0.35149999999999998</v>
      </c>
      <c r="Y1912" s="1">
        <f t="shared" si="410"/>
        <v>4439756</v>
      </c>
      <c r="Z1912">
        <f t="shared" si="411"/>
        <v>49330.62222222222</v>
      </c>
      <c r="AA1912">
        <f t="shared" si="412"/>
        <v>98054</v>
      </c>
      <c r="AB1912">
        <f t="shared" si="413"/>
        <v>5091</v>
      </c>
      <c r="AC1912">
        <f t="shared" si="414"/>
        <v>109512.34</v>
      </c>
      <c r="AD1912">
        <f t="shared" si="415"/>
        <v>1216.8037777777777</v>
      </c>
      <c r="AE1912">
        <f t="shared" si="416"/>
        <v>0.35149999999999998</v>
      </c>
      <c r="AF1912">
        <f t="shared" si="417"/>
        <v>4844357.0000000009</v>
      </c>
      <c r="AG1912" t="str">
        <f t="shared" si="418"/>
        <v>Active</v>
      </c>
      <c r="AH1912">
        <f t="shared" si="419"/>
        <v>11221.68</v>
      </c>
    </row>
    <row r="1913" spans="1:34" x14ac:dyDescent="0.35">
      <c r="A1913" t="s">
        <v>4927</v>
      </c>
      <c r="B1913" t="s">
        <v>4928</v>
      </c>
      <c r="C1913">
        <v>61</v>
      </c>
      <c r="D1913" t="s">
        <v>38</v>
      </c>
      <c r="E1913" t="s">
        <v>23</v>
      </c>
      <c r="F1913" t="s">
        <v>46</v>
      </c>
      <c r="G1913">
        <v>160384</v>
      </c>
      <c r="H1913">
        <v>571</v>
      </c>
      <c r="I1913">
        <v>32987</v>
      </c>
      <c r="J1913">
        <v>11.72</v>
      </c>
      <c r="K1913">
        <v>360</v>
      </c>
      <c r="L1913" t="s">
        <v>86</v>
      </c>
      <c r="M1913">
        <v>33.130000000000003</v>
      </c>
      <c r="N1913">
        <v>28802</v>
      </c>
      <c r="O1913">
        <v>17399</v>
      </c>
      <c r="P1913" t="s">
        <v>519</v>
      </c>
      <c r="Q1913" t="s">
        <v>27</v>
      </c>
      <c r="R1913" t="s">
        <v>28</v>
      </c>
      <c r="S1913" t="s">
        <v>68</v>
      </c>
      <c r="T1913">
        <v>102.37</v>
      </c>
      <c r="U1913">
        <f t="shared" si="406"/>
        <v>89</v>
      </c>
      <c r="V1913">
        <f t="shared" si="407"/>
        <v>33</v>
      </c>
      <c r="W1913">
        <f t="shared" si="408"/>
        <v>31</v>
      </c>
      <c r="X1913">
        <f t="shared" si="409"/>
        <v>0.35149999999999998</v>
      </c>
      <c r="Y1913" s="1">
        <f t="shared" si="410"/>
        <v>4430217</v>
      </c>
      <c r="Z1913">
        <f t="shared" si="411"/>
        <v>49777.719101123599</v>
      </c>
      <c r="AA1913">
        <f t="shared" si="412"/>
        <v>98054</v>
      </c>
      <c r="AB1913">
        <f t="shared" si="413"/>
        <v>5091</v>
      </c>
      <c r="AC1913">
        <f t="shared" si="414"/>
        <v>108577.19999999998</v>
      </c>
      <c r="AD1913">
        <f t="shared" si="415"/>
        <v>1219.9685393258426</v>
      </c>
      <c r="AE1913">
        <f t="shared" si="416"/>
        <v>0.35149999999999998</v>
      </c>
      <c r="AF1913">
        <f t="shared" si="417"/>
        <v>4734844.660000002</v>
      </c>
      <c r="AG1913" t="str">
        <f t="shared" si="418"/>
        <v>Over Paid</v>
      </c>
      <c r="AH1913">
        <f t="shared" si="419"/>
        <v>1228.44</v>
      </c>
    </row>
    <row r="1914" spans="1:34" x14ac:dyDescent="0.35">
      <c r="A1914" t="s">
        <v>4929</v>
      </c>
      <c r="B1914" t="s">
        <v>4930</v>
      </c>
      <c r="C1914">
        <v>26</v>
      </c>
      <c r="D1914" t="s">
        <v>38</v>
      </c>
      <c r="E1914" t="s">
        <v>23</v>
      </c>
      <c r="F1914" t="s">
        <v>24</v>
      </c>
      <c r="G1914">
        <v>117865</v>
      </c>
      <c r="H1914">
        <v>390</v>
      </c>
      <c r="I1914">
        <v>94333</v>
      </c>
      <c r="J1914">
        <v>16.260000000000002</v>
      </c>
      <c r="K1914">
        <v>240</v>
      </c>
      <c r="L1914" t="s">
        <v>33</v>
      </c>
      <c r="M1914">
        <v>8.75</v>
      </c>
      <c r="N1914">
        <v>138</v>
      </c>
      <c r="O1914">
        <v>35706</v>
      </c>
      <c r="P1914" t="s">
        <v>4183</v>
      </c>
      <c r="Q1914" t="s">
        <v>61</v>
      </c>
      <c r="R1914" t="s">
        <v>28</v>
      </c>
      <c r="S1914" t="s">
        <v>49</v>
      </c>
      <c r="T1914">
        <v>456.96</v>
      </c>
      <c r="U1914">
        <f t="shared" si="406"/>
        <v>88</v>
      </c>
      <c r="V1914">
        <f t="shared" si="407"/>
        <v>33</v>
      </c>
      <c r="W1914">
        <f t="shared" si="408"/>
        <v>31</v>
      </c>
      <c r="X1914">
        <f t="shared" si="409"/>
        <v>0.35149999999999998</v>
      </c>
      <c r="Y1914" s="1">
        <f t="shared" si="410"/>
        <v>4397230</v>
      </c>
      <c r="Z1914">
        <f t="shared" si="411"/>
        <v>49968.522727272728</v>
      </c>
      <c r="AA1914">
        <f t="shared" si="412"/>
        <v>98054</v>
      </c>
      <c r="AB1914">
        <f t="shared" si="413"/>
        <v>5091</v>
      </c>
      <c r="AC1914">
        <f t="shared" si="414"/>
        <v>108474.82999999999</v>
      </c>
      <c r="AD1914">
        <f t="shared" si="415"/>
        <v>1232.6685227272726</v>
      </c>
      <c r="AE1914">
        <f t="shared" si="416"/>
        <v>0.35149999999999998</v>
      </c>
      <c r="AF1914">
        <f t="shared" si="417"/>
        <v>4626267.4600000009</v>
      </c>
      <c r="AG1914" t="str">
        <f t="shared" si="418"/>
        <v>Active</v>
      </c>
      <c r="AH1914">
        <f t="shared" si="419"/>
        <v>5483.5199999999995</v>
      </c>
    </row>
    <row r="1915" spans="1:34" x14ac:dyDescent="0.35">
      <c r="A1915" t="s">
        <v>4931</v>
      </c>
      <c r="B1915" t="s">
        <v>4932</v>
      </c>
      <c r="C1915">
        <v>56</v>
      </c>
      <c r="D1915" t="s">
        <v>38</v>
      </c>
      <c r="E1915" t="s">
        <v>39</v>
      </c>
      <c r="F1915" t="s">
        <v>24</v>
      </c>
      <c r="G1915">
        <v>198811</v>
      </c>
      <c r="H1915">
        <v>593</v>
      </c>
      <c r="I1915">
        <v>97555</v>
      </c>
      <c r="J1915">
        <v>3.83</v>
      </c>
      <c r="K1915">
        <v>24</v>
      </c>
      <c r="L1915" t="s">
        <v>40</v>
      </c>
      <c r="M1915">
        <v>45.82</v>
      </c>
      <c r="N1915">
        <v>66166</v>
      </c>
      <c r="O1915">
        <v>95433</v>
      </c>
      <c r="P1915" t="s">
        <v>1060</v>
      </c>
      <c r="Q1915" t="s">
        <v>42</v>
      </c>
      <c r="R1915" t="s">
        <v>28</v>
      </c>
      <c r="S1915" t="s">
        <v>29</v>
      </c>
      <c r="T1915">
        <v>4220.47</v>
      </c>
      <c r="U1915">
        <f t="shared" si="406"/>
        <v>87</v>
      </c>
      <c r="V1915">
        <f t="shared" si="407"/>
        <v>33</v>
      </c>
      <c r="W1915">
        <f t="shared" si="408"/>
        <v>30</v>
      </c>
      <c r="X1915">
        <f t="shared" si="409"/>
        <v>0.35149999999999998</v>
      </c>
      <c r="Y1915" s="1">
        <f t="shared" si="410"/>
        <v>4302897</v>
      </c>
      <c r="Z1915">
        <f t="shared" si="411"/>
        <v>49458.586206896551</v>
      </c>
      <c r="AA1915">
        <f t="shared" si="412"/>
        <v>98054</v>
      </c>
      <c r="AB1915">
        <f t="shared" si="413"/>
        <v>5091</v>
      </c>
      <c r="AC1915">
        <f t="shared" si="414"/>
        <v>108017.86999999998</v>
      </c>
      <c r="AD1915">
        <f t="shared" si="415"/>
        <v>1241.5847126436779</v>
      </c>
      <c r="AE1915">
        <f t="shared" si="416"/>
        <v>0.35149999999999998</v>
      </c>
      <c r="AF1915">
        <f t="shared" si="417"/>
        <v>4517792.63</v>
      </c>
      <c r="AG1915" t="str">
        <f t="shared" si="418"/>
        <v>Active</v>
      </c>
      <c r="AH1915">
        <f t="shared" si="419"/>
        <v>50645.64</v>
      </c>
    </row>
    <row r="1916" spans="1:34" x14ac:dyDescent="0.35">
      <c r="A1916" t="s">
        <v>4933</v>
      </c>
      <c r="B1916" t="s">
        <v>4934</v>
      </c>
      <c r="C1916">
        <v>28</v>
      </c>
      <c r="D1916" t="s">
        <v>38</v>
      </c>
      <c r="E1916" t="s">
        <v>32</v>
      </c>
      <c r="F1916" t="s">
        <v>24</v>
      </c>
      <c r="G1916">
        <v>34910</v>
      </c>
      <c r="H1916">
        <v>394</v>
      </c>
      <c r="I1916">
        <v>88405</v>
      </c>
      <c r="J1916">
        <v>21.19</v>
      </c>
      <c r="K1916">
        <v>120</v>
      </c>
      <c r="L1916" t="s">
        <v>86</v>
      </c>
      <c r="M1916">
        <v>17.29</v>
      </c>
      <c r="N1916">
        <v>2864</v>
      </c>
      <c r="O1916">
        <v>210685</v>
      </c>
      <c r="P1916" t="s">
        <v>2130</v>
      </c>
      <c r="Q1916" t="s">
        <v>27</v>
      </c>
      <c r="R1916" t="s">
        <v>28</v>
      </c>
      <c r="S1916" t="s">
        <v>35</v>
      </c>
      <c r="T1916">
        <v>892.82</v>
      </c>
      <c r="U1916">
        <f t="shared" si="406"/>
        <v>86</v>
      </c>
      <c r="V1916">
        <f t="shared" si="407"/>
        <v>32</v>
      </c>
      <c r="W1916">
        <f t="shared" si="408"/>
        <v>30</v>
      </c>
      <c r="X1916">
        <f t="shared" si="409"/>
        <v>0.35149999999999998</v>
      </c>
      <c r="Y1916" s="1">
        <f t="shared" si="410"/>
        <v>4205342</v>
      </c>
      <c r="Z1916">
        <f t="shared" si="411"/>
        <v>48899.325581395351</v>
      </c>
      <c r="AA1916">
        <f t="shared" si="412"/>
        <v>98054</v>
      </c>
      <c r="AB1916">
        <f t="shared" si="413"/>
        <v>5091</v>
      </c>
      <c r="AC1916">
        <f t="shared" si="414"/>
        <v>103797.4</v>
      </c>
      <c r="AD1916">
        <f t="shared" si="415"/>
        <v>1206.9465116279068</v>
      </c>
      <c r="AE1916">
        <f t="shared" si="416"/>
        <v>0.35149999999999998</v>
      </c>
      <c r="AF1916">
        <f t="shared" si="417"/>
        <v>4409774.76</v>
      </c>
      <c r="AG1916" t="str">
        <f t="shared" si="418"/>
        <v>Active</v>
      </c>
      <c r="AH1916">
        <f t="shared" si="419"/>
        <v>10713.84</v>
      </c>
    </row>
    <row r="1917" spans="1:34" x14ac:dyDescent="0.35">
      <c r="A1917" t="s">
        <v>4935</v>
      </c>
      <c r="B1917" t="s">
        <v>4936</v>
      </c>
      <c r="C1917">
        <v>55</v>
      </c>
      <c r="D1917" t="s">
        <v>38</v>
      </c>
      <c r="E1917" t="s">
        <v>39</v>
      </c>
      <c r="F1917" t="s">
        <v>24</v>
      </c>
      <c r="G1917">
        <v>139992</v>
      </c>
      <c r="H1917">
        <v>825</v>
      </c>
      <c r="I1917">
        <v>56599</v>
      </c>
      <c r="J1917">
        <v>15.15</v>
      </c>
      <c r="K1917">
        <v>180</v>
      </c>
      <c r="L1917" t="s">
        <v>52</v>
      </c>
      <c r="M1917">
        <v>29.97</v>
      </c>
      <c r="N1917">
        <v>15175</v>
      </c>
      <c r="O1917">
        <v>213392</v>
      </c>
      <c r="P1917" t="s">
        <v>2415</v>
      </c>
      <c r="Q1917" t="s">
        <v>42</v>
      </c>
      <c r="R1917" t="s">
        <v>48</v>
      </c>
      <c r="S1917" t="s">
        <v>35</v>
      </c>
      <c r="T1917">
        <v>362.08</v>
      </c>
      <c r="U1917">
        <f t="shared" si="406"/>
        <v>85</v>
      </c>
      <c r="V1917">
        <f t="shared" si="407"/>
        <v>32</v>
      </c>
      <c r="W1917">
        <f t="shared" si="408"/>
        <v>30</v>
      </c>
      <c r="X1917">
        <f t="shared" si="409"/>
        <v>0.35149999999999998</v>
      </c>
      <c r="Y1917" s="1">
        <f t="shared" si="410"/>
        <v>4116937</v>
      </c>
      <c r="Z1917">
        <f t="shared" si="411"/>
        <v>48434.552941176473</v>
      </c>
      <c r="AA1917">
        <f t="shared" si="412"/>
        <v>98054</v>
      </c>
      <c r="AB1917">
        <f t="shared" si="413"/>
        <v>5091</v>
      </c>
      <c r="AC1917">
        <f t="shared" si="414"/>
        <v>102904.57999999999</v>
      </c>
      <c r="AD1917">
        <f t="shared" si="415"/>
        <v>1210.6421176470587</v>
      </c>
      <c r="AE1917">
        <f t="shared" si="416"/>
        <v>0.35149999999999998</v>
      </c>
      <c r="AF1917">
        <f t="shared" si="417"/>
        <v>4305977.3599999994</v>
      </c>
      <c r="AG1917" t="str">
        <f t="shared" si="418"/>
        <v>Active</v>
      </c>
      <c r="AH1917">
        <f t="shared" si="419"/>
        <v>4344.96</v>
      </c>
    </row>
    <row r="1918" spans="1:34" x14ac:dyDescent="0.35">
      <c r="A1918" t="s">
        <v>4937</v>
      </c>
      <c r="B1918" t="s">
        <v>4938</v>
      </c>
      <c r="C1918">
        <v>28</v>
      </c>
      <c r="D1918" t="s">
        <v>22</v>
      </c>
      <c r="E1918" t="s">
        <v>23</v>
      </c>
      <c r="F1918" t="s">
        <v>59</v>
      </c>
      <c r="G1918">
        <v>81116</v>
      </c>
      <c r="H1918">
        <v>432</v>
      </c>
      <c r="I1918">
        <v>8741</v>
      </c>
      <c r="J1918">
        <v>8.9</v>
      </c>
      <c r="K1918">
        <v>36</v>
      </c>
      <c r="L1918" t="s">
        <v>25</v>
      </c>
      <c r="M1918">
        <v>51.63</v>
      </c>
      <c r="N1918">
        <v>40745</v>
      </c>
      <c r="O1918">
        <v>148400</v>
      </c>
      <c r="P1918" t="s">
        <v>4939</v>
      </c>
      <c r="Q1918" t="s">
        <v>61</v>
      </c>
      <c r="R1918" t="s">
        <v>48</v>
      </c>
      <c r="S1918" t="s">
        <v>49</v>
      </c>
      <c r="T1918">
        <v>264.42</v>
      </c>
      <c r="U1918">
        <f t="shared" si="406"/>
        <v>84</v>
      </c>
      <c r="V1918">
        <f t="shared" si="407"/>
        <v>31</v>
      </c>
      <c r="W1918">
        <f t="shared" si="408"/>
        <v>30</v>
      </c>
      <c r="X1918">
        <f t="shared" si="409"/>
        <v>0.35149999999999998</v>
      </c>
      <c r="Y1918" s="1">
        <f t="shared" si="410"/>
        <v>4060338</v>
      </c>
      <c r="Z1918">
        <f t="shared" si="411"/>
        <v>48337.357142857145</v>
      </c>
      <c r="AA1918">
        <f t="shared" si="412"/>
        <v>98054</v>
      </c>
      <c r="AB1918">
        <f t="shared" si="413"/>
        <v>5091</v>
      </c>
      <c r="AC1918">
        <f t="shared" si="414"/>
        <v>102542.5</v>
      </c>
      <c r="AD1918">
        <f t="shared" si="415"/>
        <v>1220.7440476190477</v>
      </c>
      <c r="AE1918">
        <f t="shared" si="416"/>
        <v>0.35149999999999998</v>
      </c>
      <c r="AF1918">
        <f t="shared" si="417"/>
        <v>4203072.78</v>
      </c>
      <c r="AG1918" t="str">
        <f t="shared" si="418"/>
        <v>Active</v>
      </c>
      <c r="AH1918">
        <f t="shared" si="419"/>
        <v>3173.04</v>
      </c>
    </row>
    <row r="1919" spans="1:34" x14ac:dyDescent="0.35">
      <c r="A1919" t="s">
        <v>4940</v>
      </c>
      <c r="B1919" t="s">
        <v>4941</v>
      </c>
      <c r="C1919">
        <v>48</v>
      </c>
      <c r="D1919" t="s">
        <v>22</v>
      </c>
      <c r="E1919" t="s">
        <v>23</v>
      </c>
      <c r="F1919" t="s">
        <v>24</v>
      </c>
      <c r="G1919">
        <v>77753</v>
      </c>
      <c r="H1919">
        <v>363</v>
      </c>
      <c r="I1919">
        <v>80559</v>
      </c>
      <c r="J1919">
        <v>10.17</v>
      </c>
      <c r="K1919">
        <v>48</v>
      </c>
      <c r="L1919" t="s">
        <v>40</v>
      </c>
      <c r="M1919">
        <v>9.65</v>
      </c>
      <c r="N1919">
        <v>19219</v>
      </c>
      <c r="O1919">
        <v>126428</v>
      </c>
      <c r="P1919" t="s">
        <v>1893</v>
      </c>
      <c r="Q1919" t="s">
        <v>61</v>
      </c>
      <c r="R1919" t="s">
        <v>28</v>
      </c>
      <c r="S1919" t="s">
        <v>68</v>
      </c>
      <c r="T1919">
        <v>1849</v>
      </c>
      <c r="U1919">
        <f t="shared" si="406"/>
        <v>83</v>
      </c>
      <c r="V1919">
        <f t="shared" si="407"/>
        <v>31</v>
      </c>
      <c r="W1919">
        <f t="shared" si="408"/>
        <v>29</v>
      </c>
      <c r="X1919">
        <f t="shared" si="409"/>
        <v>0.35149999999999998</v>
      </c>
      <c r="Y1919" s="1">
        <f t="shared" si="410"/>
        <v>4051597</v>
      </c>
      <c r="Z1919">
        <f t="shared" si="411"/>
        <v>48814.421686746988</v>
      </c>
      <c r="AA1919">
        <f t="shared" si="412"/>
        <v>98054</v>
      </c>
      <c r="AB1919">
        <f t="shared" si="413"/>
        <v>5091</v>
      </c>
      <c r="AC1919">
        <f t="shared" si="414"/>
        <v>102278.08</v>
      </c>
      <c r="AD1919">
        <f t="shared" si="415"/>
        <v>1232.2660240963855</v>
      </c>
      <c r="AE1919">
        <f t="shared" si="416"/>
        <v>0.35149999999999998</v>
      </c>
      <c r="AF1919">
        <f t="shared" si="417"/>
        <v>4100530.2800000007</v>
      </c>
      <c r="AG1919" t="str">
        <f t="shared" si="418"/>
        <v>Active</v>
      </c>
      <c r="AH1919">
        <f t="shared" si="419"/>
        <v>22188</v>
      </c>
    </row>
    <row r="1920" spans="1:34" x14ac:dyDescent="0.35">
      <c r="A1920" t="s">
        <v>4942</v>
      </c>
      <c r="B1920" t="s">
        <v>4943</v>
      </c>
      <c r="C1920">
        <v>32</v>
      </c>
      <c r="D1920" t="s">
        <v>38</v>
      </c>
      <c r="E1920" t="s">
        <v>32</v>
      </c>
      <c r="F1920" t="s">
        <v>59</v>
      </c>
      <c r="G1920">
        <v>187008</v>
      </c>
      <c r="H1920">
        <v>746</v>
      </c>
      <c r="I1920">
        <v>18563</v>
      </c>
      <c r="J1920">
        <v>14.9</v>
      </c>
      <c r="K1920">
        <v>48</v>
      </c>
      <c r="L1920" t="s">
        <v>52</v>
      </c>
      <c r="M1920">
        <v>54.83</v>
      </c>
      <c r="N1920">
        <v>30808</v>
      </c>
      <c r="O1920">
        <v>238939</v>
      </c>
      <c r="P1920" t="s">
        <v>2683</v>
      </c>
      <c r="Q1920" t="s">
        <v>61</v>
      </c>
      <c r="R1920" t="s">
        <v>48</v>
      </c>
      <c r="S1920" t="s">
        <v>43</v>
      </c>
      <c r="T1920">
        <v>444.35</v>
      </c>
      <c r="U1920">
        <f t="shared" si="406"/>
        <v>82</v>
      </c>
      <c r="V1920">
        <f t="shared" si="407"/>
        <v>31</v>
      </c>
      <c r="W1920">
        <f t="shared" si="408"/>
        <v>28</v>
      </c>
      <c r="X1920">
        <f t="shared" si="409"/>
        <v>0.35149999999999998</v>
      </c>
      <c r="Y1920" s="1">
        <f t="shared" si="410"/>
        <v>3971038</v>
      </c>
      <c r="Z1920">
        <f t="shared" si="411"/>
        <v>48427.292682926833</v>
      </c>
      <c r="AA1920">
        <f t="shared" si="412"/>
        <v>98054</v>
      </c>
      <c r="AB1920">
        <f t="shared" si="413"/>
        <v>5091</v>
      </c>
      <c r="AC1920">
        <f t="shared" si="414"/>
        <v>100429.08</v>
      </c>
      <c r="AD1920">
        <f t="shared" si="415"/>
        <v>1224.7448780487805</v>
      </c>
      <c r="AE1920">
        <f t="shared" si="416"/>
        <v>0.35149999999999998</v>
      </c>
      <c r="AF1920">
        <f t="shared" si="417"/>
        <v>3998252.2000000011</v>
      </c>
      <c r="AG1920" t="str">
        <f t="shared" si="418"/>
        <v>Active</v>
      </c>
      <c r="AH1920">
        <f t="shared" si="419"/>
        <v>5332.2000000000007</v>
      </c>
    </row>
    <row r="1921" spans="1:34" x14ac:dyDescent="0.35">
      <c r="A1921" t="s">
        <v>4944</v>
      </c>
      <c r="B1921" t="s">
        <v>4945</v>
      </c>
      <c r="C1921">
        <v>39</v>
      </c>
      <c r="D1921" t="s">
        <v>22</v>
      </c>
      <c r="E1921" t="s">
        <v>32</v>
      </c>
      <c r="F1921" t="s">
        <v>24</v>
      </c>
      <c r="G1921">
        <v>38611</v>
      </c>
      <c r="H1921">
        <v>416</v>
      </c>
      <c r="I1921">
        <v>51349</v>
      </c>
      <c r="J1921">
        <v>7.27</v>
      </c>
      <c r="K1921">
        <v>240</v>
      </c>
      <c r="L1921" t="s">
        <v>52</v>
      </c>
      <c r="M1921">
        <v>38.32</v>
      </c>
      <c r="N1921">
        <v>53411</v>
      </c>
      <c r="O1921">
        <v>121987</v>
      </c>
      <c r="P1921" t="s">
        <v>4403</v>
      </c>
      <c r="Q1921" t="s">
        <v>27</v>
      </c>
      <c r="R1921" t="s">
        <v>48</v>
      </c>
      <c r="S1921" t="s">
        <v>29</v>
      </c>
      <c r="T1921">
        <v>229.51</v>
      </c>
      <c r="U1921">
        <f t="shared" si="406"/>
        <v>81</v>
      </c>
      <c r="V1921">
        <f t="shared" si="407"/>
        <v>31</v>
      </c>
      <c r="W1921">
        <f t="shared" si="408"/>
        <v>27</v>
      </c>
      <c r="X1921">
        <f t="shared" si="409"/>
        <v>0.35149999999999998</v>
      </c>
      <c r="Y1921" s="1">
        <f t="shared" si="410"/>
        <v>3952475</v>
      </c>
      <c r="Z1921">
        <f t="shared" si="411"/>
        <v>48795.98765432099</v>
      </c>
      <c r="AA1921">
        <f t="shared" si="412"/>
        <v>98054</v>
      </c>
      <c r="AB1921">
        <f t="shared" si="413"/>
        <v>5091</v>
      </c>
      <c r="AC1921">
        <f t="shared" si="414"/>
        <v>99984.73</v>
      </c>
      <c r="AD1921">
        <f t="shared" si="415"/>
        <v>1234.3793827160493</v>
      </c>
      <c r="AE1921">
        <f t="shared" si="416"/>
        <v>0.35149999999999998</v>
      </c>
      <c r="AF1921">
        <f t="shared" si="417"/>
        <v>3897823.1200000006</v>
      </c>
      <c r="AG1921" t="str">
        <f t="shared" si="418"/>
        <v>Active</v>
      </c>
      <c r="AH1921">
        <f t="shared" si="419"/>
        <v>2754.12</v>
      </c>
    </row>
    <row r="1922" spans="1:34" x14ac:dyDescent="0.35">
      <c r="A1922" t="s">
        <v>4946</v>
      </c>
      <c r="B1922" t="s">
        <v>4947</v>
      </c>
      <c r="C1922">
        <v>48</v>
      </c>
      <c r="D1922" t="s">
        <v>22</v>
      </c>
      <c r="E1922" t="s">
        <v>32</v>
      </c>
      <c r="F1922" t="s">
        <v>46</v>
      </c>
      <c r="G1922">
        <v>97926</v>
      </c>
      <c r="H1922">
        <v>310</v>
      </c>
      <c r="I1922">
        <v>17507</v>
      </c>
      <c r="J1922">
        <v>17.89</v>
      </c>
      <c r="K1922">
        <v>360</v>
      </c>
      <c r="L1922" t="s">
        <v>25</v>
      </c>
      <c r="M1922">
        <v>21.17</v>
      </c>
      <c r="N1922">
        <v>29161</v>
      </c>
      <c r="O1922">
        <v>238774</v>
      </c>
      <c r="P1922" t="s">
        <v>860</v>
      </c>
      <c r="Q1922" t="s">
        <v>61</v>
      </c>
      <c r="R1922" t="s">
        <v>48</v>
      </c>
      <c r="S1922" t="s">
        <v>35</v>
      </c>
      <c r="T1922">
        <v>57.33</v>
      </c>
      <c r="U1922">
        <f t="shared" ref="U1922:U1985" si="420">COUNTA(A1922:A3921)</f>
        <v>80</v>
      </c>
      <c r="V1922">
        <f t="shared" ref="V1922:V1985" si="421">COUNTIF(Q1922:Q3921,"APPROVED")</f>
        <v>31</v>
      </c>
      <c r="W1922">
        <f t="shared" ref="W1922:W1985" si="422">COUNTIF(Q1922:Q3922,"Rejected")</f>
        <v>27</v>
      </c>
      <c r="X1922">
        <f t="shared" ref="X1922:X1985" si="423">703/2000</f>
        <v>0.35149999999999998</v>
      </c>
      <c r="Y1922" s="1">
        <f t="shared" ref="Y1922:Y1985" si="424">SUM(I1922:I3921)</f>
        <v>3901126</v>
      </c>
      <c r="Z1922">
        <f t="shared" ref="Z1922:Z1985" si="425">AVERAGE(I1922:I21921)</f>
        <v>48764.074999999997</v>
      </c>
      <c r="AA1922">
        <f t="shared" ref="AA1922:AA1985" si="426">MAX(I1922:I3921)</f>
        <v>98054</v>
      </c>
      <c r="AB1922">
        <f t="shared" ref="AB1922:AB1985" si="427">MIN(I1922:I3921)</f>
        <v>5091</v>
      </c>
      <c r="AC1922">
        <f t="shared" ref="AC1922:AC1985" si="428">SUM(T1922:T3921)</f>
        <v>99755.22</v>
      </c>
      <c r="AD1922">
        <f t="shared" ref="AD1922:AD1985" si="429">AVERAGE(T1922:T3921)</f>
        <v>1246.9402500000001</v>
      </c>
      <c r="AE1922">
        <f t="shared" ref="AE1922:AE1985" si="430">703/2000</f>
        <v>0.35149999999999998</v>
      </c>
      <c r="AF1922">
        <f t="shared" ref="AF1922:AF1985" si="431">SUM(AC1922:AC3921)</f>
        <v>3797838.3900000006</v>
      </c>
      <c r="AG1922" t="str">
        <f t="shared" ref="AG1922:AG1985" si="432">IF(AH1922=0,"Bad", IF(AH1921&lt;I1921, "Active", IF(AH1921=I1921, "Good", "Over Paid")))</f>
        <v>Active</v>
      </c>
      <c r="AH1922">
        <f t="shared" ref="AH1922:AH1985" si="433">T1922*12</f>
        <v>687.96</v>
      </c>
    </row>
    <row r="1923" spans="1:34" x14ac:dyDescent="0.35">
      <c r="A1923" t="s">
        <v>4948</v>
      </c>
      <c r="B1923" t="s">
        <v>4949</v>
      </c>
      <c r="C1923">
        <v>60</v>
      </c>
      <c r="D1923" t="s">
        <v>38</v>
      </c>
      <c r="E1923" t="s">
        <v>39</v>
      </c>
      <c r="F1923" t="s">
        <v>24</v>
      </c>
      <c r="G1923">
        <v>38995</v>
      </c>
      <c r="H1923">
        <v>665</v>
      </c>
      <c r="I1923">
        <v>81979</v>
      </c>
      <c r="J1923">
        <v>14.66</v>
      </c>
      <c r="K1923">
        <v>60</v>
      </c>
      <c r="L1923" t="s">
        <v>40</v>
      </c>
      <c r="M1923">
        <v>51.78</v>
      </c>
      <c r="N1923">
        <v>2256</v>
      </c>
      <c r="O1923">
        <v>73576</v>
      </c>
      <c r="P1923" t="s">
        <v>3924</v>
      </c>
      <c r="Q1923" t="s">
        <v>27</v>
      </c>
      <c r="R1923" t="s">
        <v>28</v>
      </c>
      <c r="S1923" t="s">
        <v>68</v>
      </c>
      <c r="T1923">
        <v>1566.62</v>
      </c>
      <c r="U1923">
        <f t="shared" si="420"/>
        <v>79</v>
      </c>
      <c r="V1923">
        <f t="shared" si="421"/>
        <v>31</v>
      </c>
      <c r="W1923">
        <f t="shared" si="422"/>
        <v>26</v>
      </c>
      <c r="X1923">
        <f t="shared" si="423"/>
        <v>0.35149999999999998</v>
      </c>
      <c r="Y1923" s="1">
        <f t="shared" si="424"/>
        <v>3883619</v>
      </c>
      <c r="Z1923">
        <f t="shared" si="425"/>
        <v>49159.734177215192</v>
      </c>
      <c r="AA1923">
        <f t="shared" si="426"/>
        <v>98054</v>
      </c>
      <c r="AB1923">
        <f t="shared" si="427"/>
        <v>5091</v>
      </c>
      <c r="AC1923">
        <f t="shared" si="428"/>
        <v>99697.89</v>
      </c>
      <c r="AD1923">
        <f t="shared" si="429"/>
        <v>1261.9986075949366</v>
      </c>
      <c r="AE1923">
        <f t="shared" si="430"/>
        <v>0.35149999999999998</v>
      </c>
      <c r="AF1923">
        <f t="shared" si="431"/>
        <v>3698083.1700000009</v>
      </c>
      <c r="AG1923" t="str">
        <f t="shared" si="432"/>
        <v>Active</v>
      </c>
      <c r="AH1923">
        <f t="shared" si="433"/>
        <v>18799.439999999999</v>
      </c>
    </row>
    <row r="1924" spans="1:34" x14ac:dyDescent="0.35">
      <c r="A1924" t="s">
        <v>4950</v>
      </c>
      <c r="B1924" t="s">
        <v>4951</v>
      </c>
      <c r="C1924">
        <v>51</v>
      </c>
      <c r="D1924" t="s">
        <v>38</v>
      </c>
      <c r="E1924" t="s">
        <v>32</v>
      </c>
      <c r="F1924" t="s">
        <v>24</v>
      </c>
      <c r="G1924">
        <v>170843</v>
      </c>
      <c r="H1924">
        <v>772</v>
      </c>
      <c r="I1924">
        <v>7369</v>
      </c>
      <c r="J1924">
        <v>23.12</v>
      </c>
      <c r="K1924">
        <v>24</v>
      </c>
      <c r="L1924" t="s">
        <v>40</v>
      </c>
      <c r="M1924">
        <v>10.31</v>
      </c>
      <c r="N1924">
        <v>23732</v>
      </c>
      <c r="O1924">
        <v>21270</v>
      </c>
      <c r="P1924" t="s">
        <v>343</v>
      </c>
      <c r="Q1924" t="s">
        <v>42</v>
      </c>
      <c r="R1924" t="s">
        <v>28</v>
      </c>
      <c r="S1924" t="s">
        <v>49</v>
      </c>
      <c r="T1924">
        <v>378.03</v>
      </c>
      <c r="U1924">
        <f t="shared" si="420"/>
        <v>78</v>
      </c>
      <c r="V1924">
        <f t="shared" si="421"/>
        <v>31</v>
      </c>
      <c r="W1924">
        <f t="shared" si="422"/>
        <v>26</v>
      </c>
      <c r="X1924">
        <f t="shared" si="423"/>
        <v>0.35149999999999998</v>
      </c>
      <c r="Y1924" s="1">
        <f t="shared" si="424"/>
        <v>3801640</v>
      </c>
      <c r="Z1924">
        <f t="shared" si="425"/>
        <v>48738.974358974359</v>
      </c>
      <c r="AA1924">
        <f t="shared" si="426"/>
        <v>98054</v>
      </c>
      <c r="AB1924">
        <f t="shared" si="427"/>
        <v>5091</v>
      </c>
      <c r="AC1924">
        <f t="shared" si="428"/>
        <v>98131.27</v>
      </c>
      <c r="AD1924">
        <f t="shared" si="429"/>
        <v>1258.0932051282052</v>
      </c>
      <c r="AE1924">
        <f t="shared" si="430"/>
        <v>0.35149999999999998</v>
      </c>
      <c r="AF1924">
        <f t="shared" si="431"/>
        <v>3598385.2800000003</v>
      </c>
      <c r="AG1924" t="str">
        <f t="shared" si="432"/>
        <v>Active</v>
      </c>
      <c r="AH1924">
        <f t="shared" si="433"/>
        <v>4536.3599999999997</v>
      </c>
    </row>
    <row r="1925" spans="1:34" x14ac:dyDescent="0.35">
      <c r="A1925" t="s">
        <v>4952</v>
      </c>
      <c r="B1925" t="s">
        <v>4953</v>
      </c>
      <c r="C1925">
        <v>35</v>
      </c>
      <c r="D1925" t="s">
        <v>22</v>
      </c>
      <c r="E1925" t="s">
        <v>23</v>
      </c>
      <c r="F1925" t="s">
        <v>24</v>
      </c>
      <c r="G1925">
        <v>157237</v>
      </c>
      <c r="H1925">
        <v>543</v>
      </c>
      <c r="I1925">
        <v>42961</v>
      </c>
      <c r="J1925">
        <v>4.9800000000000004</v>
      </c>
      <c r="K1925">
        <v>180</v>
      </c>
      <c r="L1925" t="s">
        <v>33</v>
      </c>
      <c r="M1925">
        <v>49.67</v>
      </c>
      <c r="N1925">
        <v>48303</v>
      </c>
      <c r="O1925">
        <v>139751</v>
      </c>
      <c r="P1925" t="s">
        <v>4954</v>
      </c>
      <c r="Q1925" t="s">
        <v>27</v>
      </c>
      <c r="R1925" t="s">
        <v>28</v>
      </c>
      <c r="S1925" t="s">
        <v>29</v>
      </c>
      <c r="T1925">
        <v>250.56</v>
      </c>
      <c r="U1925">
        <f t="shared" si="420"/>
        <v>77</v>
      </c>
      <c r="V1925">
        <f t="shared" si="421"/>
        <v>30</v>
      </c>
      <c r="W1925">
        <f t="shared" si="422"/>
        <v>26</v>
      </c>
      <c r="X1925">
        <f t="shared" si="423"/>
        <v>0.35149999999999998</v>
      </c>
      <c r="Y1925" s="1">
        <f t="shared" si="424"/>
        <v>3794271</v>
      </c>
      <c r="Z1925">
        <f t="shared" si="425"/>
        <v>49276.246753246756</v>
      </c>
      <c r="AA1925">
        <f t="shared" si="426"/>
        <v>98054</v>
      </c>
      <c r="AB1925">
        <f t="shared" si="427"/>
        <v>5091</v>
      </c>
      <c r="AC1925">
        <f t="shared" si="428"/>
        <v>97753.24</v>
      </c>
      <c r="AD1925">
        <f t="shared" si="429"/>
        <v>1269.5225974025975</v>
      </c>
      <c r="AE1925">
        <f t="shared" si="430"/>
        <v>0.35149999999999998</v>
      </c>
      <c r="AF1925">
        <f t="shared" si="431"/>
        <v>3500254.0100000002</v>
      </c>
      <c r="AG1925" t="str">
        <f t="shared" si="432"/>
        <v>Active</v>
      </c>
      <c r="AH1925">
        <f t="shared" si="433"/>
        <v>3006.7200000000003</v>
      </c>
    </row>
    <row r="1926" spans="1:34" x14ac:dyDescent="0.35">
      <c r="A1926" t="s">
        <v>4955</v>
      </c>
      <c r="B1926" t="s">
        <v>4956</v>
      </c>
      <c r="C1926">
        <v>33</v>
      </c>
      <c r="D1926" t="s">
        <v>38</v>
      </c>
      <c r="E1926" t="s">
        <v>32</v>
      </c>
      <c r="F1926" t="s">
        <v>46</v>
      </c>
      <c r="G1926">
        <v>176526</v>
      </c>
      <c r="H1926">
        <v>358</v>
      </c>
      <c r="I1926">
        <v>35297</v>
      </c>
      <c r="J1926">
        <v>4.2699999999999996</v>
      </c>
      <c r="K1926">
        <v>24</v>
      </c>
      <c r="L1926" t="s">
        <v>86</v>
      </c>
      <c r="M1926">
        <v>20.74</v>
      </c>
      <c r="N1926">
        <v>56338</v>
      </c>
      <c r="O1926">
        <v>80411</v>
      </c>
      <c r="P1926" t="s">
        <v>4957</v>
      </c>
      <c r="Q1926" t="s">
        <v>42</v>
      </c>
      <c r="R1926" t="s">
        <v>28</v>
      </c>
      <c r="S1926" t="s">
        <v>43</v>
      </c>
      <c r="T1926">
        <v>1533.51</v>
      </c>
      <c r="U1926">
        <f t="shared" si="420"/>
        <v>76</v>
      </c>
      <c r="V1926">
        <f t="shared" si="421"/>
        <v>30</v>
      </c>
      <c r="W1926">
        <f t="shared" si="422"/>
        <v>26</v>
      </c>
      <c r="X1926">
        <f t="shared" si="423"/>
        <v>0.35149999999999998</v>
      </c>
      <c r="Y1926" s="1">
        <f t="shared" si="424"/>
        <v>3751310</v>
      </c>
      <c r="Z1926">
        <f t="shared" si="425"/>
        <v>49359.34210526316</v>
      </c>
      <c r="AA1926">
        <f t="shared" si="426"/>
        <v>98054</v>
      </c>
      <c r="AB1926">
        <f t="shared" si="427"/>
        <v>5091</v>
      </c>
      <c r="AC1926">
        <f t="shared" si="428"/>
        <v>97502.680000000008</v>
      </c>
      <c r="AD1926">
        <f t="shared" si="429"/>
        <v>1282.93</v>
      </c>
      <c r="AE1926">
        <f t="shared" si="430"/>
        <v>0.35149999999999998</v>
      </c>
      <c r="AF1926">
        <f t="shared" si="431"/>
        <v>3402500.7700000005</v>
      </c>
      <c r="AG1926" t="str">
        <f t="shared" si="432"/>
        <v>Active</v>
      </c>
      <c r="AH1926">
        <f t="shared" si="433"/>
        <v>18402.12</v>
      </c>
    </row>
    <row r="1927" spans="1:34" x14ac:dyDescent="0.35">
      <c r="A1927" t="s">
        <v>4958</v>
      </c>
      <c r="B1927" t="s">
        <v>4959</v>
      </c>
      <c r="C1927">
        <v>29</v>
      </c>
      <c r="D1927" t="s">
        <v>38</v>
      </c>
      <c r="E1927" t="s">
        <v>23</v>
      </c>
      <c r="F1927" t="s">
        <v>24</v>
      </c>
      <c r="G1927">
        <v>120162</v>
      </c>
      <c r="H1927">
        <v>713</v>
      </c>
      <c r="I1927">
        <v>73891</v>
      </c>
      <c r="J1927">
        <v>9.49</v>
      </c>
      <c r="K1927">
        <v>60</v>
      </c>
      <c r="L1927" t="s">
        <v>52</v>
      </c>
      <c r="M1927">
        <v>58.31</v>
      </c>
      <c r="N1927">
        <v>4085</v>
      </c>
      <c r="O1927">
        <v>112154</v>
      </c>
      <c r="P1927" t="s">
        <v>1481</v>
      </c>
      <c r="Q1927" t="s">
        <v>42</v>
      </c>
      <c r="R1927" t="s">
        <v>28</v>
      </c>
      <c r="S1927" t="s">
        <v>35</v>
      </c>
      <c r="T1927">
        <v>1348.39</v>
      </c>
      <c r="U1927">
        <f t="shared" si="420"/>
        <v>75</v>
      </c>
      <c r="V1927">
        <f t="shared" si="421"/>
        <v>29</v>
      </c>
      <c r="W1927">
        <f t="shared" si="422"/>
        <v>26</v>
      </c>
      <c r="X1927">
        <f t="shared" si="423"/>
        <v>0.35149999999999998</v>
      </c>
      <c r="Y1927" s="1">
        <f t="shared" si="424"/>
        <v>3716013</v>
      </c>
      <c r="Z1927">
        <f t="shared" si="425"/>
        <v>49546.84</v>
      </c>
      <c r="AA1927">
        <f t="shared" si="426"/>
        <v>98054</v>
      </c>
      <c r="AB1927">
        <f t="shared" si="427"/>
        <v>5091</v>
      </c>
      <c r="AC1927">
        <f t="shared" si="428"/>
        <v>95969.17</v>
      </c>
      <c r="AD1927">
        <f t="shared" si="429"/>
        <v>1279.5889333333332</v>
      </c>
      <c r="AE1927">
        <f t="shared" si="430"/>
        <v>0.35149999999999998</v>
      </c>
      <c r="AF1927">
        <f t="shared" si="431"/>
        <v>3304998.0900000008</v>
      </c>
      <c r="AG1927" t="str">
        <f t="shared" si="432"/>
        <v>Active</v>
      </c>
      <c r="AH1927">
        <f t="shared" si="433"/>
        <v>16180.68</v>
      </c>
    </row>
    <row r="1928" spans="1:34" x14ac:dyDescent="0.35">
      <c r="A1928" t="s">
        <v>4960</v>
      </c>
      <c r="B1928" t="s">
        <v>4961</v>
      </c>
      <c r="C1928">
        <v>23</v>
      </c>
      <c r="D1928" t="s">
        <v>22</v>
      </c>
      <c r="E1928" t="s">
        <v>23</v>
      </c>
      <c r="F1928" t="s">
        <v>59</v>
      </c>
      <c r="G1928">
        <v>90916</v>
      </c>
      <c r="H1928">
        <v>825</v>
      </c>
      <c r="I1928">
        <v>8745</v>
      </c>
      <c r="J1928">
        <v>11.99</v>
      </c>
      <c r="K1928">
        <v>48</v>
      </c>
      <c r="L1928" t="s">
        <v>86</v>
      </c>
      <c r="M1928">
        <v>56.53</v>
      </c>
      <c r="N1928">
        <v>79959</v>
      </c>
      <c r="O1928">
        <v>47103</v>
      </c>
      <c r="P1928" t="s">
        <v>782</v>
      </c>
      <c r="Q1928" t="s">
        <v>61</v>
      </c>
      <c r="R1928" t="s">
        <v>28</v>
      </c>
      <c r="S1928" t="s">
        <v>43</v>
      </c>
      <c r="T1928">
        <v>204.03</v>
      </c>
      <c r="U1928">
        <f t="shared" si="420"/>
        <v>74</v>
      </c>
      <c r="V1928">
        <f t="shared" si="421"/>
        <v>28</v>
      </c>
      <c r="W1928">
        <f t="shared" si="422"/>
        <v>26</v>
      </c>
      <c r="X1928">
        <f t="shared" si="423"/>
        <v>0.35149999999999998</v>
      </c>
      <c r="Y1928" s="1">
        <f t="shared" si="424"/>
        <v>3642122</v>
      </c>
      <c r="Z1928">
        <f t="shared" si="425"/>
        <v>49217.864864864867</v>
      </c>
      <c r="AA1928">
        <f t="shared" si="426"/>
        <v>98054</v>
      </c>
      <c r="AB1928">
        <f t="shared" si="427"/>
        <v>5091</v>
      </c>
      <c r="AC1928">
        <f t="shared" si="428"/>
        <v>94620.780000000013</v>
      </c>
      <c r="AD1928">
        <f t="shared" si="429"/>
        <v>1278.6591891891894</v>
      </c>
      <c r="AE1928">
        <f t="shared" si="430"/>
        <v>0.35149999999999998</v>
      </c>
      <c r="AF1928">
        <f t="shared" si="431"/>
        <v>3209028.9200000009</v>
      </c>
      <c r="AG1928" t="str">
        <f t="shared" si="432"/>
        <v>Active</v>
      </c>
      <c r="AH1928">
        <f t="shared" si="433"/>
        <v>2448.36</v>
      </c>
    </row>
    <row r="1929" spans="1:34" x14ac:dyDescent="0.35">
      <c r="A1929" t="s">
        <v>4962</v>
      </c>
      <c r="B1929" t="s">
        <v>4963</v>
      </c>
      <c r="C1929">
        <v>52</v>
      </c>
      <c r="D1929" t="s">
        <v>38</v>
      </c>
      <c r="E1929" t="s">
        <v>32</v>
      </c>
      <c r="F1929" t="s">
        <v>46</v>
      </c>
      <c r="G1929">
        <v>80245</v>
      </c>
      <c r="H1929">
        <v>750</v>
      </c>
      <c r="I1929">
        <v>52826</v>
      </c>
      <c r="J1929">
        <v>11.5</v>
      </c>
      <c r="K1929">
        <v>36</v>
      </c>
      <c r="L1929" t="s">
        <v>40</v>
      </c>
      <c r="M1929">
        <v>35.89</v>
      </c>
      <c r="N1929">
        <v>61188</v>
      </c>
      <c r="O1929">
        <v>19722</v>
      </c>
      <c r="P1929" t="s">
        <v>2705</v>
      </c>
      <c r="Q1929" t="s">
        <v>27</v>
      </c>
      <c r="R1929" t="s">
        <v>28</v>
      </c>
      <c r="S1929" t="s">
        <v>29</v>
      </c>
      <c r="T1929">
        <v>1636.14</v>
      </c>
      <c r="U1929">
        <f t="shared" si="420"/>
        <v>73</v>
      </c>
      <c r="V1929">
        <f t="shared" si="421"/>
        <v>28</v>
      </c>
      <c r="W1929">
        <f t="shared" si="422"/>
        <v>25</v>
      </c>
      <c r="X1929">
        <f t="shared" si="423"/>
        <v>0.35149999999999998</v>
      </c>
      <c r="Y1929" s="1">
        <f t="shared" si="424"/>
        <v>3633377</v>
      </c>
      <c r="Z1929">
        <f t="shared" si="425"/>
        <v>49772.28767123288</v>
      </c>
      <c r="AA1929">
        <f t="shared" si="426"/>
        <v>98054</v>
      </c>
      <c r="AB1929">
        <f t="shared" si="427"/>
        <v>5091</v>
      </c>
      <c r="AC1929">
        <f t="shared" si="428"/>
        <v>94416.750000000015</v>
      </c>
      <c r="AD1929">
        <f t="shared" si="429"/>
        <v>1293.3801369863015</v>
      </c>
      <c r="AE1929">
        <f t="shared" si="430"/>
        <v>0.35149999999999998</v>
      </c>
      <c r="AF1929">
        <f t="shared" si="431"/>
        <v>3114408.1400000006</v>
      </c>
      <c r="AG1929" t="str">
        <f t="shared" si="432"/>
        <v>Active</v>
      </c>
      <c r="AH1929">
        <f t="shared" si="433"/>
        <v>19633.68</v>
      </c>
    </row>
    <row r="1930" spans="1:34" x14ac:dyDescent="0.35">
      <c r="A1930" t="s">
        <v>4964</v>
      </c>
      <c r="B1930" t="s">
        <v>4965</v>
      </c>
      <c r="C1930">
        <v>32</v>
      </c>
      <c r="D1930" t="s">
        <v>22</v>
      </c>
      <c r="E1930" t="s">
        <v>32</v>
      </c>
      <c r="F1930" t="s">
        <v>24</v>
      </c>
      <c r="G1930">
        <v>111018</v>
      </c>
      <c r="H1930">
        <v>421</v>
      </c>
      <c r="I1930">
        <v>38740</v>
      </c>
      <c r="J1930">
        <v>15.32</v>
      </c>
      <c r="K1930">
        <v>12</v>
      </c>
      <c r="L1930" t="s">
        <v>52</v>
      </c>
      <c r="M1930">
        <v>53.98</v>
      </c>
      <c r="N1930">
        <v>21468</v>
      </c>
      <c r="O1930">
        <v>36763</v>
      </c>
      <c r="P1930" t="s">
        <v>90</v>
      </c>
      <c r="Q1930" t="s">
        <v>42</v>
      </c>
      <c r="R1930" t="s">
        <v>28</v>
      </c>
      <c r="S1930" t="s">
        <v>43</v>
      </c>
      <c r="T1930">
        <v>3722.91</v>
      </c>
      <c r="U1930">
        <f t="shared" si="420"/>
        <v>72</v>
      </c>
      <c r="V1930">
        <f t="shared" si="421"/>
        <v>28</v>
      </c>
      <c r="W1930">
        <f t="shared" si="422"/>
        <v>25</v>
      </c>
      <c r="X1930">
        <f t="shared" si="423"/>
        <v>0.35149999999999998</v>
      </c>
      <c r="Y1930" s="1">
        <f t="shared" si="424"/>
        <v>3580551</v>
      </c>
      <c r="Z1930">
        <f t="shared" si="425"/>
        <v>49729.875</v>
      </c>
      <c r="AA1930">
        <f t="shared" si="426"/>
        <v>98054</v>
      </c>
      <c r="AB1930">
        <f t="shared" si="427"/>
        <v>5091</v>
      </c>
      <c r="AC1930">
        <f t="shared" si="428"/>
        <v>92780.61</v>
      </c>
      <c r="AD1930">
        <f t="shared" si="429"/>
        <v>1288.6195833333334</v>
      </c>
      <c r="AE1930">
        <f t="shared" si="430"/>
        <v>0.35149999999999998</v>
      </c>
      <c r="AF1930">
        <f t="shared" si="431"/>
        <v>3019991.3900000011</v>
      </c>
      <c r="AG1930" t="str">
        <f t="shared" si="432"/>
        <v>Active</v>
      </c>
      <c r="AH1930">
        <f t="shared" si="433"/>
        <v>44674.92</v>
      </c>
    </row>
    <row r="1931" spans="1:34" x14ac:dyDescent="0.35">
      <c r="A1931" t="s">
        <v>4966</v>
      </c>
      <c r="B1931" t="s">
        <v>4967</v>
      </c>
      <c r="C1931">
        <v>44</v>
      </c>
      <c r="D1931" t="s">
        <v>22</v>
      </c>
      <c r="E1931" t="s">
        <v>32</v>
      </c>
      <c r="F1931" t="s">
        <v>59</v>
      </c>
      <c r="G1931">
        <v>104380</v>
      </c>
      <c r="H1931">
        <v>727</v>
      </c>
      <c r="I1931">
        <v>17101</v>
      </c>
      <c r="J1931">
        <v>9.69</v>
      </c>
      <c r="K1931">
        <v>36</v>
      </c>
      <c r="L1931" t="s">
        <v>40</v>
      </c>
      <c r="M1931">
        <v>56.36</v>
      </c>
      <c r="N1931">
        <v>58703</v>
      </c>
      <c r="O1931">
        <v>80671</v>
      </c>
      <c r="P1931" t="s">
        <v>3024</v>
      </c>
      <c r="Q1931" t="s">
        <v>27</v>
      </c>
      <c r="R1931" t="s">
        <v>48</v>
      </c>
      <c r="S1931" t="s">
        <v>68</v>
      </c>
      <c r="T1931">
        <v>521.05999999999995</v>
      </c>
      <c r="U1931">
        <f t="shared" si="420"/>
        <v>71</v>
      </c>
      <c r="V1931">
        <f t="shared" si="421"/>
        <v>27</v>
      </c>
      <c r="W1931">
        <f t="shared" si="422"/>
        <v>25</v>
      </c>
      <c r="X1931">
        <f t="shared" si="423"/>
        <v>0.35149999999999998</v>
      </c>
      <c r="Y1931" s="1">
        <f t="shared" si="424"/>
        <v>3541811</v>
      </c>
      <c r="Z1931">
        <f t="shared" si="425"/>
        <v>49884.661971830988</v>
      </c>
      <c r="AA1931">
        <f t="shared" si="426"/>
        <v>98054</v>
      </c>
      <c r="AB1931">
        <f t="shared" si="427"/>
        <v>5091</v>
      </c>
      <c r="AC1931">
        <f t="shared" si="428"/>
        <v>89057.699999999983</v>
      </c>
      <c r="AD1931">
        <f t="shared" si="429"/>
        <v>1254.3338028169012</v>
      </c>
      <c r="AE1931">
        <f t="shared" si="430"/>
        <v>0.35149999999999998</v>
      </c>
      <c r="AF1931">
        <f t="shared" si="431"/>
        <v>2927210.7800000007</v>
      </c>
      <c r="AG1931" t="str">
        <f t="shared" si="432"/>
        <v>Over Paid</v>
      </c>
      <c r="AH1931">
        <f t="shared" si="433"/>
        <v>6252.7199999999993</v>
      </c>
    </row>
    <row r="1932" spans="1:34" x14ac:dyDescent="0.35">
      <c r="A1932" t="s">
        <v>4968</v>
      </c>
      <c r="B1932" t="s">
        <v>4969</v>
      </c>
      <c r="C1932">
        <v>40</v>
      </c>
      <c r="D1932" t="s">
        <v>22</v>
      </c>
      <c r="E1932" t="s">
        <v>39</v>
      </c>
      <c r="F1932" t="s">
        <v>24</v>
      </c>
      <c r="G1932">
        <v>27226</v>
      </c>
      <c r="H1932">
        <v>763</v>
      </c>
      <c r="I1932">
        <v>54216</v>
      </c>
      <c r="J1932">
        <v>14.46</v>
      </c>
      <c r="K1932">
        <v>360</v>
      </c>
      <c r="L1932" t="s">
        <v>52</v>
      </c>
      <c r="M1932">
        <v>56.18</v>
      </c>
      <c r="N1932">
        <v>55767</v>
      </c>
      <c r="O1932">
        <v>91</v>
      </c>
      <c r="P1932" t="s">
        <v>281</v>
      </c>
      <c r="Q1932" t="s">
        <v>61</v>
      </c>
      <c r="R1932" t="s">
        <v>28</v>
      </c>
      <c r="S1932" t="s">
        <v>49</v>
      </c>
      <c r="T1932">
        <v>172.38</v>
      </c>
      <c r="U1932">
        <f t="shared" si="420"/>
        <v>70</v>
      </c>
      <c r="V1932">
        <f t="shared" si="421"/>
        <v>27</v>
      </c>
      <c r="W1932">
        <f t="shared" si="422"/>
        <v>25</v>
      </c>
      <c r="X1932">
        <f t="shared" si="423"/>
        <v>0.35149999999999998</v>
      </c>
      <c r="Y1932" s="1">
        <f t="shared" si="424"/>
        <v>3524710</v>
      </c>
      <c r="Z1932">
        <f t="shared" si="425"/>
        <v>50353</v>
      </c>
      <c r="AA1932">
        <f t="shared" si="426"/>
        <v>98054</v>
      </c>
      <c r="AB1932">
        <f t="shared" si="427"/>
        <v>5091</v>
      </c>
      <c r="AC1932">
        <f t="shared" si="428"/>
        <v>88536.639999999985</v>
      </c>
      <c r="AD1932">
        <f t="shared" si="429"/>
        <v>1264.8091428571427</v>
      </c>
      <c r="AE1932">
        <f t="shared" si="430"/>
        <v>0.35149999999999998</v>
      </c>
      <c r="AF1932">
        <f t="shared" si="431"/>
        <v>2838153.080000001</v>
      </c>
      <c r="AG1932" t="str">
        <f t="shared" si="432"/>
        <v>Active</v>
      </c>
      <c r="AH1932">
        <f t="shared" si="433"/>
        <v>2068.56</v>
      </c>
    </row>
    <row r="1933" spans="1:34" x14ac:dyDescent="0.35">
      <c r="A1933" t="s">
        <v>4970</v>
      </c>
      <c r="B1933" t="s">
        <v>4971</v>
      </c>
      <c r="C1933">
        <v>27</v>
      </c>
      <c r="D1933" t="s">
        <v>38</v>
      </c>
      <c r="E1933" t="s">
        <v>39</v>
      </c>
      <c r="F1933" t="s">
        <v>24</v>
      </c>
      <c r="G1933">
        <v>138564</v>
      </c>
      <c r="H1933">
        <v>797</v>
      </c>
      <c r="I1933">
        <v>42857</v>
      </c>
      <c r="J1933">
        <v>9.98</v>
      </c>
      <c r="K1933">
        <v>24</v>
      </c>
      <c r="L1933" t="s">
        <v>25</v>
      </c>
      <c r="M1933">
        <v>47.07</v>
      </c>
      <c r="N1933">
        <v>18027</v>
      </c>
      <c r="O1933">
        <v>57886</v>
      </c>
      <c r="P1933" t="s">
        <v>4194</v>
      </c>
      <c r="Q1933" t="s">
        <v>61</v>
      </c>
      <c r="R1933" t="s">
        <v>48</v>
      </c>
      <c r="S1933" t="s">
        <v>49</v>
      </c>
      <c r="T1933">
        <v>1963.92</v>
      </c>
      <c r="U1933">
        <f t="shared" si="420"/>
        <v>69</v>
      </c>
      <c r="V1933">
        <f t="shared" si="421"/>
        <v>27</v>
      </c>
      <c r="W1933">
        <f t="shared" si="422"/>
        <v>24</v>
      </c>
      <c r="X1933">
        <f t="shared" si="423"/>
        <v>0.35149999999999998</v>
      </c>
      <c r="Y1933" s="1">
        <f t="shared" si="424"/>
        <v>3470494</v>
      </c>
      <c r="Z1933">
        <f t="shared" si="425"/>
        <v>50297.014492753624</v>
      </c>
      <c r="AA1933">
        <f t="shared" si="426"/>
        <v>98054</v>
      </c>
      <c r="AB1933">
        <f t="shared" si="427"/>
        <v>5091</v>
      </c>
      <c r="AC1933">
        <f t="shared" si="428"/>
        <v>88364.26</v>
      </c>
      <c r="AD1933">
        <f t="shared" si="429"/>
        <v>1280.6414492753622</v>
      </c>
      <c r="AE1933">
        <f t="shared" si="430"/>
        <v>0.35149999999999998</v>
      </c>
      <c r="AF1933">
        <f t="shared" si="431"/>
        <v>2749616.4400000009</v>
      </c>
      <c r="AG1933" t="str">
        <f t="shared" si="432"/>
        <v>Active</v>
      </c>
      <c r="AH1933">
        <f t="shared" si="433"/>
        <v>23567.040000000001</v>
      </c>
    </row>
    <row r="1934" spans="1:34" x14ac:dyDescent="0.35">
      <c r="A1934" t="s">
        <v>4972</v>
      </c>
      <c r="B1934" t="s">
        <v>4973</v>
      </c>
      <c r="C1934">
        <v>53</v>
      </c>
      <c r="D1934" t="s">
        <v>22</v>
      </c>
      <c r="E1934" t="s">
        <v>23</v>
      </c>
      <c r="F1934" t="s">
        <v>46</v>
      </c>
      <c r="G1934">
        <v>137931</v>
      </c>
      <c r="H1934">
        <v>644</v>
      </c>
      <c r="I1934">
        <v>34189</v>
      </c>
      <c r="J1934">
        <v>6.91</v>
      </c>
      <c r="K1934">
        <v>120</v>
      </c>
      <c r="L1934" t="s">
        <v>25</v>
      </c>
      <c r="M1934">
        <v>31.49</v>
      </c>
      <c r="N1934">
        <v>73207</v>
      </c>
      <c r="O1934">
        <v>206464</v>
      </c>
      <c r="P1934" t="s">
        <v>1076</v>
      </c>
      <c r="Q1934" t="s">
        <v>42</v>
      </c>
      <c r="R1934" t="s">
        <v>48</v>
      </c>
      <c r="S1934" t="s">
        <v>68</v>
      </c>
      <c r="T1934">
        <v>304.60000000000002</v>
      </c>
      <c r="U1934">
        <f t="shared" si="420"/>
        <v>68</v>
      </c>
      <c r="V1934">
        <f t="shared" si="421"/>
        <v>27</v>
      </c>
      <c r="W1934">
        <f t="shared" si="422"/>
        <v>23</v>
      </c>
      <c r="X1934">
        <f t="shared" si="423"/>
        <v>0.35149999999999998</v>
      </c>
      <c r="Y1934" s="1">
        <f t="shared" si="424"/>
        <v>3427637</v>
      </c>
      <c r="Z1934">
        <f t="shared" si="425"/>
        <v>50406.426470588238</v>
      </c>
      <c r="AA1934">
        <f t="shared" si="426"/>
        <v>98054</v>
      </c>
      <c r="AB1934">
        <f t="shared" si="427"/>
        <v>5091</v>
      </c>
      <c r="AC1934">
        <f t="shared" si="428"/>
        <v>86400.34</v>
      </c>
      <c r="AD1934">
        <f t="shared" si="429"/>
        <v>1270.5932352941177</v>
      </c>
      <c r="AE1934">
        <f t="shared" si="430"/>
        <v>0.35149999999999998</v>
      </c>
      <c r="AF1934">
        <f t="shared" si="431"/>
        <v>2661252.1800000011</v>
      </c>
      <c r="AG1934" t="str">
        <f t="shared" si="432"/>
        <v>Active</v>
      </c>
      <c r="AH1934">
        <f t="shared" si="433"/>
        <v>3655.2000000000003</v>
      </c>
    </row>
    <row r="1935" spans="1:34" x14ac:dyDescent="0.35">
      <c r="A1935" t="s">
        <v>4974</v>
      </c>
      <c r="B1935" t="s">
        <v>4975</v>
      </c>
      <c r="C1935">
        <v>45</v>
      </c>
      <c r="D1935" t="s">
        <v>22</v>
      </c>
      <c r="E1935" t="s">
        <v>32</v>
      </c>
      <c r="F1935" t="s">
        <v>59</v>
      </c>
      <c r="G1935">
        <v>49751</v>
      </c>
      <c r="H1935">
        <v>376</v>
      </c>
      <c r="I1935">
        <v>17799</v>
      </c>
      <c r="J1935">
        <v>14.2</v>
      </c>
      <c r="K1935">
        <v>240</v>
      </c>
      <c r="L1935" t="s">
        <v>52</v>
      </c>
      <c r="M1935">
        <v>50.72</v>
      </c>
      <c r="N1935">
        <v>61204</v>
      </c>
      <c r="O1935">
        <v>4576</v>
      </c>
      <c r="P1935" t="s">
        <v>129</v>
      </c>
      <c r="Q1935" t="s">
        <v>27</v>
      </c>
      <c r="R1935" t="s">
        <v>48</v>
      </c>
      <c r="S1935" t="s">
        <v>68</v>
      </c>
      <c r="T1935">
        <v>84.69</v>
      </c>
      <c r="U1935">
        <f t="shared" si="420"/>
        <v>67</v>
      </c>
      <c r="V1935">
        <f t="shared" si="421"/>
        <v>26</v>
      </c>
      <c r="W1935">
        <f t="shared" si="422"/>
        <v>23</v>
      </c>
      <c r="X1935">
        <f t="shared" si="423"/>
        <v>0.35149999999999998</v>
      </c>
      <c r="Y1935" s="1">
        <f t="shared" si="424"/>
        <v>3393448</v>
      </c>
      <c r="Z1935">
        <f t="shared" si="425"/>
        <v>50648.477611940296</v>
      </c>
      <c r="AA1935">
        <f t="shared" si="426"/>
        <v>98054</v>
      </c>
      <c r="AB1935">
        <f t="shared" si="427"/>
        <v>5091</v>
      </c>
      <c r="AC1935">
        <f t="shared" si="428"/>
        <v>86095.74</v>
      </c>
      <c r="AD1935">
        <f t="shared" si="429"/>
        <v>1285.0110447761194</v>
      </c>
      <c r="AE1935">
        <f t="shared" si="430"/>
        <v>0.35149999999999998</v>
      </c>
      <c r="AF1935">
        <f t="shared" si="431"/>
        <v>2574851.8400000008</v>
      </c>
      <c r="AG1935" t="str">
        <f t="shared" si="432"/>
        <v>Active</v>
      </c>
      <c r="AH1935">
        <f t="shared" si="433"/>
        <v>1016.28</v>
      </c>
    </row>
    <row r="1936" spans="1:34" x14ac:dyDescent="0.35">
      <c r="A1936" t="s">
        <v>4976</v>
      </c>
      <c r="B1936" t="s">
        <v>4977</v>
      </c>
      <c r="C1936">
        <v>64</v>
      </c>
      <c r="D1936" t="s">
        <v>38</v>
      </c>
      <c r="E1936" t="s">
        <v>23</v>
      </c>
      <c r="F1936" t="s">
        <v>59</v>
      </c>
      <c r="G1936">
        <v>31140</v>
      </c>
      <c r="H1936">
        <v>369</v>
      </c>
      <c r="I1936">
        <v>49848</v>
      </c>
      <c r="J1936">
        <v>17.3</v>
      </c>
      <c r="K1936">
        <v>48</v>
      </c>
      <c r="L1936" t="s">
        <v>86</v>
      </c>
      <c r="M1936">
        <v>46.92</v>
      </c>
      <c r="N1936">
        <v>45879</v>
      </c>
      <c r="O1936">
        <v>145034</v>
      </c>
      <c r="P1936" t="s">
        <v>4978</v>
      </c>
      <c r="Q1936" t="s">
        <v>61</v>
      </c>
      <c r="R1936" t="s">
        <v>28</v>
      </c>
      <c r="S1936" t="s">
        <v>35</v>
      </c>
      <c r="T1936">
        <v>1218.1600000000001</v>
      </c>
      <c r="U1936">
        <f t="shared" si="420"/>
        <v>66</v>
      </c>
      <c r="V1936">
        <f t="shared" si="421"/>
        <v>26</v>
      </c>
      <c r="W1936">
        <f t="shared" si="422"/>
        <v>23</v>
      </c>
      <c r="X1936">
        <f t="shared" si="423"/>
        <v>0.35149999999999998</v>
      </c>
      <c r="Y1936" s="1">
        <f t="shared" si="424"/>
        <v>3375649</v>
      </c>
      <c r="Z1936">
        <f t="shared" si="425"/>
        <v>51146.196969696968</v>
      </c>
      <c r="AA1936">
        <f t="shared" si="426"/>
        <v>98054</v>
      </c>
      <c r="AB1936">
        <f t="shared" si="427"/>
        <v>5091</v>
      </c>
      <c r="AC1936">
        <f t="shared" si="428"/>
        <v>86011.05</v>
      </c>
      <c r="AD1936">
        <f t="shared" si="429"/>
        <v>1303.1977272727272</v>
      </c>
      <c r="AE1936">
        <f t="shared" si="430"/>
        <v>0.35149999999999998</v>
      </c>
      <c r="AF1936">
        <f t="shared" si="431"/>
        <v>2488756.100000001</v>
      </c>
      <c r="AG1936" t="str">
        <f t="shared" si="432"/>
        <v>Active</v>
      </c>
      <c r="AH1936">
        <f t="shared" si="433"/>
        <v>14617.920000000002</v>
      </c>
    </row>
    <row r="1937" spans="1:34" x14ac:dyDescent="0.35">
      <c r="A1937" t="s">
        <v>4979</v>
      </c>
      <c r="B1937" t="s">
        <v>4980</v>
      </c>
      <c r="C1937">
        <v>45</v>
      </c>
      <c r="D1937" t="s">
        <v>38</v>
      </c>
      <c r="E1937" t="s">
        <v>23</v>
      </c>
      <c r="F1937" t="s">
        <v>24</v>
      </c>
      <c r="G1937">
        <v>27510</v>
      </c>
      <c r="H1937">
        <v>764</v>
      </c>
      <c r="I1937">
        <v>57866</v>
      </c>
      <c r="J1937">
        <v>10.36</v>
      </c>
      <c r="K1937">
        <v>48</v>
      </c>
      <c r="L1937" t="s">
        <v>33</v>
      </c>
      <c r="M1937">
        <v>17.34</v>
      </c>
      <c r="N1937">
        <v>2715</v>
      </c>
      <c r="O1937">
        <v>2408</v>
      </c>
      <c r="P1937" t="s">
        <v>4981</v>
      </c>
      <c r="Q1937" t="s">
        <v>27</v>
      </c>
      <c r="R1937" t="s">
        <v>28</v>
      </c>
      <c r="S1937" t="s">
        <v>43</v>
      </c>
      <c r="T1937">
        <v>1330.44</v>
      </c>
      <c r="U1937">
        <f t="shared" si="420"/>
        <v>65</v>
      </c>
      <c r="V1937">
        <f t="shared" si="421"/>
        <v>26</v>
      </c>
      <c r="W1937">
        <f t="shared" si="422"/>
        <v>22</v>
      </c>
      <c r="X1937">
        <f t="shared" si="423"/>
        <v>0.35149999999999998</v>
      </c>
      <c r="Y1937" s="1">
        <f t="shared" si="424"/>
        <v>3325801</v>
      </c>
      <c r="Z1937">
        <f t="shared" si="425"/>
        <v>51166.169230769228</v>
      </c>
      <c r="AA1937">
        <f t="shared" si="426"/>
        <v>98054</v>
      </c>
      <c r="AB1937">
        <f t="shared" si="427"/>
        <v>5091</v>
      </c>
      <c r="AC1937">
        <f t="shared" si="428"/>
        <v>84792.89</v>
      </c>
      <c r="AD1937">
        <f t="shared" si="429"/>
        <v>1304.5060000000001</v>
      </c>
      <c r="AE1937">
        <f t="shared" si="430"/>
        <v>0.35149999999999998</v>
      </c>
      <c r="AF1937">
        <f t="shared" si="431"/>
        <v>2402745.0500000012</v>
      </c>
      <c r="AG1937" t="str">
        <f t="shared" si="432"/>
        <v>Active</v>
      </c>
      <c r="AH1937">
        <f t="shared" si="433"/>
        <v>15965.28</v>
      </c>
    </row>
    <row r="1938" spans="1:34" x14ac:dyDescent="0.35">
      <c r="A1938" t="s">
        <v>4982</v>
      </c>
      <c r="B1938" t="s">
        <v>4983</v>
      </c>
      <c r="C1938">
        <v>28</v>
      </c>
      <c r="D1938" t="s">
        <v>38</v>
      </c>
      <c r="E1938" t="s">
        <v>39</v>
      </c>
      <c r="F1938" t="s">
        <v>46</v>
      </c>
      <c r="G1938">
        <v>139237</v>
      </c>
      <c r="H1938">
        <v>740</v>
      </c>
      <c r="I1938">
        <v>17078</v>
      </c>
      <c r="J1938">
        <v>7.29</v>
      </c>
      <c r="K1938">
        <v>240</v>
      </c>
      <c r="L1938" t="s">
        <v>52</v>
      </c>
      <c r="M1938">
        <v>37.450000000000003</v>
      </c>
      <c r="N1938">
        <v>27091</v>
      </c>
      <c r="O1938">
        <v>230347</v>
      </c>
      <c r="P1938" t="s">
        <v>4984</v>
      </c>
      <c r="Q1938" t="s">
        <v>42</v>
      </c>
      <c r="R1938" t="s">
        <v>48</v>
      </c>
      <c r="S1938" t="s">
        <v>35</v>
      </c>
      <c r="T1938">
        <v>76.349999999999994</v>
      </c>
      <c r="U1938">
        <f t="shared" si="420"/>
        <v>64</v>
      </c>
      <c r="V1938">
        <f t="shared" si="421"/>
        <v>26</v>
      </c>
      <c r="W1938">
        <f t="shared" si="422"/>
        <v>22</v>
      </c>
      <c r="X1938">
        <f t="shared" si="423"/>
        <v>0.35149999999999998</v>
      </c>
      <c r="Y1938" s="1">
        <f t="shared" si="424"/>
        <v>3267935</v>
      </c>
      <c r="Z1938">
        <f t="shared" si="425"/>
        <v>51061.484375</v>
      </c>
      <c r="AA1938">
        <f t="shared" si="426"/>
        <v>98054</v>
      </c>
      <c r="AB1938">
        <f t="shared" si="427"/>
        <v>5091</v>
      </c>
      <c r="AC1938">
        <f t="shared" si="428"/>
        <v>83462.45</v>
      </c>
      <c r="AD1938">
        <f t="shared" si="429"/>
        <v>1304.10078125</v>
      </c>
      <c r="AE1938">
        <f t="shared" si="430"/>
        <v>0.35149999999999998</v>
      </c>
      <c r="AF1938">
        <f t="shared" si="431"/>
        <v>2317952.1600000006</v>
      </c>
      <c r="AG1938" t="str">
        <f t="shared" si="432"/>
        <v>Active</v>
      </c>
      <c r="AH1938">
        <f t="shared" si="433"/>
        <v>916.19999999999993</v>
      </c>
    </row>
    <row r="1939" spans="1:34" x14ac:dyDescent="0.35">
      <c r="A1939" t="s">
        <v>4985</v>
      </c>
      <c r="B1939" t="s">
        <v>4986</v>
      </c>
      <c r="C1939">
        <v>27</v>
      </c>
      <c r="D1939" t="s">
        <v>22</v>
      </c>
      <c r="E1939" t="s">
        <v>39</v>
      </c>
      <c r="F1939" t="s">
        <v>59</v>
      </c>
      <c r="G1939">
        <v>192284</v>
      </c>
      <c r="H1939">
        <v>585</v>
      </c>
      <c r="I1939">
        <v>36828</v>
      </c>
      <c r="J1939">
        <v>9.7100000000000009</v>
      </c>
      <c r="K1939">
        <v>240</v>
      </c>
      <c r="L1939" t="s">
        <v>25</v>
      </c>
      <c r="M1939">
        <v>21.58</v>
      </c>
      <c r="N1939">
        <v>75230</v>
      </c>
      <c r="O1939">
        <v>111833</v>
      </c>
      <c r="P1939" t="s">
        <v>2323</v>
      </c>
      <c r="Q1939" t="s">
        <v>61</v>
      </c>
      <c r="R1939" t="s">
        <v>48</v>
      </c>
      <c r="S1939" t="s">
        <v>43</v>
      </c>
      <c r="T1939">
        <v>168.35</v>
      </c>
      <c r="U1939">
        <f t="shared" si="420"/>
        <v>63</v>
      </c>
      <c r="V1939">
        <f t="shared" si="421"/>
        <v>25</v>
      </c>
      <c r="W1939">
        <f t="shared" si="422"/>
        <v>22</v>
      </c>
      <c r="X1939">
        <f t="shared" si="423"/>
        <v>0.35149999999999998</v>
      </c>
      <c r="Y1939" s="1">
        <f t="shared" si="424"/>
        <v>3250857</v>
      </c>
      <c r="Z1939">
        <f t="shared" si="425"/>
        <v>51600.904761904763</v>
      </c>
      <c r="AA1939">
        <f t="shared" si="426"/>
        <v>98054</v>
      </c>
      <c r="AB1939">
        <f t="shared" si="427"/>
        <v>5091</v>
      </c>
      <c r="AC1939">
        <f t="shared" si="428"/>
        <v>83386.100000000006</v>
      </c>
      <c r="AD1939">
        <f t="shared" si="429"/>
        <v>1323.588888888889</v>
      </c>
      <c r="AE1939">
        <f t="shared" si="430"/>
        <v>0.35149999999999998</v>
      </c>
      <c r="AF1939">
        <f t="shared" si="431"/>
        <v>2234489.71</v>
      </c>
      <c r="AG1939" t="str">
        <f t="shared" si="432"/>
        <v>Active</v>
      </c>
      <c r="AH1939">
        <f t="shared" si="433"/>
        <v>2020.1999999999998</v>
      </c>
    </row>
    <row r="1940" spans="1:34" x14ac:dyDescent="0.35">
      <c r="A1940" t="s">
        <v>4987</v>
      </c>
      <c r="B1940" t="s">
        <v>4988</v>
      </c>
      <c r="C1940">
        <v>21</v>
      </c>
      <c r="D1940" t="s">
        <v>38</v>
      </c>
      <c r="E1940" t="s">
        <v>39</v>
      </c>
      <c r="F1940" t="s">
        <v>59</v>
      </c>
      <c r="G1940">
        <v>97475</v>
      </c>
      <c r="H1940">
        <v>599</v>
      </c>
      <c r="I1940">
        <v>91650</v>
      </c>
      <c r="J1940">
        <v>23.19</v>
      </c>
      <c r="K1940">
        <v>48</v>
      </c>
      <c r="L1940" t="s">
        <v>52</v>
      </c>
      <c r="M1940">
        <v>55.62</v>
      </c>
      <c r="N1940">
        <v>28712</v>
      </c>
      <c r="O1940">
        <v>123401</v>
      </c>
      <c r="P1940" t="s">
        <v>3727</v>
      </c>
      <c r="Q1940" t="s">
        <v>42</v>
      </c>
      <c r="R1940" t="s">
        <v>48</v>
      </c>
      <c r="S1940" t="s">
        <v>29</v>
      </c>
      <c r="T1940">
        <v>2352.16</v>
      </c>
      <c r="U1940">
        <f t="shared" si="420"/>
        <v>62</v>
      </c>
      <c r="V1940">
        <f t="shared" si="421"/>
        <v>25</v>
      </c>
      <c r="W1940">
        <f t="shared" si="422"/>
        <v>21</v>
      </c>
      <c r="X1940">
        <f t="shared" si="423"/>
        <v>0.35149999999999998</v>
      </c>
      <c r="Y1940" s="1">
        <f t="shared" si="424"/>
        <v>3214029</v>
      </c>
      <c r="Z1940">
        <f t="shared" si="425"/>
        <v>51839.177419354841</v>
      </c>
      <c r="AA1940">
        <f t="shared" si="426"/>
        <v>98054</v>
      </c>
      <c r="AB1940">
        <f t="shared" si="427"/>
        <v>5091</v>
      </c>
      <c r="AC1940">
        <f t="shared" si="428"/>
        <v>83217.75</v>
      </c>
      <c r="AD1940">
        <f t="shared" si="429"/>
        <v>1342.2217741935483</v>
      </c>
      <c r="AE1940">
        <f t="shared" si="430"/>
        <v>0.35149999999999998</v>
      </c>
      <c r="AF1940">
        <f t="shared" si="431"/>
        <v>2151103.61</v>
      </c>
      <c r="AG1940" t="str">
        <f t="shared" si="432"/>
        <v>Active</v>
      </c>
      <c r="AH1940">
        <f t="shared" si="433"/>
        <v>28225.919999999998</v>
      </c>
    </row>
    <row r="1941" spans="1:34" x14ac:dyDescent="0.35">
      <c r="A1941" t="s">
        <v>4989</v>
      </c>
      <c r="B1941" t="s">
        <v>4990</v>
      </c>
      <c r="C1941">
        <v>61</v>
      </c>
      <c r="D1941" t="s">
        <v>22</v>
      </c>
      <c r="E1941" t="s">
        <v>32</v>
      </c>
      <c r="F1941" t="s">
        <v>59</v>
      </c>
      <c r="G1941">
        <v>92418</v>
      </c>
      <c r="H1941">
        <v>569</v>
      </c>
      <c r="I1941">
        <v>49530</v>
      </c>
      <c r="J1941">
        <v>6.97</v>
      </c>
      <c r="K1941">
        <v>120</v>
      </c>
      <c r="L1941" t="s">
        <v>25</v>
      </c>
      <c r="M1941">
        <v>15.94</v>
      </c>
      <c r="N1941">
        <v>79901</v>
      </c>
      <c r="O1941">
        <v>7207</v>
      </c>
      <c r="P1941" t="s">
        <v>4991</v>
      </c>
      <c r="Q1941" t="s">
        <v>42</v>
      </c>
      <c r="R1941" t="s">
        <v>28</v>
      </c>
      <c r="S1941" t="s">
        <v>35</v>
      </c>
      <c r="T1941">
        <v>441.52</v>
      </c>
      <c r="U1941">
        <f t="shared" si="420"/>
        <v>61</v>
      </c>
      <c r="V1941">
        <f t="shared" si="421"/>
        <v>24</v>
      </c>
      <c r="W1941">
        <f t="shared" si="422"/>
        <v>21</v>
      </c>
      <c r="X1941">
        <f t="shared" si="423"/>
        <v>0.35149999999999998</v>
      </c>
      <c r="Y1941" s="1">
        <f t="shared" si="424"/>
        <v>3122379</v>
      </c>
      <c r="Z1941">
        <f t="shared" si="425"/>
        <v>51186.540983606559</v>
      </c>
      <c r="AA1941">
        <f t="shared" si="426"/>
        <v>98054</v>
      </c>
      <c r="AB1941">
        <f t="shared" si="427"/>
        <v>5091</v>
      </c>
      <c r="AC1941">
        <f t="shared" si="428"/>
        <v>80865.59</v>
      </c>
      <c r="AD1941">
        <f t="shared" si="429"/>
        <v>1325.6654098360655</v>
      </c>
      <c r="AE1941">
        <f t="shared" si="430"/>
        <v>0.35149999999999998</v>
      </c>
      <c r="AF1941">
        <f t="shared" si="431"/>
        <v>2067885.8599999996</v>
      </c>
      <c r="AG1941" t="str">
        <f t="shared" si="432"/>
        <v>Active</v>
      </c>
      <c r="AH1941">
        <f t="shared" si="433"/>
        <v>5298.24</v>
      </c>
    </row>
    <row r="1942" spans="1:34" x14ac:dyDescent="0.35">
      <c r="A1942" t="s">
        <v>4992</v>
      </c>
      <c r="B1942" t="s">
        <v>4993</v>
      </c>
      <c r="C1942">
        <v>26</v>
      </c>
      <c r="D1942" t="s">
        <v>38</v>
      </c>
      <c r="E1942" t="s">
        <v>39</v>
      </c>
      <c r="F1942" t="s">
        <v>59</v>
      </c>
      <c r="G1942">
        <v>21186</v>
      </c>
      <c r="H1942">
        <v>755</v>
      </c>
      <c r="I1942">
        <v>42882</v>
      </c>
      <c r="J1942">
        <v>14.7</v>
      </c>
      <c r="K1942">
        <v>360</v>
      </c>
      <c r="L1942" t="s">
        <v>52</v>
      </c>
      <c r="M1942">
        <v>27.3</v>
      </c>
      <c r="N1942">
        <v>9752</v>
      </c>
      <c r="O1942">
        <v>93445</v>
      </c>
      <c r="P1942" t="s">
        <v>4994</v>
      </c>
      <c r="Q1942" t="s">
        <v>27</v>
      </c>
      <c r="R1942" t="s">
        <v>48</v>
      </c>
      <c r="S1942" t="s">
        <v>29</v>
      </c>
      <c r="T1942">
        <v>136.63</v>
      </c>
      <c r="U1942">
        <f t="shared" si="420"/>
        <v>60</v>
      </c>
      <c r="V1942">
        <f t="shared" si="421"/>
        <v>23</v>
      </c>
      <c r="W1942">
        <f t="shared" si="422"/>
        <v>21</v>
      </c>
      <c r="X1942">
        <f t="shared" si="423"/>
        <v>0.35149999999999998</v>
      </c>
      <c r="Y1942" s="1">
        <f t="shared" si="424"/>
        <v>3072849</v>
      </c>
      <c r="Z1942">
        <f t="shared" si="425"/>
        <v>51214.15</v>
      </c>
      <c r="AA1942">
        <f t="shared" si="426"/>
        <v>98054</v>
      </c>
      <c r="AB1942">
        <f t="shared" si="427"/>
        <v>5091</v>
      </c>
      <c r="AC1942">
        <f t="shared" si="428"/>
        <v>80424.069999999992</v>
      </c>
      <c r="AD1942">
        <f t="shared" si="429"/>
        <v>1340.4011666666665</v>
      </c>
      <c r="AE1942">
        <f t="shared" si="430"/>
        <v>0.35149999999999998</v>
      </c>
      <c r="AF1942">
        <f t="shared" si="431"/>
        <v>1987020.2699999993</v>
      </c>
      <c r="AG1942" t="str">
        <f t="shared" si="432"/>
        <v>Active</v>
      </c>
      <c r="AH1942">
        <f t="shared" si="433"/>
        <v>1639.56</v>
      </c>
    </row>
    <row r="1943" spans="1:34" x14ac:dyDescent="0.35">
      <c r="A1943" t="s">
        <v>4995</v>
      </c>
      <c r="B1943" t="s">
        <v>4996</v>
      </c>
      <c r="C1943">
        <v>48</v>
      </c>
      <c r="D1943" t="s">
        <v>22</v>
      </c>
      <c r="E1943" t="s">
        <v>39</v>
      </c>
      <c r="F1943" t="s">
        <v>24</v>
      </c>
      <c r="G1943">
        <v>147302</v>
      </c>
      <c r="H1943">
        <v>659</v>
      </c>
      <c r="I1943">
        <v>29625</v>
      </c>
      <c r="J1943">
        <v>10.44</v>
      </c>
      <c r="K1943">
        <v>12</v>
      </c>
      <c r="L1943" t="s">
        <v>52</v>
      </c>
      <c r="M1943">
        <v>39.33</v>
      </c>
      <c r="N1943">
        <v>57342</v>
      </c>
      <c r="O1943">
        <v>225330</v>
      </c>
      <c r="P1943" t="s">
        <v>4997</v>
      </c>
      <c r="Q1943" t="s">
        <v>27</v>
      </c>
      <c r="R1943" t="s">
        <v>48</v>
      </c>
      <c r="S1943" t="s">
        <v>68</v>
      </c>
      <c r="T1943">
        <v>2726.49</v>
      </c>
      <c r="U1943">
        <f t="shared" si="420"/>
        <v>59</v>
      </c>
      <c r="V1943">
        <f t="shared" si="421"/>
        <v>23</v>
      </c>
      <c r="W1943">
        <f t="shared" si="422"/>
        <v>21</v>
      </c>
      <c r="X1943">
        <f t="shared" si="423"/>
        <v>0.35149999999999998</v>
      </c>
      <c r="Y1943" s="1">
        <f t="shared" si="424"/>
        <v>3029967</v>
      </c>
      <c r="Z1943">
        <f t="shared" si="425"/>
        <v>51355.372881355936</v>
      </c>
      <c r="AA1943">
        <f t="shared" si="426"/>
        <v>98054</v>
      </c>
      <c r="AB1943">
        <f t="shared" si="427"/>
        <v>5091</v>
      </c>
      <c r="AC1943">
        <f t="shared" si="428"/>
        <v>80287.44</v>
      </c>
      <c r="AD1943">
        <f t="shared" si="429"/>
        <v>1360.8040677966103</v>
      </c>
      <c r="AE1943">
        <f t="shared" si="430"/>
        <v>0.35149999999999998</v>
      </c>
      <c r="AF1943">
        <f t="shared" si="431"/>
        <v>1906596.1999999995</v>
      </c>
      <c r="AG1943" t="str">
        <f t="shared" si="432"/>
        <v>Active</v>
      </c>
      <c r="AH1943">
        <f t="shared" si="433"/>
        <v>32717.879999999997</v>
      </c>
    </row>
    <row r="1944" spans="1:34" x14ac:dyDescent="0.35">
      <c r="A1944" t="s">
        <v>4998</v>
      </c>
      <c r="B1944" t="s">
        <v>4999</v>
      </c>
      <c r="C1944">
        <v>37</v>
      </c>
      <c r="D1944" t="s">
        <v>38</v>
      </c>
      <c r="E1944" t="s">
        <v>39</v>
      </c>
      <c r="F1944" t="s">
        <v>46</v>
      </c>
      <c r="G1944">
        <v>123044</v>
      </c>
      <c r="H1944">
        <v>464</v>
      </c>
      <c r="I1944">
        <v>24451</v>
      </c>
      <c r="J1944">
        <v>18.27</v>
      </c>
      <c r="K1944">
        <v>36</v>
      </c>
      <c r="L1944" t="s">
        <v>25</v>
      </c>
      <c r="M1944">
        <v>35.880000000000003</v>
      </c>
      <c r="N1944">
        <v>69882</v>
      </c>
      <c r="O1944">
        <v>83986</v>
      </c>
      <c r="P1944" t="s">
        <v>3163</v>
      </c>
      <c r="Q1944" t="s">
        <v>61</v>
      </c>
      <c r="R1944" t="s">
        <v>28</v>
      </c>
      <c r="S1944" t="s">
        <v>43</v>
      </c>
      <c r="T1944">
        <v>803.28</v>
      </c>
      <c r="U1944">
        <f t="shared" si="420"/>
        <v>58</v>
      </c>
      <c r="V1944">
        <f t="shared" si="421"/>
        <v>23</v>
      </c>
      <c r="W1944">
        <f t="shared" si="422"/>
        <v>21</v>
      </c>
      <c r="X1944">
        <f t="shared" si="423"/>
        <v>0.35149999999999998</v>
      </c>
      <c r="Y1944" s="1">
        <f t="shared" si="424"/>
        <v>3000342</v>
      </c>
      <c r="Z1944">
        <f t="shared" si="425"/>
        <v>51730.034482758623</v>
      </c>
      <c r="AA1944">
        <f t="shared" si="426"/>
        <v>98054</v>
      </c>
      <c r="AB1944">
        <f t="shared" si="427"/>
        <v>5091</v>
      </c>
      <c r="AC1944">
        <f t="shared" si="428"/>
        <v>77560.950000000012</v>
      </c>
      <c r="AD1944">
        <f t="shared" si="429"/>
        <v>1337.2577586206899</v>
      </c>
      <c r="AE1944">
        <f t="shared" si="430"/>
        <v>0.35149999999999998</v>
      </c>
      <c r="AF1944">
        <f t="shared" si="431"/>
        <v>1826308.7599999993</v>
      </c>
      <c r="AG1944" t="str">
        <f t="shared" si="432"/>
        <v>Over Paid</v>
      </c>
      <c r="AH1944">
        <f t="shared" si="433"/>
        <v>9639.36</v>
      </c>
    </row>
    <row r="1945" spans="1:34" x14ac:dyDescent="0.35">
      <c r="A1945" t="s">
        <v>5000</v>
      </c>
      <c r="B1945" t="s">
        <v>5001</v>
      </c>
      <c r="C1945">
        <v>24</v>
      </c>
      <c r="D1945" t="s">
        <v>22</v>
      </c>
      <c r="E1945" t="s">
        <v>32</v>
      </c>
      <c r="F1945" t="s">
        <v>46</v>
      </c>
      <c r="G1945">
        <v>52440</v>
      </c>
      <c r="H1945">
        <v>782</v>
      </c>
      <c r="I1945">
        <v>70620</v>
      </c>
      <c r="J1945">
        <v>8.06</v>
      </c>
      <c r="K1945">
        <v>360</v>
      </c>
      <c r="L1945" t="s">
        <v>33</v>
      </c>
      <c r="M1945">
        <v>17.510000000000002</v>
      </c>
      <c r="N1945">
        <v>73720</v>
      </c>
      <c r="O1945">
        <v>136466</v>
      </c>
      <c r="P1945" t="s">
        <v>946</v>
      </c>
      <c r="Q1945" t="s">
        <v>61</v>
      </c>
      <c r="R1945" t="s">
        <v>48</v>
      </c>
      <c r="S1945" t="s">
        <v>35</v>
      </c>
      <c r="T1945">
        <v>211.98</v>
      </c>
      <c r="U1945">
        <f t="shared" si="420"/>
        <v>57</v>
      </c>
      <c r="V1945">
        <f t="shared" si="421"/>
        <v>23</v>
      </c>
      <c r="W1945">
        <f t="shared" si="422"/>
        <v>20</v>
      </c>
      <c r="X1945">
        <f t="shared" si="423"/>
        <v>0.35149999999999998</v>
      </c>
      <c r="Y1945" s="1">
        <f t="shared" si="424"/>
        <v>2975891</v>
      </c>
      <c r="Z1945">
        <f t="shared" si="425"/>
        <v>52208.614035087718</v>
      </c>
      <c r="AA1945">
        <f t="shared" si="426"/>
        <v>98054</v>
      </c>
      <c r="AB1945">
        <f t="shared" si="427"/>
        <v>5091</v>
      </c>
      <c r="AC1945">
        <f t="shared" si="428"/>
        <v>76757.670000000013</v>
      </c>
      <c r="AD1945">
        <f t="shared" si="429"/>
        <v>1346.6257894736843</v>
      </c>
      <c r="AE1945">
        <f t="shared" si="430"/>
        <v>0.35149999999999998</v>
      </c>
      <c r="AF1945">
        <f t="shared" si="431"/>
        <v>1748747.8099999996</v>
      </c>
      <c r="AG1945" t="str">
        <f t="shared" si="432"/>
        <v>Active</v>
      </c>
      <c r="AH1945">
        <f t="shared" si="433"/>
        <v>2543.7599999999998</v>
      </c>
    </row>
    <row r="1946" spans="1:34" x14ac:dyDescent="0.35">
      <c r="A1946" t="s">
        <v>5002</v>
      </c>
      <c r="B1946" t="s">
        <v>5003</v>
      </c>
      <c r="C1946">
        <v>42</v>
      </c>
      <c r="D1946" t="s">
        <v>22</v>
      </c>
      <c r="E1946" t="s">
        <v>39</v>
      </c>
      <c r="F1946" t="s">
        <v>46</v>
      </c>
      <c r="G1946">
        <v>79217</v>
      </c>
      <c r="H1946">
        <v>300</v>
      </c>
      <c r="I1946">
        <v>67542</v>
      </c>
      <c r="J1946">
        <v>17</v>
      </c>
      <c r="K1946">
        <v>36</v>
      </c>
      <c r="L1946" t="s">
        <v>40</v>
      </c>
      <c r="M1946">
        <v>36.47</v>
      </c>
      <c r="N1946">
        <v>1526</v>
      </c>
      <c r="O1946">
        <v>46792</v>
      </c>
      <c r="P1946" t="s">
        <v>1996</v>
      </c>
      <c r="Q1946" t="s">
        <v>42</v>
      </c>
      <c r="R1946" t="s">
        <v>28</v>
      </c>
      <c r="S1946" t="s">
        <v>49</v>
      </c>
      <c r="T1946">
        <v>2195.11</v>
      </c>
      <c r="U1946">
        <f t="shared" si="420"/>
        <v>56</v>
      </c>
      <c r="V1946">
        <f t="shared" si="421"/>
        <v>23</v>
      </c>
      <c r="W1946">
        <f t="shared" si="422"/>
        <v>19</v>
      </c>
      <c r="X1946">
        <f t="shared" si="423"/>
        <v>0.35149999999999998</v>
      </c>
      <c r="Y1946" s="1">
        <f t="shared" si="424"/>
        <v>2905271</v>
      </c>
      <c r="Z1946">
        <f t="shared" si="425"/>
        <v>51879.839285714283</v>
      </c>
      <c r="AA1946">
        <f t="shared" si="426"/>
        <v>98054</v>
      </c>
      <c r="AB1946">
        <f t="shared" si="427"/>
        <v>5091</v>
      </c>
      <c r="AC1946">
        <f t="shared" si="428"/>
        <v>76545.690000000017</v>
      </c>
      <c r="AD1946">
        <f t="shared" si="429"/>
        <v>1366.8873214285718</v>
      </c>
      <c r="AE1946">
        <f t="shared" si="430"/>
        <v>0.35149999999999998</v>
      </c>
      <c r="AF1946">
        <f t="shared" si="431"/>
        <v>1671990.1399999997</v>
      </c>
      <c r="AG1946" t="str">
        <f t="shared" si="432"/>
        <v>Active</v>
      </c>
      <c r="AH1946">
        <f t="shared" si="433"/>
        <v>26341.32</v>
      </c>
    </row>
    <row r="1947" spans="1:34" x14ac:dyDescent="0.35">
      <c r="A1947" t="s">
        <v>5004</v>
      </c>
      <c r="B1947" t="s">
        <v>5005</v>
      </c>
      <c r="C1947">
        <v>24</v>
      </c>
      <c r="D1947" t="s">
        <v>22</v>
      </c>
      <c r="E1947" t="s">
        <v>39</v>
      </c>
      <c r="F1947" t="s">
        <v>24</v>
      </c>
      <c r="G1947">
        <v>60740</v>
      </c>
      <c r="H1947">
        <v>537</v>
      </c>
      <c r="I1947">
        <v>74967</v>
      </c>
      <c r="J1947">
        <v>22.03</v>
      </c>
      <c r="K1947">
        <v>12</v>
      </c>
      <c r="L1947" t="s">
        <v>33</v>
      </c>
      <c r="M1947">
        <v>5.87</v>
      </c>
      <c r="N1947">
        <v>13824</v>
      </c>
      <c r="O1947">
        <v>247612</v>
      </c>
      <c r="P1947" t="s">
        <v>1650</v>
      </c>
      <c r="Q1947" t="s">
        <v>27</v>
      </c>
      <c r="R1947" t="s">
        <v>48</v>
      </c>
      <c r="S1947" t="s">
        <v>43</v>
      </c>
      <c r="T1947">
        <v>7623.52</v>
      </c>
      <c r="U1947">
        <f t="shared" si="420"/>
        <v>55</v>
      </c>
      <c r="V1947">
        <f t="shared" si="421"/>
        <v>22</v>
      </c>
      <c r="W1947">
        <f t="shared" si="422"/>
        <v>19</v>
      </c>
      <c r="X1947">
        <f t="shared" si="423"/>
        <v>0.35149999999999998</v>
      </c>
      <c r="Y1947" s="1">
        <f t="shared" si="424"/>
        <v>2837729</v>
      </c>
      <c r="Z1947">
        <f t="shared" si="425"/>
        <v>51595.072727272731</v>
      </c>
      <c r="AA1947">
        <f t="shared" si="426"/>
        <v>98054</v>
      </c>
      <c r="AB1947">
        <f t="shared" si="427"/>
        <v>5091</v>
      </c>
      <c r="AC1947">
        <f t="shared" si="428"/>
        <v>74350.580000000031</v>
      </c>
      <c r="AD1947">
        <f t="shared" si="429"/>
        <v>1351.8287272727277</v>
      </c>
      <c r="AE1947">
        <f t="shared" si="430"/>
        <v>0.35149999999999998</v>
      </c>
      <c r="AF1947">
        <f t="shared" si="431"/>
        <v>1595444.4499999995</v>
      </c>
      <c r="AG1947" t="str">
        <f t="shared" si="432"/>
        <v>Active</v>
      </c>
      <c r="AH1947">
        <f t="shared" si="433"/>
        <v>91482.240000000005</v>
      </c>
    </row>
    <row r="1948" spans="1:34" x14ac:dyDescent="0.35">
      <c r="A1948" t="s">
        <v>5006</v>
      </c>
      <c r="B1948" t="s">
        <v>5007</v>
      </c>
      <c r="C1948">
        <v>35</v>
      </c>
      <c r="D1948" t="s">
        <v>38</v>
      </c>
      <c r="E1948" t="s">
        <v>39</v>
      </c>
      <c r="F1948" t="s">
        <v>24</v>
      </c>
      <c r="G1948">
        <v>126507</v>
      </c>
      <c r="H1948">
        <v>340</v>
      </c>
      <c r="I1948">
        <v>18284</v>
      </c>
      <c r="J1948">
        <v>20.56</v>
      </c>
      <c r="K1948">
        <v>360</v>
      </c>
      <c r="L1948" t="s">
        <v>86</v>
      </c>
      <c r="M1948">
        <v>7.5</v>
      </c>
      <c r="N1948">
        <v>45385</v>
      </c>
      <c r="O1948">
        <v>1850</v>
      </c>
      <c r="P1948" t="s">
        <v>2697</v>
      </c>
      <c r="Q1948" t="s">
        <v>61</v>
      </c>
      <c r="R1948" t="s">
        <v>48</v>
      </c>
      <c r="S1948" t="s">
        <v>68</v>
      </c>
      <c r="T1948">
        <v>61.23</v>
      </c>
      <c r="U1948">
        <f t="shared" si="420"/>
        <v>54</v>
      </c>
      <c r="V1948">
        <f t="shared" si="421"/>
        <v>22</v>
      </c>
      <c r="W1948">
        <f t="shared" si="422"/>
        <v>19</v>
      </c>
      <c r="X1948">
        <f t="shared" si="423"/>
        <v>0.35149999999999998</v>
      </c>
      <c r="Y1948" s="1">
        <f t="shared" si="424"/>
        <v>2762762</v>
      </c>
      <c r="Z1948">
        <f t="shared" si="425"/>
        <v>51162.259259259263</v>
      </c>
      <c r="AA1948">
        <f t="shared" si="426"/>
        <v>98054</v>
      </c>
      <c r="AB1948">
        <f t="shared" si="427"/>
        <v>5091</v>
      </c>
      <c r="AC1948">
        <f t="shared" si="428"/>
        <v>66727.060000000012</v>
      </c>
      <c r="AD1948">
        <f t="shared" si="429"/>
        <v>1235.6862962962966</v>
      </c>
      <c r="AE1948">
        <f t="shared" si="430"/>
        <v>0.35149999999999998</v>
      </c>
      <c r="AF1948">
        <f t="shared" si="431"/>
        <v>1521093.8699999996</v>
      </c>
      <c r="AG1948" t="str">
        <f t="shared" si="432"/>
        <v>Over Paid</v>
      </c>
      <c r="AH1948">
        <f t="shared" si="433"/>
        <v>734.76</v>
      </c>
    </row>
    <row r="1949" spans="1:34" x14ac:dyDescent="0.35">
      <c r="A1949" t="s">
        <v>5008</v>
      </c>
      <c r="B1949" t="s">
        <v>5009</v>
      </c>
      <c r="C1949">
        <v>34</v>
      </c>
      <c r="D1949" t="s">
        <v>22</v>
      </c>
      <c r="E1949" t="s">
        <v>23</v>
      </c>
      <c r="F1949" t="s">
        <v>59</v>
      </c>
      <c r="G1949">
        <v>34011</v>
      </c>
      <c r="H1949">
        <v>552</v>
      </c>
      <c r="I1949">
        <v>66750</v>
      </c>
      <c r="J1949">
        <v>3.84</v>
      </c>
      <c r="K1949">
        <v>360</v>
      </c>
      <c r="L1949" t="s">
        <v>33</v>
      </c>
      <c r="M1949">
        <v>22.55</v>
      </c>
      <c r="N1949">
        <v>50433</v>
      </c>
      <c r="O1949">
        <v>229728</v>
      </c>
      <c r="P1949" t="s">
        <v>1344</v>
      </c>
      <c r="Q1949" t="s">
        <v>61</v>
      </c>
      <c r="R1949" t="s">
        <v>28</v>
      </c>
      <c r="S1949" t="s">
        <v>35</v>
      </c>
      <c r="T1949">
        <v>192.54</v>
      </c>
      <c r="U1949">
        <f t="shared" si="420"/>
        <v>53</v>
      </c>
      <c r="V1949">
        <f t="shared" si="421"/>
        <v>22</v>
      </c>
      <c r="W1949">
        <f t="shared" si="422"/>
        <v>18</v>
      </c>
      <c r="X1949">
        <f t="shared" si="423"/>
        <v>0.35149999999999998</v>
      </c>
      <c r="Y1949" s="1">
        <f t="shared" si="424"/>
        <v>2744478</v>
      </c>
      <c r="Z1949">
        <f t="shared" si="425"/>
        <v>51782.603773584902</v>
      </c>
      <c r="AA1949">
        <f t="shared" si="426"/>
        <v>98054</v>
      </c>
      <c r="AB1949">
        <f t="shared" si="427"/>
        <v>5091</v>
      </c>
      <c r="AC1949">
        <f t="shared" si="428"/>
        <v>66665.830000000016</v>
      </c>
      <c r="AD1949">
        <f t="shared" si="429"/>
        <v>1257.845849056604</v>
      </c>
      <c r="AE1949">
        <f t="shared" si="430"/>
        <v>0.35149999999999998</v>
      </c>
      <c r="AF1949">
        <f t="shared" si="431"/>
        <v>1454366.8099999998</v>
      </c>
      <c r="AG1949" t="str">
        <f t="shared" si="432"/>
        <v>Active</v>
      </c>
      <c r="AH1949">
        <f t="shared" si="433"/>
        <v>2310.48</v>
      </c>
    </row>
    <row r="1950" spans="1:34" x14ac:dyDescent="0.35">
      <c r="A1950" t="s">
        <v>5010</v>
      </c>
      <c r="B1950" t="s">
        <v>5011</v>
      </c>
      <c r="C1950">
        <v>32</v>
      </c>
      <c r="D1950" t="s">
        <v>38</v>
      </c>
      <c r="E1950" t="s">
        <v>32</v>
      </c>
      <c r="F1950" t="s">
        <v>46</v>
      </c>
      <c r="G1950">
        <v>65159</v>
      </c>
      <c r="H1950">
        <v>412</v>
      </c>
      <c r="I1950">
        <v>39087</v>
      </c>
      <c r="J1950">
        <v>22.18</v>
      </c>
      <c r="K1950">
        <v>12</v>
      </c>
      <c r="L1950" t="s">
        <v>33</v>
      </c>
      <c r="M1950">
        <v>9.09</v>
      </c>
      <c r="N1950">
        <v>29878</v>
      </c>
      <c r="O1950">
        <v>207635</v>
      </c>
      <c r="P1950" t="s">
        <v>328</v>
      </c>
      <c r="Q1950" t="s">
        <v>61</v>
      </c>
      <c r="R1950" t="s">
        <v>28</v>
      </c>
      <c r="S1950" t="s">
        <v>43</v>
      </c>
      <c r="T1950">
        <v>3979.71</v>
      </c>
      <c r="U1950">
        <f t="shared" si="420"/>
        <v>52</v>
      </c>
      <c r="V1950">
        <f t="shared" si="421"/>
        <v>22</v>
      </c>
      <c r="W1950">
        <f t="shared" si="422"/>
        <v>17</v>
      </c>
      <c r="X1950">
        <f t="shared" si="423"/>
        <v>0.35149999999999998</v>
      </c>
      <c r="Y1950" s="1">
        <f t="shared" si="424"/>
        <v>2677728</v>
      </c>
      <c r="Z1950">
        <f t="shared" si="425"/>
        <v>51494.769230769234</v>
      </c>
      <c r="AA1950">
        <f t="shared" si="426"/>
        <v>98054</v>
      </c>
      <c r="AB1950">
        <f t="shared" si="427"/>
        <v>5091</v>
      </c>
      <c r="AC1950">
        <f t="shared" si="428"/>
        <v>66473.290000000023</v>
      </c>
      <c r="AD1950">
        <f t="shared" si="429"/>
        <v>1278.3325000000004</v>
      </c>
      <c r="AE1950">
        <f t="shared" si="430"/>
        <v>0.35149999999999998</v>
      </c>
      <c r="AF1950">
        <f t="shared" si="431"/>
        <v>1387700.98</v>
      </c>
      <c r="AG1950" t="str">
        <f t="shared" si="432"/>
        <v>Active</v>
      </c>
      <c r="AH1950">
        <f t="shared" si="433"/>
        <v>47756.520000000004</v>
      </c>
    </row>
    <row r="1951" spans="1:34" x14ac:dyDescent="0.35">
      <c r="A1951" t="s">
        <v>5012</v>
      </c>
      <c r="B1951" t="s">
        <v>5013</v>
      </c>
      <c r="C1951">
        <v>25</v>
      </c>
      <c r="D1951" t="s">
        <v>22</v>
      </c>
      <c r="E1951" t="s">
        <v>39</v>
      </c>
      <c r="F1951" t="s">
        <v>24</v>
      </c>
      <c r="G1951">
        <v>193377</v>
      </c>
      <c r="H1951">
        <v>652</v>
      </c>
      <c r="I1951">
        <v>26078</v>
      </c>
      <c r="J1951">
        <v>22</v>
      </c>
      <c r="K1951">
        <v>12</v>
      </c>
      <c r="L1951" t="s">
        <v>40</v>
      </c>
      <c r="M1951">
        <v>51.26</v>
      </c>
      <c r="N1951">
        <v>17275</v>
      </c>
      <c r="O1951">
        <v>25434</v>
      </c>
      <c r="P1951" t="s">
        <v>570</v>
      </c>
      <c r="Q1951" t="s">
        <v>42</v>
      </c>
      <c r="R1951" t="s">
        <v>48</v>
      </c>
      <c r="S1951" t="s">
        <v>49</v>
      </c>
      <c r="T1951">
        <v>2651.26</v>
      </c>
      <c r="U1951">
        <f t="shared" si="420"/>
        <v>51</v>
      </c>
      <c r="V1951">
        <f t="shared" si="421"/>
        <v>22</v>
      </c>
      <c r="W1951">
        <f t="shared" si="422"/>
        <v>16</v>
      </c>
      <c r="X1951">
        <f t="shared" si="423"/>
        <v>0.35149999999999998</v>
      </c>
      <c r="Y1951" s="1">
        <f t="shared" si="424"/>
        <v>2638641</v>
      </c>
      <c r="Z1951">
        <f t="shared" si="425"/>
        <v>51738.058823529413</v>
      </c>
      <c r="AA1951">
        <f t="shared" si="426"/>
        <v>98054</v>
      </c>
      <c r="AB1951">
        <f t="shared" si="427"/>
        <v>5091</v>
      </c>
      <c r="AC1951">
        <f t="shared" si="428"/>
        <v>62493.580000000009</v>
      </c>
      <c r="AD1951">
        <f t="shared" si="429"/>
        <v>1225.3643137254903</v>
      </c>
      <c r="AE1951">
        <f t="shared" si="430"/>
        <v>0.35149999999999998</v>
      </c>
      <c r="AF1951">
        <f t="shared" si="431"/>
        <v>1321227.69</v>
      </c>
      <c r="AG1951" t="str">
        <f t="shared" si="432"/>
        <v>Over Paid</v>
      </c>
      <c r="AH1951">
        <f t="shared" si="433"/>
        <v>31815.120000000003</v>
      </c>
    </row>
    <row r="1952" spans="1:34" x14ac:dyDescent="0.35">
      <c r="A1952" t="s">
        <v>5014</v>
      </c>
      <c r="B1952" t="s">
        <v>5015</v>
      </c>
      <c r="C1952">
        <v>50</v>
      </c>
      <c r="D1952" t="s">
        <v>22</v>
      </c>
      <c r="E1952" t="s">
        <v>39</v>
      </c>
      <c r="F1952" t="s">
        <v>46</v>
      </c>
      <c r="G1952">
        <v>56920</v>
      </c>
      <c r="H1952">
        <v>303</v>
      </c>
      <c r="I1952">
        <v>67633</v>
      </c>
      <c r="J1952">
        <v>10.83</v>
      </c>
      <c r="K1952">
        <v>24</v>
      </c>
      <c r="L1952" t="s">
        <v>52</v>
      </c>
      <c r="M1952">
        <v>33.43</v>
      </c>
      <c r="N1952">
        <v>29804</v>
      </c>
      <c r="O1952">
        <v>169566</v>
      </c>
      <c r="P1952" t="s">
        <v>3662</v>
      </c>
      <c r="Q1952" t="s">
        <v>27</v>
      </c>
      <c r="R1952" t="s">
        <v>48</v>
      </c>
      <c r="S1952" t="s">
        <v>29</v>
      </c>
      <c r="T1952">
        <v>3123.24</v>
      </c>
      <c r="U1952">
        <f t="shared" si="420"/>
        <v>50</v>
      </c>
      <c r="V1952">
        <f t="shared" si="421"/>
        <v>21</v>
      </c>
      <c r="W1952">
        <f t="shared" si="422"/>
        <v>16</v>
      </c>
      <c r="X1952">
        <f t="shared" si="423"/>
        <v>0.35149999999999998</v>
      </c>
      <c r="Y1952" s="1">
        <f t="shared" si="424"/>
        <v>2612563</v>
      </c>
      <c r="Z1952">
        <f t="shared" si="425"/>
        <v>52251.26</v>
      </c>
      <c r="AA1952">
        <f t="shared" si="426"/>
        <v>98054</v>
      </c>
      <c r="AB1952">
        <f t="shared" si="427"/>
        <v>5091</v>
      </c>
      <c r="AC1952">
        <f t="shared" si="428"/>
        <v>59842.32</v>
      </c>
      <c r="AD1952">
        <f t="shared" si="429"/>
        <v>1196.8463999999999</v>
      </c>
      <c r="AE1952">
        <f t="shared" si="430"/>
        <v>0.35149999999999998</v>
      </c>
      <c r="AF1952">
        <f t="shared" si="431"/>
        <v>1258734.1100000001</v>
      </c>
      <c r="AG1952" t="str">
        <f t="shared" si="432"/>
        <v>Over Paid</v>
      </c>
      <c r="AH1952">
        <f t="shared" si="433"/>
        <v>37478.879999999997</v>
      </c>
    </row>
    <row r="1953" spans="1:34" x14ac:dyDescent="0.35">
      <c r="A1953" t="s">
        <v>5016</v>
      </c>
      <c r="B1953" t="s">
        <v>5017</v>
      </c>
      <c r="C1953">
        <v>29</v>
      </c>
      <c r="D1953" t="s">
        <v>38</v>
      </c>
      <c r="E1953" t="s">
        <v>39</v>
      </c>
      <c r="F1953" t="s">
        <v>46</v>
      </c>
      <c r="G1953">
        <v>75721</v>
      </c>
      <c r="H1953">
        <v>488</v>
      </c>
      <c r="I1953">
        <v>41278</v>
      </c>
      <c r="J1953">
        <v>19.66</v>
      </c>
      <c r="K1953">
        <v>240</v>
      </c>
      <c r="L1953" t="s">
        <v>86</v>
      </c>
      <c r="M1953">
        <v>39.200000000000003</v>
      </c>
      <c r="N1953">
        <v>33791</v>
      </c>
      <c r="O1953">
        <v>210244</v>
      </c>
      <c r="P1953" t="s">
        <v>1560</v>
      </c>
      <c r="Q1953" t="s">
        <v>42</v>
      </c>
      <c r="R1953" t="s">
        <v>48</v>
      </c>
      <c r="S1953" t="s">
        <v>43</v>
      </c>
      <c r="T1953">
        <v>205.81</v>
      </c>
      <c r="U1953">
        <f t="shared" si="420"/>
        <v>49</v>
      </c>
      <c r="V1953">
        <f t="shared" si="421"/>
        <v>21</v>
      </c>
      <c r="W1953">
        <f t="shared" si="422"/>
        <v>16</v>
      </c>
      <c r="X1953">
        <f t="shared" si="423"/>
        <v>0.35149999999999998</v>
      </c>
      <c r="Y1953" s="1">
        <f t="shared" si="424"/>
        <v>2544930</v>
      </c>
      <c r="Z1953">
        <f t="shared" si="425"/>
        <v>51937.34693877551</v>
      </c>
      <c r="AA1953">
        <f t="shared" si="426"/>
        <v>98054</v>
      </c>
      <c r="AB1953">
        <f t="shared" si="427"/>
        <v>5091</v>
      </c>
      <c r="AC1953">
        <f t="shared" si="428"/>
        <v>56719.080000000009</v>
      </c>
      <c r="AD1953">
        <f t="shared" si="429"/>
        <v>1157.5322448979593</v>
      </c>
      <c r="AE1953">
        <f t="shared" si="430"/>
        <v>0.35149999999999998</v>
      </c>
      <c r="AF1953">
        <f t="shared" si="431"/>
        <v>1198891.7900000003</v>
      </c>
      <c r="AG1953" t="str">
        <f t="shared" si="432"/>
        <v>Active</v>
      </c>
      <c r="AH1953">
        <f t="shared" si="433"/>
        <v>2469.7200000000003</v>
      </c>
    </row>
    <row r="1954" spans="1:34" x14ac:dyDescent="0.35">
      <c r="A1954" t="s">
        <v>5018</v>
      </c>
      <c r="B1954" t="s">
        <v>5019</v>
      </c>
      <c r="C1954">
        <v>42</v>
      </c>
      <c r="D1954" t="s">
        <v>22</v>
      </c>
      <c r="E1954" t="s">
        <v>32</v>
      </c>
      <c r="F1954" t="s">
        <v>59</v>
      </c>
      <c r="G1954">
        <v>126252</v>
      </c>
      <c r="H1954">
        <v>682</v>
      </c>
      <c r="I1954">
        <v>92825</v>
      </c>
      <c r="J1954">
        <v>13.5</v>
      </c>
      <c r="K1954">
        <v>24</v>
      </c>
      <c r="L1954" t="s">
        <v>86</v>
      </c>
      <c r="M1954">
        <v>44.25</v>
      </c>
      <c r="N1954">
        <v>9263</v>
      </c>
      <c r="O1954">
        <v>246533</v>
      </c>
      <c r="P1954" t="s">
        <v>4981</v>
      </c>
      <c r="Q1954" t="s">
        <v>42</v>
      </c>
      <c r="R1954" t="s">
        <v>28</v>
      </c>
      <c r="S1954" t="s">
        <v>43</v>
      </c>
      <c r="T1954">
        <v>4389.8500000000004</v>
      </c>
      <c r="U1954">
        <f t="shared" si="420"/>
        <v>48</v>
      </c>
      <c r="V1954">
        <f t="shared" si="421"/>
        <v>20</v>
      </c>
      <c r="W1954">
        <f t="shared" si="422"/>
        <v>16</v>
      </c>
      <c r="X1954">
        <f t="shared" si="423"/>
        <v>0.35149999999999998</v>
      </c>
      <c r="Y1954" s="1">
        <f t="shared" si="424"/>
        <v>2503652</v>
      </c>
      <c r="Z1954">
        <f t="shared" si="425"/>
        <v>52159.416666666664</v>
      </c>
      <c r="AA1954">
        <f t="shared" si="426"/>
        <v>98054</v>
      </c>
      <c r="AB1954">
        <f t="shared" si="427"/>
        <v>5091</v>
      </c>
      <c r="AC1954">
        <f t="shared" si="428"/>
        <v>56513.27</v>
      </c>
      <c r="AD1954">
        <f t="shared" si="429"/>
        <v>1177.3597916666665</v>
      </c>
      <c r="AE1954">
        <f t="shared" si="430"/>
        <v>0.35149999999999998</v>
      </c>
      <c r="AF1954">
        <f t="shared" si="431"/>
        <v>1142172.7100000004</v>
      </c>
      <c r="AG1954" t="str">
        <f t="shared" si="432"/>
        <v>Active</v>
      </c>
      <c r="AH1954">
        <f t="shared" si="433"/>
        <v>52678.200000000004</v>
      </c>
    </row>
    <row r="1955" spans="1:34" x14ac:dyDescent="0.35">
      <c r="A1955" t="s">
        <v>5020</v>
      </c>
      <c r="B1955" t="s">
        <v>5021</v>
      </c>
      <c r="C1955">
        <v>31</v>
      </c>
      <c r="D1955" t="s">
        <v>38</v>
      </c>
      <c r="E1955" t="s">
        <v>23</v>
      </c>
      <c r="F1955" t="s">
        <v>59</v>
      </c>
      <c r="G1955">
        <v>97406</v>
      </c>
      <c r="H1955">
        <v>467</v>
      </c>
      <c r="I1955">
        <v>94682</v>
      </c>
      <c r="J1955">
        <v>8.1</v>
      </c>
      <c r="K1955">
        <v>36</v>
      </c>
      <c r="L1955" t="s">
        <v>86</v>
      </c>
      <c r="M1955">
        <v>5.45</v>
      </c>
      <c r="N1955">
        <v>70913</v>
      </c>
      <c r="O1955">
        <v>196342</v>
      </c>
      <c r="P1955" t="s">
        <v>242</v>
      </c>
      <c r="Q1955" t="s">
        <v>27</v>
      </c>
      <c r="R1955" t="s">
        <v>28</v>
      </c>
      <c r="S1955" t="s">
        <v>68</v>
      </c>
      <c r="T1955">
        <v>2843.09</v>
      </c>
      <c r="U1955">
        <f t="shared" si="420"/>
        <v>47</v>
      </c>
      <c r="V1955">
        <f t="shared" si="421"/>
        <v>19</v>
      </c>
      <c r="W1955">
        <f t="shared" si="422"/>
        <v>16</v>
      </c>
      <c r="X1955">
        <f t="shared" si="423"/>
        <v>0.35149999999999998</v>
      </c>
      <c r="Y1955" s="1">
        <f t="shared" si="424"/>
        <v>2410827</v>
      </c>
      <c r="Z1955">
        <f t="shared" si="425"/>
        <v>51294.191489361699</v>
      </c>
      <c r="AA1955">
        <f t="shared" si="426"/>
        <v>98054</v>
      </c>
      <c r="AB1955">
        <f t="shared" si="427"/>
        <v>5091</v>
      </c>
      <c r="AC1955">
        <f t="shared" si="428"/>
        <v>52123.419999999991</v>
      </c>
      <c r="AD1955">
        <f t="shared" si="429"/>
        <v>1109.0089361702126</v>
      </c>
      <c r="AE1955">
        <f t="shared" si="430"/>
        <v>0.35149999999999998</v>
      </c>
      <c r="AF1955">
        <f t="shared" si="431"/>
        <v>1085659.4400000004</v>
      </c>
      <c r="AG1955" t="str">
        <f t="shared" si="432"/>
        <v>Active</v>
      </c>
      <c r="AH1955">
        <f t="shared" si="433"/>
        <v>34117.08</v>
      </c>
    </row>
    <row r="1956" spans="1:34" x14ac:dyDescent="0.35">
      <c r="A1956" t="s">
        <v>5022</v>
      </c>
      <c r="B1956" t="s">
        <v>5023</v>
      </c>
      <c r="C1956">
        <v>50</v>
      </c>
      <c r="D1956" t="s">
        <v>22</v>
      </c>
      <c r="E1956" t="s">
        <v>32</v>
      </c>
      <c r="F1956" t="s">
        <v>24</v>
      </c>
      <c r="G1956">
        <v>41922</v>
      </c>
      <c r="H1956">
        <v>691</v>
      </c>
      <c r="I1956">
        <v>12270</v>
      </c>
      <c r="J1956">
        <v>4.29</v>
      </c>
      <c r="K1956">
        <v>360</v>
      </c>
      <c r="L1956" t="s">
        <v>33</v>
      </c>
      <c r="M1956">
        <v>25.34</v>
      </c>
      <c r="N1956">
        <v>57812</v>
      </c>
      <c r="O1956">
        <v>9839</v>
      </c>
      <c r="P1956" t="s">
        <v>1185</v>
      </c>
      <c r="Q1956" t="s">
        <v>61</v>
      </c>
      <c r="R1956" t="s">
        <v>28</v>
      </c>
      <c r="S1956" t="s">
        <v>68</v>
      </c>
      <c r="T1956">
        <v>35.549999999999997</v>
      </c>
      <c r="U1956">
        <f t="shared" si="420"/>
        <v>46</v>
      </c>
      <c r="V1956">
        <f t="shared" si="421"/>
        <v>19</v>
      </c>
      <c r="W1956">
        <f t="shared" si="422"/>
        <v>16</v>
      </c>
      <c r="X1956">
        <f t="shared" si="423"/>
        <v>0.35149999999999998</v>
      </c>
      <c r="Y1956" s="1">
        <f t="shared" si="424"/>
        <v>2316145</v>
      </c>
      <c r="Z1956">
        <f t="shared" si="425"/>
        <v>50350.978260869568</v>
      </c>
      <c r="AA1956">
        <f t="shared" si="426"/>
        <v>98054</v>
      </c>
      <c r="AB1956">
        <f t="shared" si="427"/>
        <v>5091</v>
      </c>
      <c r="AC1956">
        <f t="shared" si="428"/>
        <v>49280.330000000009</v>
      </c>
      <c r="AD1956">
        <f t="shared" si="429"/>
        <v>1071.3115217391307</v>
      </c>
      <c r="AE1956">
        <f t="shared" si="430"/>
        <v>0.35149999999999998</v>
      </c>
      <c r="AF1956">
        <f t="shared" si="431"/>
        <v>1033536.0200000001</v>
      </c>
      <c r="AG1956" t="str">
        <f t="shared" si="432"/>
        <v>Active</v>
      </c>
      <c r="AH1956">
        <f t="shared" si="433"/>
        <v>426.59999999999997</v>
      </c>
    </row>
    <row r="1957" spans="1:34" x14ac:dyDescent="0.35">
      <c r="A1957" t="s">
        <v>5024</v>
      </c>
      <c r="B1957" t="s">
        <v>5025</v>
      </c>
      <c r="C1957">
        <v>32</v>
      </c>
      <c r="D1957" t="s">
        <v>22</v>
      </c>
      <c r="E1957" t="s">
        <v>39</v>
      </c>
      <c r="F1957" t="s">
        <v>46</v>
      </c>
      <c r="G1957">
        <v>86815</v>
      </c>
      <c r="H1957">
        <v>405</v>
      </c>
      <c r="I1957">
        <v>30431</v>
      </c>
      <c r="J1957">
        <v>12.87</v>
      </c>
      <c r="K1957">
        <v>60</v>
      </c>
      <c r="L1957" t="s">
        <v>25</v>
      </c>
      <c r="M1957">
        <v>19.940000000000001</v>
      </c>
      <c r="N1957">
        <v>75776</v>
      </c>
      <c r="O1957">
        <v>238421</v>
      </c>
      <c r="P1957" t="s">
        <v>443</v>
      </c>
      <c r="Q1957" t="s">
        <v>61</v>
      </c>
      <c r="R1957" t="s">
        <v>48</v>
      </c>
      <c r="S1957" t="s">
        <v>29</v>
      </c>
      <c r="T1957">
        <v>572.46</v>
      </c>
      <c r="U1957">
        <f t="shared" si="420"/>
        <v>45</v>
      </c>
      <c r="V1957">
        <f t="shared" si="421"/>
        <v>19</v>
      </c>
      <c r="W1957">
        <f t="shared" si="422"/>
        <v>15</v>
      </c>
      <c r="X1957">
        <f t="shared" si="423"/>
        <v>0.35149999999999998</v>
      </c>
      <c r="Y1957" s="1">
        <f t="shared" si="424"/>
        <v>2303875</v>
      </c>
      <c r="Z1957">
        <f t="shared" si="425"/>
        <v>51197.222222222219</v>
      </c>
      <c r="AA1957">
        <f t="shared" si="426"/>
        <v>98054</v>
      </c>
      <c r="AB1957">
        <f t="shared" si="427"/>
        <v>5091</v>
      </c>
      <c r="AC1957">
        <f t="shared" si="428"/>
        <v>49244.780000000006</v>
      </c>
      <c r="AD1957">
        <f t="shared" si="429"/>
        <v>1094.3284444444446</v>
      </c>
      <c r="AE1957">
        <f t="shared" si="430"/>
        <v>0.35149999999999998</v>
      </c>
      <c r="AF1957">
        <f t="shared" si="431"/>
        <v>984255.69000000006</v>
      </c>
      <c r="AG1957" t="str">
        <f t="shared" si="432"/>
        <v>Active</v>
      </c>
      <c r="AH1957">
        <f t="shared" si="433"/>
        <v>6869.52</v>
      </c>
    </row>
    <row r="1958" spans="1:34" x14ac:dyDescent="0.35">
      <c r="A1958" t="s">
        <v>5026</v>
      </c>
      <c r="B1958" t="s">
        <v>5027</v>
      </c>
      <c r="C1958">
        <v>25</v>
      </c>
      <c r="D1958" t="s">
        <v>38</v>
      </c>
      <c r="E1958" t="s">
        <v>39</v>
      </c>
      <c r="F1958" t="s">
        <v>46</v>
      </c>
      <c r="G1958">
        <v>198044</v>
      </c>
      <c r="H1958">
        <v>586</v>
      </c>
      <c r="I1958">
        <v>15168</v>
      </c>
      <c r="J1958">
        <v>15.63</v>
      </c>
      <c r="K1958">
        <v>12</v>
      </c>
      <c r="L1958" t="s">
        <v>52</v>
      </c>
      <c r="M1958">
        <v>30.74</v>
      </c>
      <c r="N1958">
        <v>30056</v>
      </c>
      <c r="O1958">
        <v>161100</v>
      </c>
      <c r="P1958" t="s">
        <v>1476</v>
      </c>
      <c r="Q1958" t="s">
        <v>61</v>
      </c>
      <c r="R1958" t="s">
        <v>28</v>
      </c>
      <c r="S1958" t="s">
        <v>68</v>
      </c>
      <c r="T1958">
        <v>1461.56</v>
      </c>
      <c r="U1958">
        <f t="shared" si="420"/>
        <v>44</v>
      </c>
      <c r="V1958">
        <f t="shared" si="421"/>
        <v>19</v>
      </c>
      <c r="W1958">
        <f t="shared" si="422"/>
        <v>14</v>
      </c>
      <c r="X1958">
        <f t="shared" si="423"/>
        <v>0.35149999999999998</v>
      </c>
      <c r="Y1958" s="1">
        <f t="shared" si="424"/>
        <v>2273444</v>
      </c>
      <c r="Z1958">
        <f t="shared" si="425"/>
        <v>51669.181818181816</v>
      </c>
      <c r="AA1958">
        <f t="shared" si="426"/>
        <v>98054</v>
      </c>
      <c r="AB1958">
        <f t="shared" si="427"/>
        <v>5091</v>
      </c>
      <c r="AC1958">
        <f t="shared" si="428"/>
        <v>48672.32</v>
      </c>
      <c r="AD1958">
        <f t="shared" si="429"/>
        <v>1106.189090909091</v>
      </c>
      <c r="AE1958">
        <f t="shared" si="430"/>
        <v>0.35149999999999998</v>
      </c>
      <c r="AF1958">
        <f t="shared" si="431"/>
        <v>935010.91</v>
      </c>
      <c r="AG1958" t="str">
        <f t="shared" si="432"/>
        <v>Active</v>
      </c>
      <c r="AH1958">
        <f t="shared" si="433"/>
        <v>17538.72</v>
      </c>
    </row>
    <row r="1959" spans="1:34" x14ac:dyDescent="0.35">
      <c r="A1959" t="s">
        <v>5028</v>
      </c>
      <c r="B1959" t="s">
        <v>5029</v>
      </c>
      <c r="C1959">
        <v>27</v>
      </c>
      <c r="D1959" t="s">
        <v>22</v>
      </c>
      <c r="E1959" t="s">
        <v>39</v>
      </c>
      <c r="F1959" t="s">
        <v>46</v>
      </c>
      <c r="G1959">
        <v>196234</v>
      </c>
      <c r="H1959">
        <v>422</v>
      </c>
      <c r="I1959">
        <v>88774</v>
      </c>
      <c r="J1959">
        <v>18.11</v>
      </c>
      <c r="K1959">
        <v>360</v>
      </c>
      <c r="L1959" t="s">
        <v>40</v>
      </c>
      <c r="M1959">
        <v>13.27</v>
      </c>
      <c r="N1959">
        <v>13069</v>
      </c>
      <c r="O1959">
        <v>189303</v>
      </c>
      <c r="P1959" t="s">
        <v>526</v>
      </c>
      <c r="Q1959" t="s">
        <v>61</v>
      </c>
      <c r="R1959" t="s">
        <v>28</v>
      </c>
      <c r="S1959" t="s">
        <v>29</v>
      </c>
      <c r="T1959">
        <v>291.25</v>
      </c>
      <c r="U1959">
        <f t="shared" si="420"/>
        <v>43</v>
      </c>
      <c r="V1959">
        <f t="shared" si="421"/>
        <v>19</v>
      </c>
      <c r="W1959">
        <f t="shared" si="422"/>
        <v>13</v>
      </c>
      <c r="X1959">
        <f t="shared" si="423"/>
        <v>0.35149999999999998</v>
      </c>
      <c r="Y1959" s="1">
        <f t="shared" si="424"/>
        <v>2258276</v>
      </c>
      <c r="Z1959">
        <f t="shared" si="425"/>
        <v>52518.046511627908</v>
      </c>
      <c r="AA1959">
        <f t="shared" si="426"/>
        <v>98054</v>
      </c>
      <c r="AB1959">
        <f t="shared" si="427"/>
        <v>5091</v>
      </c>
      <c r="AC1959">
        <f t="shared" si="428"/>
        <v>47210.760000000017</v>
      </c>
      <c r="AD1959">
        <f t="shared" si="429"/>
        <v>1097.9246511627912</v>
      </c>
      <c r="AE1959">
        <f t="shared" si="430"/>
        <v>0.35149999999999998</v>
      </c>
      <c r="AF1959">
        <f t="shared" si="431"/>
        <v>886338.5900000002</v>
      </c>
      <c r="AG1959" t="str">
        <f t="shared" si="432"/>
        <v>Over Paid</v>
      </c>
      <c r="AH1959">
        <f t="shared" si="433"/>
        <v>3495</v>
      </c>
    </row>
    <row r="1960" spans="1:34" x14ac:dyDescent="0.35">
      <c r="A1960" t="s">
        <v>5030</v>
      </c>
      <c r="B1960" t="s">
        <v>5031</v>
      </c>
      <c r="C1960">
        <v>62</v>
      </c>
      <c r="D1960" t="s">
        <v>38</v>
      </c>
      <c r="E1960" t="s">
        <v>39</v>
      </c>
      <c r="F1960" t="s">
        <v>46</v>
      </c>
      <c r="G1960">
        <v>45247</v>
      </c>
      <c r="H1960">
        <v>343</v>
      </c>
      <c r="I1960">
        <v>59178</v>
      </c>
      <c r="J1960">
        <v>11.69</v>
      </c>
      <c r="K1960">
        <v>48</v>
      </c>
      <c r="L1960" t="s">
        <v>25</v>
      </c>
      <c r="M1960">
        <v>21.6</v>
      </c>
      <c r="N1960">
        <v>9983</v>
      </c>
      <c r="O1960">
        <v>52832</v>
      </c>
      <c r="P1960" t="s">
        <v>1176</v>
      </c>
      <c r="Q1960" t="s">
        <v>42</v>
      </c>
      <c r="R1960" t="s">
        <v>48</v>
      </c>
      <c r="S1960" t="s">
        <v>68</v>
      </c>
      <c r="T1960">
        <v>1377</v>
      </c>
      <c r="U1960">
        <f t="shared" si="420"/>
        <v>42</v>
      </c>
      <c r="V1960">
        <f t="shared" si="421"/>
        <v>19</v>
      </c>
      <c r="W1960">
        <f t="shared" si="422"/>
        <v>12</v>
      </c>
      <c r="X1960">
        <f t="shared" si="423"/>
        <v>0.35149999999999998</v>
      </c>
      <c r="Y1960" s="1">
        <f t="shared" si="424"/>
        <v>2169502</v>
      </c>
      <c r="Z1960">
        <f t="shared" si="425"/>
        <v>51654.809523809527</v>
      </c>
      <c r="AA1960">
        <f t="shared" si="426"/>
        <v>98054</v>
      </c>
      <c r="AB1960">
        <f t="shared" si="427"/>
        <v>5091</v>
      </c>
      <c r="AC1960">
        <f t="shared" si="428"/>
        <v>46919.51</v>
      </c>
      <c r="AD1960">
        <f t="shared" si="429"/>
        <v>1117.1311904761906</v>
      </c>
      <c r="AE1960">
        <f t="shared" si="430"/>
        <v>0.35149999999999998</v>
      </c>
      <c r="AF1960">
        <f t="shared" si="431"/>
        <v>839127.83000000019</v>
      </c>
      <c r="AG1960" t="str">
        <f t="shared" si="432"/>
        <v>Active</v>
      </c>
      <c r="AH1960">
        <f t="shared" si="433"/>
        <v>16524</v>
      </c>
    </row>
    <row r="1961" spans="1:34" x14ac:dyDescent="0.35">
      <c r="A1961" t="s">
        <v>5032</v>
      </c>
      <c r="B1961" t="s">
        <v>5033</v>
      </c>
      <c r="C1961">
        <v>63</v>
      </c>
      <c r="D1961" t="s">
        <v>38</v>
      </c>
      <c r="E1961" t="s">
        <v>39</v>
      </c>
      <c r="F1961" t="s">
        <v>59</v>
      </c>
      <c r="G1961">
        <v>177782</v>
      </c>
      <c r="H1961">
        <v>649</v>
      </c>
      <c r="I1961">
        <v>12056</v>
      </c>
      <c r="J1961">
        <v>6.13</v>
      </c>
      <c r="K1961">
        <v>240</v>
      </c>
      <c r="L1961" t="s">
        <v>25</v>
      </c>
      <c r="M1961">
        <v>10.55</v>
      </c>
      <c r="N1961">
        <v>12517</v>
      </c>
      <c r="O1961">
        <v>170890</v>
      </c>
      <c r="P1961" t="s">
        <v>5034</v>
      </c>
      <c r="Q1961" t="s">
        <v>42</v>
      </c>
      <c r="R1961" t="s">
        <v>28</v>
      </c>
      <c r="S1961" t="s">
        <v>43</v>
      </c>
      <c r="T1961">
        <v>53.31</v>
      </c>
      <c r="U1961">
        <f t="shared" si="420"/>
        <v>41</v>
      </c>
      <c r="V1961">
        <f t="shared" si="421"/>
        <v>18</v>
      </c>
      <c r="W1961">
        <f t="shared" si="422"/>
        <v>12</v>
      </c>
      <c r="X1961">
        <f t="shared" si="423"/>
        <v>0.35149999999999998</v>
      </c>
      <c r="Y1961" s="1">
        <f t="shared" si="424"/>
        <v>2110324</v>
      </c>
      <c r="Z1961">
        <f t="shared" si="425"/>
        <v>51471.317073170729</v>
      </c>
      <c r="AA1961">
        <f t="shared" si="426"/>
        <v>98054</v>
      </c>
      <c r="AB1961">
        <f t="shared" si="427"/>
        <v>5091</v>
      </c>
      <c r="AC1961">
        <f t="shared" si="428"/>
        <v>45542.51</v>
      </c>
      <c r="AD1961">
        <f t="shared" si="429"/>
        <v>1110.7929268292683</v>
      </c>
      <c r="AE1961">
        <f t="shared" si="430"/>
        <v>0.35149999999999998</v>
      </c>
      <c r="AF1961">
        <f t="shared" si="431"/>
        <v>792208.32000000018</v>
      </c>
      <c r="AG1961" t="str">
        <f t="shared" si="432"/>
        <v>Active</v>
      </c>
      <c r="AH1961">
        <f t="shared" si="433"/>
        <v>639.72</v>
      </c>
    </row>
    <row r="1962" spans="1:34" x14ac:dyDescent="0.35">
      <c r="A1962" t="s">
        <v>5035</v>
      </c>
      <c r="B1962" t="s">
        <v>5036</v>
      </c>
      <c r="C1962">
        <v>52</v>
      </c>
      <c r="D1962" t="s">
        <v>22</v>
      </c>
      <c r="E1962" t="s">
        <v>32</v>
      </c>
      <c r="F1962" t="s">
        <v>24</v>
      </c>
      <c r="G1962">
        <v>140326</v>
      </c>
      <c r="H1962">
        <v>824</v>
      </c>
      <c r="I1962">
        <v>52343</v>
      </c>
      <c r="J1962">
        <v>4.37</v>
      </c>
      <c r="K1962">
        <v>60</v>
      </c>
      <c r="L1962" t="s">
        <v>40</v>
      </c>
      <c r="M1962">
        <v>33.479999999999997</v>
      </c>
      <c r="N1962">
        <v>9124</v>
      </c>
      <c r="O1962">
        <v>178228</v>
      </c>
      <c r="P1962" t="s">
        <v>1147</v>
      </c>
      <c r="Q1962" t="s">
        <v>42</v>
      </c>
      <c r="R1962" t="s">
        <v>48</v>
      </c>
      <c r="S1962" t="s">
        <v>35</v>
      </c>
      <c r="T1962">
        <v>910.51</v>
      </c>
      <c r="U1962">
        <f t="shared" si="420"/>
        <v>40</v>
      </c>
      <c r="V1962">
        <f t="shared" si="421"/>
        <v>17</v>
      </c>
      <c r="W1962">
        <f t="shared" si="422"/>
        <v>12</v>
      </c>
      <c r="X1962">
        <f t="shared" si="423"/>
        <v>0.35149999999999998</v>
      </c>
      <c r="Y1962" s="1">
        <f t="shared" si="424"/>
        <v>2098268</v>
      </c>
      <c r="Z1962">
        <f t="shared" si="425"/>
        <v>52456.7</v>
      </c>
      <c r="AA1962">
        <f t="shared" si="426"/>
        <v>98054</v>
      </c>
      <c r="AB1962">
        <f t="shared" si="427"/>
        <v>5091</v>
      </c>
      <c r="AC1962">
        <f t="shared" si="428"/>
        <v>45489.200000000004</v>
      </c>
      <c r="AD1962">
        <f t="shared" si="429"/>
        <v>1137.23</v>
      </c>
      <c r="AE1962">
        <f t="shared" si="430"/>
        <v>0.35149999999999998</v>
      </c>
      <c r="AF1962">
        <f t="shared" si="431"/>
        <v>746665.81</v>
      </c>
      <c r="AG1962" t="str">
        <f t="shared" si="432"/>
        <v>Active</v>
      </c>
      <c r="AH1962">
        <f t="shared" si="433"/>
        <v>10926.119999999999</v>
      </c>
    </row>
    <row r="1963" spans="1:34" x14ac:dyDescent="0.35">
      <c r="A1963" t="s">
        <v>5037</v>
      </c>
      <c r="B1963" t="s">
        <v>5038</v>
      </c>
      <c r="C1963">
        <v>33</v>
      </c>
      <c r="D1963" t="s">
        <v>22</v>
      </c>
      <c r="E1963" t="s">
        <v>39</v>
      </c>
      <c r="F1963" t="s">
        <v>24</v>
      </c>
      <c r="G1963">
        <v>144513</v>
      </c>
      <c r="H1963">
        <v>658</v>
      </c>
      <c r="I1963">
        <v>68679</v>
      </c>
      <c r="J1963">
        <v>14.4</v>
      </c>
      <c r="K1963">
        <v>24</v>
      </c>
      <c r="L1963" t="s">
        <v>52</v>
      </c>
      <c r="M1963">
        <v>18.16</v>
      </c>
      <c r="N1963">
        <v>67945</v>
      </c>
      <c r="O1963">
        <v>23254</v>
      </c>
      <c r="P1963" t="s">
        <v>1549</v>
      </c>
      <c r="Q1963" t="s">
        <v>42</v>
      </c>
      <c r="R1963" t="s">
        <v>48</v>
      </c>
      <c r="S1963" t="s">
        <v>35</v>
      </c>
      <c r="T1963">
        <v>3273.7</v>
      </c>
      <c r="U1963">
        <f t="shared" si="420"/>
        <v>39</v>
      </c>
      <c r="V1963">
        <f t="shared" si="421"/>
        <v>16</v>
      </c>
      <c r="W1963">
        <f t="shared" si="422"/>
        <v>12</v>
      </c>
      <c r="X1963">
        <f t="shared" si="423"/>
        <v>0.35149999999999998</v>
      </c>
      <c r="Y1963" s="1">
        <f t="shared" si="424"/>
        <v>2045925</v>
      </c>
      <c r="Z1963">
        <f t="shared" si="425"/>
        <v>52459.615384615383</v>
      </c>
      <c r="AA1963">
        <f t="shared" si="426"/>
        <v>98054</v>
      </c>
      <c r="AB1963">
        <f t="shared" si="427"/>
        <v>5091</v>
      </c>
      <c r="AC1963">
        <f t="shared" si="428"/>
        <v>44578.689999999995</v>
      </c>
      <c r="AD1963">
        <f t="shared" si="429"/>
        <v>1143.0433333333333</v>
      </c>
      <c r="AE1963">
        <f t="shared" si="430"/>
        <v>0.35149999999999998</v>
      </c>
      <c r="AF1963">
        <f t="shared" si="431"/>
        <v>701176.61</v>
      </c>
      <c r="AG1963" t="str">
        <f t="shared" si="432"/>
        <v>Active</v>
      </c>
      <c r="AH1963">
        <f t="shared" si="433"/>
        <v>39284.399999999994</v>
      </c>
    </row>
    <row r="1964" spans="1:34" x14ac:dyDescent="0.35">
      <c r="A1964" t="s">
        <v>5039</v>
      </c>
      <c r="B1964" t="s">
        <v>5040</v>
      </c>
      <c r="C1964">
        <v>40</v>
      </c>
      <c r="D1964" t="s">
        <v>22</v>
      </c>
      <c r="E1964" t="s">
        <v>39</v>
      </c>
      <c r="F1964" t="s">
        <v>24</v>
      </c>
      <c r="G1964">
        <v>117981</v>
      </c>
      <c r="H1964">
        <v>797</v>
      </c>
      <c r="I1964">
        <v>93525</v>
      </c>
      <c r="J1964">
        <v>22.45</v>
      </c>
      <c r="K1964">
        <v>60</v>
      </c>
      <c r="L1964" t="s">
        <v>33</v>
      </c>
      <c r="M1964">
        <v>12.01</v>
      </c>
      <c r="N1964">
        <v>37894</v>
      </c>
      <c r="O1964">
        <v>7729</v>
      </c>
      <c r="P1964" t="s">
        <v>5041</v>
      </c>
      <c r="Q1964" t="s">
        <v>61</v>
      </c>
      <c r="R1964" t="s">
        <v>28</v>
      </c>
      <c r="S1964" t="s">
        <v>29</v>
      </c>
      <c r="T1964">
        <v>1908.69</v>
      </c>
      <c r="U1964">
        <f t="shared" si="420"/>
        <v>38</v>
      </c>
      <c r="V1964">
        <f t="shared" si="421"/>
        <v>15</v>
      </c>
      <c r="W1964">
        <f t="shared" si="422"/>
        <v>12</v>
      </c>
      <c r="X1964">
        <f t="shared" si="423"/>
        <v>0.35149999999999998</v>
      </c>
      <c r="Y1964" s="1">
        <f t="shared" si="424"/>
        <v>1977246</v>
      </c>
      <c r="Z1964">
        <f t="shared" si="425"/>
        <v>52032.789473684214</v>
      </c>
      <c r="AA1964">
        <f t="shared" si="426"/>
        <v>98054</v>
      </c>
      <c r="AB1964">
        <f t="shared" si="427"/>
        <v>5091</v>
      </c>
      <c r="AC1964">
        <f t="shared" si="428"/>
        <v>41304.990000000013</v>
      </c>
      <c r="AD1964">
        <f t="shared" si="429"/>
        <v>1086.9734210526319</v>
      </c>
      <c r="AE1964">
        <f t="shared" si="430"/>
        <v>0.35149999999999998</v>
      </c>
      <c r="AF1964">
        <f t="shared" si="431"/>
        <v>656597.92000000016</v>
      </c>
      <c r="AG1964" t="str">
        <f t="shared" si="432"/>
        <v>Active</v>
      </c>
      <c r="AH1964">
        <f t="shared" si="433"/>
        <v>22904.28</v>
      </c>
    </row>
    <row r="1965" spans="1:34" x14ac:dyDescent="0.35">
      <c r="A1965" t="s">
        <v>5042</v>
      </c>
      <c r="B1965" t="s">
        <v>5043</v>
      </c>
      <c r="C1965">
        <v>35</v>
      </c>
      <c r="D1965" t="s">
        <v>22</v>
      </c>
      <c r="E1965" t="s">
        <v>32</v>
      </c>
      <c r="F1965" t="s">
        <v>59</v>
      </c>
      <c r="G1965">
        <v>198402</v>
      </c>
      <c r="H1965">
        <v>623</v>
      </c>
      <c r="I1965">
        <v>88505</v>
      </c>
      <c r="J1965">
        <v>19.7</v>
      </c>
      <c r="K1965">
        <v>12</v>
      </c>
      <c r="L1965" t="s">
        <v>86</v>
      </c>
      <c r="M1965">
        <v>53.92</v>
      </c>
      <c r="N1965">
        <v>47275</v>
      </c>
      <c r="O1965">
        <v>68341</v>
      </c>
      <c r="P1965" t="s">
        <v>2593</v>
      </c>
      <c r="Q1965" t="s">
        <v>42</v>
      </c>
      <c r="R1965" t="s">
        <v>48</v>
      </c>
      <c r="S1965" t="s">
        <v>29</v>
      </c>
      <c r="T1965">
        <v>8828.3700000000008</v>
      </c>
      <c r="U1965">
        <f t="shared" si="420"/>
        <v>37</v>
      </c>
      <c r="V1965">
        <f t="shared" si="421"/>
        <v>15</v>
      </c>
      <c r="W1965">
        <f t="shared" si="422"/>
        <v>11</v>
      </c>
      <c r="X1965">
        <f t="shared" si="423"/>
        <v>0.35149999999999998</v>
      </c>
      <c r="Y1965" s="1">
        <f t="shared" si="424"/>
        <v>1883721</v>
      </c>
      <c r="Z1965">
        <f t="shared" si="425"/>
        <v>50911.37837837838</v>
      </c>
      <c r="AA1965">
        <f t="shared" si="426"/>
        <v>98054</v>
      </c>
      <c r="AB1965">
        <f t="shared" si="427"/>
        <v>5091</v>
      </c>
      <c r="AC1965">
        <f t="shared" si="428"/>
        <v>39396.30000000001</v>
      </c>
      <c r="AD1965">
        <f t="shared" si="429"/>
        <v>1064.7648648648651</v>
      </c>
      <c r="AE1965">
        <f t="shared" si="430"/>
        <v>0.35149999999999998</v>
      </c>
      <c r="AF1965">
        <f t="shared" si="431"/>
        <v>615292.92999999993</v>
      </c>
      <c r="AG1965" t="str">
        <f t="shared" si="432"/>
        <v>Active</v>
      </c>
      <c r="AH1965">
        <f t="shared" si="433"/>
        <v>105940.44</v>
      </c>
    </row>
    <row r="1966" spans="1:34" x14ac:dyDescent="0.35">
      <c r="A1966" t="s">
        <v>5044</v>
      </c>
      <c r="B1966" t="s">
        <v>5045</v>
      </c>
      <c r="C1966">
        <v>48</v>
      </c>
      <c r="D1966" t="s">
        <v>38</v>
      </c>
      <c r="E1966" t="s">
        <v>23</v>
      </c>
      <c r="F1966" t="s">
        <v>24</v>
      </c>
      <c r="G1966">
        <v>163215</v>
      </c>
      <c r="H1966">
        <v>509</v>
      </c>
      <c r="I1966">
        <v>15954</v>
      </c>
      <c r="J1966">
        <v>10.02</v>
      </c>
      <c r="K1966">
        <v>12</v>
      </c>
      <c r="L1966" t="s">
        <v>33</v>
      </c>
      <c r="M1966">
        <v>13.08</v>
      </c>
      <c r="N1966">
        <v>61907</v>
      </c>
      <c r="O1966">
        <v>10198</v>
      </c>
      <c r="P1966" t="s">
        <v>3905</v>
      </c>
      <c r="Q1966" t="s">
        <v>61</v>
      </c>
      <c r="R1966" t="s">
        <v>48</v>
      </c>
      <c r="S1966" t="s">
        <v>29</v>
      </c>
      <c r="T1966">
        <v>1462.72</v>
      </c>
      <c r="U1966">
        <f t="shared" si="420"/>
        <v>36</v>
      </c>
      <c r="V1966">
        <f t="shared" si="421"/>
        <v>14</v>
      </c>
      <c r="W1966">
        <f t="shared" si="422"/>
        <v>11</v>
      </c>
      <c r="X1966">
        <f t="shared" si="423"/>
        <v>0.35149999999999998</v>
      </c>
      <c r="Y1966" s="1">
        <f t="shared" si="424"/>
        <v>1795216</v>
      </c>
      <c r="Z1966">
        <f t="shared" si="425"/>
        <v>49867.111111111109</v>
      </c>
      <c r="AA1966">
        <f t="shared" si="426"/>
        <v>98054</v>
      </c>
      <c r="AB1966">
        <f t="shared" si="427"/>
        <v>5091</v>
      </c>
      <c r="AC1966">
        <f t="shared" si="428"/>
        <v>30567.930000000015</v>
      </c>
      <c r="AD1966">
        <f t="shared" si="429"/>
        <v>849.10916666666708</v>
      </c>
      <c r="AE1966">
        <f t="shared" si="430"/>
        <v>0.35149999999999998</v>
      </c>
      <c r="AF1966">
        <f t="shared" si="431"/>
        <v>575896.63</v>
      </c>
      <c r="AG1966" t="str">
        <f t="shared" si="432"/>
        <v>Over Paid</v>
      </c>
      <c r="AH1966">
        <f t="shared" si="433"/>
        <v>17552.64</v>
      </c>
    </row>
    <row r="1967" spans="1:34" x14ac:dyDescent="0.35">
      <c r="A1967" t="s">
        <v>5046</v>
      </c>
      <c r="B1967" t="s">
        <v>5047</v>
      </c>
      <c r="C1967">
        <v>50</v>
      </c>
      <c r="D1967" t="s">
        <v>22</v>
      </c>
      <c r="E1967" t="s">
        <v>39</v>
      </c>
      <c r="F1967" t="s">
        <v>59</v>
      </c>
      <c r="G1967">
        <v>146705</v>
      </c>
      <c r="H1967">
        <v>642</v>
      </c>
      <c r="I1967">
        <v>7093</v>
      </c>
      <c r="J1967">
        <v>6.03</v>
      </c>
      <c r="K1967">
        <v>12</v>
      </c>
      <c r="L1967" t="s">
        <v>86</v>
      </c>
      <c r="M1967">
        <v>58.56</v>
      </c>
      <c r="N1967">
        <v>70895</v>
      </c>
      <c r="O1967">
        <v>183234</v>
      </c>
      <c r="P1967" t="s">
        <v>5048</v>
      </c>
      <c r="Q1967" t="s">
        <v>42</v>
      </c>
      <c r="R1967" t="s">
        <v>28</v>
      </c>
      <c r="S1967" t="s">
        <v>43</v>
      </c>
      <c r="T1967">
        <v>626.73</v>
      </c>
      <c r="U1967">
        <f t="shared" si="420"/>
        <v>35</v>
      </c>
      <c r="V1967">
        <f t="shared" si="421"/>
        <v>14</v>
      </c>
      <c r="W1967">
        <f t="shared" si="422"/>
        <v>10</v>
      </c>
      <c r="X1967">
        <f t="shared" si="423"/>
        <v>0.35149999999999998</v>
      </c>
      <c r="Y1967" s="1">
        <f t="shared" si="424"/>
        <v>1779262</v>
      </c>
      <c r="Z1967">
        <f t="shared" si="425"/>
        <v>50836.057142857142</v>
      </c>
      <c r="AA1967">
        <f t="shared" si="426"/>
        <v>98054</v>
      </c>
      <c r="AB1967">
        <f t="shared" si="427"/>
        <v>5091</v>
      </c>
      <c r="AC1967">
        <f t="shared" si="428"/>
        <v>29105.210000000006</v>
      </c>
      <c r="AD1967">
        <f t="shared" si="429"/>
        <v>831.57742857142875</v>
      </c>
      <c r="AE1967">
        <f t="shared" si="430"/>
        <v>0.35149999999999998</v>
      </c>
      <c r="AF1967">
        <f t="shared" si="431"/>
        <v>545328.69999999995</v>
      </c>
      <c r="AG1967" t="str">
        <f t="shared" si="432"/>
        <v>Over Paid</v>
      </c>
      <c r="AH1967">
        <f t="shared" si="433"/>
        <v>7520.76</v>
      </c>
    </row>
    <row r="1968" spans="1:34" x14ac:dyDescent="0.35">
      <c r="A1968" t="s">
        <v>5049</v>
      </c>
      <c r="B1968" t="s">
        <v>5050</v>
      </c>
      <c r="C1968">
        <v>38</v>
      </c>
      <c r="D1968" t="s">
        <v>22</v>
      </c>
      <c r="E1968" t="s">
        <v>39</v>
      </c>
      <c r="F1968" t="s">
        <v>24</v>
      </c>
      <c r="G1968">
        <v>147611</v>
      </c>
      <c r="H1968">
        <v>548</v>
      </c>
      <c r="I1968">
        <v>13884</v>
      </c>
      <c r="J1968">
        <v>20.25</v>
      </c>
      <c r="K1968">
        <v>48</v>
      </c>
      <c r="L1968" t="s">
        <v>86</v>
      </c>
      <c r="M1968">
        <v>23.88</v>
      </c>
      <c r="N1968">
        <v>10073</v>
      </c>
      <c r="O1968">
        <v>188560</v>
      </c>
      <c r="P1968" t="s">
        <v>1878</v>
      </c>
      <c r="Q1968" t="s">
        <v>27</v>
      </c>
      <c r="R1968" t="s">
        <v>48</v>
      </c>
      <c r="S1968" t="s">
        <v>68</v>
      </c>
      <c r="T1968">
        <v>347.82</v>
      </c>
      <c r="U1968">
        <f t="shared" si="420"/>
        <v>34</v>
      </c>
      <c r="V1968">
        <f t="shared" si="421"/>
        <v>13</v>
      </c>
      <c r="W1968">
        <f t="shared" si="422"/>
        <v>10</v>
      </c>
      <c r="X1968">
        <f t="shared" si="423"/>
        <v>0.35149999999999998</v>
      </c>
      <c r="Y1968" s="1">
        <f t="shared" si="424"/>
        <v>1772169</v>
      </c>
      <c r="Z1968">
        <f t="shared" si="425"/>
        <v>52122.617647058825</v>
      </c>
      <c r="AA1968">
        <f t="shared" si="426"/>
        <v>98054</v>
      </c>
      <c r="AB1968">
        <f t="shared" si="427"/>
        <v>5091</v>
      </c>
      <c r="AC1968">
        <f t="shared" si="428"/>
        <v>28478.48000000001</v>
      </c>
      <c r="AD1968">
        <f t="shared" si="429"/>
        <v>837.60235294117683</v>
      </c>
      <c r="AE1968">
        <f t="shared" si="430"/>
        <v>0.35149999999999998</v>
      </c>
      <c r="AF1968">
        <f t="shared" si="431"/>
        <v>516223.49</v>
      </c>
      <c r="AG1968" t="str">
        <f t="shared" si="432"/>
        <v>Over Paid</v>
      </c>
      <c r="AH1968">
        <f t="shared" si="433"/>
        <v>4173.84</v>
      </c>
    </row>
    <row r="1969" spans="1:34" x14ac:dyDescent="0.35">
      <c r="A1969" t="s">
        <v>5051</v>
      </c>
      <c r="B1969" t="s">
        <v>5052</v>
      </c>
      <c r="C1969">
        <v>57</v>
      </c>
      <c r="D1969" t="s">
        <v>38</v>
      </c>
      <c r="E1969" t="s">
        <v>23</v>
      </c>
      <c r="F1969" t="s">
        <v>59</v>
      </c>
      <c r="G1969">
        <v>179975</v>
      </c>
      <c r="H1969">
        <v>413</v>
      </c>
      <c r="I1969">
        <v>98054</v>
      </c>
      <c r="J1969">
        <v>3.86</v>
      </c>
      <c r="K1969">
        <v>120</v>
      </c>
      <c r="L1969" t="s">
        <v>33</v>
      </c>
      <c r="M1969">
        <v>46.82</v>
      </c>
      <c r="N1969">
        <v>64688</v>
      </c>
      <c r="O1969">
        <v>140730</v>
      </c>
      <c r="P1969" t="s">
        <v>2661</v>
      </c>
      <c r="Q1969" t="s">
        <v>42</v>
      </c>
      <c r="R1969" t="s">
        <v>48</v>
      </c>
      <c r="S1969" t="s">
        <v>35</v>
      </c>
      <c r="T1969">
        <v>848.66</v>
      </c>
      <c r="U1969">
        <f t="shared" si="420"/>
        <v>33</v>
      </c>
      <c r="V1969">
        <f t="shared" si="421"/>
        <v>13</v>
      </c>
      <c r="W1969">
        <f t="shared" si="422"/>
        <v>10</v>
      </c>
      <c r="X1969">
        <f t="shared" si="423"/>
        <v>0.35149999999999998</v>
      </c>
      <c r="Y1969" s="1">
        <f t="shared" si="424"/>
        <v>1758285</v>
      </c>
      <c r="Z1969">
        <f t="shared" si="425"/>
        <v>53281.36363636364</v>
      </c>
      <c r="AA1969">
        <f t="shared" si="426"/>
        <v>98054</v>
      </c>
      <c r="AB1969">
        <f t="shared" si="427"/>
        <v>5091</v>
      </c>
      <c r="AC1969">
        <f t="shared" si="428"/>
        <v>28130.660000000011</v>
      </c>
      <c r="AD1969">
        <f t="shared" si="429"/>
        <v>852.4442424242427</v>
      </c>
      <c r="AE1969">
        <f t="shared" si="430"/>
        <v>0.35149999999999998</v>
      </c>
      <c r="AF1969">
        <f t="shared" si="431"/>
        <v>487745.01</v>
      </c>
      <c r="AG1969" t="str">
        <f t="shared" si="432"/>
        <v>Active</v>
      </c>
      <c r="AH1969">
        <f t="shared" si="433"/>
        <v>10183.92</v>
      </c>
    </row>
    <row r="1970" spans="1:34" x14ac:dyDescent="0.35">
      <c r="A1970" t="s">
        <v>5053</v>
      </c>
      <c r="B1970" t="s">
        <v>5054</v>
      </c>
      <c r="C1970">
        <v>42</v>
      </c>
      <c r="D1970" t="s">
        <v>22</v>
      </c>
      <c r="E1970" t="s">
        <v>39</v>
      </c>
      <c r="F1970" t="s">
        <v>46</v>
      </c>
      <c r="G1970">
        <v>106480</v>
      </c>
      <c r="H1970">
        <v>675</v>
      </c>
      <c r="I1970">
        <v>95988</v>
      </c>
      <c r="J1970">
        <v>22.21</v>
      </c>
      <c r="K1970">
        <v>360</v>
      </c>
      <c r="L1970" t="s">
        <v>33</v>
      </c>
      <c r="M1970">
        <v>10.130000000000001</v>
      </c>
      <c r="N1970">
        <v>63205</v>
      </c>
      <c r="O1970">
        <v>53584</v>
      </c>
      <c r="P1970" t="s">
        <v>5055</v>
      </c>
      <c r="Q1970" t="s">
        <v>42</v>
      </c>
      <c r="R1970" t="s">
        <v>48</v>
      </c>
      <c r="S1970" t="s">
        <v>29</v>
      </c>
      <c r="T1970">
        <v>325.85000000000002</v>
      </c>
      <c r="U1970">
        <f t="shared" si="420"/>
        <v>32</v>
      </c>
      <c r="V1970">
        <f t="shared" si="421"/>
        <v>12</v>
      </c>
      <c r="W1970">
        <f t="shared" si="422"/>
        <v>10</v>
      </c>
      <c r="X1970">
        <f t="shared" si="423"/>
        <v>0.35149999999999998</v>
      </c>
      <c r="Y1970" s="1">
        <f t="shared" si="424"/>
        <v>1660231</v>
      </c>
      <c r="Z1970">
        <f t="shared" si="425"/>
        <v>51882.21875</v>
      </c>
      <c r="AA1970">
        <f t="shared" si="426"/>
        <v>97950</v>
      </c>
      <c r="AB1970">
        <f t="shared" si="427"/>
        <v>5091</v>
      </c>
      <c r="AC1970">
        <f t="shared" si="428"/>
        <v>27282.000000000007</v>
      </c>
      <c r="AD1970">
        <f t="shared" si="429"/>
        <v>852.56250000000023</v>
      </c>
      <c r="AE1970">
        <f t="shared" si="430"/>
        <v>0.35149999999999998</v>
      </c>
      <c r="AF1970">
        <f t="shared" si="431"/>
        <v>459614.35</v>
      </c>
      <c r="AG1970" t="str">
        <f t="shared" si="432"/>
        <v>Active</v>
      </c>
      <c r="AH1970">
        <f t="shared" si="433"/>
        <v>3910.2000000000003</v>
      </c>
    </row>
    <row r="1971" spans="1:34" x14ac:dyDescent="0.35">
      <c r="A1971" t="s">
        <v>5056</v>
      </c>
      <c r="B1971" t="s">
        <v>5057</v>
      </c>
      <c r="C1971">
        <v>61</v>
      </c>
      <c r="D1971" t="s">
        <v>22</v>
      </c>
      <c r="E1971" t="s">
        <v>32</v>
      </c>
      <c r="F1971" t="s">
        <v>59</v>
      </c>
      <c r="G1971">
        <v>166788</v>
      </c>
      <c r="H1971">
        <v>467</v>
      </c>
      <c r="I1971">
        <v>11998</v>
      </c>
      <c r="J1971">
        <v>19.77</v>
      </c>
      <c r="K1971">
        <v>120</v>
      </c>
      <c r="L1971" t="s">
        <v>86</v>
      </c>
      <c r="M1971">
        <v>42.41</v>
      </c>
      <c r="N1971">
        <v>45867</v>
      </c>
      <c r="O1971">
        <v>24744</v>
      </c>
      <c r="P1971" t="s">
        <v>2246</v>
      </c>
      <c r="Q1971" t="s">
        <v>27</v>
      </c>
      <c r="R1971" t="s">
        <v>28</v>
      </c>
      <c r="S1971" t="s">
        <v>35</v>
      </c>
      <c r="T1971">
        <v>119.75</v>
      </c>
      <c r="U1971">
        <f t="shared" si="420"/>
        <v>31</v>
      </c>
      <c r="V1971">
        <f t="shared" si="421"/>
        <v>11</v>
      </c>
      <c r="W1971">
        <f t="shared" si="422"/>
        <v>10</v>
      </c>
      <c r="X1971">
        <f t="shared" si="423"/>
        <v>0.35149999999999998</v>
      </c>
      <c r="Y1971" s="1">
        <f t="shared" si="424"/>
        <v>1564243</v>
      </c>
      <c r="Z1971">
        <f t="shared" si="425"/>
        <v>50459.451612903227</v>
      </c>
      <c r="AA1971">
        <f t="shared" si="426"/>
        <v>97950</v>
      </c>
      <c r="AB1971">
        <f t="shared" si="427"/>
        <v>5091</v>
      </c>
      <c r="AC1971">
        <f t="shared" si="428"/>
        <v>26956.150000000009</v>
      </c>
      <c r="AD1971">
        <f t="shared" si="429"/>
        <v>869.55322580645191</v>
      </c>
      <c r="AE1971">
        <f t="shared" si="430"/>
        <v>0.35149999999999998</v>
      </c>
      <c r="AF1971">
        <f t="shared" si="431"/>
        <v>432332.35</v>
      </c>
      <c r="AG1971" t="str">
        <f t="shared" si="432"/>
        <v>Active</v>
      </c>
      <c r="AH1971">
        <f t="shared" si="433"/>
        <v>1437</v>
      </c>
    </row>
    <row r="1972" spans="1:34" x14ac:dyDescent="0.35">
      <c r="A1972" t="s">
        <v>5058</v>
      </c>
      <c r="B1972" t="s">
        <v>5059</v>
      </c>
      <c r="C1972">
        <v>54</v>
      </c>
      <c r="D1972" t="s">
        <v>38</v>
      </c>
      <c r="E1972" t="s">
        <v>32</v>
      </c>
      <c r="F1972" t="s">
        <v>59</v>
      </c>
      <c r="G1972">
        <v>149151</v>
      </c>
      <c r="H1972">
        <v>440</v>
      </c>
      <c r="I1972">
        <v>54099</v>
      </c>
      <c r="J1972">
        <v>11.82</v>
      </c>
      <c r="K1972">
        <v>120</v>
      </c>
      <c r="L1972" t="s">
        <v>86</v>
      </c>
      <c r="M1972">
        <v>15.19</v>
      </c>
      <c r="N1972">
        <v>31402</v>
      </c>
      <c r="O1972">
        <v>128950</v>
      </c>
      <c r="P1972" t="s">
        <v>526</v>
      </c>
      <c r="Q1972" t="s">
        <v>27</v>
      </c>
      <c r="R1972" t="s">
        <v>28</v>
      </c>
      <c r="S1972" t="s">
        <v>35</v>
      </c>
      <c r="T1972">
        <v>504.11</v>
      </c>
      <c r="U1972">
        <f t="shared" si="420"/>
        <v>30</v>
      </c>
      <c r="V1972">
        <f t="shared" si="421"/>
        <v>11</v>
      </c>
      <c r="W1972">
        <f t="shared" si="422"/>
        <v>10</v>
      </c>
      <c r="X1972">
        <f t="shared" si="423"/>
        <v>0.35149999999999998</v>
      </c>
      <c r="Y1972" s="1">
        <f t="shared" si="424"/>
        <v>1552245</v>
      </c>
      <c r="Z1972">
        <f t="shared" si="425"/>
        <v>51741.5</v>
      </c>
      <c r="AA1972">
        <f t="shared" si="426"/>
        <v>97950</v>
      </c>
      <c r="AB1972">
        <f t="shared" si="427"/>
        <v>5091</v>
      </c>
      <c r="AC1972">
        <f t="shared" si="428"/>
        <v>26836.400000000009</v>
      </c>
      <c r="AD1972">
        <f t="shared" si="429"/>
        <v>894.54666666666697</v>
      </c>
      <c r="AE1972">
        <f t="shared" si="430"/>
        <v>0.35149999999999998</v>
      </c>
      <c r="AF1972">
        <f t="shared" si="431"/>
        <v>405376.19999999995</v>
      </c>
      <c r="AG1972" t="str">
        <f t="shared" si="432"/>
        <v>Active</v>
      </c>
      <c r="AH1972">
        <f t="shared" si="433"/>
        <v>6049.32</v>
      </c>
    </row>
    <row r="1973" spans="1:34" x14ac:dyDescent="0.35">
      <c r="A1973" t="s">
        <v>5060</v>
      </c>
      <c r="B1973" t="s">
        <v>5061</v>
      </c>
      <c r="C1973">
        <v>37</v>
      </c>
      <c r="D1973" t="s">
        <v>22</v>
      </c>
      <c r="E1973" t="s">
        <v>32</v>
      </c>
      <c r="F1973" t="s">
        <v>24</v>
      </c>
      <c r="G1973">
        <v>62947</v>
      </c>
      <c r="H1973">
        <v>329</v>
      </c>
      <c r="I1973">
        <v>92426</v>
      </c>
      <c r="J1973">
        <v>23.62</v>
      </c>
      <c r="K1973">
        <v>120</v>
      </c>
      <c r="L1973" t="s">
        <v>40</v>
      </c>
      <c r="M1973">
        <v>42.99</v>
      </c>
      <c r="N1973">
        <v>43598</v>
      </c>
      <c r="O1973">
        <v>111424</v>
      </c>
      <c r="P1973" t="s">
        <v>4352</v>
      </c>
      <c r="Q1973" t="s">
        <v>42</v>
      </c>
      <c r="R1973" t="s">
        <v>48</v>
      </c>
      <c r="S1973" t="s">
        <v>49</v>
      </c>
      <c r="T1973">
        <v>952.14</v>
      </c>
      <c r="U1973">
        <f t="shared" si="420"/>
        <v>29</v>
      </c>
      <c r="V1973">
        <f t="shared" si="421"/>
        <v>11</v>
      </c>
      <c r="W1973">
        <f t="shared" si="422"/>
        <v>10</v>
      </c>
      <c r="X1973">
        <f t="shared" si="423"/>
        <v>0.35149999999999998</v>
      </c>
      <c r="Y1973" s="1">
        <f t="shared" si="424"/>
        <v>1498146</v>
      </c>
      <c r="Z1973">
        <f t="shared" si="425"/>
        <v>51660.206896551725</v>
      </c>
      <c r="AA1973">
        <f t="shared" si="426"/>
        <v>97950</v>
      </c>
      <c r="AB1973">
        <f t="shared" si="427"/>
        <v>5091</v>
      </c>
      <c r="AC1973">
        <f t="shared" si="428"/>
        <v>26332.290000000008</v>
      </c>
      <c r="AD1973">
        <f t="shared" si="429"/>
        <v>908.01000000000033</v>
      </c>
      <c r="AE1973">
        <f t="shared" si="430"/>
        <v>0.35149999999999998</v>
      </c>
      <c r="AF1973">
        <f t="shared" si="431"/>
        <v>378539.80000000005</v>
      </c>
      <c r="AG1973" t="str">
        <f t="shared" si="432"/>
        <v>Active</v>
      </c>
      <c r="AH1973">
        <f t="shared" si="433"/>
        <v>11425.68</v>
      </c>
    </row>
    <row r="1974" spans="1:34" x14ac:dyDescent="0.35">
      <c r="A1974" t="s">
        <v>5062</v>
      </c>
      <c r="B1974" t="s">
        <v>5063</v>
      </c>
      <c r="C1974">
        <v>43</v>
      </c>
      <c r="D1974" t="s">
        <v>22</v>
      </c>
      <c r="E1974" t="s">
        <v>39</v>
      </c>
      <c r="F1974" t="s">
        <v>46</v>
      </c>
      <c r="G1974">
        <v>57192</v>
      </c>
      <c r="H1974">
        <v>715</v>
      </c>
      <c r="I1974">
        <v>40876</v>
      </c>
      <c r="J1974">
        <v>18.45</v>
      </c>
      <c r="K1974">
        <v>60</v>
      </c>
      <c r="L1974" t="s">
        <v>40</v>
      </c>
      <c r="M1974">
        <v>11.9</v>
      </c>
      <c r="N1974">
        <v>68977</v>
      </c>
      <c r="O1974">
        <v>240174</v>
      </c>
      <c r="P1974" t="s">
        <v>5064</v>
      </c>
      <c r="Q1974" t="s">
        <v>27</v>
      </c>
      <c r="R1974" t="s">
        <v>48</v>
      </c>
      <c r="S1974" t="s">
        <v>29</v>
      </c>
      <c r="T1974">
        <v>806.96</v>
      </c>
      <c r="U1974">
        <f t="shared" si="420"/>
        <v>28</v>
      </c>
      <c r="V1974">
        <f t="shared" si="421"/>
        <v>10</v>
      </c>
      <c r="W1974">
        <f t="shared" si="422"/>
        <v>10</v>
      </c>
      <c r="X1974">
        <f t="shared" si="423"/>
        <v>0.35149999999999998</v>
      </c>
      <c r="Y1974" s="1">
        <f t="shared" si="424"/>
        <v>1405720</v>
      </c>
      <c r="Z1974">
        <f t="shared" si="425"/>
        <v>50204.285714285717</v>
      </c>
      <c r="AA1974">
        <f t="shared" si="426"/>
        <v>97950</v>
      </c>
      <c r="AB1974">
        <f t="shared" si="427"/>
        <v>5091</v>
      </c>
      <c r="AC1974">
        <f t="shared" si="428"/>
        <v>25380.150000000009</v>
      </c>
      <c r="AD1974">
        <f t="shared" si="429"/>
        <v>906.43392857142885</v>
      </c>
      <c r="AE1974">
        <f t="shared" si="430"/>
        <v>0.35149999999999998</v>
      </c>
      <c r="AF1974">
        <f t="shared" si="431"/>
        <v>352207.50999999989</v>
      </c>
      <c r="AG1974" t="str">
        <f t="shared" si="432"/>
        <v>Active</v>
      </c>
      <c r="AH1974">
        <f t="shared" si="433"/>
        <v>9683.52</v>
      </c>
    </row>
    <row r="1975" spans="1:34" x14ac:dyDescent="0.35">
      <c r="A1975" t="s">
        <v>5065</v>
      </c>
      <c r="B1975" t="s">
        <v>5066</v>
      </c>
      <c r="C1975">
        <v>52</v>
      </c>
      <c r="D1975" t="s">
        <v>22</v>
      </c>
      <c r="E1975" t="s">
        <v>32</v>
      </c>
      <c r="F1975" t="s">
        <v>46</v>
      </c>
      <c r="G1975">
        <v>137640</v>
      </c>
      <c r="H1975">
        <v>658</v>
      </c>
      <c r="I1975">
        <v>35370</v>
      </c>
      <c r="J1975">
        <v>3.5</v>
      </c>
      <c r="K1975">
        <v>24</v>
      </c>
      <c r="L1975" t="s">
        <v>40</v>
      </c>
      <c r="M1975">
        <v>23.85</v>
      </c>
      <c r="N1975">
        <v>56988</v>
      </c>
      <c r="O1975">
        <v>52003</v>
      </c>
      <c r="P1975" t="s">
        <v>436</v>
      </c>
      <c r="Q1975" t="s">
        <v>61</v>
      </c>
      <c r="R1975" t="s">
        <v>28</v>
      </c>
      <c r="S1975" t="s">
        <v>68</v>
      </c>
      <c r="T1975">
        <v>1525.33</v>
      </c>
      <c r="U1975">
        <f t="shared" si="420"/>
        <v>27</v>
      </c>
      <c r="V1975">
        <f t="shared" si="421"/>
        <v>10</v>
      </c>
      <c r="W1975">
        <f t="shared" si="422"/>
        <v>10</v>
      </c>
      <c r="X1975">
        <f t="shared" si="423"/>
        <v>0.35149999999999998</v>
      </c>
      <c r="Y1975" s="1">
        <f t="shared" si="424"/>
        <v>1364844</v>
      </c>
      <c r="Z1975">
        <f t="shared" si="425"/>
        <v>50549.777777777781</v>
      </c>
      <c r="AA1975">
        <f t="shared" si="426"/>
        <v>97950</v>
      </c>
      <c r="AB1975">
        <f t="shared" si="427"/>
        <v>5091</v>
      </c>
      <c r="AC1975">
        <f t="shared" si="428"/>
        <v>24573.19000000001</v>
      </c>
      <c r="AD1975">
        <f t="shared" si="429"/>
        <v>910.11814814814852</v>
      </c>
      <c r="AE1975">
        <f t="shared" si="430"/>
        <v>0.35149999999999998</v>
      </c>
      <c r="AF1975">
        <f t="shared" si="431"/>
        <v>326827.35999999993</v>
      </c>
      <c r="AG1975" t="str">
        <f t="shared" si="432"/>
        <v>Active</v>
      </c>
      <c r="AH1975">
        <f t="shared" si="433"/>
        <v>18303.96</v>
      </c>
    </row>
    <row r="1976" spans="1:34" x14ac:dyDescent="0.35">
      <c r="A1976" t="s">
        <v>5067</v>
      </c>
      <c r="B1976" t="s">
        <v>5068</v>
      </c>
      <c r="C1976">
        <v>58</v>
      </c>
      <c r="D1976" t="s">
        <v>22</v>
      </c>
      <c r="E1976" t="s">
        <v>23</v>
      </c>
      <c r="F1976" t="s">
        <v>59</v>
      </c>
      <c r="G1976">
        <v>26024</v>
      </c>
      <c r="H1976">
        <v>787</v>
      </c>
      <c r="I1976">
        <v>54736</v>
      </c>
      <c r="J1976">
        <v>13.53</v>
      </c>
      <c r="K1976">
        <v>36</v>
      </c>
      <c r="L1976" t="s">
        <v>86</v>
      </c>
      <c r="M1976">
        <v>34.11</v>
      </c>
      <c r="N1976">
        <v>9941</v>
      </c>
      <c r="O1976">
        <v>70909</v>
      </c>
      <c r="P1976" t="s">
        <v>1511</v>
      </c>
      <c r="Q1976" t="s">
        <v>27</v>
      </c>
      <c r="R1976" t="s">
        <v>48</v>
      </c>
      <c r="S1976" t="s">
        <v>35</v>
      </c>
      <c r="T1976">
        <v>1726.16</v>
      </c>
      <c r="U1976">
        <f t="shared" si="420"/>
        <v>26</v>
      </c>
      <c r="V1976">
        <f t="shared" si="421"/>
        <v>10</v>
      </c>
      <c r="W1976">
        <f t="shared" si="422"/>
        <v>9</v>
      </c>
      <c r="X1976">
        <f t="shared" si="423"/>
        <v>0.35149999999999998</v>
      </c>
      <c r="Y1976" s="1">
        <f t="shared" si="424"/>
        <v>1329474</v>
      </c>
      <c r="Z1976">
        <f t="shared" si="425"/>
        <v>51133.615384615383</v>
      </c>
      <c r="AA1976">
        <f t="shared" si="426"/>
        <v>97950</v>
      </c>
      <c r="AB1976">
        <f t="shared" si="427"/>
        <v>5091</v>
      </c>
      <c r="AC1976">
        <f t="shared" si="428"/>
        <v>23047.86</v>
      </c>
      <c r="AD1976">
        <f t="shared" si="429"/>
        <v>886.45615384615382</v>
      </c>
      <c r="AE1976">
        <f t="shared" si="430"/>
        <v>0.35149999999999998</v>
      </c>
      <c r="AF1976">
        <f t="shared" si="431"/>
        <v>302254.16999999993</v>
      </c>
      <c r="AG1976" t="str">
        <f t="shared" si="432"/>
        <v>Active</v>
      </c>
      <c r="AH1976">
        <f t="shared" si="433"/>
        <v>20713.920000000002</v>
      </c>
    </row>
    <row r="1977" spans="1:34" x14ac:dyDescent="0.35">
      <c r="A1977" t="s">
        <v>5069</v>
      </c>
      <c r="B1977" t="s">
        <v>5070</v>
      </c>
      <c r="C1977">
        <v>22</v>
      </c>
      <c r="D1977" t="s">
        <v>22</v>
      </c>
      <c r="E1977" t="s">
        <v>39</v>
      </c>
      <c r="F1977" t="s">
        <v>59</v>
      </c>
      <c r="G1977">
        <v>28282</v>
      </c>
      <c r="H1977">
        <v>755</v>
      </c>
      <c r="I1977">
        <v>97950</v>
      </c>
      <c r="J1977">
        <v>11.37</v>
      </c>
      <c r="K1977">
        <v>24</v>
      </c>
      <c r="L1977" t="s">
        <v>33</v>
      </c>
      <c r="M1977">
        <v>21.8</v>
      </c>
      <c r="N1977">
        <v>21038</v>
      </c>
      <c r="O1977">
        <v>175188</v>
      </c>
      <c r="P1977" t="s">
        <v>489</v>
      </c>
      <c r="Q1977" t="s">
        <v>42</v>
      </c>
      <c r="R1977" t="s">
        <v>28</v>
      </c>
      <c r="S1977" t="s">
        <v>68</v>
      </c>
      <c r="T1977">
        <v>4545.29</v>
      </c>
      <c r="U1977">
        <f t="shared" si="420"/>
        <v>25</v>
      </c>
      <c r="V1977">
        <f t="shared" si="421"/>
        <v>10</v>
      </c>
      <c r="W1977">
        <f t="shared" si="422"/>
        <v>9</v>
      </c>
      <c r="X1977">
        <f t="shared" si="423"/>
        <v>0.35149999999999998</v>
      </c>
      <c r="Y1977" s="1">
        <f t="shared" si="424"/>
        <v>1274738</v>
      </c>
      <c r="Z1977">
        <f t="shared" si="425"/>
        <v>50989.52</v>
      </c>
      <c r="AA1977">
        <f t="shared" si="426"/>
        <v>97950</v>
      </c>
      <c r="AB1977">
        <f t="shared" si="427"/>
        <v>5091</v>
      </c>
      <c r="AC1977">
        <f t="shared" si="428"/>
        <v>21321.7</v>
      </c>
      <c r="AD1977">
        <f t="shared" si="429"/>
        <v>852.86800000000005</v>
      </c>
      <c r="AE1977">
        <f t="shared" si="430"/>
        <v>0.35149999999999998</v>
      </c>
      <c r="AF1977">
        <f t="shared" si="431"/>
        <v>279206.30999999994</v>
      </c>
      <c r="AG1977" t="str">
        <f t="shared" si="432"/>
        <v>Active</v>
      </c>
      <c r="AH1977">
        <f t="shared" si="433"/>
        <v>54543.479999999996</v>
      </c>
    </row>
    <row r="1978" spans="1:34" x14ac:dyDescent="0.35">
      <c r="A1978" t="s">
        <v>5071</v>
      </c>
      <c r="B1978" t="s">
        <v>5072</v>
      </c>
      <c r="C1978">
        <v>30</v>
      </c>
      <c r="D1978" t="s">
        <v>38</v>
      </c>
      <c r="E1978" t="s">
        <v>32</v>
      </c>
      <c r="F1978" t="s">
        <v>24</v>
      </c>
      <c r="G1978">
        <v>100748</v>
      </c>
      <c r="H1978">
        <v>474</v>
      </c>
      <c r="I1978">
        <v>14450</v>
      </c>
      <c r="J1978">
        <v>6.75</v>
      </c>
      <c r="K1978">
        <v>240</v>
      </c>
      <c r="L1978" t="s">
        <v>86</v>
      </c>
      <c r="M1978">
        <v>9.6</v>
      </c>
      <c r="N1978">
        <v>6261</v>
      </c>
      <c r="O1978">
        <v>106794</v>
      </c>
      <c r="P1978" t="s">
        <v>1758</v>
      </c>
      <c r="Q1978" t="s">
        <v>27</v>
      </c>
      <c r="R1978" t="s">
        <v>48</v>
      </c>
      <c r="S1978" t="s">
        <v>35</v>
      </c>
      <c r="T1978">
        <v>64.27</v>
      </c>
      <c r="U1978">
        <f t="shared" si="420"/>
        <v>24</v>
      </c>
      <c r="V1978">
        <f t="shared" si="421"/>
        <v>9</v>
      </c>
      <c r="W1978">
        <f t="shared" si="422"/>
        <v>9</v>
      </c>
      <c r="X1978">
        <f t="shared" si="423"/>
        <v>0.35149999999999998</v>
      </c>
      <c r="Y1978" s="1">
        <f t="shared" si="424"/>
        <v>1176788</v>
      </c>
      <c r="Z1978">
        <f t="shared" si="425"/>
        <v>49032.833333333336</v>
      </c>
      <c r="AA1978">
        <f t="shared" si="426"/>
        <v>90737</v>
      </c>
      <c r="AB1978">
        <f t="shared" si="427"/>
        <v>5091</v>
      </c>
      <c r="AC1978">
        <f t="shared" si="428"/>
        <v>16776.41</v>
      </c>
      <c r="AD1978">
        <f t="shared" si="429"/>
        <v>699.01708333333329</v>
      </c>
      <c r="AE1978">
        <f t="shared" si="430"/>
        <v>0.35149999999999998</v>
      </c>
      <c r="AF1978">
        <f t="shared" si="431"/>
        <v>257884.61000000002</v>
      </c>
      <c r="AG1978" t="str">
        <f t="shared" si="432"/>
        <v>Active</v>
      </c>
      <c r="AH1978">
        <f t="shared" si="433"/>
        <v>771.24</v>
      </c>
    </row>
    <row r="1979" spans="1:34" x14ac:dyDescent="0.35">
      <c r="A1979" t="s">
        <v>5073</v>
      </c>
      <c r="B1979" t="s">
        <v>5074</v>
      </c>
      <c r="C1979">
        <v>56</v>
      </c>
      <c r="D1979" t="s">
        <v>22</v>
      </c>
      <c r="E1979" t="s">
        <v>32</v>
      </c>
      <c r="F1979" t="s">
        <v>59</v>
      </c>
      <c r="G1979">
        <v>168461</v>
      </c>
      <c r="H1979">
        <v>358</v>
      </c>
      <c r="I1979">
        <v>86951</v>
      </c>
      <c r="J1979">
        <v>11.13</v>
      </c>
      <c r="K1979">
        <v>180</v>
      </c>
      <c r="L1979" t="s">
        <v>86</v>
      </c>
      <c r="M1979">
        <v>10.58</v>
      </c>
      <c r="N1979">
        <v>73029</v>
      </c>
      <c r="O1979">
        <v>72121</v>
      </c>
      <c r="P1979" t="s">
        <v>2393</v>
      </c>
      <c r="Q1979" t="s">
        <v>42</v>
      </c>
      <c r="R1979" t="s">
        <v>28</v>
      </c>
      <c r="S1979" t="s">
        <v>68</v>
      </c>
      <c r="T1979">
        <v>536.83000000000004</v>
      </c>
      <c r="U1979">
        <f t="shared" si="420"/>
        <v>23</v>
      </c>
      <c r="V1979">
        <f t="shared" si="421"/>
        <v>9</v>
      </c>
      <c r="W1979">
        <f t="shared" si="422"/>
        <v>9</v>
      </c>
      <c r="X1979">
        <f t="shared" si="423"/>
        <v>0.35149999999999998</v>
      </c>
      <c r="Y1979" s="1">
        <f t="shared" si="424"/>
        <v>1162338</v>
      </c>
      <c r="Z1979">
        <f t="shared" si="425"/>
        <v>50536.434782608696</v>
      </c>
      <c r="AA1979">
        <f t="shared" si="426"/>
        <v>90737</v>
      </c>
      <c r="AB1979">
        <f t="shared" si="427"/>
        <v>5091</v>
      </c>
      <c r="AC1979">
        <f t="shared" si="428"/>
        <v>16712.14</v>
      </c>
      <c r="AD1979">
        <f t="shared" si="429"/>
        <v>726.61478260869558</v>
      </c>
      <c r="AE1979">
        <f t="shared" si="430"/>
        <v>0.35149999999999998</v>
      </c>
      <c r="AF1979">
        <f t="shared" si="431"/>
        <v>241108.2</v>
      </c>
      <c r="AG1979" t="str">
        <f t="shared" si="432"/>
        <v>Active</v>
      </c>
      <c r="AH1979">
        <f t="shared" si="433"/>
        <v>6441.9600000000009</v>
      </c>
    </row>
    <row r="1980" spans="1:34" x14ac:dyDescent="0.35">
      <c r="A1980" t="s">
        <v>5075</v>
      </c>
      <c r="B1980" t="s">
        <v>5076</v>
      </c>
      <c r="C1980">
        <v>39</v>
      </c>
      <c r="D1980" t="s">
        <v>38</v>
      </c>
      <c r="E1980" t="s">
        <v>39</v>
      </c>
      <c r="F1980" t="s">
        <v>46</v>
      </c>
      <c r="G1980">
        <v>52121</v>
      </c>
      <c r="H1980">
        <v>604</v>
      </c>
      <c r="I1980">
        <v>9959</v>
      </c>
      <c r="J1980">
        <v>19.36</v>
      </c>
      <c r="K1980">
        <v>240</v>
      </c>
      <c r="L1980" t="s">
        <v>33</v>
      </c>
      <c r="M1980">
        <v>20.69</v>
      </c>
      <c r="N1980">
        <v>70965</v>
      </c>
      <c r="O1980">
        <v>49757</v>
      </c>
      <c r="P1980" t="s">
        <v>5077</v>
      </c>
      <c r="Q1980" t="s">
        <v>42</v>
      </c>
      <c r="R1980" t="s">
        <v>48</v>
      </c>
      <c r="S1980" t="s">
        <v>29</v>
      </c>
      <c r="T1980">
        <v>49.53</v>
      </c>
      <c r="U1980">
        <f t="shared" si="420"/>
        <v>22</v>
      </c>
      <c r="V1980">
        <f t="shared" si="421"/>
        <v>8</v>
      </c>
      <c r="W1980">
        <f t="shared" si="422"/>
        <v>9</v>
      </c>
      <c r="X1980">
        <f t="shared" si="423"/>
        <v>0.35149999999999998</v>
      </c>
      <c r="Y1980" s="1">
        <f t="shared" si="424"/>
        <v>1075387</v>
      </c>
      <c r="Z1980">
        <f t="shared" si="425"/>
        <v>48881.227272727272</v>
      </c>
      <c r="AA1980">
        <f t="shared" si="426"/>
        <v>90737</v>
      </c>
      <c r="AB1980">
        <f t="shared" si="427"/>
        <v>5091</v>
      </c>
      <c r="AC1980">
        <f t="shared" si="428"/>
        <v>16175.309999999998</v>
      </c>
      <c r="AD1980">
        <f t="shared" si="429"/>
        <v>735.24136363636353</v>
      </c>
      <c r="AE1980">
        <f t="shared" si="430"/>
        <v>0.35149999999999998</v>
      </c>
      <c r="AF1980">
        <f t="shared" si="431"/>
        <v>224396.06</v>
      </c>
      <c r="AG1980" t="str">
        <f t="shared" si="432"/>
        <v>Active</v>
      </c>
      <c r="AH1980">
        <f t="shared" si="433"/>
        <v>594.36</v>
      </c>
    </row>
    <row r="1981" spans="1:34" x14ac:dyDescent="0.35">
      <c r="A1981" t="s">
        <v>5078</v>
      </c>
      <c r="B1981" t="s">
        <v>5079</v>
      </c>
      <c r="C1981">
        <v>22</v>
      </c>
      <c r="D1981" t="s">
        <v>38</v>
      </c>
      <c r="E1981" t="s">
        <v>39</v>
      </c>
      <c r="F1981" t="s">
        <v>59</v>
      </c>
      <c r="G1981">
        <v>98804</v>
      </c>
      <c r="H1981">
        <v>816</v>
      </c>
      <c r="I1981">
        <v>86792</v>
      </c>
      <c r="J1981">
        <v>17.27</v>
      </c>
      <c r="K1981">
        <v>180</v>
      </c>
      <c r="L1981" t="s">
        <v>33</v>
      </c>
      <c r="M1981">
        <v>46.5</v>
      </c>
      <c r="N1981">
        <v>322</v>
      </c>
      <c r="O1981">
        <v>73902</v>
      </c>
      <c r="P1981" t="s">
        <v>3848</v>
      </c>
      <c r="Q1981" t="s">
        <v>61</v>
      </c>
      <c r="R1981" t="s">
        <v>48</v>
      </c>
      <c r="S1981" t="s">
        <v>35</v>
      </c>
      <c r="T1981">
        <v>565.45000000000005</v>
      </c>
      <c r="U1981">
        <f t="shared" si="420"/>
        <v>21</v>
      </c>
      <c r="V1981">
        <f t="shared" si="421"/>
        <v>7</v>
      </c>
      <c r="W1981">
        <f t="shared" si="422"/>
        <v>9</v>
      </c>
      <c r="X1981">
        <f t="shared" si="423"/>
        <v>0.35149999999999998</v>
      </c>
      <c r="Y1981" s="1">
        <f t="shared" si="424"/>
        <v>1065428</v>
      </c>
      <c r="Z1981">
        <f t="shared" si="425"/>
        <v>50734.666666666664</v>
      </c>
      <c r="AA1981">
        <f t="shared" si="426"/>
        <v>90737</v>
      </c>
      <c r="AB1981">
        <f t="shared" si="427"/>
        <v>5091</v>
      </c>
      <c r="AC1981">
        <f t="shared" si="428"/>
        <v>16125.779999999999</v>
      </c>
      <c r="AD1981">
        <f t="shared" si="429"/>
        <v>767.89428571428562</v>
      </c>
      <c r="AE1981">
        <f t="shared" si="430"/>
        <v>0.35149999999999998</v>
      </c>
      <c r="AF1981">
        <f t="shared" si="431"/>
        <v>208220.75000000003</v>
      </c>
      <c r="AG1981" t="str">
        <f t="shared" si="432"/>
        <v>Active</v>
      </c>
      <c r="AH1981">
        <f t="shared" si="433"/>
        <v>6785.4000000000005</v>
      </c>
    </row>
    <row r="1982" spans="1:34" x14ac:dyDescent="0.35">
      <c r="A1982" t="s">
        <v>5080</v>
      </c>
      <c r="B1982" t="s">
        <v>5081</v>
      </c>
      <c r="C1982">
        <v>53</v>
      </c>
      <c r="D1982" t="s">
        <v>22</v>
      </c>
      <c r="E1982" t="s">
        <v>39</v>
      </c>
      <c r="F1982" t="s">
        <v>59</v>
      </c>
      <c r="G1982">
        <v>26569</v>
      </c>
      <c r="H1982">
        <v>772</v>
      </c>
      <c r="I1982">
        <v>65031</v>
      </c>
      <c r="J1982">
        <v>3.59</v>
      </c>
      <c r="K1982">
        <v>48</v>
      </c>
      <c r="L1982" t="s">
        <v>25</v>
      </c>
      <c r="M1982">
        <v>12.69</v>
      </c>
      <c r="N1982">
        <v>74408</v>
      </c>
      <c r="O1982">
        <v>88294</v>
      </c>
      <c r="P1982" t="s">
        <v>5082</v>
      </c>
      <c r="Q1982" t="s">
        <v>27</v>
      </c>
      <c r="R1982" t="s">
        <v>48</v>
      </c>
      <c r="S1982" t="s">
        <v>35</v>
      </c>
      <c r="T1982">
        <v>1403.45</v>
      </c>
      <c r="U1982">
        <f t="shared" si="420"/>
        <v>20</v>
      </c>
      <c r="V1982">
        <f t="shared" si="421"/>
        <v>7</v>
      </c>
      <c r="W1982">
        <f t="shared" si="422"/>
        <v>8</v>
      </c>
      <c r="X1982">
        <f t="shared" si="423"/>
        <v>0.35149999999999998</v>
      </c>
      <c r="Y1982" s="1">
        <f t="shared" si="424"/>
        <v>978636</v>
      </c>
      <c r="Z1982">
        <f t="shared" si="425"/>
        <v>48931.8</v>
      </c>
      <c r="AA1982">
        <f t="shared" si="426"/>
        <v>90737</v>
      </c>
      <c r="AB1982">
        <f t="shared" si="427"/>
        <v>5091</v>
      </c>
      <c r="AC1982">
        <f t="shared" si="428"/>
        <v>15560.33</v>
      </c>
      <c r="AD1982">
        <f t="shared" si="429"/>
        <v>778.01649999999995</v>
      </c>
      <c r="AE1982">
        <f t="shared" si="430"/>
        <v>0.35149999999999998</v>
      </c>
      <c r="AF1982">
        <f t="shared" si="431"/>
        <v>192094.97</v>
      </c>
      <c r="AG1982" t="str">
        <f t="shared" si="432"/>
        <v>Active</v>
      </c>
      <c r="AH1982">
        <f t="shared" si="433"/>
        <v>16841.400000000001</v>
      </c>
    </row>
    <row r="1983" spans="1:34" x14ac:dyDescent="0.35">
      <c r="A1983" t="s">
        <v>5083</v>
      </c>
      <c r="B1983" t="s">
        <v>5084</v>
      </c>
      <c r="C1983">
        <v>51</v>
      </c>
      <c r="D1983" t="s">
        <v>38</v>
      </c>
      <c r="E1983" t="s">
        <v>39</v>
      </c>
      <c r="F1983" t="s">
        <v>46</v>
      </c>
      <c r="G1983">
        <v>159409</v>
      </c>
      <c r="H1983">
        <v>515</v>
      </c>
      <c r="I1983">
        <v>28605</v>
      </c>
      <c r="J1983">
        <v>17.46</v>
      </c>
      <c r="K1983">
        <v>180</v>
      </c>
      <c r="L1983" t="s">
        <v>40</v>
      </c>
      <c r="M1983">
        <v>46.97</v>
      </c>
      <c r="N1983">
        <v>79393</v>
      </c>
      <c r="O1983">
        <v>149035</v>
      </c>
      <c r="P1983" t="s">
        <v>2103</v>
      </c>
      <c r="Q1983" t="s">
        <v>42</v>
      </c>
      <c r="R1983" t="s">
        <v>48</v>
      </c>
      <c r="S1983" t="s">
        <v>49</v>
      </c>
      <c r="T1983">
        <v>186.66</v>
      </c>
      <c r="U1983">
        <f t="shared" si="420"/>
        <v>19</v>
      </c>
      <c r="V1983">
        <f t="shared" si="421"/>
        <v>7</v>
      </c>
      <c r="W1983">
        <f t="shared" si="422"/>
        <v>8</v>
      </c>
      <c r="X1983">
        <f t="shared" si="423"/>
        <v>0.35149999999999998</v>
      </c>
      <c r="Y1983" s="1">
        <f t="shared" si="424"/>
        <v>913605</v>
      </c>
      <c r="Z1983">
        <f t="shared" si="425"/>
        <v>48084.473684210527</v>
      </c>
      <c r="AA1983">
        <f t="shared" si="426"/>
        <v>90737</v>
      </c>
      <c r="AB1983">
        <f t="shared" si="427"/>
        <v>5091</v>
      </c>
      <c r="AC1983">
        <f t="shared" si="428"/>
        <v>14156.880000000001</v>
      </c>
      <c r="AD1983">
        <f t="shared" si="429"/>
        <v>745.09894736842114</v>
      </c>
      <c r="AE1983">
        <f t="shared" si="430"/>
        <v>0.35149999999999998</v>
      </c>
      <c r="AF1983">
        <f t="shared" si="431"/>
        <v>176534.64</v>
      </c>
      <c r="AG1983" t="str">
        <f t="shared" si="432"/>
        <v>Active</v>
      </c>
      <c r="AH1983">
        <f t="shared" si="433"/>
        <v>2239.92</v>
      </c>
    </row>
    <row r="1984" spans="1:34" x14ac:dyDescent="0.35">
      <c r="A1984" t="s">
        <v>5085</v>
      </c>
      <c r="B1984" t="s">
        <v>5086</v>
      </c>
      <c r="C1984">
        <v>25</v>
      </c>
      <c r="D1984" t="s">
        <v>38</v>
      </c>
      <c r="E1984" t="s">
        <v>23</v>
      </c>
      <c r="F1984" t="s">
        <v>24</v>
      </c>
      <c r="G1984">
        <v>77021</v>
      </c>
      <c r="H1984">
        <v>401</v>
      </c>
      <c r="I1984">
        <v>57293</v>
      </c>
      <c r="J1984">
        <v>7.88</v>
      </c>
      <c r="K1984">
        <v>120</v>
      </c>
      <c r="L1984" t="s">
        <v>52</v>
      </c>
      <c r="M1984">
        <v>28.35</v>
      </c>
      <c r="N1984">
        <v>497</v>
      </c>
      <c r="O1984">
        <v>71496</v>
      </c>
      <c r="P1984" t="s">
        <v>5087</v>
      </c>
      <c r="Q1984" t="s">
        <v>27</v>
      </c>
      <c r="R1984" t="s">
        <v>48</v>
      </c>
      <c r="S1984" t="s">
        <v>29</v>
      </c>
      <c r="T1984">
        <v>515.05999999999995</v>
      </c>
      <c r="U1984">
        <f t="shared" si="420"/>
        <v>18</v>
      </c>
      <c r="V1984">
        <f t="shared" si="421"/>
        <v>6</v>
      </c>
      <c r="W1984">
        <f t="shared" si="422"/>
        <v>8</v>
      </c>
      <c r="X1984">
        <f t="shared" si="423"/>
        <v>0.35149999999999998</v>
      </c>
      <c r="Y1984" s="1">
        <f t="shared" si="424"/>
        <v>885000</v>
      </c>
      <c r="Z1984">
        <f t="shared" si="425"/>
        <v>49166.666666666664</v>
      </c>
      <c r="AA1984">
        <f t="shared" si="426"/>
        <v>90737</v>
      </c>
      <c r="AB1984">
        <f t="shared" si="427"/>
        <v>5091</v>
      </c>
      <c r="AC1984">
        <f t="shared" si="428"/>
        <v>13970.220000000001</v>
      </c>
      <c r="AD1984">
        <f t="shared" si="429"/>
        <v>776.12333333333345</v>
      </c>
      <c r="AE1984">
        <f t="shared" si="430"/>
        <v>0.35149999999999998</v>
      </c>
      <c r="AF1984">
        <f t="shared" si="431"/>
        <v>162377.76</v>
      </c>
      <c r="AG1984" t="str">
        <f t="shared" si="432"/>
        <v>Active</v>
      </c>
      <c r="AH1984">
        <f t="shared" si="433"/>
        <v>6180.7199999999993</v>
      </c>
    </row>
    <row r="1985" spans="1:34" x14ac:dyDescent="0.35">
      <c r="A1985" t="s">
        <v>5088</v>
      </c>
      <c r="B1985" t="s">
        <v>5089</v>
      </c>
      <c r="C1985">
        <v>43</v>
      </c>
      <c r="D1985" t="s">
        <v>38</v>
      </c>
      <c r="E1985" t="s">
        <v>32</v>
      </c>
      <c r="F1985" t="s">
        <v>59</v>
      </c>
      <c r="G1985">
        <v>130281</v>
      </c>
      <c r="H1985">
        <v>335</v>
      </c>
      <c r="I1985">
        <v>45873</v>
      </c>
      <c r="J1985">
        <v>10.039999999999999</v>
      </c>
      <c r="K1985">
        <v>360</v>
      </c>
      <c r="L1985" t="s">
        <v>25</v>
      </c>
      <c r="M1985">
        <v>30.14</v>
      </c>
      <c r="N1985">
        <v>66678</v>
      </c>
      <c r="O1985">
        <v>121312</v>
      </c>
      <c r="P1985" t="s">
        <v>2435</v>
      </c>
      <c r="Q1985" t="s">
        <v>42</v>
      </c>
      <c r="R1985" t="s">
        <v>48</v>
      </c>
      <c r="S1985" t="s">
        <v>29</v>
      </c>
      <c r="T1985">
        <v>140.22</v>
      </c>
      <c r="U1985">
        <f t="shared" si="420"/>
        <v>17</v>
      </c>
      <c r="V1985">
        <f t="shared" si="421"/>
        <v>6</v>
      </c>
      <c r="W1985">
        <f t="shared" si="422"/>
        <v>8</v>
      </c>
      <c r="X1985">
        <f t="shared" si="423"/>
        <v>0.35149999999999998</v>
      </c>
      <c r="Y1985" s="1">
        <f t="shared" si="424"/>
        <v>827707</v>
      </c>
      <c r="Z1985">
        <f t="shared" si="425"/>
        <v>48688.647058823532</v>
      </c>
      <c r="AA1985">
        <f t="shared" si="426"/>
        <v>90737</v>
      </c>
      <c r="AB1985">
        <f t="shared" si="427"/>
        <v>5091</v>
      </c>
      <c r="AC1985">
        <f t="shared" si="428"/>
        <v>13455.160000000002</v>
      </c>
      <c r="AD1985">
        <f t="shared" si="429"/>
        <v>791.48000000000013</v>
      </c>
      <c r="AE1985">
        <f t="shared" si="430"/>
        <v>0.35149999999999998</v>
      </c>
      <c r="AF1985">
        <f t="shared" si="431"/>
        <v>148407.54000000004</v>
      </c>
      <c r="AG1985" t="str">
        <f t="shared" si="432"/>
        <v>Active</v>
      </c>
      <c r="AH1985">
        <f t="shared" si="433"/>
        <v>1682.6399999999999</v>
      </c>
    </row>
    <row r="1986" spans="1:34" x14ac:dyDescent="0.35">
      <c r="A1986" t="s">
        <v>5090</v>
      </c>
      <c r="B1986" t="s">
        <v>5091</v>
      </c>
      <c r="C1986">
        <v>48</v>
      </c>
      <c r="D1986" t="s">
        <v>22</v>
      </c>
      <c r="E1986" t="s">
        <v>32</v>
      </c>
      <c r="F1986" t="s">
        <v>24</v>
      </c>
      <c r="G1986">
        <v>92359</v>
      </c>
      <c r="H1986">
        <v>573</v>
      </c>
      <c r="I1986">
        <v>26611</v>
      </c>
      <c r="J1986">
        <v>14.74</v>
      </c>
      <c r="K1986">
        <v>180</v>
      </c>
      <c r="L1986" t="s">
        <v>25</v>
      </c>
      <c r="M1986">
        <v>6.1</v>
      </c>
      <c r="N1986">
        <v>10313</v>
      </c>
      <c r="O1986">
        <v>85708</v>
      </c>
      <c r="P1986" t="s">
        <v>576</v>
      </c>
      <c r="Q1986" t="s">
        <v>61</v>
      </c>
      <c r="R1986" t="s">
        <v>28</v>
      </c>
      <c r="S1986" t="s">
        <v>29</v>
      </c>
      <c r="T1986">
        <v>169.63</v>
      </c>
      <c r="U1986">
        <f t="shared" ref="U1986:U2001" si="434">COUNTA(A1986:A3985)</f>
        <v>16</v>
      </c>
      <c r="V1986">
        <f t="shared" ref="V1986:V2001" si="435">COUNTIF(Q1986:Q3985,"APPROVED")</f>
        <v>5</v>
      </c>
      <c r="W1986">
        <f t="shared" ref="W1986:W2001" si="436">COUNTIF(Q1986:Q3986,"Rejected")</f>
        <v>8</v>
      </c>
      <c r="X1986">
        <f t="shared" ref="X1986:X2001" si="437">703/2000</f>
        <v>0.35149999999999998</v>
      </c>
      <c r="Y1986" s="1">
        <f t="shared" ref="Y1986:Y2001" si="438">SUM(I1986:I3985)</f>
        <v>781834</v>
      </c>
      <c r="Z1986">
        <f t="shared" ref="Z1986:Z2001" si="439">AVERAGE(I1986:I21985)</f>
        <v>48864.625</v>
      </c>
      <c r="AA1986">
        <f t="shared" ref="AA1986:AA2001" si="440">MAX(I1986:I3985)</f>
        <v>90737</v>
      </c>
      <c r="AB1986">
        <f t="shared" ref="AB1986:AB2001" si="441">MIN(I1986:I3985)</f>
        <v>5091</v>
      </c>
      <c r="AC1986">
        <f t="shared" ref="AC1986:AC2001" si="442">SUM(T1986:T3985)</f>
        <v>13314.94</v>
      </c>
      <c r="AD1986">
        <f t="shared" ref="AD1986:AD2001" si="443">AVERAGE(T1986:T3985)</f>
        <v>832.18375000000003</v>
      </c>
      <c r="AE1986">
        <f t="shared" ref="AE1986:AE2001" si="444">703/2000</f>
        <v>0.35149999999999998</v>
      </c>
      <c r="AF1986">
        <f t="shared" ref="AF1986:AF2001" si="445">SUM(AC1986:AC3985)</f>
        <v>134952.38</v>
      </c>
      <c r="AG1986" t="str">
        <f t="shared" ref="AG1986:AG2001" si="446">IF(AH1986=0,"Bad", IF(AH1985&lt;I1985, "Active", IF(AH1985=I1985, "Good", "Over Paid")))</f>
        <v>Active</v>
      </c>
      <c r="AH1986">
        <f t="shared" ref="AH1986:AH2001" si="447">T1986*12</f>
        <v>2035.56</v>
      </c>
    </row>
    <row r="1987" spans="1:34" x14ac:dyDescent="0.35">
      <c r="A1987" t="s">
        <v>5092</v>
      </c>
      <c r="B1987" t="s">
        <v>5093</v>
      </c>
      <c r="C1987">
        <v>65</v>
      </c>
      <c r="D1987" t="s">
        <v>38</v>
      </c>
      <c r="E1987" t="s">
        <v>32</v>
      </c>
      <c r="F1987" t="s">
        <v>24</v>
      </c>
      <c r="G1987">
        <v>60856</v>
      </c>
      <c r="H1987">
        <v>386</v>
      </c>
      <c r="I1987">
        <v>61375</v>
      </c>
      <c r="J1987">
        <v>13.51</v>
      </c>
      <c r="K1987">
        <v>240</v>
      </c>
      <c r="L1987" t="s">
        <v>52</v>
      </c>
      <c r="M1987">
        <v>30.54</v>
      </c>
      <c r="N1987">
        <v>64186</v>
      </c>
      <c r="O1987">
        <v>209926</v>
      </c>
      <c r="P1987" t="s">
        <v>5094</v>
      </c>
      <c r="Q1987" t="s">
        <v>27</v>
      </c>
      <c r="R1987" t="s">
        <v>48</v>
      </c>
      <c r="S1987" t="s">
        <v>49</v>
      </c>
      <c r="T1987">
        <v>290.27999999999997</v>
      </c>
      <c r="U1987">
        <f t="shared" si="434"/>
        <v>15</v>
      </c>
      <c r="V1987">
        <f t="shared" si="435"/>
        <v>5</v>
      </c>
      <c r="W1987">
        <f t="shared" si="436"/>
        <v>7</v>
      </c>
      <c r="X1987">
        <f t="shared" si="437"/>
        <v>0.35149999999999998</v>
      </c>
      <c r="Y1987" s="1">
        <f t="shared" si="438"/>
        <v>755223</v>
      </c>
      <c r="Z1987">
        <f t="shared" si="439"/>
        <v>50348.2</v>
      </c>
      <c r="AA1987">
        <f t="shared" si="440"/>
        <v>90737</v>
      </c>
      <c r="AB1987">
        <f t="shared" si="441"/>
        <v>5091</v>
      </c>
      <c r="AC1987">
        <f t="shared" si="442"/>
        <v>13145.31</v>
      </c>
      <c r="AD1987">
        <f t="shared" si="443"/>
        <v>876.35399999999993</v>
      </c>
      <c r="AE1987">
        <f t="shared" si="444"/>
        <v>0.35149999999999998</v>
      </c>
      <c r="AF1987">
        <f t="shared" si="445"/>
        <v>121637.44000000005</v>
      </c>
      <c r="AG1987" t="str">
        <f t="shared" si="446"/>
        <v>Active</v>
      </c>
      <c r="AH1987">
        <f t="shared" si="447"/>
        <v>3483.3599999999997</v>
      </c>
    </row>
    <row r="1988" spans="1:34" x14ac:dyDescent="0.35">
      <c r="A1988" t="s">
        <v>5095</v>
      </c>
      <c r="B1988" t="s">
        <v>5096</v>
      </c>
      <c r="C1988">
        <v>46</v>
      </c>
      <c r="D1988" t="s">
        <v>38</v>
      </c>
      <c r="E1988" t="s">
        <v>32</v>
      </c>
      <c r="F1988" t="s">
        <v>46</v>
      </c>
      <c r="G1988">
        <v>169472</v>
      </c>
      <c r="H1988">
        <v>672</v>
      </c>
      <c r="I1988">
        <v>5091</v>
      </c>
      <c r="J1988">
        <v>18.03</v>
      </c>
      <c r="K1988">
        <v>60</v>
      </c>
      <c r="L1988" t="s">
        <v>86</v>
      </c>
      <c r="M1988">
        <v>8.08</v>
      </c>
      <c r="N1988">
        <v>31499</v>
      </c>
      <c r="O1988">
        <v>230225</v>
      </c>
      <c r="P1988" t="s">
        <v>5097</v>
      </c>
      <c r="Q1988" t="s">
        <v>42</v>
      </c>
      <c r="R1988" t="s">
        <v>48</v>
      </c>
      <c r="S1988" t="s">
        <v>49</v>
      </c>
      <c r="T1988">
        <v>100.15</v>
      </c>
      <c r="U1988">
        <f t="shared" si="434"/>
        <v>14</v>
      </c>
      <c r="V1988">
        <f t="shared" si="435"/>
        <v>5</v>
      </c>
      <c r="W1988">
        <f t="shared" si="436"/>
        <v>7</v>
      </c>
      <c r="X1988">
        <f t="shared" si="437"/>
        <v>0.35149999999999998</v>
      </c>
      <c r="Y1988" s="1">
        <f t="shared" si="438"/>
        <v>693848</v>
      </c>
      <c r="Z1988">
        <f t="shared" si="439"/>
        <v>49560.571428571428</v>
      </c>
      <c r="AA1988">
        <f t="shared" si="440"/>
        <v>90737</v>
      </c>
      <c r="AB1988">
        <f t="shared" si="441"/>
        <v>5091</v>
      </c>
      <c r="AC1988">
        <f t="shared" si="442"/>
        <v>12855.03</v>
      </c>
      <c r="AD1988">
        <f t="shared" si="443"/>
        <v>918.21642857142865</v>
      </c>
      <c r="AE1988">
        <f t="shared" si="444"/>
        <v>0.35149999999999998</v>
      </c>
      <c r="AF1988">
        <f t="shared" si="445"/>
        <v>108492.13000000002</v>
      </c>
      <c r="AG1988" t="str">
        <f t="shared" si="446"/>
        <v>Active</v>
      </c>
      <c r="AH1988">
        <f t="shared" si="447"/>
        <v>1201.8000000000002</v>
      </c>
    </row>
    <row r="1989" spans="1:34" x14ac:dyDescent="0.35">
      <c r="A1989" t="s">
        <v>5098</v>
      </c>
      <c r="B1989" t="s">
        <v>5099</v>
      </c>
      <c r="C1989">
        <v>46</v>
      </c>
      <c r="D1989" t="s">
        <v>38</v>
      </c>
      <c r="E1989" t="s">
        <v>39</v>
      </c>
      <c r="F1989" t="s">
        <v>59</v>
      </c>
      <c r="G1989">
        <v>54290</v>
      </c>
      <c r="H1989">
        <v>325</v>
      </c>
      <c r="I1989">
        <v>51698</v>
      </c>
      <c r="J1989">
        <v>5</v>
      </c>
      <c r="K1989">
        <v>360</v>
      </c>
      <c r="L1989" t="s">
        <v>40</v>
      </c>
      <c r="M1989">
        <v>53.31</v>
      </c>
      <c r="N1989">
        <v>13023</v>
      </c>
      <c r="O1989">
        <v>122824</v>
      </c>
      <c r="P1989" t="s">
        <v>1500</v>
      </c>
      <c r="Q1989" t="s">
        <v>27</v>
      </c>
      <c r="R1989" t="s">
        <v>48</v>
      </c>
      <c r="S1989" t="s">
        <v>49</v>
      </c>
      <c r="T1989">
        <v>150.79</v>
      </c>
      <c r="U1989">
        <f t="shared" si="434"/>
        <v>13</v>
      </c>
      <c r="V1989">
        <f t="shared" si="435"/>
        <v>4</v>
      </c>
      <c r="W1989">
        <f t="shared" si="436"/>
        <v>7</v>
      </c>
      <c r="X1989">
        <f t="shared" si="437"/>
        <v>0.35149999999999998</v>
      </c>
      <c r="Y1989" s="1">
        <f t="shared" si="438"/>
        <v>688757</v>
      </c>
      <c r="Z1989">
        <f t="shared" si="439"/>
        <v>52981.307692307695</v>
      </c>
      <c r="AA1989">
        <f t="shared" si="440"/>
        <v>90737</v>
      </c>
      <c r="AB1989">
        <f t="shared" si="441"/>
        <v>16291</v>
      </c>
      <c r="AC1989">
        <f t="shared" si="442"/>
        <v>12754.880000000001</v>
      </c>
      <c r="AD1989">
        <f t="shared" si="443"/>
        <v>981.14461538461546</v>
      </c>
      <c r="AE1989">
        <f t="shared" si="444"/>
        <v>0.35149999999999998</v>
      </c>
      <c r="AF1989">
        <f t="shared" si="445"/>
        <v>95637.10000000002</v>
      </c>
      <c r="AG1989" t="str">
        <f t="shared" si="446"/>
        <v>Active</v>
      </c>
      <c r="AH1989">
        <f t="shared" si="447"/>
        <v>1809.48</v>
      </c>
    </row>
    <row r="1990" spans="1:34" x14ac:dyDescent="0.35">
      <c r="A1990" t="s">
        <v>5100</v>
      </c>
      <c r="B1990" t="s">
        <v>5101</v>
      </c>
      <c r="C1990">
        <v>56</v>
      </c>
      <c r="D1990" t="s">
        <v>22</v>
      </c>
      <c r="E1990" t="s">
        <v>23</v>
      </c>
      <c r="F1990" t="s">
        <v>59</v>
      </c>
      <c r="G1990">
        <v>23886</v>
      </c>
      <c r="H1990">
        <v>640</v>
      </c>
      <c r="I1990">
        <v>16291</v>
      </c>
      <c r="J1990">
        <v>9.1</v>
      </c>
      <c r="K1990">
        <v>360</v>
      </c>
      <c r="L1990" t="s">
        <v>52</v>
      </c>
      <c r="M1990">
        <v>34.69</v>
      </c>
      <c r="N1990">
        <v>72619</v>
      </c>
      <c r="O1990">
        <v>45774</v>
      </c>
      <c r="P1990" t="s">
        <v>5102</v>
      </c>
      <c r="Q1990" t="s">
        <v>61</v>
      </c>
      <c r="R1990" t="s">
        <v>28</v>
      </c>
      <c r="S1990" t="s">
        <v>35</v>
      </c>
      <c r="T1990">
        <v>49.37</v>
      </c>
      <c r="U1990">
        <f t="shared" si="434"/>
        <v>12</v>
      </c>
      <c r="V1990">
        <f t="shared" si="435"/>
        <v>4</v>
      </c>
      <c r="W1990">
        <f t="shared" si="436"/>
        <v>7</v>
      </c>
      <c r="X1990">
        <f t="shared" si="437"/>
        <v>0.35149999999999998</v>
      </c>
      <c r="Y1990" s="1">
        <f t="shared" si="438"/>
        <v>637059</v>
      </c>
      <c r="Z1990">
        <f t="shared" si="439"/>
        <v>53088.25</v>
      </c>
      <c r="AA1990">
        <f t="shared" si="440"/>
        <v>90737</v>
      </c>
      <c r="AB1990">
        <f t="shared" si="441"/>
        <v>16291</v>
      </c>
      <c r="AC1990">
        <f t="shared" si="442"/>
        <v>12604.090000000002</v>
      </c>
      <c r="AD1990">
        <f t="shared" si="443"/>
        <v>1050.3408333333334</v>
      </c>
      <c r="AE1990">
        <f t="shared" si="444"/>
        <v>0.35149999999999998</v>
      </c>
      <c r="AF1990">
        <f t="shared" si="445"/>
        <v>82882.220000000016</v>
      </c>
      <c r="AG1990" t="str">
        <f t="shared" si="446"/>
        <v>Active</v>
      </c>
      <c r="AH1990">
        <f t="shared" si="447"/>
        <v>592.43999999999994</v>
      </c>
    </row>
    <row r="1991" spans="1:34" x14ac:dyDescent="0.35">
      <c r="A1991" t="s">
        <v>5103</v>
      </c>
      <c r="B1991" t="s">
        <v>5104</v>
      </c>
      <c r="C1991">
        <v>38</v>
      </c>
      <c r="D1991" t="s">
        <v>38</v>
      </c>
      <c r="E1991" t="s">
        <v>23</v>
      </c>
      <c r="F1991" t="s">
        <v>46</v>
      </c>
      <c r="G1991">
        <v>110784</v>
      </c>
      <c r="H1991">
        <v>509</v>
      </c>
      <c r="I1991">
        <v>36098</v>
      </c>
      <c r="J1991">
        <v>5.35</v>
      </c>
      <c r="K1991">
        <v>120</v>
      </c>
      <c r="L1991" t="s">
        <v>25</v>
      </c>
      <c r="M1991">
        <v>10.65</v>
      </c>
      <c r="N1991">
        <v>59092</v>
      </c>
      <c r="O1991">
        <v>122310</v>
      </c>
      <c r="P1991" t="s">
        <v>4731</v>
      </c>
      <c r="Q1991" t="s">
        <v>42</v>
      </c>
      <c r="R1991" t="s">
        <v>48</v>
      </c>
      <c r="S1991" t="s">
        <v>35</v>
      </c>
      <c r="T1991">
        <v>316.91000000000003</v>
      </c>
      <c r="U1991">
        <f t="shared" si="434"/>
        <v>11</v>
      </c>
      <c r="V1991">
        <f t="shared" si="435"/>
        <v>4</v>
      </c>
      <c r="W1991">
        <f t="shared" si="436"/>
        <v>6</v>
      </c>
      <c r="X1991">
        <f t="shared" si="437"/>
        <v>0.35149999999999998</v>
      </c>
      <c r="Y1991" s="1">
        <f t="shared" si="438"/>
        <v>620768</v>
      </c>
      <c r="Z1991">
        <f t="shared" si="439"/>
        <v>56433.454545454544</v>
      </c>
      <c r="AA1991">
        <f t="shared" si="440"/>
        <v>90737</v>
      </c>
      <c r="AB1991">
        <f t="shared" si="441"/>
        <v>26481</v>
      </c>
      <c r="AC1991">
        <f t="shared" si="442"/>
        <v>12554.720000000001</v>
      </c>
      <c r="AD1991">
        <f t="shared" si="443"/>
        <v>1141.338181818182</v>
      </c>
      <c r="AE1991">
        <f t="shared" si="444"/>
        <v>0.35149999999999998</v>
      </c>
      <c r="AF1991">
        <f t="shared" si="445"/>
        <v>70278.13</v>
      </c>
      <c r="AG1991" t="str">
        <f t="shared" si="446"/>
        <v>Active</v>
      </c>
      <c r="AH1991">
        <f t="shared" si="447"/>
        <v>3802.92</v>
      </c>
    </row>
    <row r="1992" spans="1:34" x14ac:dyDescent="0.35">
      <c r="A1992" t="s">
        <v>5105</v>
      </c>
      <c r="B1992" t="s">
        <v>5106</v>
      </c>
      <c r="C1992">
        <v>33</v>
      </c>
      <c r="D1992" t="s">
        <v>38</v>
      </c>
      <c r="E1992" t="s">
        <v>39</v>
      </c>
      <c r="F1992" t="s">
        <v>46</v>
      </c>
      <c r="G1992">
        <v>182823</v>
      </c>
      <c r="H1992">
        <v>695</v>
      </c>
      <c r="I1992">
        <v>65386</v>
      </c>
      <c r="J1992">
        <v>4.18</v>
      </c>
      <c r="K1992">
        <v>48</v>
      </c>
      <c r="L1992" t="s">
        <v>25</v>
      </c>
      <c r="M1992">
        <v>14.41</v>
      </c>
      <c r="N1992">
        <v>16632</v>
      </c>
      <c r="O1992">
        <v>183974</v>
      </c>
      <c r="P1992" t="s">
        <v>2531</v>
      </c>
      <c r="Q1992" t="s">
        <v>61</v>
      </c>
      <c r="R1992" t="s">
        <v>28</v>
      </c>
      <c r="S1992" t="s">
        <v>68</v>
      </c>
      <c r="T1992">
        <v>1419.15</v>
      </c>
      <c r="U1992">
        <f t="shared" si="434"/>
        <v>10</v>
      </c>
      <c r="V1992">
        <f t="shared" si="435"/>
        <v>3</v>
      </c>
      <c r="W1992">
        <f t="shared" si="436"/>
        <v>6</v>
      </c>
      <c r="X1992">
        <f t="shared" si="437"/>
        <v>0.35149999999999998</v>
      </c>
      <c r="Y1992" s="1">
        <f t="shared" si="438"/>
        <v>584670</v>
      </c>
      <c r="Z1992">
        <f t="shared" si="439"/>
        <v>58467</v>
      </c>
      <c r="AA1992">
        <f t="shared" si="440"/>
        <v>90737</v>
      </c>
      <c r="AB1992">
        <f t="shared" si="441"/>
        <v>26481</v>
      </c>
      <c r="AC1992">
        <f t="shared" si="442"/>
        <v>12237.81</v>
      </c>
      <c r="AD1992">
        <f t="shared" si="443"/>
        <v>1223.7809999999999</v>
      </c>
      <c r="AE1992">
        <f t="shared" si="444"/>
        <v>0.35149999999999998</v>
      </c>
      <c r="AF1992">
        <f t="shared" si="445"/>
        <v>57723.409999999989</v>
      </c>
      <c r="AG1992" t="str">
        <f t="shared" si="446"/>
        <v>Active</v>
      </c>
      <c r="AH1992">
        <f t="shared" si="447"/>
        <v>17029.800000000003</v>
      </c>
    </row>
    <row r="1993" spans="1:34" x14ac:dyDescent="0.35">
      <c r="A1993" t="s">
        <v>5107</v>
      </c>
      <c r="B1993" t="s">
        <v>5108</v>
      </c>
      <c r="C1993">
        <v>21</v>
      </c>
      <c r="D1993" t="s">
        <v>38</v>
      </c>
      <c r="E1993" t="s">
        <v>23</v>
      </c>
      <c r="F1993" t="s">
        <v>24</v>
      </c>
      <c r="G1993">
        <v>185320</v>
      </c>
      <c r="H1993">
        <v>575</v>
      </c>
      <c r="I1993">
        <v>26481</v>
      </c>
      <c r="J1993">
        <v>21.51</v>
      </c>
      <c r="K1993">
        <v>12</v>
      </c>
      <c r="L1993" t="s">
        <v>33</v>
      </c>
      <c r="M1993">
        <v>47.48</v>
      </c>
      <c r="N1993">
        <v>21334</v>
      </c>
      <c r="O1993">
        <v>13475</v>
      </c>
      <c r="P1993" t="s">
        <v>5109</v>
      </c>
      <c r="Q1993" t="s">
        <v>61</v>
      </c>
      <c r="R1993" t="s">
        <v>28</v>
      </c>
      <c r="S1993" t="s">
        <v>68</v>
      </c>
      <c r="T1993">
        <v>2681.42</v>
      </c>
      <c r="U1993">
        <f t="shared" si="434"/>
        <v>9</v>
      </c>
      <c r="V1993">
        <f t="shared" si="435"/>
        <v>3</v>
      </c>
      <c r="W1993">
        <f t="shared" si="436"/>
        <v>5</v>
      </c>
      <c r="X1993">
        <f t="shared" si="437"/>
        <v>0.35149999999999998</v>
      </c>
      <c r="Y1993" s="1">
        <f t="shared" si="438"/>
        <v>519284</v>
      </c>
      <c r="Z1993">
        <f t="shared" si="439"/>
        <v>57698.222222222219</v>
      </c>
      <c r="AA1993">
        <f t="shared" si="440"/>
        <v>90737</v>
      </c>
      <c r="AB1993">
        <f t="shared" si="441"/>
        <v>26481</v>
      </c>
      <c r="AC1993">
        <f t="shared" si="442"/>
        <v>10818.660000000002</v>
      </c>
      <c r="AD1993">
        <f t="shared" si="443"/>
        <v>1202.0733333333335</v>
      </c>
      <c r="AE1993">
        <f t="shared" si="444"/>
        <v>0.35149999999999998</v>
      </c>
      <c r="AF1993">
        <f t="shared" si="445"/>
        <v>45485.599999999999</v>
      </c>
      <c r="AG1993" t="str">
        <f t="shared" si="446"/>
        <v>Active</v>
      </c>
      <c r="AH1993">
        <f t="shared" si="447"/>
        <v>32177.040000000001</v>
      </c>
    </row>
    <row r="1994" spans="1:34" x14ac:dyDescent="0.35">
      <c r="A1994" t="s">
        <v>5110</v>
      </c>
      <c r="B1994" t="s">
        <v>5111</v>
      </c>
      <c r="C1994">
        <v>59</v>
      </c>
      <c r="D1994" t="s">
        <v>38</v>
      </c>
      <c r="E1994" t="s">
        <v>32</v>
      </c>
      <c r="F1994" t="s">
        <v>46</v>
      </c>
      <c r="G1994">
        <v>140453</v>
      </c>
      <c r="H1994">
        <v>788</v>
      </c>
      <c r="I1994">
        <v>54869</v>
      </c>
      <c r="J1994">
        <v>10.38</v>
      </c>
      <c r="K1994">
        <v>180</v>
      </c>
      <c r="L1994" t="s">
        <v>25</v>
      </c>
      <c r="M1994">
        <v>52.02</v>
      </c>
      <c r="N1994">
        <v>15682</v>
      </c>
      <c r="O1994">
        <v>23913</v>
      </c>
      <c r="P1994" t="s">
        <v>5112</v>
      </c>
      <c r="Q1994" t="s">
        <v>61</v>
      </c>
      <c r="R1994" t="s">
        <v>28</v>
      </c>
      <c r="S1994" t="s">
        <v>68</v>
      </c>
      <c r="T1994">
        <v>336.47</v>
      </c>
      <c r="U1994">
        <f t="shared" si="434"/>
        <v>8</v>
      </c>
      <c r="V1994">
        <f t="shared" si="435"/>
        <v>3</v>
      </c>
      <c r="W1994">
        <f t="shared" si="436"/>
        <v>4</v>
      </c>
      <c r="X1994">
        <f t="shared" si="437"/>
        <v>0.35149999999999998</v>
      </c>
      <c r="Y1994" s="1">
        <f t="shared" si="438"/>
        <v>492803</v>
      </c>
      <c r="Z1994">
        <f t="shared" si="439"/>
        <v>61600.375</v>
      </c>
      <c r="AA1994">
        <f t="shared" si="440"/>
        <v>90737</v>
      </c>
      <c r="AB1994">
        <f t="shared" si="441"/>
        <v>31184</v>
      </c>
      <c r="AC1994">
        <f t="shared" si="442"/>
        <v>8137.24</v>
      </c>
      <c r="AD1994">
        <f t="shared" si="443"/>
        <v>1017.155</v>
      </c>
      <c r="AE1994">
        <f t="shared" si="444"/>
        <v>0.35149999999999998</v>
      </c>
      <c r="AF1994">
        <f t="shared" si="445"/>
        <v>34666.939999999995</v>
      </c>
      <c r="AG1994" t="str">
        <f t="shared" si="446"/>
        <v>Over Paid</v>
      </c>
      <c r="AH1994">
        <f t="shared" si="447"/>
        <v>4037.6400000000003</v>
      </c>
    </row>
    <row r="1995" spans="1:34" x14ac:dyDescent="0.35">
      <c r="A1995" t="s">
        <v>5113</v>
      </c>
      <c r="B1995" t="s">
        <v>5114</v>
      </c>
      <c r="C1995">
        <v>26</v>
      </c>
      <c r="D1995" t="s">
        <v>22</v>
      </c>
      <c r="E1995" t="s">
        <v>23</v>
      </c>
      <c r="F1995" t="s">
        <v>46</v>
      </c>
      <c r="G1995">
        <v>199938</v>
      </c>
      <c r="H1995">
        <v>642</v>
      </c>
      <c r="I1995">
        <v>75762</v>
      </c>
      <c r="J1995">
        <v>19.73</v>
      </c>
      <c r="K1995">
        <v>48</v>
      </c>
      <c r="L1995" t="s">
        <v>33</v>
      </c>
      <c r="M1995">
        <v>39.6</v>
      </c>
      <c r="N1995">
        <v>61549</v>
      </c>
      <c r="O1995">
        <v>114433</v>
      </c>
      <c r="P1995" t="s">
        <v>672</v>
      </c>
      <c r="Q1995" t="s">
        <v>42</v>
      </c>
      <c r="R1995" t="s">
        <v>28</v>
      </c>
      <c r="S1995" t="s">
        <v>49</v>
      </c>
      <c r="T1995">
        <v>1889.79</v>
      </c>
      <c r="U1995">
        <f t="shared" si="434"/>
        <v>7</v>
      </c>
      <c r="V1995">
        <f t="shared" si="435"/>
        <v>3</v>
      </c>
      <c r="W1995">
        <f t="shared" si="436"/>
        <v>3</v>
      </c>
      <c r="X1995">
        <f t="shared" si="437"/>
        <v>0.35149999999999998</v>
      </c>
      <c r="Y1995" s="1">
        <f t="shared" si="438"/>
        <v>437934</v>
      </c>
      <c r="Z1995">
        <f t="shared" si="439"/>
        <v>62562</v>
      </c>
      <c r="AA1995">
        <f t="shared" si="440"/>
        <v>90737</v>
      </c>
      <c r="AB1995">
        <f t="shared" si="441"/>
        <v>31184</v>
      </c>
      <c r="AC1995">
        <f t="shared" si="442"/>
        <v>7800.7699999999995</v>
      </c>
      <c r="AD1995">
        <f t="shared" si="443"/>
        <v>1114.3957142857141</v>
      </c>
      <c r="AE1995">
        <f t="shared" si="444"/>
        <v>0.35149999999999998</v>
      </c>
      <c r="AF1995">
        <f t="shared" si="445"/>
        <v>26529.699999999997</v>
      </c>
      <c r="AG1995" t="str">
        <f t="shared" si="446"/>
        <v>Active</v>
      </c>
      <c r="AH1995">
        <f t="shared" si="447"/>
        <v>22677.48</v>
      </c>
    </row>
    <row r="1996" spans="1:34" x14ac:dyDescent="0.35">
      <c r="A1996" t="s">
        <v>5115</v>
      </c>
      <c r="B1996" t="s">
        <v>5116</v>
      </c>
      <c r="C1996">
        <v>22</v>
      </c>
      <c r="D1996" t="s">
        <v>22</v>
      </c>
      <c r="E1996" t="s">
        <v>39</v>
      </c>
      <c r="F1996" t="s">
        <v>24</v>
      </c>
      <c r="G1996">
        <v>39276</v>
      </c>
      <c r="H1996">
        <v>445</v>
      </c>
      <c r="I1996">
        <v>37367</v>
      </c>
      <c r="J1996">
        <v>6.43</v>
      </c>
      <c r="K1996">
        <v>120</v>
      </c>
      <c r="L1996" t="s">
        <v>25</v>
      </c>
      <c r="M1996">
        <v>32.82</v>
      </c>
      <c r="N1996">
        <v>75909</v>
      </c>
      <c r="O1996">
        <v>206520</v>
      </c>
      <c r="P1996" t="s">
        <v>1398</v>
      </c>
      <c r="Q1996" t="s">
        <v>27</v>
      </c>
      <c r="R1996" t="s">
        <v>48</v>
      </c>
      <c r="S1996" t="s">
        <v>49</v>
      </c>
      <c r="T1996">
        <v>331.41</v>
      </c>
      <c r="U1996">
        <f t="shared" si="434"/>
        <v>6</v>
      </c>
      <c r="V1996">
        <f t="shared" si="435"/>
        <v>2</v>
      </c>
      <c r="W1996">
        <f t="shared" si="436"/>
        <v>3</v>
      </c>
      <c r="X1996">
        <f t="shared" si="437"/>
        <v>0.35149999999999998</v>
      </c>
      <c r="Y1996" s="1">
        <f t="shared" si="438"/>
        <v>362172</v>
      </c>
      <c r="Z1996">
        <f t="shared" si="439"/>
        <v>60362</v>
      </c>
      <c r="AA1996">
        <f t="shared" si="440"/>
        <v>90737</v>
      </c>
      <c r="AB1996">
        <f t="shared" si="441"/>
        <v>31184</v>
      </c>
      <c r="AC1996">
        <f t="shared" si="442"/>
        <v>5910.98</v>
      </c>
      <c r="AD1996">
        <f t="shared" si="443"/>
        <v>985.1633333333333</v>
      </c>
      <c r="AE1996">
        <f t="shared" si="444"/>
        <v>0.35149999999999998</v>
      </c>
      <c r="AF1996">
        <f t="shared" si="445"/>
        <v>18728.929999999997</v>
      </c>
      <c r="AG1996" t="str">
        <f t="shared" si="446"/>
        <v>Active</v>
      </c>
      <c r="AH1996">
        <f t="shared" si="447"/>
        <v>3976.92</v>
      </c>
    </row>
    <row r="1997" spans="1:34" x14ac:dyDescent="0.35">
      <c r="A1997" t="s">
        <v>5117</v>
      </c>
      <c r="B1997" t="s">
        <v>5118</v>
      </c>
      <c r="C1997">
        <v>41</v>
      </c>
      <c r="D1997" t="s">
        <v>22</v>
      </c>
      <c r="E1997" t="s">
        <v>23</v>
      </c>
      <c r="F1997" t="s">
        <v>59</v>
      </c>
      <c r="G1997">
        <v>130280</v>
      </c>
      <c r="H1997">
        <v>748</v>
      </c>
      <c r="I1997">
        <v>58086</v>
      </c>
      <c r="J1997">
        <v>10.58</v>
      </c>
      <c r="K1997">
        <v>240</v>
      </c>
      <c r="L1997" t="s">
        <v>25</v>
      </c>
      <c r="M1997">
        <v>44.9</v>
      </c>
      <c r="N1997">
        <v>71359</v>
      </c>
      <c r="O1997">
        <v>128579</v>
      </c>
      <c r="P1997" t="s">
        <v>4561</v>
      </c>
      <c r="Q1997" t="s">
        <v>61</v>
      </c>
      <c r="R1997" t="s">
        <v>28</v>
      </c>
      <c r="S1997" t="s">
        <v>35</v>
      </c>
      <c r="T1997">
        <v>267.63</v>
      </c>
      <c r="U1997">
        <f t="shared" si="434"/>
        <v>5</v>
      </c>
      <c r="V1997">
        <f t="shared" si="435"/>
        <v>2</v>
      </c>
      <c r="W1997">
        <f t="shared" si="436"/>
        <v>3</v>
      </c>
      <c r="X1997">
        <f t="shared" si="437"/>
        <v>0.35149999999999998</v>
      </c>
      <c r="Y1997" s="1">
        <f t="shared" si="438"/>
        <v>324805</v>
      </c>
      <c r="Z1997">
        <f t="shared" si="439"/>
        <v>64961</v>
      </c>
      <c r="AA1997">
        <f t="shared" si="440"/>
        <v>90737</v>
      </c>
      <c r="AB1997">
        <f t="shared" si="441"/>
        <v>31184</v>
      </c>
      <c r="AC1997">
        <f t="shared" si="442"/>
        <v>5579.57</v>
      </c>
      <c r="AD1997">
        <f t="shared" si="443"/>
        <v>1115.914</v>
      </c>
      <c r="AE1997">
        <f t="shared" si="444"/>
        <v>0.35149999999999998</v>
      </c>
      <c r="AF1997">
        <f t="shared" si="445"/>
        <v>12817.949999999999</v>
      </c>
      <c r="AG1997" t="str">
        <f t="shared" si="446"/>
        <v>Active</v>
      </c>
      <c r="AH1997">
        <f t="shared" si="447"/>
        <v>3211.56</v>
      </c>
    </row>
    <row r="1998" spans="1:34" x14ac:dyDescent="0.35">
      <c r="A1998" t="s">
        <v>5119</v>
      </c>
      <c r="B1998" t="s">
        <v>5120</v>
      </c>
      <c r="C1998">
        <v>33</v>
      </c>
      <c r="D1998" t="s">
        <v>22</v>
      </c>
      <c r="E1998" t="s">
        <v>39</v>
      </c>
      <c r="F1998" t="s">
        <v>59</v>
      </c>
      <c r="G1998">
        <v>134440</v>
      </c>
      <c r="H1998">
        <v>829</v>
      </c>
      <c r="I1998">
        <v>83008</v>
      </c>
      <c r="J1998">
        <v>21.95</v>
      </c>
      <c r="K1998">
        <v>24</v>
      </c>
      <c r="L1998" t="s">
        <v>52</v>
      </c>
      <c r="M1998">
        <v>21.15</v>
      </c>
      <c r="N1998">
        <v>72075</v>
      </c>
      <c r="O1998">
        <v>244</v>
      </c>
      <c r="P1998" t="s">
        <v>2996</v>
      </c>
      <c r="Q1998" t="s">
        <v>61</v>
      </c>
      <c r="R1998" t="s">
        <v>28</v>
      </c>
      <c r="S1998" t="s">
        <v>49</v>
      </c>
      <c r="T1998">
        <v>4217.84</v>
      </c>
      <c r="U1998">
        <f t="shared" si="434"/>
        <v>4</v>
      </c>
      <c r="V1998">
        <f t="shared" si="435"/>
        <v>2</v>
      </c>
      <c r="W1998">
        <f t="shared" si="436"/>
        <v>2</v>
      </c>
      <c r="X1998">
        <f t="shared" si="437"/>
        <v>0.35149999999999998</v>
      </c>
      <c r="Y1998" s="1">
        <f t="shared" si="438"/>
        <v>266719</v>
      </c>
      <c r="Z1998">
        <f t="shared" si="439"/>
        <v>66679.75</v>
      </c>
      <c r="AA1998">
        <f t="shared" si="440"/>
        <v>90737</v>
      </c>
      <c r="AB1998">
        <f t="shared" si="441"/>
        <v>31184</v>
      </c>
      <c r="AC1998">
        <f t="shared" si="442"/>
        <v>5311.94</v>
      </c>
      <c r="AD1998">
        <f t="shared" si="443"/>
        <v>1327.9849999999999</v>
      </c>
      <c r="AE1998">
        <f t="shared" si="444"/>
        <v>0.35149999999999998</v>
      </c>
      <c r="AF1998">
        <f t="shared" si="445"/>
        <v>7238.3799999999992</v>
      </c>
      <c r="AG1998" t="str">
        <f t="shared" si="446"/>
        <v>Active</v>
      </c>
      <c r="AH1998">
        <f t="shared" si="447"/>
        <v>50614.080000000002</v>
      </c>
    </row>
    <row r="1999" spans="1:34" x14ac:dyDescent="0.35">
      <c r="A1999" t="s">
        <v>5121</v>
      </c>
      <c r="B1999" t="s">
        <v>5122</v>
      </c>
      <c r="C1999">
        <v>65</v>
      </c>
      <c r="D1999" t="s">
        <v>38</v>
      </c>
      <c r="E1999" t="s">
        <v>23</v>
      </c>
      <c r="F1999" t="s">
        <v>46</v>
      </c>
      <c r="G1999">
        <v>62612</v>
      </c>
      <c r="H1999">
        <v>576</v>
      </c>
      <c r="I1999">
        <v>90737</v>
      </c>
      <c r="J1999">
        <v>13.52</v>
      </c>
      <c r="K1999">
        <v>180</v>
      </c>
      <c r="L1999" t="s">
        <v>52</v>
      </c>
      <c r="M1999">
        <v>58.81</v>
      </c>
      <c r="N1999">
        <v>62744</v>
      </c>
      <c r="O1999">
        <v>136119</v>
      </c>
      <c r="P1999" t="s">
        <v>3976</v>
      </c>
      <c r="Q1999" t="s">
        <v>42</v>
      </c>
      <c r="R1999" t="s">
        <v>28</v>
      </c>
      <c r="S1999" t="s">
        <v>29</v>
      </c>
      <c r="T1999">
        <v>572.25</v>
      </c>
      <c r="U1999">
        <f t="shared" si="434"/>
        <v>3</v>
      </c>
      <c r="V1999">
        <f t="shared" si="435"/>
        <v>2</v>
      </c>
      <c r="W1999">
        <f t="shared" si="436"/>
        <v>1</v>
      </c>
      <c r="X1999">
        <f t="shared" si="437"/>
        <v>0.35149999999999998</v>
      </c>
      <c r="Y1999" s="1">
        <f t="shared" si="438"/>
        <v>183711</v>
      </c>
      <c r="Z1999">
        <f t="shared" si="439"/>
        <v>61237</v>
      </c>
      <c r="AA1999">
        <f t="shared" si="440"/>
        <v>90737</v>
      </c>
      <c r="AB1999">
        <f t="shared" si="441"/>
        <v>31184</v>
      </c>
      <c r="AC1999">
        <f t="shared" si="442"/>
        <v>1094.0999999999999</v>
      </c>
      <c r="AD1999">
        <f t="shared" si="443"/>
        <v>364.7</v>
      </c>
      <c r="AE1999">
        <f t="shared" si="444"/>
        <v>0.35149999999999998</v>
      </c>
      <c r="AF1999">
        <f t="shared" si="445"/>
        <v>1926.4399999999998</v>
      </c>
      <c r="AG1999" t="str">
        <f t="shared" si="446"/>
        <v>Active</v>
      </c>
      <c r="AH1999">
        <f t="shared" si="447"/>
        <v>6867</v>
      </c>
    </row>
    <row r="2000" spans="1:34" x14ac:dyDescent="0.35">
      <c r="A2000" t="s">
        <v>5123</v>
      </c>
      <c r="B2000" t="s">
        <v>5124</v>
      </c>
      <c r="C2000">
        <v>50</v>
      </c>
      <c r="D2000" t="s">
        <v>38</v>
      </c>
      <c r="E2000" t="s">
        <v>32</v>
      </c>
      <c r="F2000" t="s">
        <v>24</v>
      </c>
      <c r="G2000">
        <v>171256</v>
      </c>
      <c r="H2000">
        <v>431</v>
      </c>
      <c r="I2000">
        <v>31184</v>
      </c>
      <c r="J2000">
        <v>22</v>
      </c>
      <c r="K2000">
        <v>180</v>
      </c>
      <c r="L2000" t="s">
        <v>86</v>
      </c>
      <c r="M2000">
        <v>14.59</v>
      </c>
      <c r="N2000">
        <v>72596</v>
      </c>
      <c r="O2000">
        <v>108861</v>
      </c>
      <c r="P2000" t="s">
        <v>153</v>
      </c>
      <c r="Q2000" t="s">
        <v>42</v>
      </c>
      <c r="R2000" t="s">
        <v>28</v>
      </c>
      <c r="S2000" t="s">
        <v>29</v>
      </c>
      <c r="T2000">
        <v>211.36</v>
      </c>
      <c r="U2000">
        <f t="shared" si="434"/>
        <v>2</v>
      </c>
      <c r="V2000">
        <f t="shared" si="435"/>
        <v>1</v>
      </c>
      <c r="W2000">
        <f t="shared" si="436"/>
        <v>1</v>
      </c>
      <c r="X2000">
        <f t="shared" si="437"/>
        <v>0.35149999999999998</v>
      </c>
      <c r="Y2000" s="1">
        <f t="shared" si="438"/>
        <v>92974</v>
      </c>
      <c r="Z2000">
        <f t="shared" si="439"/>
        <v>46487</v>
      </c>
      <c r="AA2000">
        <f t="shared" si="440"/>
        <v>61790</v>
      </c>
      <c r="AB2000">
        <f t="shared" si="441"/>
        <v>31184</v>
      </c>
      <c r="AC2000">
        <f t="shared" si="442"/>
        <v>521.85</v>
      </c>
      <c r="AD2000">
        <f t="shared" si="443"/>
        <v>260.92500000000001</v>
      </c>
      <c r="AE2000">
        <f t="shared" si="444"/>
        <v>0.35149999999999998</v>
      </c>
      <c r="AF2000">
        <f t="shared" si="445"/>
        <v>832.34</v>
      </c>
      <c r="AG2000" t="str">
        <f t="shared" si="446"/>
        <v>Active</v>
      </c>
      <c r="AH2000">
        <f t="shared" si="447"/>
        <v>2536.3200000000002</v>
      </c>
    </row>
    <row r="2001" spans="1:34" x14ac:dyDescent="0.35">
      <c r="A2001" t="s">
        <v>5125</v>
      </c>
      <c r="B2001" t="s">
        <v>5126</v>
      </c>
      <c r="C2001">
        <v>60</v>
      </c>
      <c r="D2001" t="s">
        <v>22</v>
      </c>
      <c r="E2001" t="s">
        <v>23</v>
      </c>
      <c r="F2001" t="s">
        <v>46</v>
      </c>
      <c r="G2001">
        <v>73349</v>
      </c>
      <c r="H2001">
        <v>506</v>
      </c>
      <c r="I2001">
        <v>61790</v>
      </c>
      <c r="J2001">
        <v>20.6</v>
      </c>
      <c r="K2001">
        <v>240</v>
      </c>
      <c r="L2001" t="s">
        <v>86</v>
      </c>
      <c r="M2001">
        <v>20.48</v>
      </c>
      <c r="N2001">
        <v>29504</v>
      </c>
      <c r="O2001">
        <v>66003</v>
      </c>
      <c r="P2001" t="s">
        <v>5127</v>
      </c>
      <c r="Q2001" t="s">
        <v>61</v>
      </c>
      <c r="R2001" t="s">
        <v>48</v>
      </c>
      <c r="S2001" t="s">
        <v>49</v>
      </c>
      <c r="T2001">
        <v>310.49</v>
      </c>
      <c r="U2001">
        <f t="shared" si="434"/>
        <v>1</v>
      </c>
      <c r="V2001">
        <f t="shared" si="435"/>
        <v>0</v>
      </c>
      <c r="W2001">
        <f t="shared" si="436"/>
        <v>1</v>
      </c>
      <c r="X2001">
        <f t="shared" si="437"/>
        <v>0.35149999999999998</v>
      </c>
      <c r="Y2001" s="1">
        <f t="shared" si="438"/>
        <v>61790</v>
      </c>
      <c r="Z2001">
        <f t="shared" si="439"/>
        <v>61790</v>
      </c>
      <c r="AA2001">
        <f t="shared" si="440"/>
        <v>61790</v>
      </c>
      <c r="AB2001">
        <f t="shared" si="441"/>
        <v>61790</v>
      </c>
      <c r="AC2001">
        <f t="shared" si="442"/>
        <v>310.49</v>
      </c>
      <c r="AD2001">
        <f t="shared" si="443"/>
        <v>310.49</v>
      </c>
      <c r="AE2001">
        <f t="shared" si="444"/>
        <v>0.35149999999999998</v>
      </c>
      <c r="AF2001">
        <f t="shared" si="445"/>
        <v>310.49</v>
      </c>
      <c r="AG2001" t="str">
        <f t="shared" si="446"/>
        <v>Active</v>
      </c>
      <c r="AH2001">
        <f t="shared" si="447"/>
        <v>3725.88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Bank_Loan_Data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2026-06-16T15:32:10Z</dcterms:created>
  <dcterms:modified xsi:type="dcterms:W3CDTF">2026-06-23T08:23:56Z</dcterms:modified>
</cp:coreProperties>
</file>